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drawings/drawing8.xml" ContentType="application/vnd.openxmlformats-officedocument.drawing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drawings/drawing9.xml" ContentType="application/vnd.openxmlformats-officedocument.drawing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PivotChartFilter="1" defaultThemeVersion="124226"/>
  <mc:AlternateContent xmlns:mc="http://schemas.openxmlformats.org/markup-compatibility/2006">
    <mc:Choice Requires="x15">
      <x15ac:absPath xmlns:x15ac="http://schemas.microsoft.com/office/spreadsheetml/2010/11/ac" url="C:\Users\mamun\Downloads\"/>
    </mc:Choice>
  </mc:AlternateContent>
  <xr:revisionPtr revIDLastSave="0" documentId="13_ncr:1_{2D22759E-258C-49EB-AA8E-260966783D15}" xr6:coauthVersionLast="47" xr6:coauthVersionMax="47" xr10:uidLastSave="{00000000-0000-0000-0000-000000000000}"/>
  <bookViews>
    <workbookView xWindow="-110" yWindow="-110" windowWidth="19420" windowHeight="11500" tabRatio="917" firstSheet="54" activeTab="61" xr2:uid="{00000000-000D-0000-FFFF-FFFF00000000}"/>
  </bookViews>
  <sheets>
    <sheet name="1UniNo" sheetId="55" r:id="rId1"/>
    <sheet name="1InsResponse" sheetId="71" r:id="rId2"/>
    <sheet name="2University-Specialisation" sheetId="72" r:id="rId3"/>
    <sheet name="3Collegerange" sheetId="68" r:id="rId4"/>
    <sheet name="4CollegeIndicator" sheetId="53" r:id="rId5"/>
    <sheet name="4aCollegeSpec" sheetId="73" r:id="rId6"/>
    <sheet name="5ManagementCollegeNo" sheetId="74" r:id="rId7"/>
    <sheet name="6TotalEnr" sheetId="13" r:id="rId8"/>
    <sheet name="6aTotalRegularEnr" sheetId="25" r:id="rId9"/>
    <sheet name="6bTotalDistanceEnr" sheetId="69" r:id="rId10"/>
    <sheet name="7UnivActwithConsUnit" sheetId="61" r:id="rId11"/>
    <sheet name="8CollegeAct" sheetId="16" r:id="rId12"/>
    <sheet name="9AllSAAct" sheetId="17" r:id="rId13"/>
    <sheet name="9aSAILevel" sheetId="114" r:id="rId14"/>
    <sheet name="10InstituionEst" sheetId="158" r:id="rId15"/>
    <sheet name="11Programme" sheetId="94" r:id="rId16"/>
    <sheet name="11aProgrammeDistance " sheetId="95" r:id="rId17"/>
    <sheet name="12UGDisc " sheetId="96" r:id="rId18"/>
    <sheet name="13PGDisc" sheetId="97" r:id="rId19"/>
    <sheet name="14-15TotalEnrCategory" sheetId="65" r:id="rId20"/>
    <sheet name="16FS-countrylevel" sheetId="98" r:id="rId21"/>
    <sheet name="17FS-statelevel" sheetId="99" r:id="rId22"/>
    <sheet name="18FS-prog" sheetId="100" r:id="rId23"/>
    <sheet name="ManagementCollegeNo (2)" sheetId="11" state="hidden" r:id="rId24"/>
    <sheet name="WomenCollege" sheetId="3" state="hidden" r:id="rId25"/>
    <sheet name="19GER(2011)" sheetId="153" r:id="rId26"/>
    <sheet name="20GPI2011" sheetId="154" r:id="rId27"/>
    <sheet name="21TeacherCategory" sheetId="101" r:id="rId28"/>
    <sheet name="22TeacherPost" sheetId="102" r:id="rId29"/>
    <sheet name="22aTeacherPostUC" sheetId="103" r:id="rId30"/>
    <sheet name="22bTeacherPostU" sheetId="104" r:id="rId31"/>
    <sheet name="23StaffPost" sheetId="79" r:id="rId32"/>
    <sheet name="24StaffCategory" sheetId="80" r:id="rId33"/>
    <sheet name="25PTR" sheetId="105" r:id="rId34"/>
    <sheet name="26UnivEnrolinclConstituentU" sheetId="66" r:id="rId35"/>
    <sheet name="27TypeEnrolmentCategory-Est" sheetId="67" r:id="rId36"/>
    <sheet name="29TypeTeacherPostEstimated" sheetId="110" r:id="rId37"/>
    <sheet name="30TypeTeacherCategoryEstimated" sheetId="111" r:id="rId38"/>
    <sheet name="31Hostelstate " sheetId="76" r:id="rId39"/>
    <sheet name="32TypeHostel" sheetId="78" r:id="rId40"/>
    <sheet name="33OutTurnState" sheetId="106" r:id="rId41"/>
    <sheet name="33a CategoryOutTurn" sheetId="112" r:id="rId42"/>
    <sheet name="34OutTurn Prog " sheetId="107" r:id="rId43"/>
    <sheet name="34a" sheetId="113" r:id="rId44"/>
    <sheet name="35UGDisc" sheetId="108" r:id="rId45"/>
    <sheet name="36 PGDisc " sheetId="109" r:id="rId46"/>
    <sheet name="37CollegeTypeNo" sheetId="70" r:id="rId47"/>
    <sheet name="38Pop2020(2011)" sheetId="152" r:id="rId48"/>
    <sheet name="39TypeStateUnivwithConsUnit" sheetId="63" r:id="rId49"/>
    <sheet name="40NoUni" sheetId="128" r:id="rId50"/>
    <sheet name="41NoUniType" sheetId="129" r:id="rId51"/>
    <sheet name="42CollegeIndicator" sheetId="130" r:id="rId52"/>
    <sheet name="43ENRLT 6" sheetId="131" r:id="rId53"/>
    <sheet name="44ENRLR 6a" sheetId="132" r:id="rId54"/>
    <sheet name="45EnrlCategory 14" sheetId="144" r:id="rId55"/>
    <sheet name="46EnrlMinority 14" sheetId="145" r:id="rId56"/>
    <sheet name="47GER  19" sheetId="157" r:id="rId57"/>
    <sheet name="48GPI 20" sheetId="147" r:id="rId58"/>
    <sheet name="49PTR 25" sheetId="148" r:id="rId59"/>
    <sheet name="50LevelEnrlUniType" sheetId="149" r:id="rId60"/>
    <sheet name="51PostTeacher" sheetId="150" r:id="rId61"/>
    <sheet name="52Pop" sheetId="151" r:id="rId62"/>
    <sheet name="4CollegeIndicator (2)" sheetId="34" state="hidden" r:id="rId63"/>
    <sheet name="RespondingTypeCollege" sheetId="9" state="hidden" r:id="rId64"/>
    <sheet name="Paste" sheetId="1" state="hidden" r:id="rId65"/>
    <sheet name="StandaloneMgt" sheetId="5" state="hidden" r:id="rId66"/>
  </sheets>
  <externalReferences>
    <externalReference r:id="rId67"/>
    <externalReference r:id="rId68"/>
  </externalReferences>
  <definedNames>
    <definedName name="_xlnm._FilterDatabase" localSheetId="20" hidden="1">'16FS-countrylevel'!$B$4:$AC$168</definedName>
    <definedName name="_xlnm._FilterDatabase" localSheetId="42" hidden="1">'34OutTurn Prog '!$B$3:$E$3</definedName>
    <definedName name="_xlnm._FilterDatabase" localSheetId="44" hidden="1">'35UGDisc'!$A$2:$E$2</definedName>
    <definedName name="_xlnm._FilterDatabase" localSheetId="45" hidden="1">'36 PGDisc '!$A$4:$K$4</definedName>
    <definedName name="_xlnm._FilterDatabase" localSheetId="50" hidden="1">'41NoUniType'!$B$2:$I$204</definedName>
    <definedName name="_xlnm._FilterDatabase" localSheetId="52" hidden="1">'43ENRLT 6'!$B$3:$AC$223</definedName>
    <definedName name="_xlnm._FilterDatabase" localSheetId="53" hidden="1">'44ENRLR 6a'!$B$3:$AC$223</definedName>
    <definedName name="_xlnm._FilterDatabase" localSheetId="55" hidden="1">'46EnrlMinority 14'!$B$4:$K$194</definedName>
    <definedName name="_xlnm._FilterDatabase" localSheetId="56" hidden="1">'47GER  19'!$B$4:$J$223</definedName>
    <definedName name="_xlnm._FilterDatabase" localSheetId="58" hidden="1">'49PTR 25'!$B$4:$H$223</definedName>
    <definedName name="_xlnm._FilterDatabase" localSheetId="62" hidden="1">'4CollegeIndicator (2)'!$A$2:$F$2</definedName>
    <definedName name="_xlnm._FilterDatabase" localSheetId="59" hidden="1">'50LevelEnrlUniType'!$B$4:$AC$76</definedName>
    <definedName name="_xlnm._FilterDatabase" localSheetId="60" hidden="1">'51PostTeacher'!$B$2:$X$223</definedName>
    <definedName name="College" localSheetId="14">#REF!</definedName>
    <definedName name="College" localSheetId="25">#REF!</definedName>
    <definedName name="College" localSheetId="26">#REF!</definedName>
    <definedName name="College" localSheetId="33">#REF!</definedName>
    <definedName name="College" localSheetId="2">#REF!</definedName>
    <definedName name="College" localSheetId="38">#REF!</definedName>
    <definedName name="College" localSheetId="41">#REF!</definedName>
    <definedName name="College" localSheetId="40">#REF!</definedName>
    <definedName name="College" localSheetId="43">#REF!</definedName>
    <definedName name="College" localSheetId="42">#REF!</definedName>
    <definedName name="College" localSheetId="44">#REF!</definedName>
    <definedName name="College" localSheetId="45">#REF!</definedName>
    <definedName name="College" localSheetId="49">#REF!</definedName>
    <definedName name="College" localSheetId="50">#REF!</definedName>
    <definedName name="College" localSheetId="51">#REF!</definedName>
    <definedName name="College" localSheetId="52">#REF!</definedName>
    <definedName name="College" localSheetId="53">#REF!</definedName>
    <definedName name="College" localSheetId="54">#REF!</definedName>
    <definedName name="College" localSheetId="55">#REF!</definedName>
    <definedName name="College" localSheetId="56">#REF!</definedName>
    <definedName name="College" localSheetId="57">#REF!</definedName>
    <definedName name="College" localSheetId="58">#REF!</definedName>
    <definedName name="College" localSheetId="59">#REF!</definedName>
    <definedName name="College" localSheetId="60">#REF!</definedName>
    <definedName name="College" localSheetId="61">#REF!</definedName>
    <definedName name="College" localSheetId="13">#REF!</definedName>
    <definedName name="College">#REF!</definedName>
    <definedName name="d" localSheetId="14">#REF!</definedName>
    <definedName name="d" localSheetId="25">#REF!</definedName>
    <definedName name="d" localSheetId="26">#REF!</definedName>
    <definedName name="d" localSheetId="33">#REF!</definedName>
    <definedName name="d" localSheetId="2">#REF!</definedName>
    <definedName name="d" localSheetId="41">#REF!</definedName>
    <definedName name="d" localSheetId="40">#REF!</definedName>
    <definedName name="d" localSheetId="43">#REF!</definedName>
    <definedName name="d" localSheetId="42">#REF!</definedName>
    <definedName name="d" localSheetId="44">#REF!</definedName>
    <definedName name="d" localSheetId="45">#REF!</definedName>
    <definedName name="d" localSheetId="49">#REF!</definedName>
    <definedName name="d" localSheetId="50">#REF!</definedName>
    <definedName name="d" localSheetId="51">#REF!</definedName>
    <definedName name="d" localSheetId="52">#REF!</definedName>
    <definedName name="d" localSheetId="53">#REF!</definedName>
    <definedName name="d" localSheetId="54">#REF!</definedName>
    <definedName name="d" localSheetId="55">#REF!</definedName>
    <definedName name="d" localSheetId="56">#REF!</definedName>
    <definedName name="d" localSheetId="57">#REF!</definedName>
    <definedName name="d" localSheetId="58">#REF!</definedName>
    <definedName name="d" localSheetId="59">#REF!</definedName>
    <definedName name="d" localSheetId="60">#REF!</definedName>
    <definedName name="d" localSheetId="61">#REF!</definedName>
    <definedName name="d" localSheetId="13">#REF!</definedName>
    <definedName name="d">#REF!</definedName>
    <definedName name="JR_PAGE_ANCHOR_0_1" localSheetId="14">#REF!</definedName>
    <definedName name="JR_PAGE_ANCHOR_0_1" localSheetId="25">#REF!</definedName>
    <definedName name="JR_PAGE_ANCHOR_0_1" localSheetId="26">#REF!</definedName>
    <definedName name="JR_PAGE_ANCHOR_0_1" localSheetId="41">#REF!</definedName>
    <definedName name="JR_PAGE_ANCHOR_0_1" localSheetId="43">#REF!</definedName>
    <definedName name="JR_PAGE_ANCHOR_0_1" localSheetId="49">#REF!</definedName>
    <definedName name="JR_PAGE_ANCHOR_0_1" localSheetId="50">#REF!</definedName>
    <definedName name="JR_PAGE_ANCHOR_0_1" localSheetId="51">#REF!</definedName>
    <definedName name="JR_PAGE_ANCHOR_0_1" localSheetId="52">#REF!</definedName>
    <definedName name="JR_PAGE_ANCHOR_0_1" localSheetId="53">#REF!</definedName>
    <definedName name="JR_PAGE_ANCHOR_0_1" localSheetId="54">#REF!</definedName>
    <definedName name="JR_PAGE_ANCHOR_0_1" localSheetId="55">#REF!</definedName>
    <definedName name="JR_PAGE_ANCHOR_0_1" localSheetId="56">#REF!</definedName>
    <definedName name="JR_PAGE_ANCHOR_0_1" localSheetId="57">#REF!</definedName>
    <definedName name="JR_PAGE_ANCHOR_0_1" localSheetId="58">#REF!</definedName>
    <definedName name="JR_PAGE_ANCHOR_0_1" localSheetId="59">#REF!</definedName>
    <definedName name="JR_PAGE_ANCHOR_0_1" localSheetId="60">#REF!</definedName>
    <definedName name="JR_PAGE_ANCHOR_0_1" localSheetId="61">#REF!</definedName>
    <definedName name="JR_PAGE_ANCHOR_0_1" localSheetId="13">#REF!</definedName>
    <definedName name="JR_PAGE_ANCHOR_0_1">#REF!</definedName>
    <definedName name="_xlnm.Print_Area" localSheetId="14">'10InstituionEst'!$A$1:$N$41</definedName>
    <definedName name="_xlnm.Print_Area" localSheetId="16">'11aProgrammeDistance '!$A$1:$Z$75</definedName>
    <definedName name="_xlnm.Print_Area" localSheetId="15">'11Programme'!$A$1:$Z$219</definedName>
    <definedName name="_xlnm.Print_Area" localSheetId="17">'12UGDisc '!$A$1:$E$99</definedName>
    <definedName name="_xlnm.Print_Area" localSheetId="18">'13PGDisc'!$A$1:$K$265</definedName>
    <definedName name="_xlnm.Print_Area" localSheetId="19">'14-15TotalEnrCategory'!$A$1:$Z$41</definedName>
    <definedName name="_xlnm.Print_Area" localSheetId="20">'16FS-countrylevel'!$A$1:$AC$168</definedName>
    <definedName name="_xlnm.Print_Area" localSheetId="21">'17FS-statelevel'!$A$1:$AC$39</definedName>
    <definedName name="_xlnm.Print_Area" localSheetId="22">'18FS-prog'!$A$1:$E$151</definedName>
    <definedName name="_xlnm.Print_Area" localSheetId="25">'19GER(2011)'!$A$1:$K$40</definedName>
    <definedName name="_xlnm.Print_Area" localSheetId="1">'1InsResponse'!$A$1:$O$42</definedName>
    <definedName name="_xlnm.Print_Area" localSheetId="0">'1UniNo'!$A$1:$N$51</definedName>
    <definedName name="_xlnm.Print_Area" localSheetId="26">'20GPI2011'!$A$1:$E$39</definedName>
    <definedName name="_xlnm.Print_Area" localSheetId="27">'21TeacherCategory'!$A$1:$W$41</definedName>
    <definedName name="_xlnm.Print_Area" localSheetId="29">'22aTeacherPostUC'!$A$1:$W$41</definedName>
    <definedName name="_xlnm.Print_Area" localSheetId="30">'22bTeacherPostU'!$A$1:$W$41</definedName>
    <definedName name="_xlnm.Print_Area" localSheetId="28">'22TeacherPost'!$A$1:$W$41</definedName>
    <definedName name="_xlnm.Print_Area" localSheetId="31">'23StaffPost'!$A$1:$Q$41</definedName>
    <definedName name="_xlnm.Print_Area" localSheetId="32">'24StaffCategory'!$A$1:$Z$41</definedName>
    <definedName name="_xlnm.Print_Area" localSheetId="33">'25PTR'!$A$1:$H$41</definedName>
    <definedName name="_xlnm.Print_Area" localSheetId="34">'26UnivEnrolinclConstituentU'!$A$1:$AB$20</definedName>
    <definedName name="_xlnm.Print_Area" localSheetId="35">'27TypeEnrolmentCategory-Est'!$A$1:$Y$20</definedName>
    <definedName name="_xlnm.Print_Area" localSheetId="36">'29TypeTeacherPostEstimated'!$A$1:$V$20</definedName>
    <definedName name="_xlnm.Print_Area" localSheetId="2">'2University-Specialisation'!$A$1:$Y$37</definedName>
    <definedName name="_xlnm.Print_Area" localSheetId="37">'30TypeTeacherCategoryEstimated'!$A$1:$V$20</definedName>
    <definedName name="_xlnm.Print_Area" localSheetId="38">'31Hostelstate '!$A$1:$N$41</definedName>
    <definedName name="_xlnm.Print_Area" localSheetId="41">'33a CategoryOutTurn'!$A$1:$Z$41</definedName>
    <definedName name="_xlnm.Print_Area" localSheetId="40">'33OutTurnState'!$A$1:$AC$41</definedName>
    <definedName name="_xlnm.Print_Area" localSheetId="43">'34a'!$A$1:$Z$213</definedName>
    <definedName name="_xlnm.Print_Area" localSheetId="42">'34OutTurn Prog '!$A$1:$E$212</definedName>
    <definedName name="_xlnm.Print_Area" localSheetId="44">'35UGDisc'!$A$1:$E$94</definedName>
    <definedName name="_xlnm.Print_Area" localSheetId="45">'36 PGDisc '!$A$1:$K$245</definedName>
    <definedName name="_xlnm.Print_Area" localSheetId="46">'37CollegeTypeNo'!$A$1:$AF$41</definedName>
    <definedName name="_xlnm.Print_Area" localSheetId="47">'38Pop2020(2011)'!$A$1:$K$41</definedName>
    <definedName name="_xlnm.Print_Area" localSheetId="48">'39TypeStateUnivwithConsUnit'!$A$1:$AL$42</definedName>
    <definedName name="_xlnm.Print_Area" localSheetId="3">'3Collegerange'!$A$1:$K$41</definedName>
    <definedName name="_xlnm.Print_Area" localSheetId="49">'40NoUni'!$A$1:$G$37</definedName>
    <definedName name="_xlnm.Print_Area" localSheetId="51">'42CollegeIndicator'!$A$1:$Q$41</definedName>
    <definedName name="_xlnm.Print_Area" localSheetId="53">'44ENRLR 6a'!$A$1:$AC$223</definedName>
    <definedName name="_xlnm.Print_Area" localSheetId="54">'45EnrlCategory 14'!$A$1:$N$223</definedName>
    <definedName name="_xlnm.Print_Area" localSheetId="56">'47GER  19'!$A$1:$K$223</definedName>
    <definedName name="_xlnm.Print_Area" localSheetId="57">'48GPI 20'!$A$1:$Q$41</definedName>
    <definedName name="_xlnm.Print_Area" localSheetId="58">'49PTR 25'!$A$1:$H$223</definedName>
    <definedName name="_xlnm.Print_Area" localSheetId="5">'4aCollegeSpec'!$A$1:$AJ$39</definedName>
    <definedName name="_xlnm.Print_Area" localSheetId="4">'4CollegeIndicator'!$A$1:$H$41</definedName>
    <definedName name="_xlnm.Print_Area" localSheetId="62">'4CollegeIndicator (2)'!$A$1:$F$37</definedName>
    <definedName name="_xlnm.Print_Area" localSheetId="59">'50LevelEnrlUniType'!$A$1:$AC$76</definedName>
    <definedName name="_xlnm.Print_Area" localSheetId="60">'51PostTeacher'!$A$1:$W$223</definedName>
    <definedName name="_xlnm.Print_Area" localSheetId="61">'52Pop'!$A$1:$G$151</definedName>
    <definedName name="_xlnm.Print_Area" localSheetId="6">'5ManagementCollegeNo'!$A$1:$T$40</definedName>
    <definedName name="_xlnm.Print_Area" localSheetId="8">'6aTotalRegularEnr'!$A$1:$AC$41</definedName>
    <definedName name="_xlnm.Print_Area" localSheetId="9">'6bTotalDistanceEnr'!$A$1:$AC$41</definedName>
    <definedName name="_xlnm.Print_Area" localSheetId="7">'6TotalEnr'!$A$1:$AC$41</definedName>
    <definedName name="_xlnm.Print_Area" localSheetId="10">'7UnivActwithConsUnit'!$A$1:$AE$42</definedName>
    <definedName name="_xlnm.Print_Area" localSheetId="11">'8CollegeAct'!$A$1:$AF$41</definedName>
    <definedName name="_xlnm.Print_Area" localSheetId="12">'9AllSAAct'!$A$1:$AX$42</definedName>
    <definedName name="_xlnm.Print_Area" localSheetId="13">'9aSAILevel'!$A$1:$AC$41</definedName>
    <definedName name="_xlnm.Print_Area" localSheetId="23">'ManagementCollegeNo (2)'!$A$1:$K$59</definedName>
    <definedName name="_xlnm.Print_Area" localSheetId="24">WomenCollege!$A$1:$L$38</definedName>
    <definedName name="_xlnm.Print_Titles" localSheetId="14">'10InstituionEst'!$A:$B</definedName>
    <definedName name="_xlnm.Print_Titles" localSheetId="16">'11aProgrammeDistance '!$A:$B,'11aProgrammeDistance '!$1:$4</definedName>
    <definedName name="_xlnm.Print_Titles" localSheetId="15">'11Programme'!$A:$B,'11Programme'!$1:$4</definedName>
    <definedName name="_xlnm.Print_Titles" localSheetId="17">'12UGDisc '!$1:$3</definedName>
    <definedName name="_xlnm.Print_Titles" localSheetId="18">'13PGDisc'!$1:$4</definedName>
    <definedName name="_xlnm.Print_Titles" localSheetId="19">'14-15TotalEnrCategory'!$A:$B</definedName>
    <definedName name="_xlnm.Print_Titles" localSheetId="20">'16FS-countrylevel'!$A:$B,'16FS-countrylevel'!$1:$4</definedName>
    <definedName name="_xlnm.Print_Titles" localSheetId="21">'17FS-statelevel'!$A:$B,'17FS-statelevel'!$1:$3</definedName>
    <definedName name="_xlnm.Print_Titles" localSheetId="22">'18FS-prog'!$1:$2</definedName>
    <definedName name="_xlnm.Print_Titles" localSheetId="26">'20GPI2011'!$A:$B</definedName>
    <definedName name="_xlnm.Print_Titles" localSheetId="27">'21TeacherCategory'!$A:$B,'21TeacherCategory'!$1:$3</definedName>
    <definedName name="_xlnm.Print_Titles" localSheetId="29">'22aTeacherPostUC'!$A:$B</definedName>
    <definedName name="_xlnm.Print_Titles" localSheetId="30">'22bTeacherPostU'!$A:$B</definedName>
    <definedName name="_xlnm.Print_Titles" localSheetId="28">'22TeacherPost'!$A:$B</definedName>
    <definedName name="_xlnm.Print_Titles" localSheetId="31">'23StaffPost'!$B:$B</definedName>
    <definedName name="_xlnm.Print_Titles" localSheetId="32">'24StaffCategory'!$B:$B,'24StaffCategory'!$1:$3</definedName>
    <definedName name="_xlnm.Print_Titles" localSheetId="33">'25PTR'!$A:$B</definedName>
    <definedName name="_xlnm.Print_Titles" localSheetId="34">'26UnivEnrolinclConstituentU'!$A:$A,'26UnivEnrolinclConstituentU'!$1:$4</definedName>
    <definedName name="_xlnm.Print_Titles" localSheetId="35">'27TypeEnrolmentCategory-Est'!$A:$A</definedName>
    <definedName name="_xlnm.Print_Titles" localSheetId="36">'29TypeTeacherPostEstimated'!$A:$A</definedName>
    <definedName name="_xlnm.Print_Titles" localSheetId="2">'2University-Specialisation'!$A:$B</definedName>
    <definedName name="_xlnm.Print_Titles" localSheetId="37">'30TypeTeacherCategoryEstimated'!$A:$A</definedName>
    <definedName name="_xlnm.Print_Titles" localSheetId="38">'31Hostelstate '!$1:$4</definedName>
    <definedName name="_xlnm.Print_Titles" localSheetId="41">'33a CategoryOutTurn'!$A:$B</definedName>
    <definedName name="_xlnm.Print_Titles" localSheetId="40">'33OutTurnState'!$A:$B</definedName>
    <definedName name="_xlnm.Print_Titles" localSheetId="43">'34a'!$A:$B,'34a'!$1:$4</definedName>
    <definedName name="_xlnm.Print_Titles" localSheetId="42">'34OutTurn Prog '!$B:$B,'34OutTurn Prog '!$1:$3</definedName>
    <definedName name="_xlnm.Print_Titles" localSheetId="44">'35UGDisc'!$1:$3</definedName>
    <definedName name="_xlnm.Print_Titles" localSheetId="45">'36 PGDisc '!$1:$4</definedName>
    <definedName name="_xlnm.Print_Titles" localSheetId="46">'37CollegeTypeNo'!$B:$B</definedName>
    <definedName name="_xlnm.Print_Titles" localSheetId="48">'39TypeStateUnivwithConsUnit'!$A:$B</definedName>
    <definedName name="_xlnm.Print_Titles" localSheetId="50">'41NoUniType'!$1:$2</definedName>
    <definedName name="_xlnm.Print_Titles" localSheetId="51">'42CollegeIndicator'!$A:$B,'42CollegeIndicator'!$1:$4</definedName>
    <definedName name="_xlnm.Print_Titles" localSheetId="52">'43ENRLT 6'!$A:$B,'43ENRLT 6'!$1:$4</definedName>
    <definedName name="_xlnm.Print_Titles" localSheetId="53">'44ENRLR 6a'!$A:$B,'44ENRLR 6a'!$1:$4</definedName>
    <definedName name="_xlnm.Print_Titles" localSheetId="54">'45EnrlCategory 14'!$A:$B,'45EnrlCategory 14'!$1:$4</definedName>
    <definedName name="_xlnm.Print_Titles" localSheetId="55">'46EnrlMinority 14'!$1:$4</definedName>
    <definedName name="_xlnm.Print_Titles" localSheetId="56">'47GER  19'!$1:$4</definedName>
    <definedName name="_xlnm.Print_Titles" localSheetId="57">'48GPI 20'!$A:$B,'48GPI 20'!$1:$4</definedName>
    <definedName name="_xlnm.Print_Titles" localSheetId="58">'49PTR 25'!$1:$4</definedName>
    <definedName name="_xlnm.Print_Titles" localSheetId="5">'4aCollegeSpec'!$A:$B</definedName>
    <definedName name="_xlnm.Print_Titles" localSheetId="59">'50LevelEnrlUniType'!$A:$B,'50LevelEnrlUniType'!$1:$4</definedName>
    <definedName name="_xlnm.Print_Titles" localSheetId="60">'51PostTeacher'!$A:$B,'51PostTeacher'!$1:$4</definedName>
    <definedName name="_xlnm.Print_Titles" localSheetId="61">'52Pop'!$1:$3</definedName>
    <definedName name="_xlnm.Print_Titles" localSheetId="6">'5ManagementCollegeNo'!$A:$B</definedName>
    <definedName name="_xlnm.Print_Titles" localSheetId="8">'6aTotalRegularEnr'!$A:$B</definedName>
    <definedName name="_xlnm.Print_Titles" localSheetId="9">'6bTotalDistanceEnr'!$A:$B</definedName>
    <definedName name="_xlnm.Print_Titles" localSheetId="7">'6TotalEnr'!$A:$B</definedName>
    <definedName name="_xlnm.Print_Titles" localSheetId="10">'7UnivActwithConsUnit'!$A:$B</definedName>
    <definedName name="_xlnm.Print_Titles" localSheetId="11">'8CollegeAct'!$A:$B</definedName>
    <definedName name="_xlnm.Print_Titles" localSheetId="12">'9AllSAAct'!$A:$B</definedName>
    <definedName name="_xlnm.Print_Titles" localSheetId="13">'9aSAILevel'!$A:$B</definedName>
    <definedName name="_xlnm.Print_Titles" localSheetId="23">'ManagementCollegeNo (2)'!$A:$A</definedName>
    <definedName name="_xlnm.Print_Titles" localSheetId="24">WomenCollege!$A:$A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41" i="106" l="1"/>
  <c r="D41" i="106"/>
  <c r="C41" i="106"/>
  <c r="U16" i="110"/>
  <c r="Q16" i="110"/>
  <c r="L16" i="110"/>
  <c r="H20" i="110"/>
  <c r="E20" i="110"/>
  <c r="D20" i="110"/>
  <c r="H16" i="110"/>
  <c r="D40" i="105"/>
  <c r="C9" i="105"/>
  <c r="C8" i="105"/>
  <c r="C7" i="105"/>
  <c r="D7" i="105"/>
  <c r="D5" i="105"/>
  <c r="D22" i="154"/>
  <c r="C5" i="154"/>
  <c r="G35" i="153"/>
  <c r="C33" i="153"/>
  <c r="C26" i="153"/>
  <c r="C25" i="153"/>
  <c r="I19" i="153"/>
  <c r="E12" i="153"/>
  <c r="G9" i="153"/>
  <c r="M29" i="158"/>
  <c r="L18" i="158"/>
  <c r="AB33" i="69"/>
  <c r="AA26" i="69"/>
  <c r="AA8" i="69"/>
  <c r="G19" i="71"/>
  <c r="D63" i="108"/>
  <c r="E63" i="108"/>
  <c r="C63" i="108"/>
  <c r="D27" i="108"/>
  <c r="E27" i="108"/>
  <c r="C27" i="108"/>
  <c r="D42" i="101"/>
  <c r="C42" i="101"/>
  <c r="D41" i="152" l="1"/>
  <c r="D40" i="153" s="1"/>
  <c r="E41" i="152"/>
  <c r="E40" i="153" s="1"/>
  <c r="G46" i="153" s="1"/>
  <c r="F41" i="152"/>
  <c r="G41" i="152"/>
  <c r="H41" i="152"/>
  <c r="H40" i="153" s="1"/>
  <c r="G47" i="153" s="1"/>
  <c r="I41" i="152"/>
  <c r="I40" i="153" s="1"/>
  <c r="E48" i="153" s="1"/>
  <c r="J41" i="152"/>
  <c r="K41" i="152"/>
  <c r="L41" i="152"/>
  <c r="C41" i="152"/>
  <c r="C40" i="153" s="1"/>
  <c r="K40" i="153" l="1"/>
  <c r="G48" i="153" s="1"/>
  <c r="G40" i="153"/>
  <c r="F47" i="153" s="1"/>
  <c r="J40" i="153"/>
  <c r="F48" i="153" s="1"/>
  <c r="F40" i="153"/>
  <c r="E47" i="153" s="1"/>
  <c r="K41" i="158"/>
  <c r="J41" i="158"/>
  <c r="I41" i="158"/>
  <c r="E41" i="158"/>
  <c r="D41" i="158"/>
  <c r="C41" i="158"/>
  <c r="N40" i="158"/>
  <c r="Q40" i="158" s="1"/>
  <c r="M40" i="158"/>
  <c r="P40" i="158" s="1"/>
  <c r="L40" i="158"/>
  <c r="O40" i="158" s="1"/>
  <c r="N39" i="158"/>
  <c r="Q39" i="158" s="1"/>
  <c r="M39" i="158"/>
  <c r="P39" i="158" s="1"/>
  <c r="L39" i="158"/>
  <c r="O39" i="158" s="1"/>
  <c r="N38" i="158"/>
  <c r="Q38" i="158" s="1"/>
  <c r="M38" i="158"/>
  <c r="P38" i="158" s="1"/>
  <c r="L38" i="158"/>
  <c r="O38" i="158" s="1"/>
  <c r="N37" i="158"/>
  <c r="Q37" i="158" s="1"/>
  <c r="M37" i="158"/>
  <c r="P37" i="158" s="1"/>
  <c r="L37" i="158"/>
  <c r="O37" i="158" s="1"/>
  <c r="N36" i="158"/>
  <c r="Q36" i="158" s="1"/>
  <c r="M36" i="158"/>
  <c r="P36" i="158" s="1"/>
  <c r="L36" i="158"/>
  <c r="O36" i="158" s="1"/>
  <c r="N35" i="158"/>
  <c r="Q35" i="158" s="1"/>
  <c r="M35" i="158"/>
  <c r="P35" i="158" s="1"/>
  <c r="L35" i="158"/>
  <c r="O35" i="158" s="1"/>
  <c r="N34" i="158"/>
  <c r="Q34" i="158" s="1"/>
  <c r="M34" i="158"/>
  <c r="P34" i="158" s="1"/>
  <c r="L34" i="158"/>
  <c r="O34" i="158" s="1"/>
  <c r="N33" i="158"/>
  <c r="Q33" i="158" s="1"/>
  <c r="M33" i="158"/>
  <c r="P33" i="158" s="1"/>
  <c r="L33" i="158"/>
  <c r="O33" i="158" s="1"/>
  <c r="N32" i="158"/>
  <c r="Q32" i="158" s="1"/>
  <c r="M32" i="158"/>
  <c r="P32" i="158" s="1"/>
  <c r="L32" i="158"/>
  <c r="O32" i="158" s="1"/>
  <c r="N31" i="158"/>
  <c r="Q31" i="158" s="1"/>
  <c r="M31" i="158"/>
  <c r="P31" i="158" s="1"/>
  <c r="L31" i="158"/>
  <c r="O31" i="158" s="1"/>
  <c r="N30" i="158"/>
  <c r="Q30" i="158" s="1"/>
  <c r="M30" i="158"/>
  <c r="P30" i="158" s="1"/>
  <c r="L30" i="158"/>
  <c r="O30" i="158" s="1"/>
  <c r="P29" i="158"/>
  <c r="N29" i="158"/>
  <c r="Q29" i="158" s="1"/>
  <c r="L29" i="158"/>
  <c r="O29" i="158" s="1"/>
  <c r="N28" i="158"/>
  <c r="Q28" i="158" s="1"/>
  <c r="M28" i="158"/>
  <c r="P28" i="158" s="1"/>
  <c r="L28" i="158"/>
  <c r="O28" i="158" s="1"/>
  <c r="N27" i="158"/>
  <c r="Q27" i="158" s="1"/>
  <c r="M27" i="158"/>
  <c r="P27" i="158" s="1"/>
  <c r="L27" i="158"/>
  <c r="O27" i="158" s="1"/>
  <c r="N26" i="158"/>
  <c r="Q26" i="158" s="1"/>
  <c r="M26" i="158"/>
  <c r="P26" i="158" s="1"/>
  <c r="L26" i="158"/>
  <c r="O26" i="158" s="1"/>
  <c r="N25" i="158"/>
  <c r="Q25" i="158" s="1"/>
  <c r="M25" i="158"/>
  <c r="P25" i="158" s="1"/>
  <c r="L25" i="158"/>
  <c r="O25" i="158" s="1"/>
  <c r="N24" i="158"/>
  <c r="Q24" i="158" s="1"/>
  <c r="M24" i="158"/>
  <c r="P24" i="158" s="1"/>
  <c r="L24" i="158"/>
  <c r="O24" i="158" s="1"/>
  <c r="N23" i="158"/>
  <c r="Q23" i="158" s="1"/>
  <c r="M23" i="158"/>
  <c r="P23" i="158" s="1"/>
  <c r="L23" i="158"/>
  <c r="O23" i="158" s="1"/>
  <c r="N22" i="158"/>
  <c r="Q22" i="158" s="1"/>
  <c r="M22" i="158"/>
  <c r="P22" i="158" s="1"/>
  <c r="L22" i="158"/>
  <c r="O22" i="158" s="1"/>
  <c r="N21" i="158"/>
  <c r="Q21" i="158" s="1"/>
  <c r="M21" i="158"/>
  <c r="P21" i="158" s="1"/>
  <c r="L21" i="158"/>
  <c r="O21" i="158" s="1"/>
  <c r="N20" i="158"/>
  <c r="Q20" i="158" s="1"/>
  <c r="M20" i="158"/>
  <c r="P20" i="158" s="1"/>
  <c r="L20" i="158"/>
  <c r="O20" i="158" s="1"/>
  <c r="N19" i="158"/>
  <c r="Q19" i="158" s="1"/>
  <c r="M19" i="158"/>
  <c r="P19" i="158" s="1"/>
  <c r="L19" i="158"/>
  <c r="O19" i="158" s="1"/>
  <c r="N18" i="158"/>
  <c r="Q18" i="158" s="1"/>
  <c r="M18" i="158"/>
  <c r="P18" i="158" s="1"/>
  <c r="O18" i="158"/>
  <c r="N17" i="158"/>
  <c r="Q17" i="158" s="1"/>
  <c r="M17" i="158"/>
  <c r="P17" i="158" s="1"/>
  <c r="L17" i="158"/>
  <c r="O17" i="158" s="1"/>
  <c r="N16" i="158"/>
  <c r="Q16" i="158" s="1"/>
  <c r="M16" i="158"/>
  <c r="P16" i="158" s="1"/>
  <c r="L16" i="158"/>
  <c r="O16" i="158" s="1"/>
  <c r="N15" i="158"/>
  <c r="Q15" i="158" s="1"/>
  <c r="M15" i="158"/>
  <c r="P15" i="158" s="1"/>
  <c r="L15" i="158"/>
  <c r="O15" i="158" s="1"/>
  <c r="N14" i="158"/>
  <c r="Q14" i="158" s="1"/>
  <c r="M14" i="158"/>
  <c r="P14" i="158" s="1"/>
  <c r="L14" i="158"/>
  <c r="O14" i="158" s="1"/>
  <c r="N13" i="158"/>
  <c r="Q13" i="158" s="1"/>
  <c r="M13" i="158"/>
  <c r="P13" i="158" s="1"/>
  <c r="L13" i="158"/>
  <c r="O13" i="158" s="1"/>
  <c r="N12" i="158"/>
  <c r="Q12" i="158" s="1"/>
  <c r="M12" i="158"/>
  <c r="P12" i="158" s="1"/>
  <c r="L12" i="158"/>
  <c r="O12" i="158" s="1"/>
  <c r="N11" i="158"/>
  <c r="Q11" i="158" s="1"/>
  <c r="M11" i="158"/>
  <c r="P11" i="158" s="1"/>
  <c r="L11" i="158"/>
  <c r="O11" i="158" s="1"/>
  <c r="N10" i="158"/>
  <c r="Q10" i="158" s="1"/>
  <c r="M10" i="158"/>
  <c r="P10" i="158" s="1"/>
  <c r="L10" i="158"/>
  <c r="O10" i="158" s="1"/>
  <c r="N9" i="158"/>
  <c r="Q9" i="158" s="1"/>
  <c r="M9" i="158"/>
  <c r="P9" i="158" s="1"/>
  <c r="L9" i="158"/>
  <c r="O9" i="158" s="1"/>
  <c r="N8" i="158"/>
  <c r="Q8" i="158" s="1"/>
  <c r="M8" i="158"/>
  <c r="P8" i="158" s="1"/>
  <c r="L8" i="158"/>
  <c r="O8" i="158" s="1"/>
  <c r="N7" i="158"/>
  <c r="Q7" i="158" s="1"/>
  <c r="M7" i="158"/>
  <c r="P7" i="158" s="1"/>
  <c r="L7" i="158"/>
  <c r="O7" i="158" s="1"/>
  <c r="N6" i="158"/>
  <c r="Q6" i="158" s="1"/>
  <c r="M6" i="158"/>
  <c r="P6" i="158" s="1"/>
  <c r="L6" i="158"/>
  <c r="O6" i="158" s="1"/>
  <c r="N5" i="158"/>
  <c r="Q5" i="158" s="1"/>
  <c r="M5" i="158"/>
  <c r="P5" i="158" s="1"/>
  <c r="L5" i="158"/>
  <c r="O5" i="158" s="1"/>
  <c r="M41" i="158" l="1"/>
  <c r="P41" i="158" s="1"/>
  <c r="N41" i="158"/>
  <c r="Q41" i="158" s="1"/>
  <c r="L41" i="158"/>
  <c r="O41" i="158" s="1"/>
  <c r="S24" i="69" l="1"/>
  <c r="AA6" i="69" l="1"/>
  <c r="AB6" i="69"/>
  <c r="AA7" i="69"/>
  <c r="AB7" i="69"/>
  <c r="AB8" i="69"/>
  <c r="AA9" i="69"/>
  <c r="AB9" i="69"/>
  <c r="AA10" i="69"/>
  <c r="AB10" i="69"/>
  <c r="AC10" i="69"/>
  <c r="AA11" i="69"/>
  <c r="AB11" i="69"/>
  <c r="AA12" i="69"/>
  <c r="AB12" i="69"/>
  <c r="AA13" i="69"/>
  <c r="AB13" i="69"/>
  <c r="AA14" i="69"/>
  <c r="AB14" i="69"/>
  <c r="AA15" i="69"/>
  <c r="AB15" i="69"/>
  <c r="AC15" i="69" s="1"/>
  <c r="AA16" i="69"/>
  <c r="AB16" i="69"/>
  <c r="AA17" i="69"/>
  <c r="AC17" i="69" s="1"/>
  <c r="AB17" i="69"/>
  <c r="AA18" i="69"/>
  <c r="AB18" i="69"/>
  <c r="AC18" i="69" s="1"/>
  <c r="AA19" i="69"/>
  <c r="AB19" i="69"/>
  <c r="AA20" i="69"/>
  <c r="AB20" i="69"/>
  <c r="AA21" i="69"/>
  <c r="AB21" i="69"/>
  <c r="AC21" i="69" s="1"/>
  <c r="AA22" i="69"/>
  <c r="AB22" i="69"/>
  <c r="AA23" i="69"/>
  <c r="AB23" i="69"/>
  <c r="AA24" i="69"/>
  <c r="AB24" i="69"/>
  <c r="AA25" i="69"/>
  <c r="AB25" i="69"/>
  <c r="AB26" i="69"/>
  <c r="AC26" i="69"/>
  <c r="AA27" i="69"/>
  <c r="AB27" i="69"/>
  <c r="AA28" i="69"/>
  <c r="AB28" i="69"/>
  <c r="AA29" i="69"/>
  <c r="AB29" i="69"/>
  <c r="AA30" i="69"/>
  <c r="AB30" i="69"/>
  <c r="AA31" i="69"/>
  <c r="AB31" i="69"/>
  <c r="AA32" i="69"/>
  <c r="AB32" i="69"/>
  <c r="AA33" i="69"/>
  <c r="AA34" i="69"/>
  <c r="AC34" i="69" s="1"/>
  <c r="AB34" i="69"/>
  <c r="AA35" i="69"/>
  <c r="AB35" i="69"/>
  <c r="AA36" i="69"/>
  <c r="AB36" i="69"/>
  <c r="AA37" i="69"/>
  <c r="AB37" i="69"/>
  <c r="AA38" i="69"/>
  <c r="AB38" i="69"/>
  <c r="AA39" i="69"/>
  <c r="AB39" i="69"/>
  <c r="AA40" i="69"/>
  <c r="AB40" i="69"/>
  <c r="AB5" i="69"/>
  <c r="AA5" i="69"/>
  <c r="AC5" i="69" s="1"/>
  <c r="D41" i="69"/>
  <c r="E41" i="69"/>
  <c r="F41" i="69"/>
  <c r="G41" i="69"/>
  <c r="H41" i="69"/>
  <c r="I41" i="69"/>
  <c r="J41" i="69"/>
  <c r="K41" i="69"/>
  <c r="L41" i="69"/>
  <c r="M41" i="69"/>
  <c r="N41" i="69"/>
  <c r="O41" i="69"/>
  <c r="P41" i="69"/>
  <c r="Q41" i="69"/>
  <c r="R41" i="69"/>
  <c r="S41" i="69"/>
  <c r="U41" i="69"/>
  <c r="V41" i="69"/>
  <c r="W41" i="69"/>
  <c r="X41" i="69"/>
  <c r="Y41" i="69"/>
  <c r="Z41" i="69"/>
  <c r="C41" i="69"/>
  <c r="T19" i="69"/>
  <c r="AF19" i="69"/>
  <c r="T24" i="69"/>
  <c r="T41" i="69" s="1"/>
  <c r="AF24" i="69"/>
  <c r="AC28" i="69" l="1"/>
  <c r="AC20" i="69"/>
  <c r="AC31" i="69"/>
  <c r="AC30" i="69"/>
  <c r="AC22" i="69"/>
  <c r="AC29" i="69"/>
  <c r="AC23" i="69"/>
  <c r="AC12" i="69"/>
  <c r="AC12" i="25" s="1"/>
  <c r="D12" i="105" s="1"/>
  <c r="AC19" i="69"/>
  <c r="AC19" i="25" s="1"/>
  <c r="D19" i="105" s="1"/>
  <c r="AC35" i="69"/>
  <c r="AC11" i="69"/>
  <c r="AC11" i="25" s="1"/>
  <c r="D11" i="105" s="1"/>
  <c r="AC33" i="69"/>
  <c r="AC33" i="25" s="1"/>
  <c r="D33" i="105" s="1"/>
  <c r="AC25" i="69"/>
  <c r="AC25" i="25" s="1"/>
  <c r="D25" i="105" s="1"/>
  <c r="AC39" i="69"/>
  <c r="AC9" i="69"/>
  <c r="AC38" i="69"/>
  <c r="AC27" i="69"/>
  <c r="AC14" i="69"/>
  <c r="AC14" i="25" s="1"/>
  <c r="D14" i="105" s="1"/>
  <c r="AC36" i="69"/>
  <c r="AC13" i="69"/>
  <c r="AC6" i="69"/>
  <c r="AC6" i="25" s="1"/>
  <c r="D6" i="105" s="1"/>
  <c r="AC37" i="69"/>
  <c r="AC37" i="25" s="1"/>
  <c r="D37" i="105" s="1"/>
  <c r="AC40" i="69"/>
  <c r="AC40" i="25" s="1"/>
  <c r="AC32" i="69"/>
  <c r="AC32" i="25" s="1"/>
  <c r="D32" i="105" s="1"/>
  <c r="AC24" i="69"/>
  <c r="AC16" i="69"/>
  <c r="AC16" i="25" s="1"/>
  <c r="D16" i="105" s="1"/>
  <c r="AC8" i="69"/>
  <c r="AB41" i="69"/>
  <c r="AC7" i="69"/>
  <c r="AA41" i="69"/>
  <c r="AF25" i="69"/>
  <c r="C6" i="105"/>
  <c r="C10" i="105"/>
  <c r="C11" i="105"/>
  <c r="C12" i="105"/>
  <c r="C13" i="105"/>
  <c r="C14" i="105"/>
  <c r="C15" i="105"/>
  <c r="C16" i="105"/>
  <c r="C17" i="105"/>
  <c r="C18" i="105"/>
  <c r="C19" i="105"/>
  <c r="C20" i="105"/>
  <c r="C21" i="105"/>
  <c r="C22" i="105"/>
  <c r="C23" i="105"/>
  <c r="C24" i="105"/>
  <c r="C25" i="105"/>
  <c r="C26" i="105"/>
  <c r="C27" i="105"/>
  <c r="C28" i="105"/>
  <c r="C29" i="105"/>
  <c r="C30" i="105"/>
  <c r="C31" i="105"/>
  <c r="C32" i="105"/>
  <c r="C33" i="105"/>
  <c r="C34" i="105"/>
  <c r="C35" i="105"/>
  <c r="C36" i="105"/>
  <c r="C37" i="105"/>
  <c r="C38" i="105"/>
  <c r="C39" i="105"/>
  <c r="C40" i="105"/>
  <c r="C41" i="105"/>
  <c r="C5" i="105"/>
  <c r="D39" i="154"/>
  <c r="E39" i="154"/>
  <c r="C6" i="25"/>
  <c r="D6" i="25"/>
  <c r="E6" i="25"/>
  <c r="F6" i="25"/>
  <c r="G6" i="25"/>
  <c r="H6" i="25"/>
  <c r="I6" i="25"/>
  <c r="J6" i="25"/>
  <c r="K6" i="25"/>
  <c r="L6" i="25"/>
  <c r="M6" i="25"/>
  <c r="N6" i="25"/>
  <c r="O6" i="25"/>
  <c r="P6" i="25"/>
  <c r="Q6" i="25"/>
  <c r="R6" i="25"/>
  <c r="S6" i="25"/>
  <c r="T6" i="25"/>
  <c r="U6" i="25"/>
  <c r="V6" i="25"/>
  <c r="W6" i="25"/>
  <c r="X6" i="25"/>
  <c r="Y6" i="25"/>
  <c r="Z6" i="25"/>
  <c r="AA6" i="25"/>
  <c r="AB6" i="25"/>
  <c r="C7" i="25"/>
  <c r="D7" i="25"/>
  <c r="E7" i="25"/>
  <c r="F7" i="25"/>
  <c r="G7" i="25"/>
  <c r="H7" i="25"/>
  <c r="I7" i="25"/>
  <c r="J7" i="25"/>
  <c r="K7" i="25"/>
  <c r="L7" i="25"/>
  <c r="M7" i="25"/>
  <c r="N7" i="25"/>
  <c r="O7" i="25"/>
  <c r="P7" i="25"/>
  <c r="Q7" i="25"/>
  <c r="R7" i="25"/>
  <c r="S7" i="25"/>
  <c r="T7" i="25"/>
  <c r="U7" i="25"/>
  <c r="V7" i="25"/>
  <c r="W7" i="25"/>
  <c r="X7" i="25"/>
  <c r="Y7" i="25"/>
  <c r="Z7" i="25"/>
  <c r="AA7" i="25"/>
  <c r="AB7" i="25"/>
  <c r="C8" i="25"/>
  <c r="D8" i="25"/>
  <c r="E8" i="25"/>
  <c r="F8" i="25"/>
  <c r="G8" i="25"/>
  <c r="H8" i="25"/>
  <c r="I8" i="25"/>
  <c r="J8" i="25"/>
  <c r="K8" i="25"/>
  <c r="L8" i="25"/>
  <c r="M8" i="25"/>
  <c r="N8" i="25"/>
  <c r="O8" i="25"/>
  <c r="P8" i="25"/>
  <c r="Q8" i="25"/>
  <c r="R8" i="25"/>
  <c r="S8" i="25"/>
  <c r="T8" i="25"/>
  <c r="U8" i="25"/>
  <c r="V8" i="25"/>
  <c r="W8" i="25"/>
  <c r="X8" i="25"/>
  <c r="Y8" i="25"/>
  <c r="Z8" i="25"/>
  <c r="AA8" i="25"/>
  <c r="AB8" i="25"/>
  <c r="AC8" i="25"/>
  <c r="D8" i="105" s="1"/>
  <c r="C9" i="25"/>
  <c r="D9" i="25"/>
  <c r="E9" i="25"/>
  <c r="F9" i="25"/>
  <c r="G9" i="25"/>
  <c r="H9" i="25"/>
  <c r="I9" i="25"/>
  <c r="J9" i="25"/>
  <c r="K9" i="25"/>
  <c r="L9" i="25"/>
  <c r="M9" i="25"/>
  <c r="N9" i="25"/>
  <c r="O9" i="25"/>
  <c r="P9" i="25"/>
  <c r="Q9" i="25"/>
  <c r="R9" i="25"/>
  <c r="S9" i="25"/>
  <c r="T9" i="25"/>
  <c r="U9" i="25"/>
  <c r="V9" i="25"/>
  <c r="W9" i="25"/>
  <c r="X9" i="25"/>
  <c r="Y9" i="25"/>
  <c r="Z9" i="25"/>
  <c r="AA9" i="25"/>
  <c r="AB9" i="25"/>
  <c r="AC9" i="25"/>
  <c r="D9" i="105" s="1"/>
  <c r="C10" i="25"/>
  <c r="D10" i="25"/>
  <c r="E10" i="25"/>
  <c r="F10" i="25"/>
  <c r="G10" i="25"/>
  <c r="H10" i="25"/>
  <c r="I10" i="25"/>
  <c r="J10" i="25"/>
  <c r="K10" i="25"/>
  <c r="L10" i="25"/>
  <c r="M10" i="25"/>
  <c r="N10" i="25"/>
  <c r="O10" i="25"/>
  <c r="P10" i="25"/>
  <c r="Q10" i="25"/>
  <c r="R10" i="25"/>
  <c r="S10" i="25"/>
  <c r="T10" i="25"/>
  <c r="U10" i="25"/>
  <c r="V10" i="25"/>
  <c r="W10" i="25"/>
  <c r="X10" i="25"/>
  <c r="Y10" i="25"/>
  <c r="Z10" i="25"/>
  <c r="AA10" i="25"/>
  <c r="AB10" i="25"/>
  <c r="AC10" i="25"/>
  <c r="D10" i="105" s="1"/>
  <c r="C11" i="25"/>
  <c r="D11" i="25"/>
  <c r="E11" i="25"/>
  <c r="F11" i="25"/>
  <c r="G11" i="25"/>
  <c r="H11" i="25"/>
  <c r="I11" i="25"/>
  <c r="J11" i="25"/>
  <c r="K11" i="25"/>
  <c r="L11" i="25"/>
  <c r="M11" i="25"/>
  <c r="N11" i="25"/>
  <c r="O11" i="25"/>
  <c r="P11" i="25"/>
  <c r="Q11" i="25"/>
  <c r="R11" i="25"/>
  <c r="S11" i="25"/>
  <c r="T11" i="25"/>
  <c r="U11" i="25"/>
  <c r="V11" i="25"/>
  <c r="W11" i="25"/>
  <c r="X11" i="25"/>
  <c r="Y11" i="25"/>
  <c r="Z11" i="25"/>
  <c r="AA11" i="25"/>
  <c r="AB11" i="25"/>
  <c r="C12" i="25"/>
  <c r="D12" i="25"/>
  <c r="E12" i="25"/>
  <c r="F12" i="25"/>
  <c r="G12" i="25"/>
  <c r="H12" i="25"/>
  <c r="I12" i="25"/>
  <c r="J12" i="25"/>
  <c r="K12" i="25"/>
  <c r="L12" i="25"/>
  <c r="M12" i="25"/>
  <c r="N12" i="25"/>
  <c r="O12" i="25"/>
  <c r="P12" i="25"/>
  <c r="Q12" i="25"/>
  <c r="R12" i="25"/>
  <c r="S12" i="25"/>
  <c r="T12" i="25"/>
  <c r="U12" i="25"/>
  <c r="V12" i="25"/>
  <c r="W12" i="25"/>
  <c r="X12" i="25"/>
  <c r="Y12" i="25"/>
  <c r="Z12" i="25"/>
  <c r="AA12" i="25"/>
  <c r="AB12" i="25"/>
  <c r="C13" i="25"/>
  <c r="D13" i="25"/>
  <c r="E13" i="25"/>
  <c r="F13" i="25"/>
  <c r="G13" i="25"/>
  <c r="H13" i="25"/>
  <c r="I13" i="25"/>
  <c r="J13" i="25"/>
  <c r="K13" i="25"/>
  <c r="L13" i="25"/>
  <c r="M13" i="25"/>
  <c r="N13" i="25"/>
  <c r="O13" i="25"/>
  <c r="P13" i="25"/>
  <c r="Q13" i="25"/>
  <c r="R13" i="25"/>
  <c r="S13" i="25"/>
  <c r="T13" i="25"/>
  <c r="U13" i="25"/>
  <c r="V13" i="25"/>
  <c r="W13" i="25"/>
  <c r="X13" i="25"/>
  <c r="Y13" i="25"/>
  <c r="Z13" i="25"/>
  <c r="AA13" i="25"/>
  <c r="AB13" i="25"/>
  <c r="AC13" i="25"/>
  <c r="D13" i="105" s="1"/>
  <c r="C14" i="25"/>
  <c r="D14" i="25"/>
  <c r="E14" i="25"/>
  <c r="F14" i="25"/>
  <c r="G14" i="25"/>
  <c r="H14" i="25"/>
  <c r="I14" i="25"/>
  <c r="J14" i="25"/>
  <c r="K14" i="25"/>
  <c r="L14" i="25"/>
  <c r="M14" i="25"/>
  <c r="N14" i="25"/>
  <c r="O14" i="25"/>
  <c r="P14" i="25"/>
  <c r="Q14" i="25"/>
  <c r="R14" i="25"/>
  <c r="S14" i="25"/>
  <c r="T14" i="25"/>
  <c r="U14" i="25"/>
  <c r="V14" i="25"/>
  <c r="W14" i="25"/>
  <c r="X14" i="25"/>
  <c r="Y14" i="25"/>
  <c r="Z14" i="25"/>
  <c r="AA14" i="25"/>
  <c r="AB14" i="25"/>
  <c r="C15" i="25"/>
  <c r="D15" i="25"/>
  <c r="E15" i="25"/>
  <c r="F15" i="25"/>
  <c r="G15" i="25"/>
  <c r="H15" i="25"/>
  <c r="I15" i="25"/>
  <c r="J15" i="25"/>
  <c r="K15" i="25"/>
  <c r="L15" i="25"/>
  <c r="M15" i="25"/>
  <c r="N15" i="25"/>
  <c r="O15" i="25"/>
  <c r="P15" i="25"/>
  <c r="Q15" i="25"/>
  <c r="R15" i="25"/>
  <c r="S15" i="25"/>
  <c r="T15" i="25"/>
  <c r="U15" i="25"/>
  <c r="V15" i="25"/>
  <c r="W15" i="25"/>
  <c r="X15" i="25"/>
  <c r="Y15" i="25"/>
  <c r="Z15" i="25"/>
  <c r="AA15" i="25"/>
  <c r="AB15" i="25"/>
  <c r="AC15" i="25"/>
  <c r="D15" i="105" s="1"/>
  <c r="C16" i="25"/>
  <c r="D16" i="25"/>
  <c r="E16" i="25"/>
  <c r="F16" i="25"/>
  <c r="G16" i="25"/>
  <c r="H16" i="25"/>
  <c r="I16" i="25"/>
  <c r="J16" i="25"/>
  <c r="K16" i="25"/>
  <c r="L16" i="25"/>
  <c r="M16" i="25"/>
  <c r="N16" i="25"/>
  <c r="O16" i="25"/>
  <c r="P16" i="25"/>
  <c r="Q16" i="25"/>
  <c r="R16" i="25"/>
  <c r="S16" i="25"/>
  <c r="T16" i="25"/>
  <c r="U16" i="25"/>
  <c r="V16" i="25"/>
  <c r="W16" i="25"/>
  <c r="X16" i="25"/>
  <c r="Y16" i="25"/>
  <c r="Z16" i="25"/>
  <c r="AA16" i="25"/>
  <c r="AB16" i="25"/>
  <c r="C17" i="25"/>
  <c r="D17" i="25"/>
  <c r="E17" i="25"/>
  <c r="F17" i="25"/>
  <c r="G17" i="25"/>
  <c r="H17" i="25"/>
  <c r="I17" i="25"/>
  <c r="J17" i="25"/>
  <c r="K17" i="25"/>
  <c r="L17" i="25"/>
  <c r="M17" i="25"/>
  <c r="N17" i="25"/>
  <c r="O17" i="25"/>
  <c r="P17" i="25"/>
  <c r="Q17" i="25"/>
  <c r="R17" i="25"/>
  <c r="S17" i="25"/>
  <c r="T17" i="25"/>
  <c r="U17" i="25"/>
  <c r="V17" i="25"/>
  <c r="W17" i="25"/>
  <c r="X17" i="25"/>
  <c r="Y17" i="25"/>
  <c r="Z17" i="25"/>
  <c r="AA17" i="25"/>
  <c r="AB17" i="25"/>
  <c r="AC17" i="25"/>
  <c r="D17" i="105" s="1"/>
  <c r="C18" i="25"/>
  <c r="D18" i="25"/>
  <c r="E18" i="25"/>
  <c r="F18" i="25"/>
  <c r="G18" i="25"/>
  <c r="H18" i="25"/>
  <c r="I18" i="25"/>
  <c r="J18" i="25"/>
  <c r="K18" i="25"/>
  <c r="L18" i="25"/>
  <c r="M18" i="25"/>
  <c r="N18" i="25"/>
  <c r="O18" i="25"/>
  <c r="P18" i="25"/>
  <c r="Q18" i="25"/>
  <c r="R18" i="25"/>
  <c r="S18" i="25"/>
  <c r="T18" i="25"/>
  <c r="U18" i="25"/>
  <c r="V18" i="25"/>
  <c r="W18" i="25"/>
  <c r="X18" i="25"/>
  <c r="Y18" i="25"/>
  <c r="Z18" i="25"/>
  <c r="AA18" i="25"/>
  <c r="AB18" i="25"/>
  <c r="AC18" i="25"/>
  <c r="D18" i="105" s="1"/>
  <c r="C19" i="25"/>
  <c r="D19" i="25"/>
  <c r="E19" i="25"/>
  <c r="F19" i="25"/>
  <c r="G19" i="25"/>
  <c r="H19" i="25"/>
  <c r="I19" i="25"/>
  <c r="J19" i="25"/>
  <c r="K19" i="25"/>
  <c r="L19" i="25"/>
  <c r="M19" i="25"/>
  <c r="N19" i="25"/>
  <c r="O19" i="25"/>
  <c r="P19" i="25"/>
  <c r="Q19" i="25"/>
  <c r="R19" i="25"/>
  <c r="S19" i="25"/>
  <c r="T19" i="25"/>
  <c r="U19" i="25"/>
  <c r="V19" i="25"/>
  <c r="W19" i="25"/>
  <c r="X19" i="25"/>
  <c r="Y19" i="25"/>
  <c r="Z19" i="25"/>
  <c r="AA19" i="25"/>
  <c r="AB19" i="25"/>
  <c r="C20" i="25"/>
  <c r="D20" i="25"/>
  <c r="E20" i="25"/>
  <c r="F20" i="25"/>
  <c r="G20" i="25"/>
  <c r="H20" i="25"/>
  <c r="I20" i="25"/>
  <c r="J20" i="25"/>
  <c r="K20" i="25"/>
  <c r="L20" i="25"/>
  <c r="M20" i="25"/>
  <c r="N20" i="25"/>
  <c r="O20" i="25"/>
  <c r="P20" i="25"/>
  <c r="Q20" i="25"/>
  <c r="R20" i="25"/>
  <c r="S20" i="25"/>
  <c r="T20" i="25"/>
  <c r="U20" i="25"/>
  <c r="V20" i="25"/>
  <c r="W20" i="25"/>
  <c r="X20" i="25"/>
  <c r="Y20" i="25"/>
  <c r="Z20" i="25"/>
  <c r="AA20" i="25"/>
  <c r="AB20" i="25"/>
  <c r="AC20" i="25"/>
  <c r="D20" i="105" s="1"/>
  <c r="C21" i="25"/>
  <c r="D21" i="25"/>
  <c r="E21" i="25"/>
  <c r="F21" i="25"/>
  <c r="G21" i="25"/>
  <c r="H21" i="25"/>
  <c r="I21" i="25"/>
  <c r="J21" i="25"/>
  <c r="K21" i="25"/>
  <c r="L21" i="25"/>
  <c r="M21" i="25"/>
  <c r="N21" i="25"/>
  <c r="O21" i="25"/>
  <c r="P21" i="25"/>
  <c r="Q21" i="25"/>
  <c r="R21" i="25"/>
  <c r="S21" i="25"/>
  <c r="T21" i="25"/>
  <c r="U21" i="25"/>
  <c r="V21" i="25"/>
  <c r="W21" i="25"/>
  <c r="X21" i="25"/>
  <c r="Y21" i="25"/>
  <c r="Z21" i="25"/>
  <c r="AA21" i="25"/>
  <c r="AB21" i="25"/>
  <c r="AC21" i="25"/>
  <c r="D21" i="105" s="1"/>
  <c r="C22" i="25"/>
  <c r="D22" i="25"/>
  <c r="E22" i="25"/>
  <c r="F22" i="25"/>
  <c r="G22" i="25"/>
  <c r="H22" i="25"/>
  <c r="I22" i="25"/>
  <c r="J22" i="25"/>
  <c r="K22" i="25"/>
  <c r="L22" i="25"/>
  <c r="M22" i="25"/>
  <c r="N22" i="25"/>
  <c r="O22" i="25"/>
  <c r="P22" i="25"/>
  <c r="Q22" i="25"/>
  <c r="R22" i="25"/>
  <c r="S22" i="25"/>
  <c r="T22" i="25"/>
  <c r="U22" i="25"/>
  <c r="V22" i="25"/>
  <c r="W22" i="25"/>
  <c r="X22" i="25"/>
  <c r="Y22" i="25"/>
  <c r="Z22" i="25"/>
  <c r="AA22" i="25"/>
  <c r="AB22" i="25"/>
  <c r="AC22" i="25"/>
  <c r="D22" i="105" s="1"/>
  <c r="C23" i="25"/>
  <c r="D23" i="25"/>
  <c r="E23" i="25"/>
  <c r="F23" i="25"/>
  <c r="G23" i="25"/>
  <c r="H23" i="25"/>
  <c r="I23" i="25"/>
  <c r="J23" i="25"/>
  <c r="K23" i="25"/>
  <c r="L23" i="25"/>
  <c r="M23" i="25"/>
  <c r="N23" i="25"/>
  <c r="O23" i="25"/>
  <c r="P23" i="25"/>
  <c r="Q23" i="25"/>
  <c r="R23" i="25"/>
  <c r="S23" i="25"/>
  <c r="T23" i="25"/>
  <c r="U23" i="25"/>
  <c r="V23" i="25"/>
  <c r="W23" i="25"/>
  <c r="X23" i="25"/>
  <c r="Y23" i="25"/>
  <c r="Z23" i="25"/>
  <c r="AA23" i="25"/>
  <c r="AB23" i="25"/>
  <c r="AC23" i="25"/>
  <c r="D23" i="105" s="1"/>
  <c r="C24" i="25"/>
  <c r="D24" i="25"/>
  <c r="E24" i="25"/>
  <c r="F24" i="25"/>
  <c r="G24" i="25"/>
  <c r="H24" i="25"/>
  <c r="I24" i="25"/>
  <c r="J24" i="25"/>
  <c r="K24" i="25"/>
  <c r="L24" i="25"/>
  <c r="M24" i="25"/>
  <c r="N24" i="25"/>
  <c r="O24" i="25"/>
  <c r="P24" i="25"/>
  <c r="Q24" i="25"/>
  <c r="R24" i="25"/>
  <c r="S24" i="25"/>
  <c r="T24" i="25"/>
  <c r="U24" i="25"/>
  <c r="V24" i="25"/>
  <c r="W24" i="25"/>
  <c r="X24" i="25"/>
  <c r="Y24" i="25"/>
  <c r="Z24" i="25"/>
  <c r="AA24" i="25"/>
  <c r="AB24" i="25"/>
  <c r="AC24" i="25"/>
  <c r="D24" i="105" s="1"/>
  <c r="C25" i="25"/>
  <c r="D25" i="25"/>
  <c r="E25" i="25"/>
  <c r="F25" i="25"/>
  <c r="G25" i="25"/>
  <c r="H25" i="25"/>
  <c r="I25" i="25"/>
  <c r="J25" i="25"/>
  <c r="K25" i="25"/>
  <c r="L25" i="25"/>
  <c r="M25" i="25"/>
  <c r="N25" i="25"/>
  <c r="O25" i="25"/>
  <c r="P25" i="25"/>
  <c r="Q25" i="25"/>
  <c r="R25" i="25"/>
  <c r="S25" i="25"/>
  <c r="T25" i="25"/>
  <c r="U25" i="25"/>
  <c r="V25" i="25"/>
  <c r="W25" i="25"/>
  <c r="X25" i="25"/>
  <c r="Y25" i="25"/>
  <c r="Z25" i="25"/>
  <c r="AA25" i="25"/>
  <c r="AB25" i="25"/>
  <c r="C26" i="25"/>
  <c r="D26" i="25"/>
  <c r="E26" i="25"/>
  <c r="F26" i="25"/>
  <c r="G26" i="25"/>
  <c r="H26" i="25"/>
  <c r="I26" i="25"/>
  <c r="J26" i="25"/>
  <c r="K26" i="25"/>
  <c r="L26" i="25"/>
  <c r="M26" i="25"/>
  <c r="N26" i="25"/>
  <c r="O26" i="25"/>
  <c r="P26" i="25"/>
  <c r="Q26" i="25"/>
  <c r="R26" i="25"/>
  <c r="S26" i="25"/>
  <c r="T26" i="25"/>
  <c r="U26" i="25"/>
  <c r="V26" i="25"/>
  <c r="W26" i="25"/>
  <c r="X26" i="25"/>
  <c r="Y26" i="25"/>
  <c r="Z26" i="25"/>
  <c r="AA26" i="25"/>
  <c r="AB26" i="25"/>
  <c r="AC26" i="25"/>
  <c r="D26" i="105" s="1"/>
  <c r="C27" i="25"/>
  <c r="D27" i="25"/>
  <c r="E27" i="25"/>
  <c r="F27" i="25"/>
  <c r="G27" i="25"/>
  <c r="H27" i="25"/>
  <c r="I27" i="25"/>
  <c r="J27" i="25"/>
  <c r="K27" i="25"/>
  <c r="L27" i="25"/>
  <c r="M27" i="25"/>
  <c r="N27" i="25"/>
  <c r="O27" i="25"/>
  <c r="P27" i="25"/>
  <c r="Q27" i="25"/>
  <c r="R27" i="25"/>
  <c r="S27" i="25"/>
  <c r="T27" i="25"/>
  <c r="U27" i="25"/>
  <c r="V27" i="25"/>
  <c r="W27" i="25"/>
  <c r="X27" i="25"/>
  <c r="Y27" i="25"/>
  <c r="Z27" i="25"/>
  <c r="AA27" i="25"/>
  <c r="AB27" i="25"/>
  <c r="AC27" i="25"/>
  <c r="D27" i="105" s="1"/>
  <c r="C28" i="25"/>
  <c r="D28" i="25"/>
  <c r="E28" i="25"/>
  <c r="F28" i="25"/>
  <c r="G28" i="25"/>
  <c r="H28" i="25"/>
  <c r="I28" i="25"/>
  <c r="J28" i="25"/>
  <c r="K28" i="25"/>
  <c r="L28" i="25"/>
  <c r="M28" i="25"/>
  <c r="N28" i="25"/>
  <c r="O28" i="25"/>
  <c r="P28" i="25"/>
  <c r="Q28" i="25"/>
  <c r="R28" i="25"/>
  <c r="S28" i="25"/>
  <c r="T28" i="25"/>
  <c r="U28" i="25"/>
  <c r="V28" i="25"/>
  <c r="W28" i="25"/>
  <c r="X28" i="25"/>
  <c r="Y28" i="25"/>
  <c r="Z28" i="25"/>
  <c r="AA28" i="25"/>
  <c r="AB28" i="25"/>
  <c r="AC28" i="25"/>
  <c r="D28" i="105" s="1"/>
  <c r="C29" i="25"/>
  <c r="D29" i="25"/>
  <c r="E29" i="25"/>
  <c r="F29" i="25"/>
  <c r="G29" i="25"/>
  <c r="H29" i="25"/>
  <c r="I29" i="25"/>
  <c r="J29" i="25"/>
  <c r="K29" i="25"/>
  <c r="L29" i="25"/>
  <c r="M29" i="25"/>
  <c r="N29" i="25"/>
  <c r="O29" i="25"/>
  <c r="P29" i="25"/>
  <c r="Q29" i="25"/>
  <c r="R29" i="25"/>
  <c r="S29" i="25"/>
  <c r="T29" i="25"/>
  <c r="U29" i="25"/>
  <c r="V29" i="25"/>
  <c r="W29" i="25"/>
  <c r="X29" i="25"/>
  <c r="Y29" i="25"/>
  <c r="Z29" i="25"/>
  <c r="AA29" i="25"/>
  <c r="AB29" i="25"/>
  <c r="AC29" i="25"/>
  <c r="D29" i="105" s="1"/>
  <c r="C30" i="25"/>
  <c r="D30" i="25"/>
  <c r="E30" i="25"/>
  <c r="F30" i="25"/>
  <c r="G30" i="25"/>
  <c r="H30" i="25"/>
  <c r="I30" i="25"/>
  <c r="J30" i="25"/>
  <c r="K30" i="25"/>
  <c r="L30" i="25"/>
  <c r="M30" i="25"/>
  <c r="N30" i="25"/>
  <c r="O30" i="25"/>
  <c r="P30" i="25"/>
  <c r="Q30" i="25"/>
  <c r="R30" i="25"/>
  <c r="S30" i="25"/>
  <c r="T30" i="25"/>
  <c r="U30" i="25"/>
  <c r="V30" i="25"/>
  <c r="W30" i="25"/>
  <c r="X30" i="25"/>
  <c r="Y30" i="25"/>
  <c r="Z30" i="25"/>
  <c r="AA30" i="25"/>
  <c r="AB30" i="25"/>
  <c r="AC30" i="25"/>
  <c r="D30" i="105" s="1"/>
  <c r="C31" i="25"/>
  <c r="D31" i="25"/>
  <c r="E31" i="25"/>
  <c r="F31" i="25"/>
  <c r="G31" i="25"/>
  <c r="H31" i="25"/>
  <c r="I31" i="25"/>
  <c r="J31" i="25"/>
  <c r="K31" i="25"/>
  <c r="L31" i="25"/>
  <c r="M31" i="25"/>
  <c r="N31" i="25"/>
  <c r="O31" i="25"/>
  <c r="P31" i="25"/>
  <c r="Q31" i="25"/>
  <c r="R31" i="25"/>
  <c r="S31" i="25"/>
  <c r="T31" i="25"/>
  <c r="U31" i="25"/>
  <c r="V31" i="25"/>
  <c r="W31" i="25"/>
  <c r="X31" i="25"/>
  <c r="Y31" i="25"/>
  <c r="Z31" i="25"/>
  <c r="AA31" i="25"/>
  <c r="AB31" i="25"/>
  <c r="AC31" i="25"/>
  <c r="D31" i="105" s="1"/>
  <c r="C32" i="25"/>
  <c r="D32" i="25"/>
  <c r="E32" i="25"/>
  <c r="F32" i="25"/>
  <c r="G32" i="25"/>
  <c r="H32" i="25"/>
  <c r="I32" i="25"/>
  <c r="J32" i="25"/>
  <c r="K32" i="25"/>
  <c r="L32" i="25"/>
  <c r="M32" i="25"/>
  <c r="N32" i="25"/>
  <c r="O32" i="25"/>
  <c r="P32" i="25"/>
  <c r="Q32" i="25"/>
  <c r="R32" i="25"/>
  <c r="S32" i="25"/>
  <c r="T32" i="25"/>
  <c r="U32" i="25"/>
  <c r="V32" i="25"/>
  <c r="W32" i="25"/>
  <c r="X32" i="25"/>
  <c r="Y32" i="25"/>
  <c r="Z32" i="25"/>
  <c r="AA32" i="25"/>
  <c r="AB32" i="25"/>
  <c r="C33" i="25"/>
  <c r="D33" i="25"/>
  <c r="E33" i="25"/>
  <c r="F33" i="25"/>
  <c r="G33" i="25"/>
  <c r="H33" i="25"/>
  <c r="I33" i="25"/>
  <c r="J33" i="25"/>
  <c r="K33" i="25"/>
  <c r="L33" i="25"/>
  <c r="M33" i="25"/>
  <c r="N33" i="25"/>
  <c r="O33" i="25"/>
  <c r="P33" i="25"/>
  <c r="Q33" i="25"/>
  <c r="R33" i="25"/>
  <c r="S33" i="25"/>
  <c r="T33" i="25"/>
  <c r="U33" i="25"/>
  <c r="V33" i="25"/>
  <c r="W33" i="25"/>
  <c r="X33" i="25"/>
  <c r="Y33" i="25"/>
  <c r="Z33" i="25"/>
  <c r="AA33" i="25"/>
  <c r="AB33" i="25"/>
  <c r="C34" i="25"/>
  <c r="D34" i="25"/>
  <c r="E34" i="25"/>
  <c r="F34" i="25"/>
  <c r="G34" i="25"/>
  <c r="H34" i="25"/>
  <c r="I34" i="25"/>
  <c r="J34" i="25"/>
  <c r="K34" i="25"/>
  <c r="L34" i="25"/>
  <c r="M34" i="25"/>
  <c r="N34" i="25"/>
  <c r="O34" i="25"/>
  <c r="P34" i="25"/>
  <c r="Q34" i="25"/>
  <c r="R34" i="25"/>
  <c r="S34" i="25"/>
  <c r="T34" i="25"/>
  <c r="U34" i="25"/>
  <c r="V34" i="25"/>
  <c r="W34" i="25"/>
  <c r="X34" i="25"/>
  <c r="Y34" i="25"/>
  <c r="Z34" i="25"/>
  <c r="AA34" i="25"/>
  <c r="AB34" i="25"/>
  <c r="AC34" i="25"/>
  <c r="D34" i="105" s="1"/>
  <c r="C35" i="25"/>
  <c r="D35" i="25"/>
  <c r="E35" i="25"/>
  <c r="F35" i="25"/>
  <c r="G35" i="25"/>
  <c r="H35" i="25"/>
  <c r="I35" i="25"/>
  <c r="J35" i="25"/>
  <c r="K35" i="25"/>
  <c r="L35" i="25"/>
  <c r="M35" i="25"/>
  <c r="N35" i="25"/>
  <c r="O35" i="25"/>
  <c r="P35" i="25"/>
  <c r="Q35" i="25"/>
  <c r="R35" i="25"/>
  <c r="S35" i="25"/>
  <c r="T35" i="25"/>
  <c r="U35" i="25"/>
  <c r="V35" i="25"/>
  <c r="W35" i="25"/>
  <c r="X35" i="25"/>
  <c r="Y35" i="25"/>
  <c r="Z35" i="25"/>
  <c r="AA35" i="25"/>
  <c r="AB35" i="25"/>
  <c r="AC35" i="25"/>
  <c r="D35" i="105" s="1"/>
  <c r="C36" i="25"/>
  <c r="D36" i="25"/>
  <c r="E36" i="25"/>
  <c r="F36" i="25"/>
  <c r="G36" i="25"/>
  <c r="H36" i="25"/>
  <c r="I36" i="25"/>
  <c r="J36" i="25"/>
  <c r="K36" i="25"/>
  <c r="L36" i="25"/>
  <c r="M36" i="25"/>
  <c r="N36" i="25"/>
  <c r="O36" i="25"/>
  <c r="P36" i="25"/>
  <c r="Q36" i="25"/>
  <c r="R36" i="25"/>
  <c r="S36" i="25"/>
  <c r="T36" i="25"/>
  <c r="U36" i="25"/>
  <c r="V36" i="25"/>
  <c r="W36" i="25"/>
  <c r="X36" i="25"/>
  <c r="Y36" i="25"/>
  <c r="Z36" i="25"/>
  <c r="AA36" i="25"/>
  <c r="AB36" i="25"/>
  <c r="AC36" i="25"/>
  <c r="D36" i="105" s="1"/>
  <c r="C37" i="25"/>
  <c r="D37" i="25"/>
  <c r="E37" i="25"/>
  <c r="F37" i="25"/>
  <c r="G37" i="25"/>
  <c r="H37" i="25"/>
  <c r="I37" i="25"/>
  <c r="J37" i="25"/>
  <c r="K37" i="25"/>
  <c r="L37" i="25"/>
  <c r="M37" i="25"/>
  <c r="N37" i="25"/>
  <c r="O37" i="25"/>
  <c r="P37" i="25"/>
  <c r="Q37" i="25"/>
  <c r="R37" i="25"/>
  <c r="S37" i="25"/>
  <c r="T37" i="25"/>
  <c r="U37" i="25"/>
  <c r="V37" i="25"/>
  <c r="W37" i="25"/>
  <c r="X37" i="25"/>
  <c r="Y37" i="25"/>
  <c r="Z37" i="25"/>
  <c r="AA37" i="25"/>
  <c r="AB37" i="25"/>
  <c r="C38" i="25"/>
  <c r="D38" i="25"/>
  <c r="E38" i="25"/>
  <c r="F38" i="25"/>
  <c r="G38" i="25"/>
  <c r="H38" i="25"/>
  <c r="I38" i="25"/>
  <c r="J38" i="25"/>
  <c r="K38" i="25"/>
  <c r="L38" i="25"/>
  <c r="M38" i="25"/>
  <c r="N38" i="25"/>
  <c r="O38" i="25"/>
  <c r="P38" i="25"/>
  <c r="Q38" i="25"/>
  <c r="R38" i="25"/>
  <c r="S38" i="25"/>
  <c r="T38" i="25"/>
  <c r="U38" i="25"/>
  <c r="V38" i="25"/>
  <c r="W38" i="25"/>
  <c r="X38" i="25"/>
  <c r="Y38" i="25"/>
  <c r="Z38" i="25"/>
  <c r="AA38" i="25"/>
  <c r="AB38" i="25"/>
  <c r="AC38" i="25"/>
  <c r="D38" i="105" s="1"/>
  <c r="C39" i="25"/>
  <c r="D39" i="25"/>
  <c r="E39" i="25"/>
  <c r="F39" i="25"/>
  <c r="G39" i="25"/>
  <c r="H39" i="25"/>
  <c r="I39" i="25"/>
  <c r="J39" i="25"/>
  <c r="K39" i="25"/>
  <c r="L39" i="25"/>
  <c r="M39" i="25"/>
  <c r="N39" i="25"/>
  <c r="O39" i="25"/>
  <c r="P39" i="25"/>
  <c r="Q39" i="25"/>
  <c r="R39" i="25"/>
  <c r="S39" i="25"/>
  <c r="T39" i="25"/>
  <c r="U39" i="25"/>
  <c r="V39" i="25"/>
  <c r="W39" i="25"/>
  <c r="X39" i="25"/>
  <c r="Y39" i="25"/>
  <c r="Z39" i="25"/>
  <c r="AA39" i="25"/>
  <c r="AB39" i="25"/>
  <c r="AC39" i="25"/>
  <c r="D39" i="105" s="1"/>
  <c r="C40" i="25"/>
  <c r="D40" i="25"/>
  <c r="E40" i="25"/>
  <c r="F40" i="25"/>
  <c r="G40" i="25"/>
  <c r="H40" i="25"/>
  <c r="I40" i="25"/>
  <c r="J40" i="25"/>
  <c r="K40" i="25"/>
  <c r="L40" i="25"/>
  <c r="M40" i="25"/>
  <c r="N40" i="25"/>
  <c r="O40" i="25"/>
  <c r="P40" i="25"/>
  <c r="Q40" i="25"/>
  <c r="R40" i="25"/>
  <c r="S40" i="25"/>
  <c r="T40" i="25"/>
  <c r="U40" i="25"/>
  <c r="V40" i="25"/>
  <c r="W40" i="25"/>
  <c r="X40" i="25"/>
  <c r="Y40" i="25"/>
  <c r="Z40" i="25"/>
  <c r="AA40" i="25"/>
  <c r="AB40" i="25"/>
  <c r="C41" i="25"/>
  <c r="D41" i="25"/>
  <c r="E41" i="25"/>
  <c r="F41" i="25"/>
  <c r="G41" i="25"/>
  <c r="H41" i="25"/>
  <c r="I41" i="25"/>
  <c r="J41" i="25"/>
  <c r="K41" i="25"/>
  <c r="L41" i="25"/>
  <c r="M41" i="25"/>
  <c r="N41" i="25"/>
  <c r="O41" i="25"/>
  <c r="P41" i="25"/>
  <c r="Q41" i="25"/>
  <c r="R41" i="25"/>
  <c r="S41" i="25"/>
  <c r="T41" i="25"/>
  <c r="U41" i="25"/>
  <c r="V41" i="25"/>
  <c r="W41" i="25"/>
  <c r="X41" i="25"/>
  <c r="Y41" i="25"/>
  <c r="Z41" i="25"/>
  <c r="AA41" i="25"/>
  <c r="AB41" i="25"/>
  <c r="D5" i="25"/>
  <c r="E5" i="25"/>
  <c r="F5" i="25"/>
  <c r="G5" i="25"/>
  <c r="H5" i="25"/>
  <c r="I5" i="25"/>
  <c r="J5" i="25"/>
  <c r="K5" i="25"/>
  <c r="L5" i="25"/>
  <c r="M5" i="25"/>
  <c r="N5" i="25"/>
  <c r="O5" i="25"/>
  <c r="P5" i="25"/>
  <c r="Q5" i="25"/>
  <c r="R5" i="25"/>
  <c r="S5" i="25"/>
  <c r="T5" i="25"/>
  <c r="U5" i="25"/>
  <c r="V5" i="25"/>
  <c r="W5" i="25"/>
  <c r="X5" i="25"/>
  <c r="Y5" i="25"/>
  <c r="Z5" i="25"/>
  <c r="AA5" i="25"/>
  <c r="AB5" i="25"/>
  <c r="AC5" i="25"/>
  <c r="C5" i="25"/>
  <c r="AC41" i="69" l="1"/>
  <c r="AC42" i="69"/>
  <c r="AC41" i="25"/>
  <c r="D41" i="105" s="1"/>
  <c r="AC7" i="25"/>
  <c r="L5" i="153"/>
  <c r="L6" i="153"/>
  <c r="L7" i="153"/>
  <c r="L8" i="153"/>
  <c r="L9" i="153"/>
  <c r="L10" i="153"/>
  <c r="L11" i="153"/>
  <c r="L12" i="153"/>
  <c r="L13" i="153"/>
  <c r="L14" i="153"/>
  <c r="L15" i="153"/>
  <c r="L16" i="153"/>
  <c r="L17" i="153"/>
  <c r="L18" i="153"/>
  <c r="L19" i="153"/>
  <c r="L20" i="153"/>
  <c r="L21" i="153"/>
  <c r="L22" i="153"/>
  <c r="L23" i="153"/>
  <c r="L24" i="153"/>
  <c r="L25" i="153"/>
  <c r="L26" i="153"/>
  <c r="L27" i="153"/>
  <c r="L28" i="153"/>
  <c r="L29" i="153"/>
  <c r="L30" i="153"/>
  <c r="L31" i="153"/>
  <c r="L32" i="153"/>
  <c r="L33" i="153"/>
  <c r="L34" i="153"/>
  <c r="L35" i="153"/>
  <c r="L36" i="153"/>
  <c r="L37" i="153"/>
  <c r="L38" i="153"/>
  <c r="L39" i="153"/>
  <c r="L40" i="153"/>
  <c r="L4" i="153"/>
  <c r="M6" i="152"/>
  <c r="N6" i="152"/>
  <c r="M7" i="152"/>
  <c r="N7" i="152"/>
  <c r="M8" i="152"/>
  <c r="N8" i="152"/>
  <c r="O8" i="152" s="1"/>
  <c r="M9" i="152"/>
  <c r="N9" i="152"/>
  <c r="M10" i="152"/>
  <c r="N10" i="152"/>
  <c r="M11" i="152"/>
  <c r="N11" i="152"/>
  <c r="M12" i="152"/>
  <c r="N12" i="152"/>
  <c r="M13" i="152"/>
  <c r="N13" i="152"/>
  <c r="M14" i="152"/>
  <c r="N14" i="152"/>
  <c r="M15" i="152"/>
  <c r="O15" i="152" s="1"/>
  <c r="N15" i="152"/>
  <c r="M16" i="152"/>
  <c r="N16" i="152"/>
  <c r="O16" i="152" s="1"/>
  <c r="M17" i="152"/>
  <c r="N17" i="152"/>
  <c r="M18" i="152"/>
  <c r="N18" i="152"/>
  <c r="M19" i="152"/>
  <c r="N19" i="152"/>
  <c r="M20" i="152"/>
  <c r="N20" i="152"/>
  <c r="O20" i="152" s="1"/>
  <c r="M21" i="152"/>
  <c r="N21" i="152"/>
  <c r="M22" i="152"/>
  <c r="N22" i="152"/>
  <c r="M23" i="152"/>
  <c r="N23" i="152"/>
  <c r="M24" i="152"/>
  <c r="N24" i="152"/>
  <c r="M25" i="152"/>
  <c r="N25" i="152"/>
  <c r="M26" i="152"/>
  <c r="N26" i="152"/>
  <c r="O26" i="152" s="1"/>
  <c r="M27" i="152"/>
  <c r="O27" i="152" s="1"/>
  <c r="N27" i="152"/>
  <c r="M28" i="152"/>
  <c r="N28" i="152"/>
  <c r="O28" i="152" s="1"/>
  <c r="M29" i="152"/>
  <c r="N29" i="152"/>
  <c r="M30" i="152"/>
  <c r="N30" i="152"/>
  <c r="M31" i="152"/>
  <c r="N31" i="152"/>
  <c r="M32" i="152"/>
  <c r="N32" i="152"/>
  <c r="O32" i="152" s="1"/>
  <c r="M33" i="152"/>
  <c r="N33" i="152"/>
  <c r="M34" i="152"/>
  <c r="N34" i="152"/>
  <c r="M35" i="152"/>
  <c r="N35" i="152"/>
  <c r="M36" i="152"/>
  <c r="N36" i="152"/>
  <c r="O36" i="152" s="1"/>
  <c r="M37" i="152"/>
  <c r="N37" i="152"/>
  <c r="M38" i="152"/>
  <c r="N38" i="152"/>
  <c r="M39" i="152"/>
  <c r="O39" i="152" s="1"/>
  <c r="N39" i="152"/>
  <c r="M40" i="152"/>
  <c r="N40" i="152"/>
  <c r="N5" i="152"/>
  <c r="M5" i="152"/>
  <c r="M41" i="152"/>
  <c r="N41" i="152"/>
  <c r="O41" i="152" s="1"/>
  <c r="O23" i="152"/>
  <c r="C5" i="153"/>
  <c r="D5" i="153"/>
  <c r="E5" i="153"/>
  <c r="F5" i="153"/>
  <c r="G5" i="153"/>
  <c r="H5" i="153"/>
  <c r="I5" i="153"/>
  <c r="J5" i="153"/>
  <c r="K5" i="153"/>
  <c r="C6" i="153"/>
  <c r="D6" i="153"/>
  <c r="E6" i="153"/>
  <c r="I6" i="153"/>
  <c r="J6" i="153"/>
  <c r="K6" i="153"/>
  <c r="C7" i="153"/>
  <c r="D7" i="153"/>
  <c r="E7" i="153"/>
  <c r="F7" i="153"/>
  <c r="G7" i="153"/>
  <c r="D6" i="154" s="1"/>
  <c r="H7" i="153"/>
  <c r="I7" i="153"/>
  <c r="J7" i="153"/>
  <c r="K7" i="153"/>
  <c r="C8" i="153"/>
  <c r="D8" i="153"/>
  <c r="E8" i="153"/>
  <c r="F8" i="153"/>
  <c r="G8" i="153"/>
  <c r="H8" i="153"/>
  <c r="I8" i="153"/>
  <c r="J8" i="153"/>
  <c r="K8" i="153"/>
  <c r="C9" i="153"/>
  <c r="D9" i="153"/>
  <c r="E9" i="153"/>
  <c r="F9" i="153"/>
  <c r="H9" i="153"/>
  <c r="C10" i="153"/>
  <c r="D10" i="153"/>
  <c r="E10" i="153"/>
  <c r="F10" i="153"/>
  <c r="G10" i="153"/>
  <c r="D9" i="154" s="1"/>
  <c r="H10" i="153"/>
  <c r="I10" i="153"/>
  <c r="J10" i="153"/>
  <c r="E9" i="154" s="1"/>
  <c r="K10" i="153"/>
  <c r="C11" i="153"/>
  <c r="D11" i="153"/>
  <c r="E11" i="153"/>
  <c r="F11" i="153"/>
  <c r="G11" i="153"/>
  <c r="H11" i="153"/>
  <c r="C12" i="153"/>
  <c r="D12" i="153"/>
  <c r="F12" i="153"/>
  <c r="G12" i="153"/>
  <c r="H12" i="153"/>
  <c r="I12" i="153"/>
  <c r="J12" i="153"/>
  <c r="K12" i="153"/>
  <c r="C13" i="153"/>
  <c r="D13" i="153"/>
  <c r="E13" i="153"/>
  <c r="F13" i="153"/>
  <c r="G13" i="153"/>
  <c r="D12" i="154" s="1"/>
  <c r="H13" i="153"/>
  <c r="I13" i="153"/>
  <c r="J13" i="153"/>
  <c r="K13" i="153"/>
  <c r="C14" i="153"/>
  <c r="D14" i="153"/>
  <c r="E14" i="153"/>
  <c r="F14" i="153"/>
  <c r="G14" i="153"/>
  <c r="H14" i="153"/>
  <c r="C15" i="153"/>
  <c r="D15" i="153"/>
  <c r="E15" i="153"/>
  <c r="F15" i="153"/>
  <c r="G15" i="153"/>
  <c r="H15" i="153"/>
  <c r="I15" i="153"/>
  <c r="J15" i="153"/>
  <c r="K15" i="153"/>
  <c r="C16" i="153"/>
  <c r="D16" i="153"/>
  <c r="E16" i="153"/>
  <c r="F16" i="153"/>
  <c r="G16" i="153"/>
  <c r="D15" i="154" s="1"/>
  <c r="H16" i="153"/>
  <c r="I16" i="153"/>
  <c r="J16" i="153"/>
  <c r="E15" i="154" s="1"/>
  <c r="K16" i="153"/>
  <c r="C17" i="153"/>
  <c r="D17" i="153"/>
  <c r="E17" i="153"/>
  <c r="F17" i="153"/>
  <c r="G17" i="153"/>
  <c r="D16" i="154" s="1"/>
  <c r="H17" i="153"/>
  <c r="I17" i="153"/>
  <c r="J17" i="153"/>
  <c r="K17" i="153"/>
  <c r="C18" i="153"/>
  <c r="D18" i="153"/>
  <c r="E18" i="153"/>
  <c r="F18" i="153"/>
  <c r="G18" i="153"/>
  <c r="H18" i="153"/>
  <c r="I18" i="153"/>
  <c r="J18" i="153"/>
  <c r="E17" i="154" s="1"/>
  <c r="K18" i="153"/>
  <c r="C19" i="153"/>
  <c r="D19" i="153"/>
  <c r="C18" i="154" s="1"/>
  <c r="E19" i="153"/>
  <c r="F19" i="153"/>
  <c r="G19" i="153"/>
  <c r="H19" i="153"/>
  <c r="J19" i="153"/>
  <c r="K19" i="153"/>
  <c r="C20" i="153"/>
  <c r="D20" i="153"/>
  <c r="E20" i="153"/>
  <c r="F20" i="153"/>
  <c r="G20" i="153"/>
  <c r="H20" i="153"/>
  <c r="I20" i="153"/>
  <c r="J20" i="153"/>
  <c r="E19" i="154" s="1"/>
  <c r="K20" i="153"/>
  <c r="C21" i="153"/>
  <c r="D21" i="153"/>
  <c r="E21" i="153"/>
  <c r="I21" i="153"/>
  <c r="J21" i="153"/>
  <c r="K21" i="153"/>
  <c r="C22" i="153"/>
  <c r="D22" i="153"/>
  <c r="E22" i="153"/>
  <c r="F22" i="153"/>
  <c r="G22" i="153"/>
  <c r="D21" i="154" s="1"/>
  <c r="H22" i="153"/>
  <c r="I22" i="153"/>
  <c r="J22" i="153"/>
  <c r="K22" i="153"/>
  <c r="C23" i="153"/>
  <c r="D23" i="153"/>
  <c r="E23" i="153"/>
  <c r="F23" i="153"/>
  <c r="G23" i="153"/>
  <c r="H23" i="153"/>
  <c r="I23" i="153"/>
  <c r="J23" i="153"/>
  <c r="K23" i="153"/>
  <c r="C24" i="153"/>
  <c r="D24" i="153"/>
  <c r="E24" i="153"/>
  <c r="F24" i="153"/>
  <c r="G24" i="153"/>
  <c r="D23" i="154" s="1"/>
  <c r="H24" i="153"/>
  <c r="I24" i="153"/>
  <c r="J24" i="153"/>
  <c r="E23" i="154" s="1"/>
  <c r="K24" i="153"/>
  <c r="D25" i="153"/>
  <c r="E25" i="153"/>
  <c r="F25" i="153"/>
  <c r="G25" i="153"/>
  <c r="H25" i="153"/>
  <c r="I25" i="153"/>
  <c r="J25" i="153"/>
  <c r="K25" i="153"/>
  <c r="D26" i="153"/>
  <c r="E26" i="153"/>
  <c r="F26" i="153"/>
  <c r="G26" i="153"/>
  <c r="D25" i="154" s="1"/>
  <c r="H26" i="153"/>
  <c r="I26" i="153"/>
  <c r="J26" i="153"/>
  <c r="K26" i="153"/>
  <c r="C27" i="153"/>
  <c r="D27" i="153"/>
  <c r="E27" i="153"/>
  <c r="I27" i="153"/>
  <c r="J27" i="153"/>
  <c r="K27" i="153"/>
  <c r="C28" i="153"/>
  <c r="D28" i="153"/>
  <c r="C27" i="154" s="1"/>
  <c r="E28" i="153"/>
  <c r="F28" i="153"/>
  <c r="G28" i="153"/>
  <c r="H28" i="153"/>
  <c r="I28" i="153"/>
  <c r="J28" i="153"/>
  <c r="K28" i="153"/>
  <c r="C29" i="153"/>
  <c r="D29" i="153"/>
  <c r="E29" i="153"/>
  <c r="F29" i="153"/>
  <c r="G29" i="153"/>
  <c r="H29" i="153"/>
  <c r="C30" i="153"/>
  <c r="D30" i="153"/>
  <c r="E30" i="153"/>
  <c r="F30" i="153"/>
  <c r="G30" i="153"/>
  <c r="D29" i="154" s="1"/>
  <c r="H30" i="153"/>
  <c r="C31" i="153"/>
  <c r="D31" i="153"/>
  <c r="C30" i="154" s="1"/>
  <c r="E31" i="153"/>
  <c r="F31" i="153"/>
  <c r="G31" i="153"/>
  <c r="H31" i="153"/>
  <c r="I31" i="153"/>
  <c r="J31" i="153"/>
  <c r="K31" i="153"/>
  <c r="C32" i="153"/>
  <c r="D32" i="153"/>
  <c r="E32" i="153"/>
  <c r="F32" i="153"/>
  <c r="G32" i="153"/>
  <c r="H32" i="153"/>
  <c r="I32" i="153"/>
  <c r="J32" i="153"/>
  <c r="E31" i="154" s="1"/>
  <c r="K32" i="153"/>
  <c r="D33" i="153"/>
  <c r="E33" i="153"/>
  <c r="F33" i="153"/>
  <c r="G33" i="153"/>
  <c r="H33" i="153"/>
  <c r="I33" i="153"/>
  <c r="J33" i="153"/>
  <c r="K33" i="153"/>
  <c r="C34" i="153"/>
  <c r="D34" i="153"/>
  <c r="C33" i="154" s="1"/>
  <c r="E34" i="153"/>
  <c r="F34" i="153"/>
  <c r="G34" i="153"/>
  <c r="H34" i="153"/>
  <c r="I34" i="153"/>
  <c r="J34" i="153"/>
  <c r="E33" i="154" s="1"/>
  <c r="K34" i="153"/>
  <c r="C35" i="153"/>
  <c r="D35" i="153"/>
  <c r="E35" i="153"/>
  <c r="F35" i="153"/>
  <c r="H35" i="153"/>
  <c r="I35" i="153"/>
  <c r="J35" i="153"/>
  <c r="K35" i="153"/>
  <c r="C36" i="153"/>
  <c r="D36" i="153"/>
  <c r="C35" i="154" s="1"/>
  <c r="E36" i="153"/>
  <c r="F36" i="153"/>
  <c r="G36" i="153"/>
  <c r="D35" i="154" s="1"/>
  <c r="H36" i="153"/>
  <c r="I36" i="153"/>
  <c r="J36" i="153"/>
  <c r="K36" i="153"/>
  <c r="C37" i="153"/>
  <c r="D37" i="153"/>
  <c r="E37" i="153"/>
  <c r="F37" i="153"/>
  <c r="G37" i="153"/>
  <c r="H37" i="153"/>
  <c r="I37" i="153"/>
  <c r="J37" i="153"/>
  <c r="K37" i="153"/>
  <c r="C38" i="153"/>
  <c r="D38" i="153"/>
  <c r="C37" i="154" s="1"/>
  <c r="E38" i="153"/>
  <c r="F38" i="153"/>
  <c r="G38" i="153"/>
  <c r="H38" i="153"/>
  <c r="I38" i="153"/>
  <c r="J38" i="153"/>
  <c r="E37" i="154" s="1"/>
  <c r="K38" i="153"/>
  <c r="C39" i="153"/>
  <c r="D39" i="153"/>
  <c r="E39" i="153"/>
  <c r="F39" i="153"/>
  <c r="G39" i="153"/>
  <c r="D38" i="154" s="1"/>
  <c r="H39" i="153"/>
  <c r="I39" i="153"/>
  <c r="J39" i="153"/>
  <c r="K39" i="153"/>
  <c r="D4" i="153"/>
  <c r="E4" i="153"/>
  <c r="I4" i="153"/>
  <c r="J4" i="153"/>
  <c r="K4" i="153"/>
  <c r="C4" i="153"/>
  <c r="O7" i="152" l="1"/>
  <c r="O12" i="152"/>
  <c r="O31" i="152"/>
  <c r="O35" i="152"/>
  <c r="O11" i="152"/>
  <c r="O19" i="152"/>
  <c r="E36" i="154"/>
  <c r="D36" i="154"/>
  <c r="C31" i="154"/>
  <c r="E24" i="154"/>
  <c r="E3" i="154"/>
  <c r="E35" i="154"/>
  <c r="D30" i="154"/>
  <c r="C24" i="154"/>
  <c r="D18" i="154"/>
  <c r="E12" i="154"/>
  <c r="E6" i="154"/>
  <c r="E27" i="154"/>
  <c r="D14" i="154"/>
  <c r="C8" i="154"/>
  <c r="D31" i="154"/>
  <c r="C25" i="154"/>
  <c r="C14" i="154"/>
  <c r="E7" i="154"/>
  <c r="C38" i="154"/>
  <c r="E32" i="154"/>
  <c r="E26" i="154"/>
  <c r="C21" i="154"/>
  <c r="D34" i="154"/>
  <c r="D28" i="154"/>
  <c r="E22" i="154"/>
  <c r="C17" i="154"/>
  <c r="D11" i="154"/>
  <c r="D32" i="154"/>
  <c r="C26" i="154"/>
  <c r="C34" i="154"/>
  <c r="C28" i="154"/>
  <c r="E16" i="154"/>
  <c r="C11" i="154"/>
  <c r="E4" i="154"/>
  <c r="C22" i="154"/>
  <c r="E20" i="154"/>
  <c r="C19" i="154"/>
  <c r="C15" i="154"/>
  <c r="D13" i="154"/>
  <c r="C12" i="154"/>
  <c r="D10" i="154"/>
  <c r="C9" i="154"/>
  <c r="D7" i="154"/>
  <c r="C6" i="154"/>
  <c r="D4" i="154"/>
  <c r="C3" i="154"/>
  <c r="E38" i="154"/>
  <c r="D37" i="154"/>
  <c r="C36" i="154"/>
  <c r="E34" i="154"/>
  <c r="D33" i="154"/>
  <c r="C32" i="154"/>
  <c r="E30" i="154"/>
  <c r="C29" i="154"/>
  <c r="D27" i="154"/>
  <c r="E25" i="154"/>
  <c r="D24" i="154"/>
  <c r="C23" i="154"/>
  <c r="E21" i="154"/>
  <c r="C20" i="154"/>
  <c r="E18" i="154"/>
  <c r="D17" i="154"/>
  <c r="C16" i="154"/>
  <c r="E14" i="154"/>
  <c r="C13" i="154"/>
  <c r="E11" i="154"/>
  <c r="C10" i="154"/>
  <c r="D8" i="154"/>
  <c r="C7" i="154"/>
  <c r="E5" i="154"/>
  <c r="C4" i="154"/>
  <c r="O38" i="152"/>
  <c r="O34" i="152"/>
  <c r="O10" i="152"/>
  <c r="E46" i="153"/>
  <c r="C39" i="154"/>
  <c r="O40" i="152"/>
  <c r="O24" i="152"/>
  <c r="O30" i="152"/>
  <c r="O22" i="152"/>
  <c r="O18" i="152"/>
  <c r="O14" i="152"/>
  <c r="O6" i="152"/>
  <c r="O5" i="152"/>
  <c r="O37" i="152"/>
  <c r="O33" i="152"/>
  <c r="O29" i="152"/>
  <c r="O25" i="152"/>
  <c r="O21" i="152"/>
  <c r="O17" i="152"/>
  <c r="O13" i="152"/>
  <c r="O9" i="152"/>
  <c r="C41" i="55" l="1"/>
  <c r="F6" i="53"/>
  <c r="G6" i="53"/>
  <c r="H6" i="53"/>
  <c r="F7" i="53"/>
  <c r="G7" i="53"/>
  <c r="H7" i="53"/>
  <c r="F8" i="53"/>
  <c r="G8" i="53"/>
  <c r="H8" i="53"/>
  <c r="F9" i="53"/>
  <c r="G9" i="53"/>
  <c r="H9" i="53"/>
  <c r="F10" i="53"/>
  <c r="G10" i="53"/>
  <c r="H10" i="53"/>
  <c r="F11" i="53"/>
  <c r="G11" i="53"/>
  <c r="H11" i="53"/>
  <c r="F12" i="53"/>
  <c r="G12" i="53"/>
  <c r="H12" i="53"/>
  <c r="F13" i="53"/>
  <c r="G13" i="53"/>
  <c r="H13" i="53"/>
  <c r="F14" i="53"/>
  <c r="G14" i="53"/>
  <c r="H14" i="53"/>
  <c r="F15" i="53"/>
  <c r="G15" i="53"/>
  <c r="H15" i="53"/>
  <c r="F16" i="53"/>
  <c r="G16" i="53"/>
  <c r="H16" i="53"/>
  <c r="F17" i="53"/>
  <c r="G17" i="53"/>
  <c r="H17" i="53"/>
  <c r="F18" i="53"/>
  <c r="G18" i="53"/>
  <c r="H18" i="53"/>
  <c r="F19" i="53"/>
  <c r="G19" i="53"/>
  <c r="H19" i="53"/>
  <c r="F20" i="53"/>
  <c r="G20" i="53"/>
  <c r="H20" i="53"/>
  <c r="F21" i="53"/>
  <c r="F23" i="53"/>
  <c r="G23" i="53"/>
  <c r="H23" i="53"/>
  <c r="F24" i="53"/>
  <c r="G24" i="53"/>
  <c r="H24" i="53"/>
  <c r="F25" i="53"/>
  <c r="G25" i="53"/>
  <c r="H25" i="53"/>
  <c r="F26" i="53"/>
  <c r="G26" i="53"/>
  <c r="H26" i="53"/>
  <c r="F27" i="53"/>
  <c r="G27" i="53"/>
  <c r="H27" i="53"/>
  <c r="F28" i="53"/>
  <c r="G28" i="53"/>
  <c r="H28" i="53"/>
  <c r="F29" i="53"/>
  <c r="G29" i="53"/>
  <c r="H29" i="53"/>
  <c r="F30" i="53"/>
  <c r="G30" i="53"/>
  <c r="H30" i="53"/>
  <c r="F31" i="53"/>
  <c r="G31" i="53"/>
  <c r="H31" i="53"/>
  <c r="F32" i="53"/>
  <c r="G32" i="53"/>
  <c r="H32" i="53"/>
  <c r="F33" i="53"/>
  <c r="G33" i="53"/>
  <c r="F34" i="53"/>
  <c r="G34" i="53"/>
  <c r="H34" i="53"/>
  <c r="F35" i="53"/>
  <c r="G35" i="53"/>
  <c r="H35" i="53"/>
  <c r="F36" i="53"/>
  <c r="G36" i="53"/>
  <c r="F37" i="53"/>
  <c r="G37" i="53"/>
  <c r="H37" i="53"/>
  <c r="F38" i="53"/>
  <c r="G38" i="53"/>
  <c r="H38" i="53"/>
  <c r="F39" i="53"/>
  <c r="G39" i="53"/>
  <c r="H39" i="53"/>
  <c r="F40" i="53"/>
  <c r="G40" i="53"/>
  <c r="H40" i="53"/>
  <c r="F41" i="53"/>
  <c r="G41" i="53"/>
  <c r="H41" i="53"/>
  <c r="F5" i="53"/>
  <c r="U6" i="74"/>
  <c r="U7" i="74"/>
  <c r="U8" i="74"/>
  <c r="U9" i="74"/>
  <c r="U10" i="74"/>
  <c r="U11" i="74"/>
  <c r="U12" i="74"/>
  <c r="U13" i="74"/>
  <c r="U14" i="74"/>
  <c r="U15" i="74"/>
  <c r="U16" i="74"/>
  <c r="U17" i="74"/>
  <c r="U18" i="74"/>
  <c r="U19" i="74"/>
  <c r="U20" i="74"/>
  <c r="U21" i="74"/>
  <c r="U22" i="74"/>
  <c r="U23" i="74"/>
  <c r="U24" i="74"/>
  <c r="U25" i="74"/>
  <c r="U26" i="74"/>
  <c r="U27" i="74"/>
  <c r="U28" i="74"/>
  <c r="U29" i="74"/>
  <c r="U30" i="74"/>
  <c r="U31" i="74"/>
  <c r="U32" i="74"/>
  <c r="U33" i="74"/>
  <c r="U34" i="74"/>
  <c r="U35" i="74"/>
  <c r="U36" i="74"/>
  <c r="U37" i="74"/>
  <c r="U38" i="74"/>
  <c r="U39" i="74"/>
  <c r="U40" i="74"/>
  <c r="U5" i="74"/>
  <c r="E46" i="13" l="1"/>
  <c r="E47" i="13"/>
  <c r="E48" i="13"/>
  <c r="E49" i="13"/>
  <c r="E50" i="13"/>
  <c r="E51" i="13"/>
  <c r="E52" i="13"/>
  <c r="E53" i="13"/>
  <c r="E54" i="13" l="1"/>
  <c r="E55" i="13" s="1"/>
  <c r="L1" i="79"/>
  <c r="I2" i="74"/>
  <c r="O2" i="74" s="1"/>
  <c r="H2" i="74"/>
  <c r="M2" i="74" s="1"/>
  <c r="O1" i="17"/>
  <c r="AA1" i="17" s="1"/>
  <c r="AM1" i="17" s="1"/>
  <c r="N1" i="61" l="1"/>
  <c r="W1" i="61" s="1"/>
  <c r="O1" i="63"/>
  <c r="AD1" i="63" s="1"/>
  <c r="K17" i="66"/>
  <c r="T17" i="66" s="1"/>
  <c r="K1" i="66"/>
  <c r="T1" i="66" s="1"/>
  <c r="AS7" i="17"/>
  <c r="AT7" i="17"/>
  <c r="AS8" i="17"/>
  <c r="AT8" i="17"/>
  <c r="AS9" i="17"/>
  <c r="AT9" i="17"/>
  <c r="AS10" i="17"/>
  <c r="AT10" i="17"/>
  <c r="AS11" i="17"/>
  <c r="AT11" i="17"/>
  <c r="AS12" i="17"/>
  <c r="AT12" i="17"/>
  <c r="AS13" i="17"/>
  <c r="AT13" i="17"/>
  <c r="AS14" i="17"/>
  <c r="AT14" i="17"/>
  <c r="AS15" i="17"/>
  <c r="AT15" i="17"/>
  <c r="AS16" i="17"/>
  <c r="AT16" i="17"/>
  <c r="AS17" i="17"/>
  <c r="AT17" i="17"/>
  <c r="AS18" i="17"/>
  <c r="AT18" i="17"/>
  <c r="AS19" i="17"/>
  <c r="AT19" i="17"/>
  <c r="AS20" i="17"/>
  <c r="AT20" i="17"/>
  <c r="AS21" i="17"/>
  <c r="AT21" i="17"/>
  <c r="AS22" i="17"/>
  <c r="AT22" i="17"/>
  <c r="AS23" i="17"/>
  <c r="AT23" i="17"/>
  <c r="AS24" i="17"/>
  <c r="AT24" i="17"/>
  <c r="AS25" i="17"/>
  <c r="AT25" i="17"/>
  <c r="AS26" i="17"/>
  <c r="AT26" i="17"/>
  <c r="AS27" i="17"/>
  <c r="AT27" i="17"/>
  <c r="AS28" i="17"/>
  <c r="AT28" i="17"/>
  <c r="AS29" i="17"/>
  <c r="AT29" i="17"/>
  <c r="AS30" i="17"/>
  <c r="AT30" i="17"/>
  <c r="AS31" i="17"/>
  <c r="AT31" i="17"/>
  <c r="AS32" i="17"/>
  <c r="AT32" i="17"/>
  <c r="AS33" i="17"/>
  <c r="AT33" i="17"/>
  <c r="AS34" i="17"/>
  <c r="AT34" i="17"/>
  <c r="AS35" i="17"/>
  <c r="AT35" i="17"/>
  <c r="AS36" i="17"/>
  <c r="AT36" i="17"/>
  <c r="AS37" i="17"/>
  <c r="AT37" i="17"/>
  <c r="AS38" i="17"/>
  <c r="AT38" i="17"/>
  <c r="AS39" i="17"/>
  <c r="AT39" i="17"/>
  <c r="AS40" i="17"/>
  <c r="AT40" i="17"/>
  <c r="AS41" i="17"/>
  <c r="AT41" i="17"/>
  <c r="AS6" i="17"/>
  <c r="AT6" i="17"/>
  <c r="AU7" i="17"/>
  <c r="AV7" i="17"/>
  <c r="AU8" i="17"/>
  <c r="AV8" i="17"/>
  <c r="AU9" i="17"/>
  <c r="AV9" i="17"/>
  <c r="AU10" i="17"/>
  <c r="AV10" i="17"/>
  <c r="AU11" i="17"/>
  <c r="AV11" i="17"/>
  <c r="AU12" i="17"/>
  <c r="AV12" i="17"/>
  <c r="AU13" i="17"/>
  <c r="AV13" i="17"/>
  <c r="AW13" i="17" s="1"/>
  <c r="AX13" i="17" s="1"/>
  <c r="AU14" i="17"/>
  <c r="AV14" i="17"/>
  <c r="AU15" i="17"/>
  <c r="AV15" i="17"/>
  <c r="AU16" i="17"/>
  <c r="AV16" i="17"/>
  <c r="AU17" i="17"/>
  <c r="AV17" i="17"/>
  <c r="AU18" i="17"/>
  <c r="AW18" i="17" s="1"/>
  <c r="AX18" i="17" s="1"/>
  <c r="AV18" i="17"/>
  <c r="AU19" i="17"/>
  <c r="AV19" i="17"/>
  <c r="AU20" i="17"/>
  <c r="AV20" i="17"/>
  <c r="AU21" i="17"/>
  <c r="AV21" i="17"/>
  <c r="AW21" i="17" s="1"/>
  <c r="AU22" i="17"/>
  <c r="AV22" i="17"/>
  <c r="AU23" i="17"/>
  <c r="AW23" i="17" s="1"/>
  <c r="AV23" i="17"/>
  <c r="AU24" i="17"/>
  <c r="AV24" i="17"/>
  <c r="AU25" i="17"/>
  <c r="AV25" i="17"/>
  <c r="AU26" i="17"/>
  <c r="AV26" i="17"/>
  <c r="AU27" i="17"/>
  <c r="AV27" i="17"/>
  <c r="AU28" i="17"/>
  <c r="AV28" i="17"/>
  <c r="AU29" i="17"/>
  <c r="AV29" i="17"/>
  <c r="AU30" i="17"/>
  <c r="AV30" i="17"/>
  <c r="AU31" i="17"/>
  <c r="AV31" i="17"/>
  <c r="AU32" i="17"/>
  <c r="AV32" i="17"/>
  <c r="AU33" i="17"/>
  <c r="AV33" i="17"/>
  <c r="AW33" i="17" s="1"/>
  <c r="AX33" i="17" s="1"/>
  <c r="AU34" i="17"/>
  <c r="AV34" i="17"/>
  <c r="AU35" i="17"/>
  <c r="AW35" i="17" s="1"/>
  <c r="AX35" i="17" s="1"/>
  <c r="AV35" i="17"/>
  <c r="AU36" i="17"/>
  <c r="AV36" i="17"/>
  <c r="AU37" i="17"/>
  <c r="AV37" i="17"/>
  <c r="AU38" i="17"/>
  <c r="AV38" i="17"/>
  <c r="AU39" i="17"/>
  <c r="AV39" i="17"/>
  <c r="AU40" i="17"/>
  <c r="AV40" i="17"/>
  <c r="AU41" i="17"/>
  <c r="AV41" i="17"/>
  <c r="AV6" i="17"/>
  <c r="AU6" i="17"/>
  <c r="L6" i="71"/>
  <c r="L7" i="71"/>
  <c r="L8" i="71"/>
  <c r="L9" i="71"/>
  <c r="L10" i="71"/>
  <c r="L11" i="71"/>
  <c r="L12" i="71"/>
  <c r="L13" i="71"/>
  <c r="L14" i="71"/>
  <c r="L15" i="71"/>
  <c r="L16" i="71"/>
  <c r="L17" i="71"/>
  <c r="L18" i="71"/>
  <c r="L19" i="71"/>
  <c r="L20" i="71"/>
  <c r="L21" i="71"/>
  <c r="L22" i="71"/>
  <c r="L23" i="71"/>
  <c r="L24" i="71"/>
  <c r="L25" i="71"/>
  <c r="L26" i="71"/>
  <c r="L27" i="71"/>
  <c r="L28" i="71"/>
  <c r="L29" i="71"/>
  <c r="L30" i="71"/>
  <c r="L31" i="71"/>
  <c r="L32" i="71"/>
  <c r="L33" i="71"/>
  <c r="L34" i="71"/>
  <c r="L35" i="71"/>
  <c r="L36" i="71"/>
  <c r="L37" i="71"/>
  <c r="L38" i="71"/>
  <c r="L39" i="71"/>
  <c r="L40" i="71"/>
  <c r="L5" i="71"/>
  <c r="J41" i="71"/>
  <c r="I41" i="71"/>
  <c r="F41" i="71"/>
  <c r="D41" i="71"/>
  <c r="C41" i="71"/>
  <c r="G6" i="71"/>
  <c r="G7" i="71"/>
  <c r="G8" i="71"/>
  <c r="G9" i="71"/>
  <c r="G10" i="71"/>
  <c r="G11" i="71"/>
  <c r="G12" i="71"/>
  <c r="G13" i="71"/>
  <c r="G14" i="71"/>
  <c r="G16" i="71"/>
  <c r="G17" i="71"/>
  <c r="G18" i="71"/>
  <c r="G20" i="71"/>
  <c r="G21" i="71"/>
  <c r="G22" i="71"/>
  <c r="G23" i="71"/>
  <c r="G24" i="71"/>
  <c r="G25" i="71"/>
  <c r="G26" i="71"/>
  <c r="G27" i="71"/>
  <c r="G28" i="71"/>
  <c r="G29" i="71"/>
  <c r="G30" i="71"/>
  <c r="G31" i="71"/>
  <c r="G32" i="71"/>
  <c r="G33" i="71"/>
  <c r="G34" i="71"/>
  <c r="G35" i="71"/>
  <c r="G36" i="71"/>
  <c r="G37" i="71"/>
  <c r="G38" i="71"/>
  <c r="G39" i="71"/>
  <c r="G40" i="71"/>
  <c r="G5" i="71"/>
  <c r="M7" i="71" l="1"/>
  <c r="M5" i="71"/>
  <c r="M8" i="71"/>
  <c r="M30" i="71"/>
  <c r="M17" i="71"/>
  <c r="M16" i="71"/>
  <c r="M15" i="71"/>
  <c r="AW38" i="17"/>
  <c r="AX38" i="17" s="1"/>
  <c r="AW26" i="17"/>
  <c r="AX26" i="17" s="1"/>
  <c r="M14" i="71"/>
  <c r="M39" i="71"/>
  <c r="M27" i="71"/>
  <c r="M38" i="71"/>
  <c r="M26" i="71"/>
  <c r="M37" i="71"/>
  <c r="M25" i="71"/>
  <c r="M13" i="71"/>
  <c r="M20" i="71"/>
  <c r="M29" i="71"/>
  <c r="M36" i="71"/>
  <c r="M12" i="71"/>
  <c r="M31" i="71"/>
  <c r="M6" i="71"/>
  <c r="M35" i="71"/>
  <c r="M11" i="71"/>
  <c r="M32" i="71"/>
  <c r="M18" i="71"/>
  <c r="AW15" i="17"/>
  <c r="AX15" i="17" s="1"/>
  <c r="M28" i="71"/>
  <c r="M24" i="71"/>
  <c r="M23" i="71"/>
  <c r="M34" i="71"/>
  <c r="M22" i="71"/>
  <c r="M10" i="71"/>
  <c r="AW41" i="17"/>
  <c r="AX41" i="17" s="1"/>
  <c r="M19" i="71"/>
  <c r="AW27" i="17"/>
  <c r="AX27" i="17" s="1"/>
  <c r="M40" i="71"/>
  <c r="M33" i="71"/>
  <c r="M21" i="71"/>
  <c r="M9" i="71"/>
  <c r="AW7" i="17"/>
  <c r="AX7" i="17" s="1"/>
  <c r="AW14" i="17"/>
  <c r="AX14" i="17" s="1"/>
  <c r="AW24" i="17"/>
  <c r="AX24" i="17" s="1"/>
  <c r="AW16" i="17"/>
  <c r="AX16" i="17" s="1"/>
  <c r="AW8" i="17"/>
  <c r="AX8" i="17" s="1"/>
  <c r="AT42" i="17"/>
  <c r="AW30" i="17"/>
  <c r="AX30" i="17" s="1"/>
  <c r="AW22" i="17"/>
  <c r="AX22" i="17" s="1"/>
  <c r="AS42" i="17"/>
  <c r="AX21" i="17"/>
  <c r="AU42" i="17"/>
  <c r="AW36" i="17"/>
  <c r="AX36" i="17" s="1"/>
  <c r="AW28" i="17"/>
  <c r="AX28" i="17" s="1"/>
  <c r="AV42" i="17"/>
  <c r="AW34" i="17"/>
  <c r="AX34" i="17" s="1"/>
  <c r="AW10" i="17"/>
  <c r="AX10" i="17" s="1"/>
  <c r="G41" i="71"/>
  <c r="AW6" i="17"/>
  <c r="AW40" i="17"/>
  <c r="AX40" i="17" s="1"/>
  <c r="AW31" i="17"/>
  <c r="AX31" i="17" s="1"/>
  <c r="AW29" i="17"/>
  <c r="AX29" i="17" s="1"/>
  <c r="AW25" i="17"/>
  <c r="AX25" i="17" s="1"/>
  <c r="AW20" i="17"/>
  <c r="AX20" i="17" s="1"/>
  <c r="AW11" i="17"/>
  <c r="AX11" i="17" s="1"/>
  <c r="AW9" i="17"/>
  <c r="AX9" i="17" s="1"/>
  <c r="AW39" i="17"/>
  <c r="AX39" i="17" s="1"/>
  <c r="AW37" i="17"/>
  <c r="AX37" i="17" s="1"/>
  <c r="AW32" i="17"/>
  <c r="AX32" i="17" s="1"/>
  <c r="AW19" i="17"/>
  <c r="AX19" i="17" s="1"/>
  <c r="AW17" i="17"/>
  <c r="AX17" i="17" s="1"/>
  <c r="AW12" i="17"/>
  <c r="AX12" i="17" s="1"/>
  <c r="L41" i="71"/>
  <c r="I1" i="150"/>
  <c r="U1" i="149"/>
  <c r="L1" i="149"/>
  <c r="E222" i="145"/>
  <c r="K222" i="145"/>
  <c r="H222" i="145"/>
  <c r="E216" i="145"/>
  <c r="K216" i="145"/>
  <c r="H216" i="145"/>
  <c r="E210" i="145"/>
  <c r="K210" i="145"/>
  <c r="H210" i="145"/>
  <c r="E204" i="145"/>
  <c r="K204" i="145"/>
  <c r="H204" i="145"/>
  <c r="E192" i="145"/>
  <c r="K192" i="145"/>
  <c r="H192" i="145"/>
  <c r="E186" i="145"/>
  <c r="K186" i="145"/>
  <c r="H186" i="145"/>
  <c r="E180" i="145"/>
  <c r="K180" i="145"/>
  <c r="H180" i="145"/>
  <c r="E174" i="145"/>
  <c r="K174" i="145"/>
  <c r="H174" i="145"/>
  <c r="E168" i="145"/>
  <c r="K168" i="145"/>
  <c r="H168" i="145"/>
  <c r="E162" i="145"/>
  <c r="K162" i="145"/>
  <c r="H162" i="145"/>
  <c r="E156" i="145"/>
  <c r="K156" i="145"/>
  <c r="H156" i="145"/>
  <c r="E150" i="145"/>
  <c r="K150" i="145"/>
  <c r="H150" i="145"/>
  <c r="E144" i="145"/>
  <c r="K144" i="145"/>
  <c r="H144" i="145"/>
  <c r="E138" i="145"/>
  <c r="K138" i="145"/>
  <c r="H138" i="145"/>
  <c r="E132" i="145"/>
  <c r="K132" i="145"/>
  <c r="H132" i="145"/>
  <c r="E126" i="145"/>
  <c r="K126" i="145"/>
  <c r="H126" i="145"/>
  <c r="E120" i="145"/>
  <c r="K120" i="145"/>
  <c r="H120" i="145"/>
  <c r="E114" i="145"/>
  <c r="K114" i="145"/>
  <c r="H114" i="145"/>
  <c r="E105" i="145"/>
  <c r="K105" i="145"/>
  <c r="H105" i="145"/>
  <c r="E99" i="145"/>
  <c r="K99" i="145"/>
  <c r="H99" i="145"/>
  <c r="E93" i="145"/>
  <c r="K93" i="145"/>
  <c r="H93" i="145"/>
  <c r="E87" i="145"/>
  <c r="K87" i="145"/>
  <c r="H87" i="145"/>
  <c r="E81" i="145"/>
  <c r="K81" i="145"/>
  <c r="H81" i="145"/>
  <c r="E75" i="145"/>
  <c r="K75" i="145"/>
  <c r="H75" i="145"/>
  <c r="E69" i="145"/>
  <c r="K69" i="145"/>
  <c r="H69" i="145"/>
  <c r="E63" i="145"/>
  <c r="K63" i="145"/>
  <c r="H63" i="145"/>
  <c r="E57" i="145"/>
  <c r="K57" i="145"/>
  <c r="H57" i="145"/>
  <c r="E51" i="145"/>
  <c r="K51" i="145"/>
  <c r="H51" i="145"/>
  <c r="E45" i="145"/>
  <c r="K45" i="145"/>
  <c r="H45" i="145"/>
  <c r="E39" i="145"/>
  <c r="K39" i="145"/>
  <c r="H39" i="145"/>
  <c r="E33" i="145"/>
  <c r="K33" i="145"/>
  <c r="H33" i="145"/>
  <c r="E27" i="145"/>
  <c r="K27" i="145"/>
  <c r="H27" i="145"/>
  <c r="E21" i="145"/>
  <c r="K21" i="145"/>
  <c r="H21" i="145"/>
  <c r="E15" i="145"/>
  <c r="K15" i="145"/>
  <c r="H15" i="145"/>
  <c r="I1" i="144"/>
  <c r="M41" i="71" l="1"/>
  <c r="AW42" i="17"/>
  <c r="AX42" i="17" s="1"/>
  <c r="AX6" i="17"/>
  <c r="P37" i="55"/>
  <c r="AC223" i="132" l="1"/>
  <c r="AC217" i="132"/>
  <c r="AC211" i="132"/>
  <c r="AC205" i="132"/>
  <c r="AC193" i="132"/>
  <c r="AC187" i="132"/>
  <c r="AC181" i="132"/>
  <c r="AC175" i="132"/>
  <c r="AC169" i="132"/>
  <c r="AC163" i="132"/>
  <c r="AC157" i="132"/>
  <c r="AC151" i="132"/>
  <c r="AC145" i="132"/>
  <c r="AC139" i="132"/>
  <c r="AC133" i="132"/>
  <c r="AC127" i="132"/>
  <c r="AC121" i="132"/>
  <c r="AC115" i="132"/>
  <c r="AC106" i="132"/>
  <c r="AC100" i="132"/>
  <c r="AC94" i="132"/>
  <c r="AC88" i="132"/>
  <c r="AC82" i="132"/>
  <c r="AC76" i="132"/>
  <c r="AC70" i="132"/>
  <c r="AC64" i="132"/>
  <c r="AC58" i="132"/>
  <c r="AC52" i="132"/>
  <c r="AC46" i="132"/>
  <c r="AC40" i="132"/>
  <c r="AC34" i="132"/>
  <c r="AC28" i="132"/>
  <c r="AC22" i="132"/>
  <c r="AC16" i="132"/>
  <c r="L1" i="132"/>
  <c r="U1" i="132" s="1"/>
  <c r="AC223" i="131"/>
  <c r="AC222" i="131"/>
  <c r="AB222" i="131"/>
  <c r="AA222" i="131"/>
  <c r="AC217" i="131"/>
  <c r="AC216" i="131"/>
  <c r="AB216" i="131"/>
  <c r="AA216" i="131"/>
  <c r="AC211" i="131"/>
  <c r="AC210" i="131"/>
  <c r="AB210" i="131"/>
  <c r="AA210" i="131"/>
  <c r="AC205" i="131"/>
  <c r="AC204" i="131"/>
  <c r="AB204" i="131"/>
  <c r="AA204" i="131"/>
  <c r="AC193" i="131"/>
  <c r="AC192" i="131"/>
  <c r="AB192" i="131"/>
  <c r="AA192" i="131"/>
  <c r="AC187" i="131"/>
  <c r="AC186" i="131"/>
  <c r="AB186" i="131"/>
  <c r="AA186" i="131"/>
  <c r="AC181" i="131"/>
  <c r="AC180" i="131"/>
  <c r="AB180" i="131"/>
  <c r="AA180" i="131"/>
  <c r="AC175" i="131"/>
  <c r="AC174" i="131"/>
  <c r="AB174" i="131"/>
  <c r="AA174" i="131"/>
  <c r="AC169" i="131"/>
  <c r="AC168" i="131"/>
  <c r="AB168" i="131"/>
  <c r="AA168" i="131"/>
  <c r="AC163" i="131"/>
  <c r="AC162" i="131"/>
  <c r="AB162" i="131"/>
  <c r="AA162" i="131"/>
  <c r="AC157" i="131"/>
  <c r="AC156" i="131"/>
  <c r="AB156" i="131"/>
  <c r="AA156" i="131"/>
  <c r="AC151" i="131"/>
  <c r="AC150" i="131"/>
  <c r="AB150" i="131"/>
  <c r="AA150" i="131"/>
  <c r="AC145" i="131"/>
  <c r="AC144" i="131"/>
  <c r="AB144" i="131"/>
  <c r="AA144" i="131"/>
  <c r="AC139" i="131"/>
  <c r="AC138" i="131"/>
  <c r="AB138" i="131"/>
  <c r="AA138" i="131"/>
  <c r="AC133" i="131"/>
  <c r="AC132" i="131"/>
  <c r="AB132" i="131"/>
  <c r="AA132" i="131"/>
  <c r="AC127" i="131"/>
  <c r="AC126" i="131"/>
  <c r="AB126" i="131"/>
  <c r="AA126" i="131"/>
  <c r="AC121" i="131"/>
  <c r="AC120" i="131"/>
  <c r="AB120" i="131"/>
  <c r="AA120" i="131"/>
  <c r="AC114" i="131"/>
  <c r="AB114" i="131"/>
  <c r="AA114" i="131"/>
  <c r="AC106" i="131"/>
  <c r="AC105" i="131"/>
  <c r="AB105" i="131"/>
  <c r="AA105" i="131"/>
  <c r="AC100" i="131"/>
  <c r="AC99" i="131"/>
  <c r="AB99" i="131"/>
  <c r="AA99" i="131"/>
  <c r="AC94" i="131"/>
  <c r="AC93" i="131"/>
  <c r="AB93" i="131"/>
  <c r="AA93" i="131"/>
  <c r="AC88" i="131"/>
  <c r="AC87" i="131"/>
  <c r="AB87" i="131"/>
  <c r="AA87" i="131"/>
  <c r="AC82" i="131"/>
  <c r="AC81" i="131"/>
  <c r="AB81" i="131"/>
  <c r="AA81" i="131"/>
  <c r="AC76" i="131"/>
  <c r="AC75" i="131"/>
  <c r="AB75" i="131"/>
  <c r="AA75" i="131"/>
  <c r="AC70" i="131"/>
  <c r="AC69" i="131"/>
  <c r="AB69" i="131"/>
  <c r="AA69" i="131"/>
  <c r="AC64" i="131"/>
  <c r="AC63" i="131"/>
  <c r="AB63" i="131"/>
  <c r="AA63" i="131"/>
  <c r="AC58" i="131"/>
  <c r="AC57" i="131"/>
  <c r="AB57" i="131"/>
  <c r="AA57" i="131"/>
  <c r="AC52" i="131"/>
  <c r="AC51" i="131"/>
  <c r="AB51" i="131"/>
  <c r="AA51" i="131"/>
  <c r="AC46" i="131"/>
  <c r="AC45" i="131"/>
  <c r="AB45" i="131"/>
  <c r="AA45" i="131"/>
  <c r="AC40" i="131"/>
  <c r="AC34" i="131"/>
  <c r="AC33" i="131"/>
  <c r="AB33" i="131"/>
  <c r="AA33" i="131"/>
  <c r="AC27" i="131"/>
  <c r="AB27" i="131"/>
  <c r="AA27" i="131"/>
  <c r="AC21" i="131"/>
  <c r="AB21" i="131"/>
  <c r="AA21" i="131"/>
  <c r="L1" i="131"/>
  <c r="U1" i="131" s="1"/>
  <c r="M5" i="130"/>
  <c r="M1" i="130"/>
  <c r="H1" i="130"/>
  <c r="G4" i="128"/>
  <c r="F4" i="128"/>
  <c r="E4" i="128"/>
  <c r="D4" i="128"/>
  <c r="C4" i="128"/>
  <c r="C20" i="110" l="1"/>
  <c r="F20" i="110"/>
  <c r="G20" i="110"/>
  <c r="I20" i="110"/>
  <c r="J20" i="110"/>
  <c r="K20" i="110"/>
  <c r="L20" i="110"/>
  <c r="M20" i="110"/>
  <c r="N20" i="110"/>
  <c r="O20" i="110"/>
  <c r="P20" i="110"/>
  <c r="Q20" i="110"/>
  <c r="R20" i="110"/>
  <c r="S20" i="110"/>
  <c r="T20" i="110"/>
  <c r="U20" i="110"/>
  <c r="V20" i="110"/>
  <c r="B20" i="110"/>
  <c r="V16" i="110"/>
  <c r="T16" i="110"/>
  <c r="S16" i="110"/>
  <c r="R16" i="110"/>
  <c r="P16" i="110"/>
  <c r="O16" i="110"/>
  <c r="N16" i="110"/>
  <c r="M16" i="110"/>
  <c r="K16" i="110"/>
  <c r="J16" i="110"/>
  <c r="I16" i="110"/>
  <c r="G16" i="110"/>
  <c r="F16" i="110"/>
  <c r="E16" i="110"/>
  <c r="D16" i="110"/>
  <c r="C16" i="110"/>
  <c r="B16" i="110"/>
  <c r="O41" i="103" l="1"/>
  <c r="W41" i="103"/>
  <c r="V41" i="103"/>
  <c r="U41" i="103"/>
  <c r="T41" i="103"/>
  <c r="S41" i="103"/>
  <c r="R41" i="103"/>
  <c r="Q41" i="103"/>
  <c r="P41" i="103"/>
  <c r="N41" i="103"/>
  <c r="M41" i="103"/>
  <c r="L41" i="103"/>
  <c r="K41" i="103"/>
  <c r="J41" i="103"/>
  <c r="I41" i="103"/>
  <c r="H41" i="103"/>
  <c r="G41" i="103"/>
  <c r="F41" i="103"/>
  <c r="E41" i="103"/>
  <c r="D41" i="103"/>
  <c r="C41" i="103"/>
  <c r="X6" i="101"/>
  <c r="E41" i="106" l="1"/>
  <c r="F41" i="106"/>
  <c r="G41" i="106"/>
  <c r="H41" i="106"/>
  <c r="I41" i="106"/>
  <c r="J41" i="106"/>
  <c r="K41" i="106"/>
  <c r="L41" i="106"/>
  <c r="M41" i="106"/>
  <c r="O41" i="106"/>
  <c r="P41" i="106"/>
  <c r="Q41" i="106"/>
  <c r="R41" i="106"/>
  <c r="S41" i="106"/>
  <c r="T41" i="106"/>
  <c r="U41" i="106"/>
  <c r="V41" i="106"/>
  <c r="W41" i="106"/>
  <c r="X41" i="106"/>
  <c r="Y41" i="106"/>
  <c r="Z41" i="106"/>
  <c r="AB41" i="106" l="1"/>
  <c r="AA41" i="106"/>
  <c r="AC41" i="106" s="1"/>
  <c r="W6" i="111" l="1"/>
  <c r="X6" i="111"/>
  <c r="Y6" i="111"/>
  <c r="W7" i="111"/>
  <c r="X7" i="111"/>
  <c r="Y7" i="111"/>
  <c r="W8" i="111"/>
  <c r="X8" i="111"/>
  <c r="Y8" i="111"/>
  <c r="W9" i="111"/>
  <c r="X9" i="111"/>
  <c r="Y9" i="111"/>
  <c r="W10" i="111"/>
  <c r="X10" i="111"/>
  <c r="Y10" i="111"/>
  <c r="W11" i="111"/>
  <c r="X11" i="111"/>
  <c r="Y11" i="111"/>
  <c r="W12" i="111"/>
  <c r="X12" i="111"/>
  <c r="Y12" i="111"/>
  <c r="W13" i="111"/>
  <c r="X13" i="111"/>
  <c r="Y13" i="111"/>
  <c r="W14" i="111"/>
  <c r="X14" i="111"/>
  <c r="Y14" i="111"/>
  <c r="W15" i="111"/>
  <c r="X15" i="111"/>
  <c r="Y15" i="111"/>
  <c r="X5" i="111"/>
  <c r="Y5" i="111"/>
  <c r="W5" i="111"/>
  <c r="Y6" i="101"/>
  <c r="Z6" i="101"/>
  <c r="X7" i="101"/>
  <c r="Y7" i="101"/>
  <c r="Z7" i="101"/>
  <c r="X8" i="101"/>
  <c r="Y8" i="101"/>
  <c r="Z8" i="101"/>
  <c r="X9" i="101"/>
  <c r="Y9" i="101"/>
  <c r="Z9" i="101"/>
  <c r="X10" i="101"/>
  <c r="Y10" i="101"/>
  <c r="Z10" i="101"/>
  <c r="X11" i="101"/>
  <c r="Y11" i="101"/>
  <c r="Z11" i="101"/>
  <c r="X12" i="101"/>
  <c r="Y12" i="101"/>
  <c r="Z12" i="101"/>
  <c r="X13" i="101"/>
  <c r="Y13" i="101"/>
  <c r="Z13" i="101"/>
  <c r="X14" i="101"/>
  <c r="Y14" i="101"/>
  <c r="Z14" i="101"/>
  <c r="X15" i="101"/>
  <c r="Y15" i="101"/>
  <c r="Z15" i="101"/>
  <c r="X16" i="101"/>
  <c r="Y16" i="101"/>
  <c r="Z16" i="101"/>
  <c r="X17" i="101"/>
  <c r="Y17" i="101"/>
  <c r="Z17" i="101"/>
  <c r="X18" i="101"/>
  <c r="Y18" i="101"/>
  <c r="Z18" i="101"/>
  <c r="X19" i="101"/>
  <c r="Y19" i="101"/>
  <c r="Z19" i="101"/>
  <c r="X20" i="101"/>
  <c r="Y20" i="101"/>
  <c r="Z20" i="101"/>
  <c r="X21" i="101"/>
  <c r="Y21" i="101"/>
  <c r="Z21" i="101"/>
  <c r="X22" i="101"/>
  <c r="Y22" i="101"/>
  <c r="Z22" i="101"/>
  <c r="X23" i="101"/>
  <c r="Y23" i="101"/>
  <c r="Z23" i="101"/>
  <c r="X24" i="101"/>
  <c r="Y24" i="101"/>
  <c r="Z24" i="101"/>
  <c r="X25" i="101"/>
  <c r="Y25" i="101"/>
  <c r="Z25" i="101"/>
  <c r="X26" i="101"/>
  <c r="Y26" i="101"/>
  <c r="Z26" i="101"/>
  <c r="X27" i="101"/>
  <c r="Y27" i="101"/>
  <c r="Z27" i="101"/>
  <c r="X28" i="101"/>
  <c r="Y28" i="101"/>
  <c r="Z28" i="101"/>
  <c r="X29" i="101"/>
  <c r="Y29" i="101"/>
  <c r="Z29" i="101"/>
  <c r="X30" i="101"/>
  <c r="Y30" i="101"/>
  <c r="Z30" i="101"/>
  <c r="X31" i="101"/>
  <c r="Y31" i="101"/>
  <c r="Z31" i="101"/>
  <c r="X32" i="101"/>
  <c r="Y32" i="101"/>
  <c r="Z32" i="101"/>
  <c r="X33" i="101"/>
  <c r="Y33" i="101"/>
  <c r="Z33" i="101"/>
  <c r="X34" i="101"/>
  <c r="Y34" i="101"/>
  <c r="Z34" i="101"/>
  <c r="X35" i="101"/>
  <c r="Y35" i="101"/>
  <c r="Z35" i="101"/>
  <c r="X36" i="101"/>
  <c r="Y36" i="101"/>
  <c r="Z36" i="101"/>
  <c r="X37" i="101"/>
  <c r="Y37" i="101"/>
  <c r="Z37" i="101"/>
  <c r="X38" i="101"/>
  <c r="Y38" i="101"/>
  <c r="Z38" i="101"/>
  <c r="X39" i="101"/>
  <c r="Y39" i="101"/>
  <c r="Z39" i="101"/>
  <c r="X40" i="101"/>
  <c r="Y40" i="101"/>
  <c r="Z40" i="101"/>
  <c r="Y5" i="101"/>
  <c r="Z5" i="101"/>
  <c r="X5" i="101"/>
  <c r="L1" i="114" l="1"/>
  <c r="U1" i="114" s="1"/>
  <c r="AF5" i="61" l="1"/>
  <c r="AF6" i="61"/>
  <c r="AF7" i="61"/>
  <c r="AF8" i="61"/>
  <c r="AF9" i="61"/>
  <c r="AF10" i="61"/>
  <c r="AF11" i="61"/>
  <c r="AF12" i="61"/>
  <c r="AF13" i="61"/>
  <c r="AF14" i="61"/>
  <c r="AF15" i="61"/>
  <c r="AF16" i="61"/>
  <c r="AF17" i="61"/>
  <c r="AF18" i="61"/>
  <c r="AF19" i="61"/>
  <c r="AF20" i="61"/>
  <c r="AF21" i="61"/>
  <c r="AF22" i="61"/>
  <c r="AF23" i="61"/>
  <c r="AF24" i="61"/>
  <c r="AF25" i="61"/>
  <c r="AF26" i="61"/>
  <c r="AF27" i="61"/>
  <c r="AF28" i="61"/>
  <c r="AF29" i="61"/>
  <c r="AF30" i="61"/>
  <c r="AF31" i="61"/>
  <c r="AF32" i="61"/>
  <c r="AF33" i="61"/>
  <c r="AF34" i="61"/>
  <c r="AF35" i="61"/>
  <c r="AF36" i="61"/>
  <c r="AF37" i="61"/>
  <c r="AF38" i="61"/>
  <c r="AF39" i="61"/>
  <c r="AF40" i="61"/>
  <c r="AF41" i="61"/>
  <c r="G40" i="9" l="1"/>
  <c r="G39" i="9"/>
  <c r="G38" i="9"/>
  <c r="G37" i="9"/>
  <c r="G36" i="9"/>
  <c r="G35" i="9"/>
  <c r="G34" i="9"/>
  <c r="G33" i="9"/>
  <c r="G32" i="9"/>
  <c r="G31" i="9"/>
  <c r="G30" i="9"/>
  <c r="G29" i="9"/>
  <c r="G28" i="9"/>
  <c r="G27" i="9"/>
  <c r="G26" i="9"/>
  <c r="G25" i="9"/>
  <c r="G24" i="9"/>
  <c r="G23" i="9"/>
  <c r="G22" i="9"/>
  <c r="G21" i="9"/>
  <c r="G20" i="9"/>
  <c r="G19" i="9"/>
  <c r="G18" i="9"/>
  <c r="G17" i="9"/>
  <c r="G16" i="9"/>
  <c r="G15" i="9"/>
  <c r="G14" i="9"/>
  <c r="G13" i="9"/>
  <c r="G12" i="9"/>
  <c r="G11" i="9"/>
  <c r="G10" i="9"/>
  <c r="G9" i="9"/>
  <c r="G8" i="9"/>
  <c r="G7" i="9"/>
  <c r="G6" i="9"/>
  <c r="G5" i="9"/>
  <c r="F37" i="34"/>
  <c r="D37" i="34"/>
  <c r="F36" i="34"/>
  <c r="D36" i="34"/>
  <c r="F35" i="34"/>
  <c r="D35" i="34"/>
  <c r="F34" i="34"/>
  <c r="D34" i="34"/>
  <c r="F33" i="34"/>
  <c r="D33" i="34"/>
  <c r="F32" i="34"/>
  <c r="D32" i="34"/>
  <c r="F31" i="34"/>
  <c r="D31" i="34"/>
  <c r="F30" i="34"/>
  <c r="D30" i="34"/>
  <c r="F29" i="34"/>
  <c r="D29" i="34"/>
  <c r="F28" i="34"/>
  <c r="D28" i="34"/>
  <c r="F27" i="34"/>
  <c r="D27" i="34"/>
  <c r="F26" i="34"/>
  <c r="D26" i="34"/>
  <c r="F25" i="34"/>
  <c r="D25" i="34"/>
  <c r="F24" i="34"/>
  <c r="D24" i="34"/>
  <c r="F23" i="34"/>
  <c r="D23" i="34"/>
  <c r="F22" i="34"/>
  <c r="D22" i="34"/>
  <c r="F21" i="34"/>
  <c r="D21" i="34"/>
  <c r="F20" i="34"/>
  <c r="D20" i="34"/>
  <c r="F19" i="34"/>
  <c r="D19" i="34"/>
  <c r="F18" i="34"/>
  <c r="D18" i="34"/>
  <c r="F17" i="34"/>
  <c r="D17" i="34"/>
  <c r="F16" i="34"/>
  <c r="D16" i="34"/>
  <c r="F15" i="34"/>
  <c r="D15" i="34"/>
  <c r="F14" i="34"/>
  <c r="D14" i="34"/>
  <c r="F13" i="34"/>
  <c r="D13" i="34"/>
  <c r="F12" i="34"/>
  <c r="D12" i="34"/>
  <c r="F11" i="34"/>
  <c r="D11" i="34"/>
  <c r="F10" i="34"/>
  <c r="D10" i="34"/>
  <c r="F9" i="34"/>
  <c r="D9" i="34"/>
  <c r="F8" i="34"/>
  <c r="D8" i="34"/>
  <c r="F7" i="34"/>
  <c r="D7" i="34"/>
  <c r="F6" i="34"/>
  <c r="D6" i="34"/>
  <c r="F5" i="34"/>
  <c r="D5" i="34"/>
  <c r="F4" i="34"/>
  <c r="D4" i="34"/>
  <c r="F3" i="34"/>
  <c r="D3" i="34"/>
  <c r="X1" i="70"/>
  <c r="M1" i="70"/>
  <c r="I1" i="113"/>
  <c r="O1" i="113" s="1"/>
  <c r="N43" i="112"/>
  <c r="E42" i="112"/>
  <c r="D42" i="112"/>
  <c r="C42" i="112"/>
  <c r="U1" i="106"/>
  <c r="L1" i="106"/>
  <c r="K17" i="111"/>
  <c r="Y16" i="111"/>
  <c r="W16" i="111"/>
  <c r="K1" i="111"/>
  <c r="W19" i="110"/>
  <c r="W18" i="110"/>
  <c r="K17" i="110"/>
  <c r="W15" i="110"/>
  <c r="W14" i="110"/>
  <c r="W13" i="110"/>
  <c r="W12" i="110"/>
  <c r="W11" i="110"/>
  <c r="W10" i="110"/>
  <c r="W9" i="110"/>
  <c r="W8" i="110"/>
  <c r="W7" i="110"/>
  <c r="W6" i="110"/>
  <c r="W5" i="110"/>
  <c r="K1" i="110"/>
  <c r="L1" i="104"/>
  <c r="I1" i="103"/>
  <c r="O1" i="103" s="1"/>
  <c r="I1" i="102"/>
  <c r="O1" i="102" s="1"/>
  <c r="Z41" i="101"/>
  <c r="Y41" i="101"/>
  <c r="K37" i="3"/>
  <c r="J37" i="3"/>
  <c r="L37" i="3" s="1"/>
  <c r="H37" i="3"/>
  <c r="G37" i="3"/>
  <c r="F37" i="3"/>
  <c r="E37" i="3"/>
  <c r="D37" i="3"/>
  <c r="C37" i="3"/>
  <c r="B37" i="3"/>
  <c r="K36" i="3"/>
  <c r="J36" i="3"/>
  <c r="H36" i="3"/>
  <c r="G36" i="3"/>
  <c r="F36" i="3"/>
  <c r="E36" i="3"/>
  <c r="D36" i="3"/>
  <c r="C36" i="3"/>
  <c r="B36" i="3"/>
  <c r="I36" i="3" s="1"/>
  <c r="K35" i="3"/>
  <c r="J35" i="3"/>
  <c r="H35" i="3"/>
  <c r="G35" i="3"/>
  <c r="F35" i="3"/>
  <c r="E35" i="3"/>
  <c r="D35" i="3"/>
  <c r="C35" i="3"/>
  <c r="B35" i="3"/>
  <c r="K34" i="3"/>
  <c r="J34" i="3"/>
  <c r="H34" i="3"/>
  <c r="G34" i="3"/>
  <c r="F34" i="3"/>
  <c r="E34" i="3"/>
  <c r="D34" i="3"/>
  <c r="C34" i="3"/>
  <c r="B34" i="3"/>
  <c r="K33" i="3"/>
  <c r="J33" i="3"/>
  <c r="H33" i="3"/>
  <c r="G33" i="3"/>
  <c r="F33" i="3"/>
  <c r="E33" i="3"/>
  <c r="D33" i="3"/>
  <c r="C33" i="3"/>
  <c r="B33" i="3"/>
  <c r="K32" i="3"/>
  <c r="L32" i="3" s="1"/>
  <c r="J32" i="3"/>
  <c r="H32" i="3"/>
  <c r="G32" i="3"/>
  <c r="F32" i="3"/>
  <c r="E32" i="3"/>
  <c r="D32" i="3"/>
  <c r="C32" i="3"/>
  <c r="B32" i="3"/>
  <c r="K31" i="3"/>
  <c r="J31" i="3"/>
  <c r="L31" i="3" s="1"/>
  <c r="H31" i="3"/>
  <c r="G31" i="3"/>
  <c r="F31" i="3"/>
  <c r="E31" i="3"/>
  <c r="D31" i="3"/>
  <c r="C31" i="3"/>
  <c r="B31" i="3"/>
  <c r="K30" i="3"/>
  <c r="L30" i="3" s="1"/>
  <c r="J30" i="3"/>
  <c r="H30" i="3"/>
  <c r="G30" i="3"/>
  <c r="F30" i="3"/>
  <c r="E30" i="3"/>
  <c r="D30" i="3"/>
  <c r="C30" i="3"/>
  <c r="B30" i="3"/>
  <c r="K29" i="3"/>
  <c r="J29" i="3"/>
  <c r="L29" i="3" s="1"/>
  <c r="H29" i="3"/>
  <c r="G29" i="3"/>
  <c r="F29" i="3"/>
  <c r="E29" i="3"/>
  <c r="D29" i="3"/>
  <c r="C29" i="3"/>
  <c r="B29" i="3"/>
  <c r="K28" i="3"/>
  <c r="J28" i="3"/>
  <c r="H28" i="3"/>
  <c r="G28" i="3"/>
  <c r="F28" i="3"/>
  <c r="E28" i="3"/>
  <c r="D28" i="3"/>
  <c r="C28" i="3"/>
  <c r="B28" i="3"/>
  <c r="K27" i="3"/>
  <c r="J27" i="3"/>
  <c r="L27" i="3" s="1"/>
  <c r="H27" i="3"/>
  <c r="G27" i="3"/>
  <c r="F27" i="3"/>
  <c r="E27" i="3"/>
  <c r="D27" i="3"/>
  <c r="C27" i="3"/>
  <c r="B27" i="3"/>
  <c r="K26" i="3"/>
  <c r="J26" i="3"/>
  <c r="H26" i="3"/>
  <c r="G26" i="3"/>
  <c r="F26" i="3"/>
  <c r="E26" i="3"/>
  <c r="D26" i="3"/>
  <c r="C26" i="3"/>
  <c r="B26" i="3"/>
  <c r="K25" i="3"/>
  <c r="J25" i="3"/>
  <c r="H25" i="3"/>
  <c r="G25" i="3"/>
  <c r="F25" i="3"/>
  <c r="E25" i="3"/>
  <c r="D25" i="3"/>
  <c r="C25" i="3"/>
  <c r="B25" i="3"/>
  <c r="K24" i="3"/>
  <c r="L24" i="3" s="1"/>
  <c r="J24" i="3"/>
  <c r="H24" i="3"/>
  <c r="G24" i="3"/>
  <c r="F24" i="3"/>
  <c r="E24" i="3"/>
  <c r="D24" i="3"/>
  <c r="C24" i="3"/>
  <c r="B24" i="3"/>
  <c r="K23" i="3"/>
  <c r="J23" i="3"/>
  <c r="H23" i="3"/>
  <c r="G23" i="3"/>
  <c r="F23" i="3"/>
  <c r="E23" i="3"/>
  <c r="D23" i="3"/>
  <c r="C23" i="3"/>
  <c r="B23" i="3"/>
  <c r="K22" i="3"/>
  <c r="J22" i="3"/>
  <c r="H22" i="3"/>
  <c r="G22" i="3"/>
  <c r="F22" i="3"/>
  <c r="E22" i="3"/>
  <c r="D22" i="3"/>
  <c r="C22" i="3"/>
  <c r="B22" i="3"/>
  <c r="K21" i="3"/>
  <c r="J21" i="3"/>
  <c r="L21" i="3" s="1"/>
  <c r="H21" i="3"/>
  <c r="G21" i="3"/>
  <c r="F21" i="3"/>
  <c r="E21" i="3"/>
  <c r="D21" i="3"/>
  <c r="C21" i="3"/>
  <c r="B21" i="3"/>
  <c r="K20" i="3"/>
  <c r="J20" i="3"/>
  <c r="H20" i="3"/>
  <c r="G20" i="3"/>
  <c r="F20" i="3"/>
  <c r="E20" i="3"/>
  <c r="D20" i="3"/>
  <c r="C20" i="3"/>
  <c r="B20" i="3"/>
  <c r="K19" i="3"/>
  <c r="J19" i="3"/>
  <c r="H19" i="3"/>
  <c r="G19" i="3"/>
  <c r="F19" i="3"/>
  <c r="E19" i="3"/>
  <c r="D19" i="3"/>
  <c r="C19" i="3"/>
  <c r="B19" i="3"/>
  <c r="K18" i="3"/>
  <c r="J18" i="3"/>
  <c r="H18" i="3"/>
  <c r="G18" i="3"/>
  <c r="F18" i="3"/>
  <c r="E18" i="3"/>
  <c r="D18" i="3"/>
  <c r="C18" i="3"/>
  <c r="B18" i="3"/>
  <c r="K17" i="3"/>
  <c r="J17" i="3"/>
  <c r="H17" i="3"/>
  <c r="G17" i="3"/>
  <c r="F17" i="3"/>
  <c r="E17" i="3"/>
  <c r="D17" i="3"/>
  <c r="C17" i="3"/>
  <c r="B17" i="3"/>
  <c r="K16" i="3"/>
  <c r="L16" i="3" s="1"/>
  <c r="J16" i="3"/>
  <c r="H16" i="3"/>
  <c r="G16" i="3"/>
  <c r="F16" i="3"/>
  <c r="E16" i="3"/>
  <c r="D16" i="3"/>
  <c r="C16" i="3"/>
  <c r="B16" i="3"/>
  <c r="K15" i="3"/>
  <c r="J15" i="3"/>
  <c r="L15" i="3" s="1"/>
  <c r="H15" i="3"/>
  <c r="G15" i="3"/>
  <c r="F15" i="3"/>
  <c r="E15" i="3"/>
  <c r="D15" i="3"/>
  <c r="C15" i="3"/>
  <c r="B15" i="3"/>
  <c r="K14" i="3"/>
  <c r="L14" i="3" s="1"/>
  <c r="J14" i="3"/>
  <c r="H14" i="3"/>
  <c r="G14" i="3"/>
  <c r="F14" i="3"/>
  <c r="E14" i="3"/>
  <c r="D14" i="3"/>
  <c r="C14" i="3"/>
  <c r="B14" i="3"/>
  <c r="K13" i="3"/>
  <c r="J13" i="3"/>
  <c r="L13" i="3" s="1"/>
  <c r="H13" i="3"/>
  <c r="G13" i="3"/>
  <c r="F13" i="3"/>
  <c r="E13" i="3"/>
  <c r="D13" i="3"/>
  <c r="C13" i="3"/>
  <c r="B13" i="3"/>
  <c r="K12" i="3"/>
  <c r="J12" i="3"/>
  <c r="H12" i="3"/>
  <c r="G12" i="3"/>
  <c r="F12" i="3"/>
  <c r="E12" i="3"/>
  <c r="D12" i="3"/>
  <c r="C12" i="3"/>
  <c r="B12" i="3"/>
  <c r="K11" i="3"/>
  <c r="J11" i="3"/>
  <c r="L11" i="3" s="1"/>
  <c r="H11" i="3"/>
  <c r="G11" i="3"/>
  <c r="F11" i="3"/>
  <c r="E11" i="3"/>
  <c r="D11" i="3"/>
  <c r="C11" i="3"/>
  <c r="B11" i="3"/>
  <c r="K10" i="3"/>
  <c r="J10" i="3"/>
  <c r="H10" i="3"/>
  <c r="G10" i="3"/>
  <c r="F10" i="3"/>
  <c r="E10" i="3"/>
  <c r="D10" i="3"/>
  <c r="C10" i="3"/>
  <c r="B10" i="3"/>
  <c r="K9" i="3"/>
  <c r="J9" i="3"/>
  <c r="H9" i="3"/>
  <c r="G9" i="3"/>
  <c r="F9" i="3"/>
  <c r="E9" i="3"/>
  <c r="D9" i="3"/>
  <c r="C9" i="3"/>
  <c r="B9" i="3"/>
  <c r="K8" i="3"/>
  <c r="J8" i="3"/>
  <c r="H8" i="3"/>
  <c r="G8" i="3"/>
  <c r="F8" i="3"/>
  <c r="E8" i="3"/>
  <c r="D8" i="3"/>
  <c r="C8" i="3"/>
  <c r="B8" i="3"/>
  <c r="K7" i="3"/>
  <c r="J7" i="3"/>
  <c r="H7" i="3"/>
  <c r="G7" i="3"/>
  <c r="F7" i="3"/>
  <c r="E7" i="3"/>
  <c r="D7" i="3"/>
  <c r="C7" i="3"/>
  <c r="B7" i="3"/>
  <c r="K6" i="3"/>
  <c r="J6" i="3"/>
  <c r="H6" i="3"/>
  <c r="G6" i="3"/>
  <c r="F6" i="3"/>
  <c r="E6" i="3"/>
  <c r="D6" i="3"/>
  <c r="C6" i="3"/>
  <c r="B6" i="3"/>
  <c r="K5" i="3"/>
  <c r="J5" i="3"/>
  <c r="H5" i="3"/>
  <c r="G5" i="3"/>
  <c r="F5" i="3"/>
  <c r="E5" i="3"/>
  <c r="D5" i="3"/>
  <c r="C5" i="3"/>
  <c r="B5" i="3"/>
  <c r="K4" i="3"/>
  <c r="J4" i="3"/>
  <c r="H4" i="3"/>
  <c r="G4" i="3"/>
  <c r="F4" i="3"/>
  <c r="E4" i="3"/>
  <c r="D4" i="3"/>
  <c r="C4" i="3"/>
  <c r="B4" i="3"/>
  <c r="K3" i="3"/>
  <c r="J3" i="3"/>
  <c r="L3" i="3" s="1"/>
  <c r="H3" i="3"/>
  <c r="G3" i="3"/>
  <c r="F3" i="3"/>
  <c r="E3" i="3"/>
  <c r="D3" i="3"/>
  <c r="C3" i="3"/>
  <c r="B3" i="3"/>
  <c r="D40" i="11"/>
  <c r="C40" i="11"/>
  <c r="B40" i="11"/>
  <c r="J37" i="11"/>
  <c r="H37" i="11"/>
  <c r="G37" i="11"/>
  <c r="E37" i="11"/>
  <c r="C37" i="11"/>
  <c r="B37" i="11"/>
  <c r="I36" i="11"/>
  <c r="K36" i="11" s="1"/>
  <c r="D36" i="11"/>
  <c r="F36" i="11" s="1"/>
  <c r="M36" i="11" s="1"/>
  <c r="I35" i="11"/>
  <c r="K35" i="11" s="1"/>
  <c r="D35" i="11"/>
  <c r="F35" i="11" s="1"/>
  <c r="M35" i="11" s="1"/>
  <c r="I34" i="11"/>
  <c r="K34" i="11" s="1"/>
  <c r="D34" i="11"/>
  <c r="F34" i="11" s="1"/>
  <c r="M34" i="11" s="1"/>
  <c r="I33" i="11"/>
  <c r="K33" i="11" s="1"/>
  <c r="D33" i="11"/>
  <c r="F33" i="11" s="1"/>
  <c r="M33" i="11" s="1"/>
  <c r="I32" i="11"/>
  <c r="K32" i="11" s="1"/>
  <c r="D32" i="11"/>
  <c r="F32" i="11" s="1"/>
  <c r="M32" i="11" s="1"/>
  <c r="I31" i="11"/>
  <c r="K31" i="11" s="1"/>
  <c r="D31" i="11"/>
  <c r="F31" i="11" s="1"/>
  <c r="M31" i="11" s="1"/>
  <c r="I30" i="11"/>
  <c r="K30" i="11" s="1"/>
  <c r="D30" i="11"/>
  <c r="F30" i="11" s="1"/>
  <c r="M30" i="11" s="1"/>
  <c r="I29" i="11"/>
  <c r="K29" i="11" s="1"/>
  <c r="D29" i="11"/>
  <c r="F29" i="11" s="1"/>
  <c r="M29" i="11" s="1"/>
  <c r="I28" i="11"/>
  <c r="K28" i="11" s="1"/>
  <c r="D28" i="11"/>
  <c r="F28" i="11" s="1"/>
  <c r="M28" i="11" s="1"/>
  <c r="I27" i="11"/>
  <c r="K27" i="11" s="1"/>
  <c r="D27" i="11"/>
  <c r="F27" i="11" s="1"/>
  <c r="M27" i="11" s="1"/>
  <c r="I26" i="11"/>
  <c r="K26" i="11" s="1"/>
  <c r="D26" i="11"/>
  <c r="F26" i="11" s="1"/>
  <c r="M26" i="11" s="1"/>
  <c r="I25" i="11"/>
  <c r="K25" i="11" s="1"/>
  <c r="D25" i="11"/>
  <c r="F25" i="11" s="1"/>
  <c r="M25" i="11" s="1"/>
  <c r="I24" i="11"/>
  <c r="K24" i="11" s="1"/>
  <c r="D24" i="11"/>
  <c r="F24" i="11" s="1"/>
  <c r="M24" i="11" s="1"/>
  <c r="I23" i="11"/>
  <c r="K23" i="11" s="1"/>
  <c r="D23" i="11"/>
  <c r="F23" i="11" s="1"/>
  <c r="M23" i="11" s="1"/>
  <c r="I22" i="11"/>
  <c r="K22" i="11" s="1"/>
  <c r="D22" i="11"/>
  <c r="F22" i="11" s="1"/>
  <c r="M22" i="11" s="1"/>
  <c r="I21" i="11"/>
  <c r="K21" i="11" s="1"/>
  <c r="D21" i="11"/>
  <c r="F21" i="11" s="1"/>
  <c r="M21" i="11" s="1"/>
  <c r="I20" i="11"/>
  <c r="K20" i="11" s="1"/>
  <c r="D20" i="11"/>
  <c r="F20" i="11" s="1"/>
  <c r="M20" i="11" s="1"/>
  <c r="I19" i="11"/>
  <c r="K19" i="11" s="1"/>
  <c r="D19" i="11"/>
  <c r="F19" i="11" s="1"/>
  <c r="M19" i="11" s="1"/>
  <c r="I18" i="11"/>
  <c r="K18" i="11" s="1"/>
  <c r="D18" i="11"/>
  <c r="F18" i="11" s="1"/>
  <c r="M18" i="11" s="1"/>
  <c r="I17" i="11"/>
  <c r="K17" i="11" s="1"/>
  <c r="D17" i="11"/>
  <c r="F17" i="11" s="1"/>
  <c r="M17" i="11" s="1"/>
  <c r="I16" i="11"/>
  <c r="K16" i="11" s="1"/>
  <c r="D16" i="11"/>
  <c r="F16" i="11" s="1"/>
  <c r="M16" i="11" s="1"/>
  <c r="I15" i="11"/>
  <c r="K15" i="11" s="1"/>
  <c r="D15" i="11"/>
  <c r="F15" i="11" s="1"/>
  <c r="M15" i="11" s="1"/>
  <c r="I14" i="11"/>
  <c r="K14" i="11" s="1"/>
  <c r="D14" i="11"/>
  <c r="F14" i="11" s="1"/>
  <c r="M14" i="11" s="1"/>
  <c r="I13" i="11"/>
  <c r="K13" i="11" s="1"/>
  <c r="D13" i="11"/>
  <c r="F13" i="11" s="1"/>
  <c r="M13" i="11" s="1"/>
  <c r="I12" i="11"/>
  <c r="K12" i="11" s="1"/>
  <c r="D12" i="11"/>
  <c r="F12" i="11" s="1"/>
  <c r="M12" i="11" s="1"/>
  <c r="I11" i="11"/>
  <c r="K11" i="11" s="1"/>
  <c r="D11" i="11"/>
  <c r="F11" i="11" s="1"/>
  <c r="M11" i="11" s="1"/>
  <c r="I10" i="11"/>
  <c r="K10" i="11" s="1"/>
  <c r="D10" i="11"/>
  <c r="F10" i="11" s="1"/>
  <c r="M10" i="11" s="1"/>
  <c r="I9" i="11"/>
  <c r="K9" i="11" s="1"/>
  <c r="D9" i="11"/>
  <c r="F9" i="11" s="1"/>
  <c r="M9" i="11" s="1"/>
  <c r="I8" i="11"/>
  <c r="K8" i="11" s="1"/>
  <c r="D8" i="11"/>
  <c r="F8" i="11" s="1"/>
  <c r="M8" i="11" s="1"/>
  <c r="I7" i="11"/>
  <c r="K7" i="11" s="1"/>
  <c r="D7" i="11"/>
  <c r="F7" i="11" s="1"/>
  <c r="M7" i="11" s="1"/>
  <c r="I6" i="11"/>
  <c r="K6" i="11" s="1"/>
  <c r="D6" i="11"/>
  <c r="F6" i="11" s="1"/>
  <c r="M6" i="11" s="1"/>
  <c r="I5" i="11"/>
  <c r="K5" i="11" s="1"/>
  <c r="D5" i="11"/>
  <c r="F5" i="11" s="1"/>
  <c r="M5" i="11" s="1"/>
  <c r="I4" i="11"/>
  <c r="K4" i="11" s="1"/>
  <c r="D4" i="11"/>
  <c r="F4" i="11" s="1"/>
  <c r="M4" i="11" s="1"/>
  <c r="I3" i="11"/>
  <c r="D3" i="11"/>
  <c r="F3" i="11" s="1"/>
  <c r="M3" i="11" s="1"/>
  <c r="L1" i="99"/>
  <c r="U1" i="99" s="1"/>
  <c r="L1" i="98"/>
  <c r="U1" i="98" s="1"/>
  <c r="N43" i="65"/>
  <c r="F5" i="96"/>
  <c r="I1" i="95"/>
  <c r="I1" i="94"/>
  <c r="AC44" i="69"/>
  <c r="AD41" i="13"/>
  <c r="AD40" i="13"/>
  <c r="AD39" i="13"/>
  <c r="AD38" i="13"/>
  <c r="AD37" i="13"/>
  <c r="AD36" i="13"/>
  <c r="AD35" i="13"/>
  <c r="AD34" i="13"/>
  <c r="AD33" i="13"/>
  <c r="AD32" i="13"/>
  <c r="AD31" i="13"/>
  <c r="AD30" i="13"/>
  <c r="AD29" i="13"/>
  <c r="AD28" i="13"/>
  <c r="AD27" i="13"/>
  <c r="AD26" i="13"/>
  <c r="AD25" i="13"/>
  <c r="AD24" i="13"/>
  <c r="AD23" i="13"/>
  <c r="AD22" i="13"/>
  <c r="AD21" i="13"/>
  <c r="AD20" i="13"/>
  <c r="AD19" i="13"/>
  <c r="AD18" i="13"/>
  <c r="AD17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L40" i="73"/>
  <c r="AL39" i="73"/>
  <c r="AL38" i="73"/>
  <c r="AL37" i="73"/>
  <c r="AL36" i="73"/>
  <c r="AL35" i="73"/>
  <c r="AL34" i="73"/>
  <c r="AL33" i="73"/>
  <c r="AL32" i="73"/>
  <c r="AL31" i="73"/>
  <c r="AL30" i="73"/>
  <c r="AL29" i="73"/>
  <c r="AL28" i="73"/>
  <c r="AL27" i="73"/>
  <c r="AL26" i="73"/>
  <c r="AL25" i="73"/>
  <c r="AL24" i="73"/>
  <c r="AL23" i="73"/>
  <c r="AL22" i="73"/>
  <c r="AL21" i="73"/>
  <c r="AL20" i="73"/>
  <c r="AL19" i="73"/>
  <c r="AL18" i="73"/>
  <c r="AL17" i="73"/>
  <c r="AL16" i="73"/>
  <c r="AL15" i="73"/>
  <c r="AL14" i="73"/>
  <c r="AL13" i="73"/>
  <c r="AL12" i="73"/>
  <c r="AL11" i="73"/>
  <c r="AL10" i="73"/>
  <c r="AL9" i="73"/>
  <c r="AL8" i="73"/>
  <c r="AL7" i="73"/>
  <c r="AL6" i="73"/>
  <c r="AL5" i="73"/>
  <c r="AL4" i="73"/>
  <c r="M1" i="72"/>
  <c r="I6" i="3" l="1"/>
  <c r="I14" i="3"/>
  <c r="I30" i="3"/>
  <c r="I25" i="3"/>
  <c r="I9" i="3"/>
  <c r="D38" i="3"/>
  <c r="L6" i="3"/>
  <c r="I10" i="3"/>
  <c r="I13" i="3"/>
  <c r="I16" i="3"/>
  <c r="L18" i="3"/>
  <c r="L22" i="3"/>
  <c r="L26" i="3"/>
  <c r="I32" i="3"/>
  <c r="I37" i="3"/>
  <c r="F37" i="11"/>
  <c r="D41" i="11" s="1"/>
  <c r="B38" i="3"/>
  <c r="F38" i="3"/>
  <c r="L4" i="3"/>
  <c r="I7" i="3"/>
  <c r="L7" i="3"/>
  <c r="L12" i="3"/>
  <c r="I18" i="3"/>
  <c r="I19" i="3"/>
  <c r="L20" i="3"/>
  <c r="I23" i="3"/>
  <c r="L28" i="3"/>
  <c r="I34" i="3"/>
  <c r="I35" i="3"/>
  <c r="L35" i="3"/>
  <c r="L36" i="3"/>
  <c r="I20" i="3"/>
  <c r="I28" i="3"/>
  <c r="O1" i="94"/>
  <c r="M37" i="11"/>
  <c r="I4" i="3"/>
  <c r="L5" i="3"/>
  <c r="I11" i="3"/>
  <c r="I17" i="3"/>
  <c r="I21" i="3"/>
  <c r="H38" i="3"/>
  <c r="I5" i="3"/>
  <c r="I12" i="3"/>
  <c r="L19" i="3"/>
  <c r="I22" i="3"/>
  <c r="L23" i="3"/>
  <c r="I37" i="11"/>
  <c r="K3" i="11"/>
  <c r="K37" i="11" s="1"/>
  <c r="C42" i="11" s="1"/>
  <c r="D37" i="11"/>
  <c r="E38" i="3"/>
  <c r="L8" i="3"/>
  <c r="L10" i="3"/>
  <c r="I15" i="3"/>
  <c r="L17" i="3"/>
  <c r="I31" i="3"/>
  <c r="L33" i="3"/>
  <c r="X16" i="111"/>
  <c r="I26" i="3"/>
  <c r="I27" i="3"/>
  <c r="I29" i="3"/>
  <c r="I33" i="3"/>
  <c r="X41" i="101"/>
  <c r="C38" i="3"/>
  <c r="G38" i="3"/>
  <c r="K38" i="3"/>
  <c r="I8" i="3"/>
  <c r="L9" i="3"/>
  <c r="I24" i="3"/>
  <c r="L25" i="3"/>
  <c r="L34" i="3"/>
  <c r="J38" i="3"/>
  <c r="I3" i="3"/>
  <c r="W16" i="110"/>
  <c r="W20" i="110"/>
  <c r="L38" i="3" l="1"/>
  <c r="B41" i="11"/>
  <c r="C41" i="11"/>
  <c r="D42" i="11"/>
  <c r="I38" i="3"/>
  <c r="B42" i="11"/>
  <c r="AC19" i="131"/>
  <c r="AA19" i="131"/>
  <c r="AC142" i="131"/>
  <c r="AA142" i="131"/>
  <c r="AC184" i="131"/>
  <c r="AA184" i="131"/>
  <c r="AC172" i="131"/>
  <c r="AA172" i="131"/>
  <c r="AB67" i="131"/>
  <c r="D67" i="131"/>
  <c r="AB85" i="131"/>
  <c r="D85" i="131"/>
  <c r="AB160" i="131"/>
  <c r="D160" i="131"/>
  <c r="AC154" i="131"/>
  <c r="AA154" i="131"/>
  <c r="AC79" i="131"/>
  <c r="AA79" i="131"/>
  <c r="AB178" i="131"/>
  <c r="D178" i="131"/>
  <c r="AB97" i="131"/>
  <c r="D97" i="131"/>
  <c r="AC97" i="131"/>
  <c r="AA97" i="131"/>
  <c r="AB172" i="131"/>
  <c r="D172" i="131"/>
  <c r="AC91" i="131"/>
  <c r="AA91" i="131"/>
  <c r="AC130" i="131"/>
  <c r="AA130" i="131"/>
  <c r="AB136" i="131"/>
  <c r="D136" i="131"/>
  <c r="AC214" i="131"/>
  <c r="AA214" i="131"/>
  <c r="AC61" i="131"/>
  <c r="AA61" i="131"/>
  <c r="AB124" i="131"/>
  <c r="D124" i="131"/>
  <c r="AC73" i="131"/>
  <c r="AA73" i="131"/>
  <c r="AB130" i="131"/>
  <c r="D130" i="131"/>
  <c r="AB109" i="131"/>
  <c r="D109" i="131"/>
  <c r="AC202" i="131"/>
  <c r="AA202" i="131"/>
  <c r="AB31" i="131"/>
  <c r="D31" i="131"/>
  <c r="AC25" i="131"/>
  <c r="AA25" i="131"/>
  <c r="AB37" i="131"/>
  <c r="D37" i="131"/>
  <c r="AB214" i="131"/>
  <c r="D214" i="131"/>
  <c r="AC13" i="131"/>
  <c r="AA13" i="131"/>
  <c r="AC190" i="131"/>
  <c r="AA190" i="131"/>
  <c r="AB103" i="131"/>
  <c r="D103" i="131"/>
  <c r="AB142" i="131"/>
  <c r="D142" i="131"/>
  <c r="AC31" i="131"/>
  <c r="AA31" i="131"/>
  <c r="AC67" i="131"/>
  <c r="AA67" i="131"/>
  <c r="AB13" i="131"/>
  <c r="D13" i="131"/>
  <c r="AB220" i="131"/>
  <c r="D220" i="131"/>
  <c r="AB19" i="131"/>
  <c r="D19" i="131"/>
  <c r="AC49" i="131"/>
  <c r="AA49" i="131"/>
  <c r="AB112" i="131"/>
  <c r="D112" i="131"/>
  <c r="AC160" i="131"/>
  <c r="AA160" i="131"/>
  <c r="AB190" i="131"/>
  <c r="D190" i="131"/>
  <c r="AB43" i="131"/>
  <c r="D43" i="131"/>
  <c r="AB166" i="131"/>
  <c r="D166" i="131"/>
  <c r="AB154" i="131"/>
  <c r="D154" i="131"/>
  <c r="AC148" i="131"/>
  <c r="AA148" i="131"/>
  <c r="AB25" i="131"/>
  <c r="D25" i="131"/>
  <c r="AB202" i="131"/>
  <c r="D202" i="131"/>
  <c r="AC109" i="131"/>
  <c r="AA109" i="131"/>
  <c r="AC178" i="131"/>
  <c r="AA178" i="131"/>
  <c r="AB55" i="131"/>
  <c r="D55" i="131"/>
  <c r="AC103" i="131"/>
  <c r="AA103" i="131"/>
  <c r="AB148" i="131"/>
  <c r="D148" i="131"/>
  <c r="AC85" i="131"/>
  <c r="AA85" i="131"/>
  <c r="AB91" i="131"/>
  <c r="D91" i="131"/>
  <c r="AC166" i="131"/>
  <c r="AA166" i="131"/>
  <c r="AC124" i="131"/>
  <c r="AA124" i="131"/>
  <c r="AC220" i="131"/>
  <c r="AA220" i="131"/>
  <c r="AB79" i="131"/>
  <c r="D79" i="131"/>
  <c r="AB61" i="131"/>
  <c r="D61" i="131"/>
  <c r="AC37" i="131"/>
  <c r="AA37" i="131"/>
  <c r="AB184" i="131"/>
  <c r="D184" i="131"/>
  <c r="AB118" i="131"/>
  <c r="D118" i="131"/>
  <c r="AC43" i="131"/>
  <c r="AA43" i="131"/>
  <c r="AB49" i="131"/>
  <c r="D49" i="131"/>
  <c r="AC112" i="131"/>
  <c r="AA112" i="131"/>
  <c r="AB73" i="131"/>
  <c r="D73" i="131"/>
  <c r="AC208" i="131"/>
  <c r="AA208" i="131"/>
  <c r="AC118" i="131"/>
  <c r="AA118" i="131"/>
  <c r="AC136" i="131"/>
  <c r="AA136" i="131"/>
  <c r="AB208" i="131"/>
  <c r="D208" i="131"/>
  <c r="AC55" i="131"/>
  <c r="AA55" i="131"/>
  <c r="Y49" i="131"/>
  <c r="J49" i="131"/>
  <c r="I49" i="131"/>
  <c r="Q49" i="131"/>
  <c r="T49" i="131"/>
  <c r="E49" i="131"/>
  <c r="N49" i="131"/>
  <c r="H49" i="131"/>
  <c r="G49" i="131"/>
  <c r="P49" i="131"/>
  <c r="Z49" i="131"/>
  <c r="U49" i="131"/>
  <c r="K49" i="131"/>
  <c r="F49" i="131"/>
  <c r="L49" i="131"/>
  <c r="M49" i="131"/>
  <c r="S49" i="131"/>
  <c r="V49" i="131"/>
  <c r="O49" i="131"/>
  <c r="W49" i="131"/>
  <c r="X49" i="131"/>
  <c r="C49" i="131"/>
  <c r="R49" i="131"/>
  <c r="R43" i="131"/>
  <c r="E43" i="131"/>
  <c r="S43" i="131"/>
  <c r="T43" i="131"/>
  <c r="W43" i="131"/>
  <c r="X43" i="131"/>
  <c r="V43" i="131"/>
  <c r="L43" i="131"/>
  <c r="I43" i="131"/>
  <c r="M43" i="131"/>
  <c r="N43" i="131"/>
  <c r="K43" i="131"/>
  <c r="F43" i="131"/>
  <c r="P43" i="131"/>
  <c r="U43" i="131"/>
  <c r="H43" i="131"/>
  <c r="Z43" i="131"/>
  <c r="O43" i="131"/>
  <c r="J43" i="131"/>
  <c r="Q43" i="131"/>
  <c r="Y43" i="131"/>
  <c r="C43" i="131"/>
  <c r="G43" i="131"/>
  <c r="Y142" i="131"/>
  <c r="E142" i="131"/>
  <c r="H142" i="131"/>
  <c r="U142" i="131"/>
  <c r="I142" i="131"/>
  <c r="G142" i="131"/>
  <c r="V142" i="131"/>
  <c r="S142" i="131"/>
  <c r="Z142" i="131"/>
  <c r="L142" i="131"/>
  <c r="X142" i="131"/>
  <c r="M142" i="131"/>
  <c r="J142" i="131"/>
  <c r="Q142" i="131"/>
  <c r="K142" i="131"/>
  <c r="O142" i="131"/>
  <c r="W142" i="131"/>
  <c r="T142" i="131"/>
  <c r="R142" i="131"/>
  <c r="N142" i="131"/>
  <c r="F142" i="131"/>
  <c r="C142" i="131"/>
  <c r="P142" i="131"/>
  <c r="R136" i="131"/>
  <c r="Z136" i="131"/>
  <c r="E136" i="131"/>
  <c r="G136" i="131"/>
  <c r="J136" i="131"/>
  <c r="T136" i="131"/>
  <c r="O136" i="131"/>
  <c r="H136" i="131"/>
  <c r="M136" i="131"/>
  <c r="I136" i="131"/>
  <c r="U136" i="131"/>
  <c r="Q136" i="131"/>
  <c r="K136" i="131"/>
  <c r="F136" i="131"/>
  <c r="Y136" i="131"/>
  <c r="N136" i="131"/>
  <c r="W136" i="131"/>
  <c r="S136" i="131"/>
  <c r="V136" i="131"/>
  <c r="X136" i="131"/>
  <c r="P136" i="131"/>
  <c r="C136" i="131"/>
  <c r="L136" i="131"/>
  <c r="Y112" i="131"/>
  <c r="N112" i="131"/>
  <c r="E112" i="131"/>
  <c r="U112" i="131"/>
  <c r="L112" i="131"/>
  <c r="R112" i="131"/>
  <c r="T112" i="131"/>
  <c r="I112" i="131"/>
  <c r="F112" i="131"/>
  <c r="X112" i="131"/>
  <c r="P112" i="131"/>
  <c r="Z112" i="131"/>
  <c r="K112" i="131"/>
  <c r="O112" i="131"/>
  <c r="S112" i="131"/>
  <c r="J112" i="131"/>
  <c r="G112" i="131"/>
  <c r="V112" i="131"/>
  <c r="W112" i="131"/>
  <c r="H112" i="131"/>
  <c r="Q112" i="131"/>
  <c r="C112" i="131"/>
  <c r="M112" i="131"/>
  <c r="K67" i="131"/>
  <c r="Y67" i="131"/>
  <c r="L67" i="131"/>
  <c r="J67" i="131"/>
  <c r="E67" i="131"/>
  <c r="T67" i="131"/>
  <c r="S67" i="131"/>
  <c r="P67" i="131"/>
  <c r="X67" i="131"/>
  <c r="M67" i="131"/>
  <c r="Z67" i="131"/>
  <c r="N67" i="131"/>
  <c r="F67" i="131"/>
  <c r="H67" i="131"/>
  <c r="W67" i="131"/>
  <c r="O67" i="131"/>
  <c r="I67" i="131"/>
  <c r="U67" i="131"/>
  <c r="V67" i="131"/>
  <c r="G67" i="131"/>
  <c r="R67" i="131"/>
  <c r="C67" i="131"/>
  <c r="Q67" i="131"/>
  <c r="J91" i="131"/>
  <c r="I91" i="131"/>
  <c r="L91" i="131"/>
  <c r="V91" i="131"/>
  <c r="U91" i="131"/>
  <c r="S91" i="131"/>
  <c r="P91" i="131"/>
  <c r="X91" i="131"/>
  <c r="F91" i="131"/>
  <c r="K91" i="131"/>
  <c r="Y91" i="131"/>
  <c r="R91" i="131"/>
  <c r="Z91" i="131"/>
  <c r="E91" i="131"/>
  <c r="W91" i="131"/>
  <c r="T91" i="131"/>
  <c r="Q91" i="131"/>
  <c r="H91" i="131"/>
  <c r="N91" i="131"/>
  <c r="G91" i="131"/>
  <c r="M91" i="131"/>
  <c r="C91" i="131"/>
  <c r="O91" i="131"/>
  <c r="W214" i="131"/>
  <c r="H214" i="131"/>
  <c r="Y214" i="131"/>
  <c r="N214" i="131"/>
  <c r="R214" i="131"/>
  <c r="I214" i="131"/>
  <c r="Z214" i="131"/>
  <c r="O214" i="131"/>
  <c r="U214" i="131"/>
  <c r="T214" i="131"/>
  <c r="X214" i="131"/>
  <c r="E214" i="131"/>
  <c r="V214" i="131"/>
  <c r="P214" i="131"/>
  <c r="G214" i="131"/>
  <c r="F214" i="131"/>
  <c r="S214" i="131"/>
  <c r="L214" i="131"/>
  <c r="J214" i="131"/>
  <c r="Q214" i="131"/>
  <c r="M214" i="131"/>
  <c r="C214" i="131"/>
  <c r="K214" i="131"/>
  <c r="Q172" i="131"/>
  <c r="S172" i="131"/>
  <c r="F172" i="131"/>
  <c r="Z172" i="131"/>
  <c r="Y172" i="131"/>
  <c r="U172" i="131"/>
  <c r="L172" i="131"/>
  <c r="I172" i="131"/>
  <c r="M172" i="131"/>
  <c r="E172" i="131"/>
  <c r="R172" i="131"/>
  <c r="P172" i="131"/>
  <c r="N172" i="131"/>
  <c r="J172" i="131"/>
  <c r="G172" i="131"/>
  <c r="X172" i="131"/>
  <c r="K172" i="131"/>
  <c r="W172" i="131"/>
  <c r="O172" i="131"/>
  <c r="T172" i="131"/>
  <c r="H172" i="131"/>
  <c r="C172" i="131"/>
  <c r="V172" i="131"/>
  <c r="K208" i="131"/>
  <c r="O208" i="131"/>
  <c r="H208" i="131"/>
  <c r="X208" i="131"/>
  <c r="E208" i="131"/>
  <c r="Y208" i="131"/>
  <c r="J208" i="131"/>
  <c r="F208" i="131"/>
  <c r="S208" i="131"/>
  <c r="T208" i="131"/>
  <c r="G208" i="131"/>
  <c r="U208" i="131"/>
  <c r="R208" i="131"/>
  <c r="M208" i="131"/>
  <c r="W208" i="131"/>
  <c r="Q208" i="131"/>
  <c r="N208" i="131"/>
  <c r="Z208" i="131"/>
  <c r="L208" i="131"/>
  <c r="V208" i="131"/>
  <c r="I208" i="131"/>
  <c r="C208" i="131"/>
  <c r="P208" i="131"/>
  <c r="X118" i="131"/>
  <c r="F118" i="131"/>
  <c r="M118" i="131"/>
  <c r="R118" i="131"/>
  <c r="T118" i="131"/>
  <c r="W118" i="131"/>
  <c r="U118" i="131"/>
  <c r="H118" i="131"/>
  <c r="O118" i="131"/>
  <c r="Z118" i="131"/>
  <c r="Y118" i="131"/>
  <c r="S118" i="131"/>
  <c r="K118" i="131"/>
  <c r="G118" i="131"/>
  <c r="V118" i="131"/>
  <c r="P118" i="131"/>
  <c r="J118" i="131"/>
  <c r="E118" i="131"/>
  <c r="L118" i="131"/>
  <c r="I118" i="131"/>
  <c r="N118" i="131"/>
  <c r="C118" i="131"/>
  <c r="Q118" i="131"/>
  <c r="O25" i="131"/>
  <c r="Z25" i="131"/>
  <c r="U25" i="131"/>
  <c r="W25" i="131"/>
  <c r="R25" i="131"/>
  <c r="P25" i="131"/>
  <c r="Q25" i="131"/>
  <c r="M25" i="131"/>
  <c r="S25" i="131"/>
  <c r="Y25" i="131"/>
  <c r="H25" i="131"/>
  <c r="K25" i="131"/>
  <c r="E25" i="131"/>
  <c r="G25" i="131"/>
  <c r="X25" i="131"/>
  <c r="F25" i="131"/>
  <c r="L25" i="131"/>
  <c r="T25" i="131"/>
  <c r="I25" i="131"/>
  <c r="N25" i="131"/>
  <c r="V25" i="131"/>
  <c r="C25" i="131"/>
  <c r="J25" i="131"/>
  <c r="O154" i="131"/>
  <c r="Q154" i="131"/>
  <c r="K154" i="131"/>
  <c r="R154" i="131"/>
  <c r="F154" i="131"/>
  <c r="J154" i="131"/>
  <c r="Z154" i="131"/>
  <c r="S154" i="131"/>
  <c r="X154" i="131"/>
  <c r="E154" i="131"/>
  <c r="I154" i="131"/>
  <c r="L154" i="131"/>
  <c r="W154" i="131"/>
  <c r="V154" i="131"/>
  <c r="G154" i="131"/>
  <c r="P154" i="131"/>
  <c r="M154" i="131"/>
  <c r="H154" i="131"/>
  <c r="U154" i="131"/>
  <c r="N154" i="131"/>
  <c r="Y154" i="131"/>
  <c r="C154" i="131"/>
  <c r="T154" i="131"/>
  <c r="U79" i="131"/>
  <c r="Z79" i="131"/>
  <c r="E79" i="131"/>
  <c r="X79" i="131"/>
  <c r="W79" i="131"/>
  <c r="R79" i="131"/>
  <c r="J79" i="131"/>
  <c r="Q79" i="131"/>
  <c r="V79" i="131"/>
  <c r="H79" i="131"/>
  <c r="T79" i="131"/>
  <c r="F79" i="131"/>
  <c r="I79" i="131"/>
  <c r="S79" i="131"/>
  <c r="O79" i="131"/>
  <c r="G79" i="131"/>
  <c r="K79" i="131"/>
  <c r="N79" i="131"/>
  <c r="L79" i="131"/>
  <c r="P79" i="131"/>
  <c r="Y79" i="131"/>
  <c r="C79" i="131"/>
  <c r="M79" i="131"/>
  <c r="O178" i="131"/>
  <c r="G178" i="131"/>
  <c r="R178" i="131"/>
  <c r="E178" i="131"/>
  <c r="W178" i="131"/>
  <c r="F178" i="131"/>
  <c r="H178" i="131"/>
  <c r="Q178" i="131"/>
  <c r="M178" i="131"/>
  <c r="U178" i="131"/>
  <c r="X178" i="131"/>
  <c r="S178" i="131"/>
  <c r="I178" i="131"/>
  <c r="V178" i="131"/>
  <c r="P178" i="131"/>
  <c r="Z178" i="131"/>
  <c r="L178" i="131"/>
  <c r="N178" i="131"/>
  <c r="J178" i="131"/>
  <c r="Y178" i="131"/>
  <c r="K178" i="131"/>
  <c r="C178" i="131"/>
  <c r="T178" i="131"/>
  <c r="I202" i="131"/>
  <c r="E202" i="131"/>
  <c r="J202" i="131"/>
  <c r="X202" i="131"/>
  <c r="G202" i="131"/>
  <c r="V202" i="131"/>
  <c r="R202" i="131"/>
  <c r="P202" i="131"/>
  <c r="H202" i="131"/>
  <c r="F202" i="131"/>
  <c r="S202" i="131"/>
  <c r="L202" i="131"/>
  <c r="T202" i="131"/>
  <c r="N202" i="131"/>
  <c r="K202" i="131"/>
  <c r="U202" i="131"/>
  <c r="O202" i="131"/>
  <c r="Q202" i="131"/>
  <c r="M202" i="131"/>
  <c r="Y202" i="131"/>
  <c r="Z202" i="131"/>
  <c r="C202" i="131"/>
  <c r="W202" i="131"/>
  <c r="L73" i="131"/>
  <c r="G73" i="131"/>
  <c r="K73" i="131"/>
  <c r="W73" i="131"/>
  <c r="T73" i="131"/>
  <c r="X73" i="131"/>
  <c r="U73" i="131"/>
  <c r="Y73" i="131"/>
  <c r="N73" i="131"/>
  <c r="R73" i="131"/>
  <c r="F73" i="131"/>
  <c r="O73" i="131"/>
  <c r="E73" i="131"/>
  <c r="I73" i="131"/>
  <c r="P73" i="131"/>
  <c r="Q73" i="131"/>
  <c r="J73" i="131"/>
  <c r="H73" i="131"/>
  <c r="M73" i="131"/>
  <c r="S73" i="131"/>
  <c r="Z73" i="131"/>
  <c r="C73" i="131"/>
  <c r="V73" i="131"/>
  <c r="R148" i="131"/>
  <c r="H148" i="131"/>
  <c r="W148" i="131"/>
  <c r="Z148" i="131"/>
  <c r="Y148" i="131"/>
  <c r="I148" i="131"/>
  <c r="E148" i="131"/>
  <c r="O148" i="131"/>
  <c r="X148" i="131"/>
  <c r="K148" i="131"/>
  <c r="V148" i="131"/>
  <c r="L148" i="131"/>
  <c r="M148" i="131"/>
  <c r="G148" i="131"/>
  <c r="F148" i="131"/>
  <c r="S148" i="131"/>
  <c r="T148" i="131"/>
  <c r="U148" i="131"/>
  <c r="P148" i="131"/>
  <c r="Q148" i="131"/>
  <c r="N148" i="131"/>
  <c r="C148" i="131"/>
  <c r="J148" i="131"/>
  <c r="R220" i="131"/>
  <c r="U220" i="131"/>
  <c r="Z220" i="131"/>
  <c r="F220" i="131"/>
  <c r="S220" i="131"/>
  <c r="O220" i="131"/>
  <c r="P220" i="131"/>
  <c r="W220" i="131"/>
  <c r="E220" i="131"/>
  <c r="V220" i="131"/>
  <c r="G220" i="131"/>
  <c r="L220" i="131"/>
  <c r="H220" i="131"/>
  <c r="I220" i="131"/>
  <c r="K220" i="131"/>
  <c r="Y220" i="131"/>
  <c r="T220" i="131"/>
  <c r="N220" i="131"/>
  <c r="M220" i="131"/>
  <c r="J220" i="131"/>
  <c r="Q220" i="131"/>
  <c r="C220" i="131"/>
  <c r="X220" i="131"/>
  <c r="Z190" i="131"/>
  <c r="V190" i="131"/>
  <c r="Y190" i="131"/>
  <c r="I190" i="131"/>
  <c r="H190" i="131"/>
  <c r="E190" i="131"/>
  <c r="S190" i="131"/>
  <c r="U190" i="131"/>
  <c r="L190" i="131"/>
  <c r="M190" i="131"/>
  <c r="F190" i="131"/>
  <c r="Q190" i="131"/>
  <c r="X190" i="131"/>
  <c r="K190" i="131"/>
  <c r="R190" i="131"/>
  <c r="P190" i="131"/>
  <c r="O190" i="131"/>
  <c r="W190" i="131"/>
  <c r="T190" i="131"/>
  <c r="J190" i="131"/>
  <c r="G190" i="131"/>
  <c r="C190" i="131"/>
  <c r="N190" i="131"/>
  <c r="X19" i="131"/>
  <c r="K19" i="131"/>
  <c r="E19" i="131"/>
  <c r="F19" i="131"/>
  <c r="N19" i="131"/>
  <c r="O19" i="131"/>
  <c r="L19" i="131"/>
  <c r="T19" i="131"/>
  <c r="U19" i="131"/>
  <c r="J19" i="131"/>
  <c r="H19" i="131"/>
  <c r="Z19" i="131"/>
  <c r="I19" i="131"/>
  <c r="V19" i="131"/>
  <c r="R19" i="131"/>
  <c r="Q19" i="131"/>
  <c r="P19" i="131"/>
  <c r="W19" i="131"/>
  <c r="S19" i="131"/>
  <c r="G19" i="131"/>
  <c r="M19" i="131"/>
  <c r="C19" i="131"/>
  <c r="Y19" i="131"/>
  <c r="J55" i="131"/>
  <c r="P55" i="131"/>
  <c r="V55" i="131"/>
  <c r="I55" i="131"/>
  <c r="M55" i="131"/>
  <c r="S55" i="131"/>
  <c r="Z55" i="131"/>
  <c r="U55" i="131"/>
  <c r="T55" i="131"/>
  <c r="L55" i="131"/>
  <c r="N55" i="131"/>
  <c r="Q55" i="131"/>
  <c r="R55" i="131"/>
  <c r="K55" i="131"/>
  <c r="W55" i="131"/>
  <c r="X55" i="131"/>
  <c r="Y55" i="131"/>
  <c r="F55" i="131"/>
  <c r="O55" i="131"/>
  <c r="E55" i="131"/>
  <c r="G55" i="131"/>
  <c r="C55" i="131"/>
  <c r="H55" i="131"/>
  <c r="K184" i="131"/>
  <c r="N184" i="131"/>
  <c r="V184" i="131"/>
  <c r="T184" i="131"/>
  <c r="I184" i="131"/>
  <c r="R184" i="131"/>
  <c r="J184" i="131"/>
  <c r="L184" i="131"/>
  <c r="M184" i="131"/>
  <c r="G184" i="131"/>
  <c r="Y184" i="131"/>
  <c r="S184" i="131"/>
  <c r="P184" i="131"/>
  <c r="F184" i="131"/>
  <c r="W184" i="131"/>
  <c r="Q184" i="131"/>
  <c r="X184" i="131"/>
  <c r="E184" i="131"/>
  <c r="U184" i="131"/>
  <c r="Z184" i="131"/>
  <c r="O184" i="131"/>
  <c r="C184" i="131"/>
  <c r="H184" i="131"/>
  <c r="W103" i="131"/>
  <c r="O103" i="131"/>
  <c r="L103" i="131"/>
  <c r="G103" i="131"/>
  <c r="P103" i="131"/>
  <c r="F103" i="131"/>
  <c r="K103" i="131"/>
  <c r="H103" i="131"/>
  <c r="E103" i="131"/>
  <c r="R103" i="131"/>
  <c r="Z103" i="131"/>
  <c r="J103" i="131"/>
  <c r="U103" i="131"/>
  <c r="X103" i="131"/>
  <c r="N103" i="131"/>
  <c r="S103" i="131"/>
  <c r="T103" i="131"/>
  <c r="Y103" i="131"/>
  <c r="Q103" i="131"/>
  <c r="M103" i="131"/>
  <c r="V103" i="131"/>
  <c r="C103" i="131"/>
  <c r="I103" i="131"/>
  <c r="U37" i="131"/>
  <c r="T37" i="131"/>
  <c r="M37" i="131"/>
  <c r="Y37" i="131"/>
  <c r="K37" i="131"/>
  <c r="Z37" i="131"/>
  <c r="S37" i="131"/>
  <c r="P37" i="131"/>
  <c r="X37" i="131"/>
  <c r="E37" i="131"/>
  <c r="R37" i="131"/>
  <c r="V37" i="131"/>
  <c r="Q37" i="131"/>
  <c r="F37" i="131"/>
  <c r="O37" i="131"/>
  <c r="L37" i="131"/>
  <c r="G37" i="131"/>
  <c r="H37" i="131"/>
  <c r="N37" i="131"/>
  <c r="I37" i="131"/>
  <c r="J37" i="131"/>
  <c r="C37" i="131"/>
  <c r="W37" i="131"/>
  <c r="O160" i="131"/>
  <c r="W160" i="131"/>
  <c r="I160" i="131"/>
  <c r="U160" i="131"/>
  <c r="J160" i="131"/>
  <c r="Y160" i="131"/>
  <c r="G160" i="131"/>
  <c r="M160" i="131"/>
  <c r="Z160" i="131"/>
  <c r="E160" i="131"/>
  <c r="L160" i="131"/>
  <c r="K160" i="131"/>
  <c r="Q160" i="131"/>
  <c r="T160" i="131"/>
  <c r="R160" i="131"/>
  <c r="F160" i="131"/>
  <c r="H160" i="131"/>
  <c r="N160" i="131"/>
  <c r="S160" i="131"/>
  <c r="V160" i="131"/>
  <c r="P160" i="131"/>
  <c r="C160" i="131"/>
  <c r="X160" i="131"/>
  <c r="K61" i="131"/>
  <c r="V61" i="131"/>
  <c r="Q61" i="131"/>
  <c r="F61" i="131"/>
  <c r="S61" i="131"/>
  <c r="Z61" i="131"/>
  <c r="E61" i="131"/>
  <c r="Y61" i="131"/>
  <c r="J61" i="131"/>
  <c r="T61" i="131"/>
  <c r="N61" i="131"/>
  <c r="H61" i="131"/>
  <c r="U61" i="131"/>
  <c r="M61" i="131"/>
  <c r="W61" i="131"/>
  <c r="I61" i="131"/>
  <c r="P61" i="131"/>
  <c r="X61" i="131"/>
  <c r="G61" i="131"/>
  <c r="R61" i="131"/>
  <c r="L61" i="131"/>
  <c r="C61" i="131"/>
  <c r="O61" i="131"/>
  <c r="S13" i="131"/>
  <c r="W13" i="131"/>
  <c r="X13" i="131"/>
  <c r="N13" i="131"/>
  <c r="F13" i="131"/>
  <c r="I13" i="131"/>
  <c r="Q13" i="131"/>
  <c r="J13" i="131"/>
  <c r="E13" i="131"/>
  <c r="M13" i="131"/>
  <c r="Z13" i="131"/>
  <c r="R13" i="131"/>
  <c r="Y13" i="131"/>
  <c r="L13" i="131"/>
  <c r="K13" i="131"/>
  <c r="H13" i="131"/>
  <c r="P13" i="131"/>
  <c r="T13" i="131"/>
  <c r="G13" i="131"/>
  <c r="U13" i="131"/>
  <c r="O13" i="131"/>
  <c r="C13" i="131"/>
  <c r="V13" i="131"/>
  <c r="I166" i="131"/>
  <c r="M166" i="131"/>
  <c r="N166" i="131"/>
  <c r="V166" i="131"/>
  <c r="T166" i="131"/>
  <c r="F166" i="131"/>
  <c r="Q166" i="131"/>
  <c r="O166" i="131"/>
  <c r="X166" i="131"/>
  <c r="W166" i="131"/>
  <c r="E166" i="131"/>
  <c r="G166" i="131"/>
  <c r="P166" i="131"/>
  <c r="Y166" i="131"/>
  <c r="U166" i="131"/>
  <c r="S166" i="131"/>
  <c r="L166" i="131"/>
  <c r="Z166" i="131"/>
  <c r="H166" i="131"/>
  <c r="K166" i="131"/>
  <c r="J166" i="131"/>
  <c r="C166" i="131"/>
  <c r="R166" i="131"/>
  <c r="N31" i="131"/>
  <c r="R31" i="131"/>
  <c r="Y31" i="131"/>
  <c r="F31" i="131"/>
  <c r="Z31" i="131"/>
  <c r="O31" i="131"/>
  <c r="I31" i="131"/>
  <c r="W31" i="131"/>
  <c r="G31" i="131"/>
  <c r="U31" i="131"/>
  <c r="X31" i="131"/>
  <c r="K31" i="131"/>
  <c r="S31" i="131"/>
  <c r="V31" i="131"/>
  <c r="P31" i="131"/>
  <c r="T31" i="131"/>
  <c r="J31" i="131"/>
  <c r="E31" i="131"/>
  <c r="M31" i="131"/>
  <c r="L31" i="131"/>
  <c r="Q31" i="131"/>
  <c r="C31" i="131"/>
  <c r="H31" i="131"/>
  <c r="K124" i="131"/>
  <c r="L124" i="131"/>
  <c r="F124" i="131"/>
  <c r="O124" i="131"/>
  <c r="Y124" i="131"/>
  <c r="P124" i="131"/>
  <c r="V124" i="131"/>
  <c r="H124" i="131"/>
  <c r="M124" i="131"/>
  <c r="E124" i="131"/>
  <c r="U124" i="131"/>
  <c r="Q124" i="131"/>
  <c r="Z124" i="131"/>
  <c r="J124" i="131"/>
  <c r="X124" i="131"/>
  <c r="I124" i="131"/>
  <c r="T124" i="131"/>
  <c r="N124" i="131"/>
  <c r="G124" i="131"/>
  <c r="W124" i="131"/>
  <c r="R124" i="131"/>
  <c r="C124" i="131"/>
  <c r="S124" i="131"/>
  <c r="U85" i="131"/>
  <c r="E85" i="131"/>
  <c r="W85" i="131"/>
  <c r="Q85" i="131"/>
  <c r="X85" i="131"/>
  <c r="M85" i="131"/>
  <c r="K85" i="131"/>
  <c r="L85" i="131"/>
  <c r="T85" i="131"/>
  <c r="I85" i="131"/>
  <c r="P85" i="131"/>
  <c r="V85" i="131"/>
  <c r="J85" i="131"/>
  <c r="G85" i="131"/>
  <c r="N85" i="131"/>
  <c r="O85" i="131"/>
  <c r="Y85" i="131"/>
  <c r="R85" i="131"/>
  <c r="Z85" i="131"/>
  <c r="F85" i="131"/>
  <c r="S85" i="131"/>
  <c r="C85" i="131"/>
  <c r="H85" i="131"/>
  <c r="Z109" i="131"/>
  <c r="T109" i="131"/>
  <c r="W109" i="131"/>
  <c r="Y109" i="131"/>
  <c r="Q109" i="131"/>
  <c r="J109" i="131"/>
  <c r="N109" i="131"/>
  <c r="R109" i="131"/>
  <c r="F109" i="131"/>
  <c r="G109" i="131"/>
  <c r="I109" i="131"/>
  <c r="V109" i="131"/>
  <c r="X109" i="131"/>
  <c r="O109" i="131"/>
  <c r="M109" i="131"/>
  <c r="L109" i="131"/>
  <c r="U109" i="131"/>
  <c r="H109" i="131"/>
  <c r="S109" i="131"/>
  <c r="K109" i="131"/>
  <c r="E109" i="131"/>
  <c r="C109" i="131"/>
  <c r="P109" i="131"/>
  <c r="Q97" i="131"/>
  <c r="P97" i="131"/>
  <c r="R97" i="131"/>
  <c r="M97" i="131"/>
  <c r="O97" i="131"/>
  <c r="F97" i="131"/>
  <c r="U97" i="131"/>
  <c r="N97" i="131"/>
  <c r="Z97" i="131"/>
  <c r="L97" i="131"/>
  <c r="G97" i="131"/>
  <c r="I97" i="131"/>
  <c r="T97" i="131"/>
  <c r="W97" i="131"/>
  <c r="K97" i="131"/>
  <c r="S97" i="131"/>
  <c r="Y97" i="131"/>
  <c r="J97" i="131"/>
  <c r="X97" i="131"/>
  <c r="H97" i="131"/>
  <c r="V97" i="131"/>
  <c r="C97" i="131"/>
  <c r="E97" i="131"/>
  <c r="L130" i="131"/>
  <c r="Y130" i="131"/>
  <c r="U130" i="131"/>
  <c r="K130" i="131"/>
  <c r="E130" i="131"/>
  <c r="V130" i="131"/>
  <c r="M130" i="131"/>
  <c r="O130" i="131"/>
  <c r="T130" i="131"/>
  <c r="W130" i="131"/>
  <c r="I130" i="131"/>
  <c r="S130" i="131"/>
  <c r="G130" i="131"/>
  <c r="R130" i="131"/>
  <c r="H130" i="131"/>
  <c r="Q130" i="131"/>
  <c r="J130" i="131"/>
  <c r="Z130" i="131"/>
  <c r="X130" i="131"/>
  <c r="P130" i="131"/>
  <c r="F130" i="131"/>
  <c r="C130" i="131"/>
  <c r="N130" i="131"/>
</calcChain>
</file>

<file path=xl/sharedStrings.xml><?xml version="1.0" encoding="utf-8"?>
<sst xmlns="http://schemas.openxmlformats.org/spreadsheetml/2006/main" count="7211" uniqueCount="1083">
  <si>
    <t>Number Of Institutions - Report 9</t>
  </si>
  <si>
    <t>State &amp; Specialisation - Wise Number Of Institutions</t>
  </si>
  <si>
    <t>State</t>
  </si>
  <si>
    <t>University</t>
  </si>
  <si>
    <t>College/Recognised Institution</t>
  </si>
  <si>
    <t>General</t>
  </si>
  <si>
    <t>Agriculture</t>
  </si>
  <si>
    <t>Medical</t>
  </si>
  <si>
    <t>Law</t>
  </si>
  <si>
    <t>Technical</t>
  </si>
  <si>
    <t>Veterinary</t>
  </si>
  <si>
    <t>Others</t>
  </si>
  <si>
    <t>Total</t>
  </si>
  <si>
    <t>Women Out of Total</t>
  </si>
  <si>
    <t>Andaman &amp; Nicobar</t>
  </si>
  <si>
    <t>Andhra Pradesh</t>
  </si>
  <si>
    <t>Arunachal Pradesh</t>
  </si>
  <si>
    <t>Assam</t>
  </si>
  <si>
    <t>Bihar</t>
  </si>
  <si>
    <t>Chandigarh</t>
  </si>
  <si>
    <t>Chhattisgarh</t>
  </si>
  <si>
    <t>Dadra &amp; Nagar Haveli</t>
  </si>
  <si>
    <t>Daman &amp; Diu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</si>
  <si>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</si>
  <si>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</si>
  <si>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</si>
  <si>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</si>
  <si>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</si>
  <si>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</si>
  <si>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</si>
  <si>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</si>
  <si>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</si>
  <si>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Lakshadweep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</si>
  <si>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</si>
  <si>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</si>
  <si>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</si>
  <si>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</si>
  <si>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</si>
  <si>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</si>
  <si>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</si>
  <si>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</si>
  <si>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</si>
  <si>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</si>
  <si>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</si>
  <si>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</si>
  <si>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Tripura</t>
  </si>
  <si>
    <t>Uttarakhand</t>
  </si>
  <si>
    <t>Uttar Pradesh</t>
  </si>
  <si>
    <t>West Bengal</t>
  </si>
  <si>
    <t>All India</t>
  </si>
  <si>
    <t>Percentage of Women's College</t>
  </si>
  <si>
    <t>% of Women's College</t>
  </si>
  <si>
    <t>Women's College</t>
  </si>
  <si>
    <t>Table</t>
  </si>
  <si>
    <t>1. State &amp; Specialisation - Wise Number Of Universities</t>
  </si>
  <si>
    <t>Andaman &amp; Nicobar Islands</t>
  </si>
  <si>
    <t>Chhatisgarh</t>
  </si>
  <si>
    <t>Jammu and Kashmir</t>
  </si>
  <si>
    <t>Uttrakhand</t>
  </si>
  <si>
    <r>
      <rPr>
        <b/>
        <sz val="11"/>
        <rFont val="Calibri"/>
        <family val="2"/>
      </rPr>
      <t>All India</t>
    </r>
  </si>
  <si>
    <t>Grand Total</t>
  </si>
  <si>
    <t>Private Un-Aided</t>
  </si>
  <si>
    <t>Private Aided</t>
  </si>
  <si>
    <t>Total Private</t>
  </si>
  <si>
    <t>Government</t>
  </si>
  <si>
    <t>% Number</t>
  </si>
  <si>
    <t>% Enrolment</t>
  </si>
  <si>
    <t>Enrolment in Private and Government Colleges</t>
  </si>
  <si>
    <t>Count of College Name</t>
  </si>
  <si>
    <t>Column Labels</t>
  </si>
  <si>
    <t>Row Labels</t>
  </si>
  <si>
    <t>Affiliated College</t>
  </si>
  <si>
    <t>Constituent / University College</t>
  </si>
  <si>
    <t>PG Center / Off-Campus Center</t>
  </si>
  <si>
    <t>Recognized Center</t>
  </si>
  <si>
    <t>Teacher Training</t>
  </si>
  <si>
    <t>Nursing</t>
  </si>
  <si>
    <t>PGDM</t>
  </si>
  <si>
    <t>Private</t>
  </si>
  <si>
    <t>5. Number of Private and Government Colleges</t>
  </si>
  <si>
    <t>Sl.
No.</t>
  </si>
  <si>
    <t>STATES/UTs</t>
  </si>
  <si>
    <t>Table 4. Number of College per Lakh Population(18-23 YEARS), Average Enrolment per College</t>
  </si>
  <si>
    <t>No. of College</t>
  </si>
  <si>
    <t>Sl No</t>
  </si>
  <si>
    <t>Post Graduate</t>
  </si>
  <si>
    <t>Under Graduate</t>
  </si>
  <si>
    <t>Male</t>
  </si>
  <si>
    <t>Female</t>
  </si>
  <si>
    <t>Ph.D.</t>
  </si>
  <si>
    <t>M.Phil.</t>
  </si>
  <si>
    <t>PG Diploma</t>
  </si>
  <si>
    <t>Diploma</t>
  </si>
  <si>
    <t>Certificate</t>
  </si>
  <si>
    <t>Integrated</t>
  </si>
  <si>
    <t>ALL CATEGORIES</t>
  </si>
  <si>
    <t>Number of universities</t>
  </si>
  <si>
    <t>Responding</t>
  </si>
  <si>
    <t>Note - Constituent Colleges of State/Central University not included.</t>
  </si>
  <si>
    <t>Table 7.</t>
  </si>
  <si>
    <t>Number of Colleges</t>
  </si>
  <si>
    <t>Per College Enrolment</t>
  </si>
  <si>
    <t>Response</t>
  </si>
  <si>
    <t>Polytechnics</t>
  </si>
  <si>
    <t>All Stand Alone Institutions</t>
  </si>
  <si>
    <t>Number of Institutions</t>
  </si>
  <si>
    <t>Enrolment</t>
  </si>
  <si>
    <t>Per Institution Enrolment</t>
  </si>
  <si>
    <t>Persons with Disability</t>
  </si>
  <si>
    <t>Muslim</t>
  </si>
  <si>
    <t>Other Minority Communities</t>
  </si>
  <si>
    <t>State-wise Enrolment through Regular Mode at various levels</t>
  </si>
  <si>
    <t>SC</t>
  </si>
  <si>
    <t>ST</t>
  </si>
  <si>
    <t>OBC</t>
  </si>
  <si>
    <t>UT</t>
  </si>
  <si>
    <t>South</t>
  </si>
  <si>
    <t>North-East</t>
  </si>
  <si>
    <t>East</t>
  </si>
  <si>
    <t>North</t>
  </si>
  <si>
    <t>West</t>
  </si>
  <si>
    <t>Zone</t>
  </si>
  <si>
    <t>Population</t>
  </si>
  <si>
    <t>Institute under Ministries</t>
  </si>
  <si>
    <t>Type of University</t>
  </si>
  <si>
    <t>Central University</t>
  </si>
  <si>
    <t>Central Open University</t>
  </si>
  <si>
    <t>Institute of National Importance</t>
  </si>
  <si>
    <t>State Public University</t>
  </si>
  <si>
    <t>State Open University</t>
  </si>
  <si>
    <t>State Private University</t>
  </si>
  <si>
    <t>Institute under State Legislature Act</t>
  </si>
  <si>
    <t>Deemed University-Government</t>
  </si>
  <si>
    <t>Deemed University-Government Aided</t>
  </si>
  <si>
    <t>Deemed University-Private</t>
  </si>
  <si>
    <t>Level</t>
  </si>
  <si>
    <t>All</t>
  </si>
  <si>
    <t>GER 18-22</t>
  </si>
  <si>
    <t>State,GER</t>
  </si>
  <si>
    <t>Male %</t>
  </si>
  <si>
    <t>Female %</t>
  </si>
  <si>
    <t>% of Total</t>
  </si>
  <si>
    <t>Telangana</t>
  </si>
  <si>
    <t xml:space="preserve">Table </t>
  </si>
  <si>
    <t>DistanceEnrolment</t>
  </si>
  <si>
    <t>State Private Open University</t>
  </si>
  <si>
    <t>Average Enrolment per College</t>
  </si>
  <si>
    <t>1. State &amp; Type - Wise Number of Universities</t>
  </si>
  <si>
    <t>In UTs of , Andaman &amp; Nicobar Islands,  Dadra &amp; Nagar Haveli, Daman &amp; Diu and Lakshadweep, there is no University.</t>
  </si>
  <si>
    <t>Lakshdweep</t>
  </si>
  <si>
    <t>ST Students</t>
  </si>
  <si>
    <t>SC Students</t>
  </si>
  <si>
    <t>All Categories</t>
  </si>
  <si>
    <t>States/UTs</t>
  </si>
  <si>
    <t>Table 26.</t>
  </si>
  <si>
    <t>Table 39.</t>
  </si>
  <si>
    <t>Table 3. State-wise Distribution of Districts in Different Ranges of number of Colleges</t>
  </si>
  <si>
    <t>Number of College</t>
  </si>
  <si>
    <t>Less than 10</t>
  </si>
  <si>
    <t>10-19</t>
  </si>
  <si>
    <t>20-49</t>
  </si>
  <si>
    <t>50-99</t>
  </si>
  <si>
    <t>100-199</t>
  </si>
  <si>
    <t>200-299</t>
  </si>
  <si>
    <t>300-399</t>
  </si>
  <si>
    <t>400-499</t>
  </si>
  <si>
    <t>500-999</t>
  </si>
  <si>
    <t>More than 1000</t>
  </si>
  <si>
    <t>Table 6(a).</t>
  </si>
  <si>
    <t>Table 8.</t>
  </si>
  <si>
    <t>Table 9.</t>
  </si>
  <si>
    <t>Andaman and Nicobar Islands</t>
  </si>
  <si>
    <t>Ladakh</t>
  </si>
  <si>
    <t>The Dadra and Nagar Haveli and Daman and Diu</t>
  </si>
  <si>
    <t>Rank</t>
  </si>
  <si>
    <t xml:space="preserve">Total </t>
  </si>
  <si>
    <t>%</t>
  </si>
  <si>
    <t>Distance %</t>
  </si>
  <si>
    <t>Table 6(b)</t>
  </si>
  <si>
    <t>14. State-wise  Estimated Enrolment for different Social Groups</t>
  </si>
  <si>
    <t xml:space="preserve">Central Open University </t>
  </si>
  <si>
    <t xml:space="preserve">Institute of National Importance </t>
  </si>
  <si>
    <t xml:space="preserve">State Open University </t>
  </si>
  <si>
    <t xml:space="preserve">State Private University </t>
  </si>
  <si>
    <t xml:space="preserve">State Private Open University </t>
  </si>
  <si>
    <t xml:space="preserve">Institute under State Legislature Act </t>
  </si>
  <si>
    <t xml:space="preserve">Deemed University-Government </t>
  </si>
  <si>
    <t xml:space="preserve">Deemed University-Government Aided </t>
  </si>
  <si>
    <t xml:space="preserve">Deemed University-Private </t>
  </si>
  <si>
    <t>Paramedical</t>
  </si>
  <si>
    <t>Hotel Management and Catering</t>
  </si>
  <si>
    <t>-</t>
  </si>
  <si>
    <t>Andaman &amp; Nicobar Islands,23.0150483008121</t>
  </si>
  <si>
    <t>Andhra Pradesh,37.0905916356014</t>
  </si>
  <si>
    <t>Arunachal Pradesh,38.0262091240433</t>
  </si>
  <si>
    <t>Assam,18.2318603693161</t>
  </si>
  <si>
    <t>Bihar,19.3554898971143</t>
  </si>
  <si>
    <t>Chandigarh,51.5708629579249</t>
  </si>
  <si>
    <t>Chhatisgarh,20.6214624640821</t>
  </si>
  <si>
    <t>Delhi,46.0885170667372</t>
  </si>
  <si>
    <t>Goa,31.6433079514223</t>
  </si>
  <si>
    <t>Gujarat,23.4939828743346</t>
  </si>
  <si>
    <t>Haryana,32.0997758235263</t>
  </si>
  <si>
    <t>Himachal Pradesh,40.6454913201465</t>
  </si>
  <si>
    <t>Jammu and Kashmir,32.7548651431096</t>
  </si>
  <si>
    <t>Jharkhand,19.625844698327</t>
  </si>
  <si>
    <t>Karnataka,35.1177009668876</t>
  </si>
  <si>
    <t>Kerala,45.7548545536373</t>
  </si>
  <si>
    <t>Lakshadweep,7.44383889405822</t>
  </si>
  <si>
    <t>Madhya Pradesh,27.6506203333994</t>
  </si>
  <si>
    <t>Maharashtra,33.8836613907127</t>
  </si>
  <si>
    <t>Manipur,43.1993827198751</t>
  </si>
  <si>
    <t>Meghalaya,27.1350987648388</t>
  </si>
  <si>
    <t>Mizoram,30.6681877961053</t>
  </si>
  <si>
    <t>Nagaland,19.587796848104</t>
  </si>
  <si>
    <t>Odisha,21.6990073011344</t>
  </si>
  <si>
    <t>Puducherry,52.2877998842747</t>
  </si>
  <si>
    <t>Punjab,27.1556801144871</t>
  </si>
  <si>
    <t>Rajasthan,27.2462984837942</t>
  </si>
  <si>
    <t>Sikkim,45.058456844514</t>
  </si>
  <si>
    <t>Tamil Nadu,48.9866630364311</t>
  </si>
  <si>
    <t>Telangana,40.1836569300763</t>
  </si>
  <si>
    <t>Tripura,21.8007075471698</t>
  </si>
  <si>
    <t>Uttar Pradesh,25.4017171828156</t>
  </si>
  <si>
    <t>Uttrakhand,57.7584374833308</t>
  </si>
  <si>
    <t>West Bengal,20.6295445155697</t>
  </si>
  <si>
    <t>All India,28.7731908869443</t>
  </si>
  <si>
    <t>Central University Total</t>
  </si>
  <si>
    <t>State Public University Total</t>
  </si>
  <si>
    <t>State Private University Total</t>
  </si>
  <si>
    <t>Deemed University-Government Total</t>
  </si>
  <si>
    <t>Deemed University-Government Aided Total</t>
  </si>
  <si>
    <t>Deemed University-Private Total</t>
  </si>
  <si>
    <t>Institute of National Importance Total</t>
  </si>
  <si>
    <t>37. Number of different types of Institutions attached with University</t>
  </si>
  <si>
    <t>Sl. No.</t>
  </si>
  <si>
    <t>State/UTs</t>
  </si>
  <si>
    <t>Unversities</t>
  </si>
  <si>
    <t>Colleges</t>
  </si>
  <si>
    <t>Registered</t>
  </si>
  <si>
    <t>Responded</t>
  </si>
  <si>
    <t>% of Response</t>
  </si>
  <si>
    <t>Lakshadweep*</t>
  </si>
  <si>
    <t>* Lakshadweep dose not have any University/Colleges &amp; Stand Alone Institutions. However 3 PG/Off-shore campus of University of Calicut, Malappuram are functiong from Lakshadweep.</t>
  </si>
  <si>
    <t>Table 2.</t>
  </si>
  <si>
    <t>Education</t>
  </si>
  <si>
    <t>Fine Arts</t>
  </si>
  <si>
    <t>Fisheries</t>
  </si>
  <si>
    <t>Journalism &amp; Mass Communication</t>
  </si>
  <si>
    <t>Language</t>
  </si>
  <si>
    <t>Management</t>
  </si>
  <si>
    <t>Oriental Learning</t>
  </si>
  <si>
    <t>Rural Development</t>
  </si>
  <si>
    <t>Sanskrit</t>
  </si>
  <si>
    <t>Science</t>
  </si>
  <si>
    <t>Architecture</t>
  </si>
  <si>
    <t>Arts</t>
  </si>
  <si>
    <t>Commerce</t>
  </si>
  <si>
    <t>Computer Application</t>
  </si>
  <si>
    <t>Education/Teacher Education</t>
  </si>
  <si>
    <t>Engineering &amp; Technology</t>
  </si>
  <si>
    <t>Hotel &amp; Tourism Management</t>
  </si>
  <si>
    <t>Medical-Allopathy</t>
  </si>
  <si>
    <t>Medical-Ayurveda</t>
  </si>
  <si>
    <t>Medical-Dental</t>
  </si>
  <si>
    <t>Medical-Homeopathy</t>
  </si>
  <si>
    <t>Medical-Others</t>
  </si>
  <si>
    <t>Para Medical</t>
  </si>
  <si>
    <t>Pharmacy</t>
  </si>
  <si>
    <t>Physiotherapy</t>
  </si>
  <si>
    <t>Social Work</t>
  </si>
  <si>
    <t>Sports/Yoga/Physical Education</t>
  </si>
  <si>
    <t>Private Total</t>
  </si>
  <si>
    <t>Number</t>
  </si>
  <si>
    <t>Chartered Accountant</t>
  </si>
  <si>
    <t>Culture</t>
  </si>
  <si>
    <t>Gandhian / Religious Study</t>
  </si>
  <si>
    <t>Social Science</t>
  </si>
  <si>
    <t>Other</t>
  </si>
  <si>
    <t>Home Science</t>
  </si>
  <si>
    <t xml:space="preserve">Sl. No. </t>
  </si>
  <si>
    <t>States</t>
  </si>
  <si>
    <t>Boys Hostel</t>
  </si>
  <si>
    <t>Girls Hostel</t>
  </si>
  <si>
    <t>Others Hostel</t>
  </si>
  <si>
    <t>Total Hostel</t>
  </si>
  <si>
    <t>Intake</t>
  </si>
  <si>
    <t>Residing</t>
  </si>
  <si>
    <t>Table 32.</t>
  </si>
  <si>
    <t xml:space="preserve"> Number of Hostels, Intake and Student Residing in various types of Universities
(b) Affiliated and Constituent Colleges</t>
  </si>
  <si>
    <t>Table 23.</t>
  </si>
  <si>
    <t>Group-A</t>
  </si>
  <si>
    <t>Group-B</t>
  </si>
  <si>
    <t>Group-C</t>
  </si>
  <si>
    <t>Group-D</t>
  </si>
  <si>
    <t>Table 24.</t>
  </si>
  <si>
    <t>EWS</t>
  </si>
  <si>
    <t>Table 40: Number of Universities during last 5 years</t>
  </si>
  <si>
    <t>2016-17</t>
  </si>
  <si>
    <t>2017-18</t>
  </si>
  <si>
    <t>2018-19</t>
  </si>
  <si>
    <t>2019-20</t>
  </si>
  <si>
    <t>India</t>
  </si>
  <si>
    <t>Table 41: Number of Universities by Type during last 5 years</t>
  </si>
  <si>
    <t>Table 42:</t>
  </si>
  <si>
    <t>Various College Indicators during last 5 years</t>
  </si>
  <si>
    <t>College per Lakh Population</t>
  </si>
  <si>
    <t>Table 43:</t>
  </si>
  <si>
    <t>Estimated Student Enrolment at various levels during last 5 years</t>
  </si>
  <si>
    <t>Both</t>
  </si>
  <si>
    <t>Table 44:</t>
  </si>
  <si>
    <t>Student Enrolment at various levels through Regular mode during last 5 years</t>
  </si>
  <si>
    <t>Table 45:</t>
  </si>
  <si>
    <t>Social Group-wise Enrolment during last 5 years</t>
  </si>
  <si>
    <t>Scheduled  Caste</t>
  </si>
  <si>
    <t>Scheduled Tribe</t>
  </si>
  <si>
    <t>Other Backward Classes</t>
  </si>
  <si>
    <t xml:space="preserve">Table 46: </t>
  </si>
  <si>
    <t>Enrolment in Minority Community &amp; PWD during last 5 years</t>
  </si>
  <si>
    <t xml:space="preserve">Table 47: </t>
  </si>
  <si>
    <t>Gross Enrolment Ratio (GER) during last 5 years</t>
  </si>
  <si>
    <t>ALL</t>
  </si>
  <si>
    <t xml:space="preserve">Table 48: </t>
  </si>
  <si>
    <t>Gender Parity Index (GPI) during last 5 years</t>
  </si>
  <si>
    <t>Table 49:</t>
  </si>
  <si>
    <t>Pupil Teacher Ratio (PTR) during last 5 years</t>
  </si>
  <si>
    <t>All Institutions</t>
  </si>
  <si>
    <t>University &amp; Colleges</t>
  </si>
  <si>
    <t>University &amp; its Constituent Units</t>
  </si>
  <si>
    <t>Regular &amp; Distance Mode</t>
  </si>
  <si>
    <t>Regular Mode</t>
  </si>
  <si>
    <t xml:space="preserve">Table 50: </t>
  </si>
  <si>
    <t>Enrolment by University Type at various levels during last 5 years</t>
  </si>
  <si>
    <t>All University Types</t>
  </si>
  <si>
    <t xml:space="preserve">Table 51: </t>
  </si>
  <si>
    <t>Post-wise Number of Teachers during last 5 years</t>
  </si>
  <si>
    <t>Professor &amp; Equivalent</t>
  </si>
  <si>
    <t>Reader &amp; Associate Professor</t>
  </si>
  <si>
    <t>Lecturer/ Assistant Professor</t>
  </si>
  <si>
    <t>Demonstrator/ Tutor</t>
  </si>
  <si>
    <t>Temporary Teacher etc.</t>
  </si>
  <si>
    <t>All Teacher</t>
  </si>
  <si>
    <t>Visiting Teacher</t>
  </si>
  <si>
    <t>State/Gender</t>
  </si>
  <si>
    <t xml:space="preserve">Male </t>
  </si>
  <si>
    <t xml:space="preserve">Female </t>
  </si>
  <si>
    <t>Table 11.</t>
  </si>
  <si>
    <t xml:space="preserve">Programme </t>
  </si>
  <si>
    <t>Ph.D.-Doctor of Philosophy</t>
  </si>
  <si>
    <t>Vidya Varidhi-Vidya Varidhi</t>
  </si>
  <si>
    <t>D.M.-Doctor of Medicine</t>
  </si>
  <si>
    <t>M.Ch.-Master of Chirurgiae</t>
  </si>
  <si>
    <t>D.Phil.-Doctor of Philosophy</t>
  </si>
  <si>
    <t>L.L.D.-Doctor of Laws</t>
  </si>
  <si>
    <t>Ayurveda Vachaspati-Ph.D in Ayurveda</t>
  </si>
  <si>
    <t>D.Sc.-Doctor of Science</t>
  </si>
  <si>
    <t>M.Phil.-Master of Philosophy</t>
  </si>
  <si>
    <t>M.A.-Master of Arts</t>
  </si>
  <si>
    <t>M.Sc.-Master of Science</t>
  </si>
  <si>
    <t>M.B.A.- Master of Business Administration</t>
  </si>
  <si>
    <t>M.Com.-Master of Commerce</t>
  </si>
  <si>
    <t>M.C.A. -Master of Computer Applications</t>
  </si>
  <si>
    <t>M.Tech. -Master of Technology</t>
  </si>
  <si>
    <t>M.D.-Doctor of Medicine</t>
  </si>
  <si>
    <t>M.S.W.-Master of Social Work</t>
  </si>
  <si>
    <t>M.Ed. -Master of Education</t>
  </si>
  <si>
    <t>M.Pharm. -Master of Pharmacy</t>
  </si>
  <si>
    <t>M.E.-Master of Engineering</t>
  </si>
  <si>
    <t>Pharm.D.-Doctor of Pharmacy</t>
  </si>
  <si>
    <t>L.L.M.-Master of Law or Laws</t>
  </si>
  <si>
    <t>M.S.-Master of Surgery</t>
  </si>
  <si>
    <t>Acharya-Acharya</t>
  </si>
  <si>
    <t>P.G.D.M.-Post-Graduate Diploma in Management</t>
  </si>
  <si>
    <t>M.D.S.-Master of Dental Surgery</t>
  </si>
  <si>
    <t>M.Sc. Nursing-Master of Science in Nursing</t>
  </si>
  <si>
    <t>M.P.Ed.-Master of Physical Education</t>
  </si>
  <si>
    <t>M.S.-Master of Science</t>
  </si>
  <si>
    <t>M.Mgt.-Master of Management</t>
  </si>
  <si>
    <t>M.L.I.Sc.-Master of Library &amp; Information Science</t>
  </si>
  <si>
    <t>M.P.T.-Master of Physiotherapy</t>
  </si>
  <si>
    <t>M.J.M.C.-Master of Journalism and Mass Communication</t>
  </si>
  <si>
    <t>M.F.A. -Master of Fine Arts</t>
  </si>
  <si>
    <t>M.Lib.Sc. -Master of Library Science</t>
  </si>
  <si>
    <t>P.G.P.-Post-Graduate Programme in Management</t>
  </si>
  <si>
    <t>M.B.A.(Tech.)-Master of Business Administration in Technology</t>
  </si>
  <si>
    <t>M.V.Sc. -Master of Veterinary Sciences</t>
  </si>
  <si>
    <t>M.Arch.-Master of Architecture</t>
  </si>
  <si>
    <t>M.H.A. -Master of Hospital Administration</t>
  </si>
  <si>
    <t>M.Des.-Master of Design</t>
  </si>
  <si>
    <t>Vachaspati-Vachaspati</t>
  </si>
  <si>
    <t>M.P.H. -Master of Public Health</t>
  </si>
  <si>
    <t>M.J.-Master of Journalism</t>
  </si>
  <si>
    <t>M.H.R.D. -Master of Human Resource Development</t>
  </si>
  <si>
    <t>M.Sc. Tech. -Master of Science in Technology</t>
  </si>
  <si>
    <t>M.F.M. -Master of Financial Management</t>
  </si>
  <si>
    <t>M.Plan.-Master of Planning</t>
  </si>
  <si>
    <t>M.Mus. -Master of Music</t>
  </si>
  <si>
    <t>M.L. -Master of Laws</t>
  </si>
  <si>
    <t>M.I.B.-Master of International Business</t>
  </si>
  <si>
    <t>M.P.A.-Master of Performing Arts</t>
  </si>
  <si>
    <t>M.F.Sc. -Master of Fishery Science</t>
  </si>
  <si>
    <t>M.Mkt.M. -Master of Marketing Management</t>
  </si>
  <si>
    <t>M.P.E.-Master of Physical Education</t>
  </si>
  <si>
    <t>M.F.M.-Master of Fashion Management</t>
  </si>
  <si>
    <t>M.Optom. -Master of Optometry</t>
  </si>
  <si>
    <t>M.P.S. -Master of Population Studies</t>
  </si>
  <si>
    <t>Shiksha Acharya-Shiksha Acharya</t>
  </si>
  <si>
    <t>M.Sc.(Medical Bio-Chemistry)-Master of Science in Medical Bio-Chemistry</t>
  </si>
  <si>
    <t>M.Sc. Tech.(Applied Geo-Physics)-Master of Science in Technology (Applied Geo-Physics)</t>
  </si>
  <si>
    <t>M.M.C.-Master in Mass Communication</t>
  </si>
  <si>
    <t>M.Stat. -Master of Statistics</t>
  </si>
  <si>
    <t>M.Sc.(Medical Microbiology)-Master of Science in Medical Microbiology</t>
  </si>
  <si>
    <t>M.O.T. -Master of Occupational Therapy</t>
  </si>
  <si>
    <t>M.O.L. -Master of Oriental Learning</t>
  </si>
  <si>
    <t>M.Sc.(Medical Physiology)-Master of Science in Medical Physiology</t>
  </si>
  <si>
    <t>M.F.Tech.-Master of Fashion Technology</t>
  </si>
  <si>
    <t>M.B.A.(Pharma. Tech.)-Master of Business Administration in Pharmaceutical Technology</t>
  </si>
  <si>
    <t>M.A.M.S.-Master of Ayurved in Medicine and Surgery</t>
  </si>
  <si>
    <t>Shikshan Parangat-Shikshan Parangat</t>
  </si>
  <si>
    <t>M.Litt.-Master of Literature or Master of Letters</t>
  </si>
  <si>
    <t>M.U.P.-Master of Urban Planning</t>
  </si>
  <si>
    <t>M.Dance-Master of Dance</t>
  </si>
  <si>
    <t>M.Sc.(Medical Anatomy) -Master of Science in Medical Anatomy</t>
  </si>
  <si>
    <t>M.H.M.S.-Master of Homeopathic Medicine and Science</t>
  </si>
  <si>
    <t>M.F.T. -Master of Foreign Trade</t>
  </si>
  <si>
    <t>M.T.P.M.-Master in Transportation Planning and Management</t>
  </si>
  <si>
    <t>M.Sc.(Medical Pharmacology)-Master of Science in Medical Pharmacology</t>
  </si>
  <si>
    <t>B.A.-Bachelor of Arts</t>
  </si>
  <si>
    <t>B.Sc.-Bachelor of Science</t>
  </si>
  <si>
    <t>B.Com.-Bachelor of Commerce</t>
  </si>
  <si>
    <t>B.Tech.-Bachelor of Technology</t>
  </si>
  <si>
    <t>B.A.(Hons)-Bachelor of Arts (Honors)</t>
  </si>
  <si>
    <t>B.E.-Bachelor of Engineering</t>
  </si>
  <si>
    <t>B.Ed.-Bachelor of Education</t>
  </si>
  <si>
    <t>B.Sc.(Hons)-Bachelor of Science (Honors)</t>
  </si>
  <si>
    <t>B.B.A.-Bachelor of Business Administration</t>
  </si>
  <si>
    <t>B.C.A.-Bachelor of Computer Applications</t>
  </si>
  <si>
    <t>L.L.B.-Bachelor of Law or Laws</t>
  </si>
  <si>
    <t>B.Pharm.-Bachelor of Pharmacy</t>
  </si>
  <si>
    <t>B.Sc.(Nursing)-Bachelor of Science in Nursing</t>
  </si>
  <si>
    <t>M.B.B.S.-Bachelor of Medicine and Bachelor of Surgery</t>
  </si>
  <si>
    <t>B.Agri.-Bachelor of Agriculture</t>
  </si>
  <si>
    <t>B.D.S.-Bachelor of Dental Surgery</t>
  </si>
  <si>
    <t>B.Architecture-Bachelor of Architecture</t>
  </si>
  <si>
    <t>B.P.T.-Bachelor of Physiotherapy</t>
  </si>
  <si>
    <t>B.A.M.S.-Bachelor of Ayurved Medicine &amp; Surgery</t>
  </si>
  <si>
    <t>B.H.M.S.-Bachelor of Homeopathic Medicine and Surgery</t>
  </si>
  <si>
    <t>B.S.W.-Bachelor of Social Work</t>
  </si>
  <si>
    <t>Shastri-Shastri</t>
  </si>
  <si>
    <t>B.M.S.-Bachelor of Management Studies</t>
  </si>
  <si>
    <t>B.P.Ed.-Bachelor of Physical Education</t>
  </si>
  <si>
    <t>B.Lib.I.Sc.-Bachelor of Library &amp; Information Science</t>
  </si>
  <si>
    <t>B.L.-Bachelor of Law or Laws</t>
  </si>
  <si>
    <t>B.H.M.-Bachelor of Hotel Management</t>
  </si>
  <si>
    <t>B.B.M.-Bachelor of Business Management</t>
  </si>
  <si>
    <t>B.Des.-Bachelor of Design</t>
  </si>
  <si>
    <t>B.Sc.(Post Basic)-B.Sc (Post Basic)</t>
  </si>
  <si>
    <t>Ayurvedacharya-Ayurvedacharya</t>
  </si>
  <si>
    <t>B.Litt.-Bachelor of Literature</t>
  </si>
  <si>
    <t>B.F.A.-Bachelor of Fine Arts</t>
  </si>
  <si>
    <t>B.H.M.C.T.-Bachelor of Hotel Management and Catering Technology</t>
  </si>
  <si>
    <t>B.P.E.-Bachelor of Physical Education</t>
  </si>
  <si>
    <t>B.V.Sc.&amp;A.H.-Bachelor of Veterinary Science &amp; Animal Husbandry</t>
  </si>
  <si>
    <t>B.J.M.C.-Bachelor of Journalism and Mass Communication</t>
  </si>
  <si>
    <t>B.Pharm.(Ayu.) -Bachelor of Ayurved in Pharmacy</t>
  </si>
  <si>
    <t>B.M.M.-Bachelor of Multi Media</t>
  </si>
  <si>
    <t>B.U.M.S.-Bachelor of Unani Medicine and Surgery</t>
  </si>
  <si>
    <t>B.Optom.-Bachelor of Clinical Optometry</t>
  </si>
  <si>
    <t>Shiksha Shastri-Shiksha Shastri</t>
  </si>
  <si>
    <t>B.Lib.Sc.-Bachelor of Library Science</t>
  </si>
  <si>
    <t>B.N.Y.S.-Bachelor of Naturopathy and Yogic Sciences</t>
  </si>
  <si>
    <t>B.P.A.-Bachelor of Performing Arts</t>
  </si>
  <si>
    <t>B.O.T.-Bachelor of Occupational Therapy</t>
  </si>
  <si>
    <t>B.H.A.-Bachelor of Hospital Administration</t>
  </si>
  <si>
    <t>B.H.M.T.T.-Bachelor of Hotel Management, Travel and Tourism</t>
  </si>
  <si>
    <t>B.F.Sc.-Bachelor of Fisheries Science</t>
  </si>
  <si>
    <t>B.S.Course-Bachelor of Science (Physician Assistant and Emergency &amp; Trauma Care Management)</t>
  </si>
  <si>
    <t>B.A.S.L.P.-Bachelor of Audiology and Speech Language Pathology</t>
  </si>
  <si>
    <t>B.H.T.M.-Bachelor of Hotel and Tourism Management</t>
  </si>
  <si>
    <t>B.F.Tech.-Bachelor of Fashion Technology</t>
  </si>
  <si>
    <t>B.J.-Bachelor of Journalism</t>
  </si>
  <si>
    <t>Alankar-Alankar</t>
  </si>
  <si>
    <t>B.Mus.-Bachelor of Music</t>
  </si>
  <si>
    <t>B.A.M.-Bachelor of Ayurved Medicine</t>
  </si>
  <si>
    <t>B.V.Sc.-Bachelor of Veterinary Science</t>
  </si>
  <si>
    <t>B.S.M.S.-Bachelor of Sridhar Medicine and Surgery</t>
  </si>
  <si>
    <t>B.G.L.-Bachelor of General Law</t>
  </si>
  <si>
    <t>B.Plan.-Bachelor of Planning</t>
  </si>
  <si>
    <t>B.Stat.-Bachelor of Statistics</t>
  </si>
  <si>
    <t>B.Nat.(Yogic Sciences)-Bachelor of Naturopathy and Yogic Sciences</t>
  </si>
  <si>
    <t>B.S.S.-Bachelor in Social Sciences</t>
  </si>
  <si>
    <t>B.Ch.E.-Bachelor of Chemical Engineering</t>
  </si>
  <si>
    <t>Visharad-Visharad</t>
  </si>
  <si>
    <t>B.P.S.-Bachelor of Professional Studies</t>
  </si>
  <si>
    <t>Vidhyalankar-Vidhyalankar</t>
  </si>
  <si>
    <t>B.B.S.-Bachelor of Business Studies</t>
  </si>
  <si>
    <t>B.O.L.-Bachelor of Oriental Learning</t>
  </si>
  <si>
    <t>B.Sc.(Sericulture)-Bachelor of Science in Sericulture</t>
  </si>
  <si>
    <t>B.Chem.Tech.-Bachelor of Chemical Technology</t>
  </si>
  <si>
    <t>B.C.E.-Bachelor of Civil Engineering</t>
  </si>
  <si>
    <t>B.Dance-Bachelor of Dance</t>
  </si>
  <si>
    <t>Samaj Vidya Visharad-Samaj Vidya Visharad</t>
  </si>
  <si>
    <t>B.I.B.F.-Bachelor of International Business and Finance</t>
  </si>
  <si>
    <t>Hindi Shiksha Visharad-Hindi Shiksha Visharad</t>
  </si>
  <si>
    <t>B.Sc.(FDP)-Bachelor of Science in Footwear Design and Production</t>
  </si>
  <si>
    <t>B.Sc.(RFM)-Bachelor of Science in Retail and Fashion Merchandize</t>
  </si>
  <si>
    <t>Medical Laboratory Technician</t>
  </si>
  <si>
    <t>B.Sc.(FLAD)-Bachelor of Science in Fashion Leather and Accessory Design</t>
  </si>
  <si>
    <t>B.I.M.-Bachelor of Indian Medicine</t>
  </si>
  <si>
    <t>PG Diploma-Post Graduate Diploma</t>
  </si>
  <si>
    <t>Diploma-Diploma</t>
  </si>
  <si>
    <t>D.Ed.-Diploma in Education</t>
  </si>
  <si>
    <t>G.N.M.-General Nursing &amp; Midwifery</t>
  </si>
  <si>
    <t>D.Pharma-Diploma in Pharmacy</t>
  </si>
  <si>
    <t>A.N.M.-Auxiliary Nurse &amp; Midwife</t>
  </si>
  <si>
    <t>D.Voc.-Diploma in Vocational Education</t>
  </si>
  <si>
    <t>Certificate-Certificate</t>
  </si>
  <si>
    <t>B.A. L.L.B.-Bachelor of Arts, Bachelor of Law or Laws</t>
  </si>
  <si>
    <t>B.A. B.Ed.-Bachelor of Arts, Bachelor of Education</t>
  </si>
  <si>
    <t>B.Sc. B.Ed.-Bachelor of Science, Bachelor of Education</t>
  </si>
  <si>
    <t>Integrated M.Sc.-Integrated Master of Science</t>
  </si>
  <si>
    <t>B.B.A. L.L.B.-Bachelor of Business Administration, Bachelor of Law or Laws</t>
  </si>
  <si>
    <t>B.Tech M.Tech-Bachelor of Technology, Master of Technology</t>
  </si>
  <si>
    <t>Integrated M.B.A.-Integrated Master of Business Administration</t>
  </si>
  <si>
    <t>B.Com. L.L.B.-Bachelor of Commerce, Bachelor of Law</t>
  </si>
  <si>
    <t>B.S. M.S.-Bachelor of Science, Master of Science</t>
  </si>
  <si>
    <t>Integrated M.A.-Integrated Master of Arts</t>
  </si>
  <si>
    <t>Integrated M.C.A.-Integrated Master of Computer Applications</t>
  </si>
  <si>
    <t>Integrated Ph.D-Integrated Doctor of Philosophy</t>
  </si>
  <si>
    <t>M.A. B.Ed.-Master of Arts, Bachelor of Education</t>
  </si>
  <si>
    <t>M.Sc. B.Ed.-Master of Science, Bachelor of Education</t>
  </si>
  <si>
    <t>B.Sc. L.L.B.-Bachelor of Science, Bachelor of Law or Laws</t>
  </si>
  <si>
    <t>M.Com. B.Ed.-Master of Commerce, Bachelor of Education</t>
  </si>
  <si>
    <t>B.Com. B.Ed.-Bachelor of Commerce, Bachelor of Education</t>
  </si>
  <si>
    <t xml:space="preserve">AII India </t>
  </si>
  <si>
    <t>Table 11(a).</t>
  </si>
  <si>
    <t>Programme-wise Enrolment - Distance Mode
(Based on actual Response)</t>
  </si>
  <si>
    <t>Programme</t>
  </si>
  <si>
    <t>Scheduled Caste</t>
  </si>
  <si>
    <t>Discipline</t>
  </si>
  <si>
    <t>Computer Engineering</t>
  </si>
  <si>
    <t>Mechanical Engineering</t>
  </si>
  <si>
    <t>Electronics Engineering</t>
  </si>
  <si>
    <t>Civil Engineering</t>
  </si>
  <si>
    <t>Electrical Engineering</t>
  </si>
  <si>
    <t>Other Engineering &amp; Technology</t>
  </si>
  <si>
    <t>Information Technology</t>
  </si>
  <si>
    <t>Chemical Engineering</t>
  </si>
  <si>
    <t>Agriculture Engineering</t>
  </si>
  <si>
    <t>Aeronautical Engineering</t>
  </si>
  <si>
    <t>Food Technology</t>
  </si>
  <si>
    <t>Metallurgical Engineering</t>
  </si>
  <si>
    <t>Mining Engineering</t>
  </si>
  <si>
    <t>Marine Engineering</t>
  </si>
  <si>
    <t>Dairy Technology</t>
  </si>
  <si>
    <t>Planning</t>
  </si>
  <si>
    <t>Engineering &amp; Technology Total</t>
  </si>
  <si>
    <t>Medical Science</t>
  </si>
  <si>
    <t>General Medicine</t>
  </si>
  <si>
    <t>Dentistry</t>
  </si>
  <si>
    <t>Ayurveda</t>
  </si>
  <si>
    <t>Homeopathy</t>
  </si>
  <si>
    <t>Unani</t>
  </si>
  <si>
    <t>Ophthalmology</t>
  </si>
  <si>
    <t>Other Medical Science</t>
  </si>
  <si>
    <t>Occupational Therapy</t>
  </si>
  <si>
    <t>Hospital Administration</t>
  </si>
  <si>
    <t>Medical Management</t>
  </si>
  <si>
    <t>Pathology</t>
  </si>
  <si>
    <t>General Surgery</t>
  </si>
  <si>
    <t>Indian Medicine</t>
  </si>
  <si>
    <t>Medical Science Total</t>
  </si>
  <si>
    <t>IT &amp; Computer</t>
  </si>
  <si>
    <t>Indian Language</t>
  </si>
  <si>
    <t>Foreign Language</t>
  </si>
  <si>
    <t>Area Studies</t>
  </si>
  <si>
    <t>Physical Education</t>
  </si>
  <si>
    <t>Library &amp; Information Science</t>
  </si>
  <si>
    <t>Design</t>
  </si>
  <si>
    <t>Linguistics</t>
  </si>
  <si>
    <t>Fashion Technology</t>
  </si>
  <si>
    <t>Veterinary &amp; Animal Sciences</t>
  </si>
  <si>
    <t>Paramedical Science</t>
  </si>
  <si>
    <t>Hospitality and Tourism</t>
  </si>
  <si>
    <t>Cultural Studies</t>
  </si>
  <si>
    <t>Fisheries Science</t>
  </si>
  <si>
    <t>Religious Studies</t>
  </si>
  <si>
    <t>Women Studies</t>
  </si>
  <si>
    <t>Criminology &amp; Forensic Science</t>
  </si>
  <si>
    <t>Defence Studies</t>
  </si>
  <si>
    <t>Marine Science / Oceanography</t>
  </si>
  <si>
    <t>Footwear  Design</t>
  </si>
  <si>
    <t>Gandhian Studies</t>
  </si>
  <si>
    <t>Horticulture</t>
  </si>
  <si>
    <t>Forestry</t>
  </si>
  <si>
    <t>Sericulture</t>
  </si>
  <si>
    <t>Agriculture Total</t>
  </si>
  <si>
    <t>Foreign Trade</t>
  </si>
  <si>
    <t>Commerce Total</t>
  </si>
  <si>
    <t>Interior Design</t>
  </si>
  <si>
    <t>Design Total</t>
  </si>
  <si>
    <t>Urban Planning</t>
  </si>
  <si>
    <t>Transportation Planning</t>
  </si>
  <si>
    <t>Visual Arts</t>
  </si>
  <si>
    <t>Performing Arts</t>
  </si>
  <si>
    <t>Music</t>
  </si>
  <si>
    <t>Fine Arts Total</t>
  </si>
  <si>
    <t>Footwear Design &amp; Production</t>
  </si>
  <si>
    <t>Retail &amp; Fashion Merchandize</t>
  </si>
  <si>
    <t>English</t>
  </si>
  <si>
    <t>Other Foreign Languages</t>
  </si>
  <si>
    <t>French</t>
  </si>
  <si>
    <t>German</t>
  </si>
  <si>
    <t>Spanish</t>
  </si>
  <si>
    <t>Foreign Language Total</t>
  </si>
  <si>
    <t>Nutrition</t>
  </si>
  <si>
    <t>Home Science Total</t>
  </si>
  <si>
    <t>Hindi</t>
  </si>
  <si>
    <t>Other Indian Languages</t>
  </si>
  <si>
    <t>Bengali</t>
  </si>
  <si>
    <t>Urdu</t>
  </si>
  <si>
    <t>Tamil</t>
  </si>
  <si>
    <t>Telugu</t>
  </si>
  <si>
    <t>Odiya</t>
  </si>
  <si>
    <t>Kannada</t>
  </si>
  <si>
    <t>Punjabi</t>
  </si>
  <si>
    <t>Malayalam</t>
  </si>
  <si>
    <t>Indian Language Total</t>
  </si>
  <si>
    <t>Computer Science</t>
  </si>
  <si>
    <t>Animation</t>
  </si>
  <si>
    <t>Multi Media</t>
  </si>
  <si>
    <t>IT &amp; Computer Total</t>
  </si>
  <si>
    <t>Constitutional Law</t>
  </si>
  <si>
    <t>International Law</t>
  </si>
  <si>
    <t>Cyber Crime</t>
  </si>
  <si>
    <t>Civil Law</t>
  </si>
  <si>
    <t>Law Total</t>
  </si>
  <si>
    <t>Business Administration</t>
  </si>
  <si>
    <t>Business Management</t>
  </si>
  <si>
    <t>Other Management</t>
  </si>
  <si>
    <t>Technology</t>
  </si>
  <si>
    <t>Financial Management</t>
  </si>
  <si>
    <t>Human Resource Management</t>
  </si>
  <si>
    <t>Marketing Management</t>
  </si>
  <si>
    <t>International Business</t>
  </si>
  <si>
    <t>Agri-Business Management</t>
  </si>
  <si>
    <t>Pharmaceutical Technology</t>
  </si>
  <si>
    <t>Tourism Management</t>
  </si>
  <si>
    <t>Hotel Management</t>
  </si>
  <si>
    <t>Management Total</t>
  </si>
  <si>
    <t>Anesthesiology</t>
  </si>
  <si>
    <t>Gynaecology</t>
  </si>
  <si>
    <t>Pediatrics</t>
  </si>
  <si>
    <t>Orthopaedics</t>
  </si>
  <si>
    <t>Radiology</t>
  </si>
  <si>
    <t>Public Health</t>
  </si>
  <si>
    <t>Bio-Chemistry</t>
  </si>
  <si>
    <t>ENT</t>
  </si>
  <si>
    <t>Psychiatry</t>
  </si>
  <si>
    <t>Physiology</t>
  </si>
  <si>
    <t>Dermatology</t>
  </si>
  <si>
    <t>Microbiology</t>
  </si>
  <si>
    <t>Anatomy</t>
  </si>
  <si>
    <t>Radiothrapy</t>
  </si>
  <si>
    <t>Forensic Medicine/ Toxicology</t>
  </si>
  <si>
    <t>Bio-Technology</t>
  </si>
  <si>
    <t>Lab Medicine</t>
  </si>
  <si>
    <t>Nuclear Medicine</t>
  </si>
  <si>
    <t>Cardiology</t>
  </si>
  <si>
    <t>Oncology</t>
  </si>
  <si>
    <t>Neurology</t>
  </si>
  <si>
    <t>Medical Physics</t>
  </si>
  <si>
    <t>Urology</t>
  </si>
  <si>
    <t>Haematology</t>
  </si>
  <si>
    <t>Bio-Statistics</t>
  </si>
  <si>
    <t>Gastroenterology</t>
  </si>
  <si>
    <t>Nephrology</t>
  </si>
  <si>
    <t>Endocrinology</t>
  </si>
  <si>
    <t>Bio-Physics</t>
  </si>
  <si>
    <t>Plastic Surgery</t>
  </si>
  <si>
    <t>Hepatology</t>
  </si>
  <si>
    <t>Veda</t>
  </si>
  <si>
    <t>Jyotisha</t>
  </si>
  <si>
    <t>Oriental Learning Total</t>
  </si>
  <si>
    <t>Yoga</t>
  </si>
  <si>
    <t>Physical Education Total</t>
  </si>
  <si>
    <t>Mathematics</t>
  </si>
  <si>
    <t>Chemistry</t>
  </si>
  <si>
    <t>Other Science</t>
  </si>
  <si>
    <t>Physics</t>
  </si>
  <si>
    <t>Zoology</t>
  </si>
  <si>
    <t>Botany</t>
  </si>
  <si>
    <t>Statistics</t>
  </si>
  <si>
    <t>Life Science</t>
  </si>
  <si>
    <t>Environmental Science</t>
  </si>
  <si>
    <t>Geology</t>
  </si>
  <si>
    <t>Bio-Science</t>
  </si>
  <si>
    <t>Electronics</t>
  </si>
  <si>
    <t>Genetics</t>
  </si>
  <si>
    <t>Geo-Physics</t>
  </si>
  <si>
    <t>Science Total</t>
  </si>
  <si>
    <t>Political Science</t>
  </si>
  <si>
    <t>History</t>
  </si>
  <si>
    <t>Sociology</t>
  </si>
  <si>
    <t>Economics</t>
  </si>
  <si>
    <t>Other Social Science</t>
  </si>
  <si>
    <t>Geography</t>
  </si>
  <si>
    <t>Psychology</t>
  </si>
  <si>
    <t>Public Administration</t>
  </si>
  <si>
    <t>Philosophy</t>
  </si>
  <si>
    <t>Anthropology</t>
  </si>
  <si>
    <t>Population Studies</t>
  </si>
  <si>
    <t>Social Science Total</t>
  </si>
  <si>
    <t>Dairy Science</t>
  </si>
  <si>
    <t>Veterinary &amp; Animal Sciences Total</t>
  </si>
  <si>
    <t>Table 16.</t>
  </si>
  <si>
    <t>Country Name</t>
  </si>
  <si>
    <t>NEPAL</t>
  </si>
  <si>
    <t>AFGHANISTAN</t>
  </si>
  <si>
    <t>BANGLADESH</t>
  </si>
  <si>
    <t>BHUTAN</t>
  </si>
  <si>
    <t>SUDAN</t>
  </si>
  <si>
    <t>UNITED STATES</t>
  </si>
  <si>
    <t>NIGERIA</t>
  </si>
  <si>
    <t>YEMEN</t>
  </si>
  <si>
    <t>MALAYSIA</t>
  </si>
  <si>
    <t>UNITED ARAB EMIRATES</t>
  </si>
  <si>
    <t>SRI LANKA</t>
  </si>
  <si>
    <t>TANZANIA, UNITED REPUBLIC OF</t>
  </si>
  <si>
    <t>IRAN, ISLAMIC REPUBLIC OF</t>
  </si>
  <si>
    <t>ETHIOPIA</t>
  </si>
  <si>
    <t>CANADA</t>
  </si>
  <si>
    <t>SYRIAN ARAB REPUBLIC</t>
  </si>
  <si>
    <t>SOMALIA</t>
  </si>
  <si>
    <t>ZAMBIA</t>
  </si>
  <si>
    <t>ZIMBABWE</t>
  </si>
  <si>
    <t>SAUDI ARABIA</t>
  </si>
  <si>
    <t>BAHRAIN</t>
  </si>
  <si>
    <t>OMAN</t>
  </si>
  <si>
    <t>KUWAIT</t>
  </si>
  <si>
    <t>IRAQ</t>
  </si>
  <si>
    <t>KENYA</t>
  </si>
  <si>
    <t>QATAR</t>
  </si>
  <si>
    <t>TURKMENISTAN</t>
  </si>
  <si>
    <t>TIBETAN REFUGEES</t>
  </si>
  <si>
    <t>MYANMAR</t>
  </si>
  <si>
    <t>GHANA</t>
  </si>
  <si>
    <t>THAILAND</t>
  </si>
  <si>
    <t>UGANDA</t>
  </si>
  <si>
    <t>MALAWI</t>
  </si>
  <si>
    <t>MAURITIUS</t>
  </si>
  <si>
    <t>INDONESIA</t>
  </si>
  <si>
    <t>CÃ”TE D'IVOIRE</t>
  </si>
  <si>
    <t>MOZAMBIQUE</t>
  </si>
  <si>
    <t>UNITED KINGDOM</t>
  </si>
  <si>
    <t>KOREA, REPUBLIC OF</t>
  </si>
  <si>
    <t>CONGO</t>
  </si>
  <si>
    <t>SOUTH AFRICA</t>
  </si>
  <si>
    <t>MALDIVES</t>
  </si>
  <si>
    <t>SINGAPORE</t>
  </si>
  <si>
    <t>VIET NAM</t>
  </si>
  <si>
    <t>RWANDA</t>
  </si>
  <si>
    <t>CHINA</t>
  </si>
  <si>
    <t>CAMEROON</t>
  </si>
  <si>
    <t>EGYPT</t>
  </si>
  <si>
    <t>JAPAN</t>
  </si>
  <si>
    <t>MALI</t>
  </si>
  <si>
    <t>CONGO, THE DEMOCRATIC REPUBLIC OF THE</t>
  </si>
  <si>
    <t>AUSTRALIA</t>
  </si>
  <si>
    <t>ANGOLA</t>
  </si>
  <si>
    <t>GAMBIA</t>
  </si>
  <si>
    <t>NAMIBIA</t>
  </si>
  <si>
    <t>LESOTHO</t>
  </si>
  <si>
    <t>JORDAN</t>
  </si>
  <si>
    <t>TOGO</t>
  </si>
  <si>
    <t>FRANCE</t>
  </si>
  <si>
    <t>LIBYAN ARAB JAMAHIRIYA</t>
  </si>
  <si>
    <t>BURUNDI</t>
  </si>
  <si>
    <t>LIBERIA</t>
  </si>
  <si>
    <t>DJIBOUTI</t>
  </si>
  <si>
    <t>MADAGASCAR</t>
  </si>
  <si>
    <t>PALESTINIAN TERRITORY, OCCUPIED</t>
  </si>
  <si>
    <t>BELGIUM</t>
  </si>
  <si>
    <t>COMOROS</t>
  </si>
  <si>
    <t>GUINEA</t>
  </si>
  <si>
    <t>TURKEY</t>
  </si>
  <si>
    <t>DENMARK</t>
  </si>
  <si>
    <t>CHAD</t>
  </si>
  <si>
    <t>BOTSWANA</t>
  </si>
  <si>
    <t>GUINEA-BISSAU</t>
  </si>
  <si>
    <t>GERMANY</t>
  </si>
  <si>
    <t>RUSSIAN FEDERATION</t>
  </si>
  <si>
    <t>TAJIKISTAN</t>
  </si>
  <si>
    <t>UZBEKISTAN</t>
  </si>
  <si>
    <t>KOREA, DEMOCRATIC PEOPLE'S REPUBLIC OF</t>
  </si>
  <si>
    <t>ERITREA</t>
  </si>
  <si>
    <t>BURKINA FASO</t>
  </si>
  <si>
    <t>LAO PEOPLE'S DEMOCRATIC REPUBLIC</t>
  </si>
  <si>
    <t>ITALY</t>
  </si>
  <si>
    <t>CAMBODIA</t>
  </si>
  <si>
    <t>AMERICAN SAMOA</t>
  </si>
  <si>
    <t>PHILIPPINES</t>
  </si>
  <si>
    <t>SWAZILAND</t>
  </si>
  <si>
    <t>SEYCHELLES</t>
  </si>
  <si>
    <t>PAPUA NEW GUINEA</t>
  </si>
  <si>
    <t>BRAZIL</t>
  </si>
  <si>
    <t>SIERRA LEONE</t>
  </si>
  <si>
    <t>MONGOLIA</t>
  </si>
  <si>
    <t>CENTRAL AFRICAN REPUBLIC</t>
  </si>
  <si>
    <t>PAKISTAN</t>
  </si>
  <si>
    <t>FIJI</t>
  </si>
  <si>
    <t>NIGER</t>
  </si>
  <si>
    <t>NETHERLANDS</t>
  </si>
  <si>
    <t>ALBANIA</t>
  </si>
  <si>
    <t>COLOMBIA</t>
  </si>
  <si>
    <t>KAZAKHSTAN</t>
  </si>
  <si>
    <t>BENIN</t>
  </si>
  <si>
    <t>SWITZERLAND</t>
  </si>
  <si>
    <t>BRITISH INDIAN OCEAN TERRITORY</t>
  </si>
  <si>
    <t>GUYANA</t>
  </si>
  <si>
    <t>SWEDEN</t>
  </si>
  <si>
    <t>PORTUGAL</t>
  </si>
  <si>
    <t>TIMOR-LESTE</t>
  </si>
  <si>
    <t>AUSTRIA</t>
  </si>
  <si>
    <t>IRELAND</t>
  </si>
  <si>
    <t>SPAIN</t>
  </si>
  <si>
    <t>MARTINIQUE</t>
  </si>
  <si>
    <t>MOROCCO</t>
  </si>
  <si>
    <t>GABON</t>
  </si>
  <si>
    <t>TAIWAN, PROVINCE OF CHINA</t>
  </si>
  <si>
    <t>TUNISIA</t>
  </si>
  <si>
    <t>HONG KONG</t>
  </si>
  <si>
    <t>NEW ZEALAND</t>
  </si>
  <si>
    <t>ROMANIA</t>
  </si>
  <si>
    <t>MEXICO</t>
  </si>
  <si>
    <t>UKRAINE</t>
  </si>
  <si>
    <t>PERU</t>
  </si>
  <si>
    <t>CAPE VERDE</t>
  </si>
  <si>
    <t>SURINAME</t>
  </si>
  <si>
    <t>NORWAY</t>
  </si>
  <si>
    <t>CZECH REPUBLIC</t>
  </si>
  <si>
    <t>FINLAND</t>
  </si>
  <si>
    <t>POLAND</t>
  </si>
  <si>
    <t>TRINIDAD AND TOBAGO</t>
  </si>
  <si>
    <t>SERBIA</t>
  </si>
  <si>
    <t>ECUADOR</t>
  </si>
  <si>
    <t>LEBANON</t>
  </si>
  <si>
    <t>ISRAEL</t>
  </si>
  <si>
    <t>ARMENIA</t>
  </si>
  <si>
    <t>BELIZE</t>
  </si>
  <si>
    <t>ARGENTINA</t>
  </si>
  <si>
    <t>GEORGIA</t>
  </si>
  <si>
    <t>BAHAMAS</t>
  </si>
  <si>
    <t>BELARUS</t>
  </si>
  <si>
    <t>WALLIS AND FUTUNA</t>
  </si>
  <si>
    <t>BULGARIA</t>
  </si>
  <si>
    <t>JAMAICA</t>
  </si>
  <si>
    <t>MAURITANIA</t>
  </si>
  <si>
    <t>SENEGAL</t>
  </si>
  <si>
    <t>BOLIVIA</t>
  </si>
  <si>
    <t>ALGERIA</t>
  </si>
  <si>
    <t>HAITI</t>
  </si>
  <si>
    <t>ICELAND</t>
  </si>
  <si>
    <t>LATVIA</t>
  </si>
  <si>
    <t>PANAMA</t>
  </si>
  <si>
    <t>HUNGARY</t>
  </si>
  <si>
    <t>TONGA</t>
  </si>
  <si>
    <t>SLOVAKIA</t>
  </si>
  <si>
    <t>LITHUANIA</t>
  </si>
  <si>
    <t>Table 17.</t>
  </si>
  <si>
    <t xml:space="preserve"> Male</t>
  </si>
  <si>
    <t xml:space="preserve"> Female</t>
  </si>
  <si>
    <t>Table 21.</t>
  </si>
  <si>
    <t>Table 22.</t>
  </si>
  <si>
    <t>Sl. No,</t>
  </si>
  <si>
    <t>Temporary Teacher etc</t>
  </si>
  <si>
    <t>Table 22a.</t>
  </si>
  <si>
    <t>Table 22b.</t>
  </si>
  <si>
    <t>Table 33.</t>
  </si>
  <si>
    <t>Footwear  Design Total</t>
  </si>
  <si>
    <t>Islamic Studies</t>
  </si>
  <si>
    <t>Theology</t>
  </si>
  <si>
    <t>Buddhist Studies</t>
  </si>
  <si>
    <t>Christian Studies</t>
  </si>
  <si>
    <t>Jainism</t>
  </si>
  <si>
    <t>Religious Studies Total</t>
  </si>
  <si>
    <t>Table 29.</t>
  </si>
  <si>
    <t>Table 30.</t>
  </si>
  <si>
    <t>D.Litt.-Doctor of Literature</t>
  </si>
  <si>
    <t>Anu Parangat -Anu Parangat</t>
  </si>
  <si>
    <t>Master of Travel &amp; Tourism Management (MTTM)</t>
  </si>
  <si>
    <t>Management HRM</t>
  </si>
  <si>
    <t>EMBA - Executive MBA</t>
  </si>
  <si>
    <t>Master of Vocational (M Voc)</t>
  </si>
  <si>
    <t>MBA in Travel and Tourism Management</t>
  </si>
  <si>
    <t>PGDBA</t>
  </si>
  <si>
    <t>M.Sc. in Biosciences and Bioinformatics</t>
  </si>
  <si>
    <t>Art Education</t>
  </si>
  <si>
    <t>Fashion Art</t>
  </si>
  <si>
    <t>B.Voc.-Bachelor of Vocational</t>
  </si>
  <si>
    <t>Management Financial Services</t>
  </si>
  <si>
    <t>Fashion and Apparel Design</t>
  </si>
  <si>
    <t>Interior Design and Decoration</t>
  </si>
  <si>
    <t>Public Services</t>
  </si>
  <si>
    <t>Textile Design</t>
  </si>
  <si>
    <t>Management BPM</t>
  </si>
  <si>
    <t>Mechanical Manufacturing</t>
  </si>
  <si>
    <t xml:space="preserve"> Mechatronics</t>
  </si>
  <si>
    <t>B.DES. (Communication Design)</t>
  </si>
  <si>
    <t>Automotive Mechatronics Captive(Anand Group)</t>
  </si>
  <si>
    <t>Robotics and Automation</t>
  </si>
  <si>
    <t>Bachelor in Astrology</t>
  </si>
  <si>
    <t>BBA-LLB(Hons)</t>
  </si>
  <si>
    <t>B.SC. (IT) M.Sc. (IT)</t>
  </si>
  <si>
    <t>M.Tech. -Master of Technology and Ph.D.-Doctor of Philosophy</t>
  </si>
  <si>
    <t>BTTM MTTM</t>
  </si>
  <si>
    <t>MSc. -Master of Science and Ph.D.-Doctor of Philosophy</t>
  </si>
  <si>
    <t>M.Sc. -Master of Science and M.Tech. -Master of Technology</t>
  </si>
  <si>
    <t>Instrumentation Engineering</t>
  </si>
  <si>
    <t>Automotive Studies</t>
  </si>
  <si>
    <t>Communication Design</t>
  </si>
  <si>
    <t>Architecture &amp; Regional Planning</t>
  </si>
  <si>
    <t xml:space="preserve">Disability Studies_x000D_
</t>
  </si>
  <si>
    <t>Baudh Scultpure</t>
  </si>
  <si>
    <t>Scroll/ Fresco Paintings</t>
  </si>
  <si>
    <t>Hospitality Administration</t>
  </si>
  <si>
    <t>Hospitality and Hotel Administration</t>
  </si>
  <si>
    <t>Hospitality</t>
  </si>
  <si>
    <t>Culinary Art</t>
  </si>
  <si>
    <t>Food Production</t>
  </si>
  <si>
    <t>Pali</t>
  </si>
  <si>
    <t>IT &amp; Computing</t>
  </si>
  <si>
    <t>Graphics</t>
  </si>
  <si>
    <t>Mass Communication and Media Technology</t>
  </si>
  <si>
    <t>Management Studies &amp; Research</t>
  </si>
  <si>
    <t>Business Studies</t>
  </si>
  <si>
    <t>Software Application Development</t>
  </si>
  <si>
    <t>BFSI &amp; Finance</t>
  </si>
  <si>
    <t>Event Management</t>
  </si>
  <si>
    <t>Consultancy Management</t>
  </si>
  <si>
    <t>Baudh Medical science</t>
  </si>
  <si>
    <t>Oreintal Learning</t>
  </si>
  <si>
    <t>Yoga And Naturopathy</t>
  </si>
  <si>
    <t>Medical Lab Technology</t>
  </si>
  <si>
    <t>Radiology and Imaging Techniques</t>
  </si>
  <si>
    <t>Para Hospital Sciences</t>
  </si>
  <si>
    <t>Radiation Technology</t>
  </si>
  <si>
    <t>Medical Transcription</t>
  </si>
  <si>
    <t>Medical Radiology Technology</t>
  </si>
  <si>
    <t>Optometry</t>
  </si>
  <si>
    <t>Dietetics And Nutrition</t>
  </si>
  <si>
    <t>Anesthesia Technician</t>
  </si>
  <si>
    <t>Emergency And Trauma Care Technology</t>
  </si>
  <si>
    <t>Dialysis Technology</t>
  </si>
  <si>
    <t>Ophthalmic Technology &amp; Optometry</t>
  </si>
  <si>
    <t>Operation Theater Technician</t>
  </si>
  <si>
    <t>Radio Imaging</t>
  </si>
  <si>
    <t>Cardiac Technology</t>
  </si>
  <si>
    <t>Physiotherapy Technology</t>
  </si>
  <si>
    <t>Clinical Dietetics</t>
  </si>
  <si>
    <t>Operation Theater Technology</t>
  </si>
  <si>
    <t>Echocardiography</t>
  </si>
  <si>
    <t>Perfusion Technology</t>
  </si>
  <si>
    <t>Dialysis Technician</t>
  </si>
  <si>
    <t>OphthalmicÂ  Technology</t>
  </si>
  <si>
    <t>Hospital  &amp; Health Information Administration</t>
  </si>
  <si>
    <t>Applied Sciences &amp; Humanities</t>
  </si>
  <si>
    <t>Business Process and Data Analytics</t>
  </si>
  <si>
    <t>Natural Resources Management and Geoinformatics</t>
  </si>
  <si>
    <t>Humanities &amp; Social Sciences</t>
  </si>
  <si>
    <t>Archaeology</t>
  </si>
  <si>
    <t>Human Rights</t>
  </si>
  <si>
    <t>Life Sciences &amp; Health Care</t>
  </si>
  <si>
    <t>Psychology and Behavioral Sciences</t>
  </si>
  <si>
    <t>Hospitality and Tourism Total</t>
  </si>
  <si>
    <t>Journalism &amp; Mass Communication Total</t>
  </si>
  <si>
    <t>Paramedical Science Total</t>
  </si>
  <si>
    <t>33a. State-wise  Out-Turn for different Social Groups</t>
  </si>
  <si>
    <t>33b. State-wise  Out-Turn in PWD and Minority Communities</t>
  </si>
  <si>
    <t>Table 34a.</t>
  </si>
  <si>
    <t>Ã…LAND ISLANDS</t>
  </si>
  <si>
    <t>AZERBAIJAN</t>
  </si>
  <si>
    <t>MICRONESIA, FEDERATED STATES OF</t>
  </si>
  <si>
    <t>SOUTH GEORGIA AND THE SOUTH SANDWICH ISLANDS</t>
  </si>
  <si>
    <t>DOMINICAN REPUBLIC</t>
  </si>
  <si>
    <t>EQUATORIAL GUINEA</t>
  </si>
  <si>
    <t>BRUNEI DARUSSALAM</t>
  </si>
  <si>
    <t>ANTIGUA AND BARBUDA</t>
  </si>
  <si>
    <t>MALTA</t>
  </si>
  <si>
    <t>GREECE</t>
  </si>
  <si>
    <t>SAINT KITTS AND NEVIS</t>
  </si>
  <si>
    <t xml:space="preserve">Central University </t>
  </si>
  <si>
    <t xml:space="preserve">State Public University </t>
  </si>
  <si>
    <t>DCF NA</t>
  </si>
  <si>
    <t>Plastering Technology</t>
  </si>
  <si>
    <t>CCU Nursing (Critical Care)</t>
  </si>
  <si>
    <t>Table 9a.</t>
  </si>
  <si>
    <t>2020-21</t>
  </si>
  <si>
    <t>The Dadra and Nagar Haveli &amp; Daman and Diu</t>
  </si>
  <si>
    <t>Cultural  Studies</t>
  </si>
  <si>
    <t>No. of College per lakh population</t>
  </si>
  <si>
    <t>Table 4(a).</t>
  </si>
  <si>
    <t>6. State-wise Estimated Enrolment at various levels</t>
  </si>
  <si>
    <t>State-wise Enrolment through Distance Mode at various levels
(Based on Actual Response)</t>
  </si>
  <si>
    <t>Number of Colleges and Enrolment in responding Colleges at various levels
(Based on Actual Response)</t>
  </si>
  <si>
    <t>15. State-wise  Estimated Enrolmen in PWD and Minority Communities</t>
  </si>
  <si>
    <t>Level-wise Enrolment in various types of Universities
(a) Teaching departments and it's Constituent Units/Off-campus Centres</t>
  </si>
  <si>
    <t>Level-wise Enrolment in various types of Universities
(b) Affiliated and Constituent Colleges
(Based on Actual Response)</t>
  </si>
  <si>
    <t>27. Social Group-wise Enrolment in various types of Universities
(a) Teaching departments and it's Constituent Units/Off-campus Centres
(Based on Actual Response)</t>
  </si>
  <si>
    <t>28. PWD and Minority Enrolment in various types of Universities (based on actual response)
(a) Teaching departments and it's Constituent Units/Off-campus Centres
(Based on Actual Response)</t>
  </si>
  <si>
    <t>27. Category-wise Enrolment in various types of Universities
(b) Affiliated and Constituent Colleges
(Based on Actual Response)</t>
  </si>
  <si>
    <t>28. PWD and Minority Enrolment in various types of Universities (based on actual response)
(b) Affiliated and Constituent Colleges
(Based on Actual Response)</t>
  </si>
  <si>
    <t>Post-wise Number of Teachers in various types of Universities 
(Based on Actual Response)
(a) Teaching Departments and it's Constituent Units/Off-campus Centres</t>
  </si>
  <si>
    <t>Post-wise Number of Teachers in various types of Universities 
(Based on Actual Response)
(b) Affiliated and Constituent Colleges</t>
  </si>
  <si>
    <t xml:space="preserve"> Number of Hostels, Intake and Student Residing in various types of Universities
(a) Teaching departments and it's Constituent Units/Off-campus Centres</t>
  </si>
  <si>
    <t>Enrolment by Type in  University teaching departments and it's Constituent Units/Off-campus Centres
(Based on Actual Response)</t>
  </si>
  <si>
    <t xml:space="preserve">Table 1(a). </t>
  </si>
  <si>
    <t>5. Number of Private and Government Colleges
(Based on Actual Response)</t>
  </si>
  <si>
    <t>5(a). Enrolment in Private and Government Colleges
(Based on Actual Response)</t>
  </si>
  <si>
    <t>5(b). Number of Colleges Established in 2019 and their Enrolment
(Based on Actual Response)</t>
  </si>
  <si>
    <t>Specialisation-wise number of Colleges (Based on Actual Response)</t>
  </si>
  <si>
    <t>Enrolment in Universities Teaching Departments and it's Constituent Units/Off-campus Centres
(Based on Actual Response)</t>
  </si>
  <si>
    <t>Programme-wise Enrolment (Based on Actual Response)</t>
  </si>
  <si>
    <t>Programme-wise Enrolment - Distance Mode
(Based on Actual Response)</t>
  </si>
  <si>
    <t>Table 12. Enrolment at Under Graduate Level in Major Disciplines/ Subjects (Based on Actual Response)</t>
  </si>
  <si>
    <t>Table 13. Enrolment at Ph.D., M.Phil. &amp; Post Graduate Level in Major Disciplines/ Subjects (Based on Actual Response)</t>
  </si>
  <si>
    <t>Country-wise &amp; Level-wise Foreign Students
(Based on Actual Response)</t>
  </si>
  <si>
    <t>State-wise &amp; Level-wise Foreign Students
(Based on Actual Response)</t>
  </si>
  <si>
    <t>18. Foreign Students in Different Programmes (Based on Actual Response)</t>
  </si>
  <si>
    <t>(a). State-wise Number of Teachers among various Social Groups 
(Based on Actual Response)</t>
  </si>
  <si>
    <t>(b). State-wise Number of Teachers among Minority &amp; PWD 
(Based on Actual Response)</t>
  </si>
  <si>
    <t>State &amp; Post-wise Number of Male &amp; Female Teachers 
(Based on Actual Response)</t>
  </si>
  <si>
    <t>Post-Wise Number of Teachers Universities &amp; It's Colleges 
(Based on Actual Response)</t>
  </si>
  <si>
    <t>Number of Teachers in Universities teaching departments and it's Constituent Units/Off-campus Centres (Based on Actual Response)</t>
  </si>
  <si>
    <t>(a). State-wise Number of Non-Teaching staff among various social groups
(Based on Actual response)</t>
  </si>
  <si>
    <t>(b). State-wise Number of Non-Teaching staff among Minority Communities &amp; PWD
(Based on Actual response)</t>
  </si>
  <si>
    <t>Social Group-wise Number of Teachers in various types of Universities
(Based on Actual Response)
(a) Teaching Departments and it's Constituent Units/Off-campus Centres</t>
  </si>
  <si>
    <t>Social Group-wise Number of Teachers in various types of Universities (Based on Actual Response)
(b) Affiliated and Constituent Colleges</t>
  </si>
  <si>
    <t>State-wise Out-turn/Pass-Out at various levels
(Based on Actual Response)</t>
  </si>
  <si>
    <t>Table 34. Programme-wise Out-turn/Pass-Out (Based on Actual Response)</t>
  </si>
  <si>
    <t xml:space="preserve"> Programme-wise Out-turn/Pass-Out (Based on Actual Response)</t>
  </si>
  <si>
    <t>Human Resource Mngt.</t>
  </si>
  <si>
    <t>Level-wise Enrolment in Standalone Institutions</t>
  </si>
  <si>
    <t>Number and Enrolment in different types of Standalone Institutions
(Based on Actual Response)</t>
  </si>
  <si>
    <t>Standalone Institutions</t>
  </si>
  <si>
    <t>Private 
(Un-Aided)</t>
  </si>
  <si>
    <t>Private (Aided)</t>
  </si>
  <si>
    <t>Table 20. Gender Parity Index (GPI) in Higher Education (18-23 Years)</t>
  </si>
  <si>
    <t>State &amp; Post-Wise Number of Male &amp; Female Non-Teaching staff
(Based on Actual Response)</t>
  </si>
  <si>
    <t>Table 25. Pupil Teacher Ratio (PTR) in Higher Education</t>
  </si>
  <si>
    <t>Sl. 
No.</t>
  </si>
  <si>
    <t>Table 52: Population in the Age Group 18-23 Years during last 5 years</t>
  </si>
  <si>
    <t>Gov</t>
  </si>
  <si>
    <t>Average Enrolment</t>
  </si>
  <si>
    <t>All  Colleges</t>
  </si>
  <si>
    <t>Government College</t>
  </si>
  <si>
    <t xml:space="preserve"> Private (Aided)</t>
  </si>
  <si>
    <t>Government Aided</t>
  </si>
  <si>
    <t xml:space="preserve">Madhya Pradesh </t>
  </si>
  <si>
    <t>Tamilnadu</t>
  </si>
  <si>
    <t>Age (18-22)</t>
  </si>
  <si>
    <t xml:space="preserve">Table 10. State-wise Estimated Enrolment in All Type of Institutions </t>
  </si>
  <si>
    <t>University and Its Constituent Units</t>
  </si>
  <si>
    <t>Stand Alone Institutions</t>
  </si>
  <si>
    <t>Govt.</t>
  </si>
  <si>
    <t>Govt. Aided</t>
  </si>
  <si>
    <t>Natural Resources Mngt. &amp; Geoinformatics</t>
  </si>
  <si>
    <t>Reader / Associate Professor &amp; Equivalent</t>
  </si>
  <si>
    <t>Lecturer / Assistant Professor &amp; Equivalent</t>
  </si>
  <si>
    <t>Demonstrator / Tutor</t>
  </si>
  <si>
    <t>Table 19. Gross Enrolment Ratio (GER) in Higher Education (18-23 Years) 
Based on 2011 Population</t>
  </si>
  <si>
    <t>State-wise Number of Hostels, Intake and Student Residing
(Based on Actual Response)</t>
  </si>
  <si>
    <t>Table 31.</t>
  </si>
  <si>
    <t>Table 38.</t>
  </si>
  <si>
    <t>Other Backward Class</t>
  </si>
  <si>
    <t>State &amp; Specialisation-wise Number of Universities
(Based on Actual Response)</t>
  </si>
  <si>
    <t xml:space="preserve"> Population (18-23 Years) -2020-21</t>
  </si>
  <si>
    <t>Table 35.</t>
  </si>
  <si>
    <t>Table 36.</t>
  </si>
  <si>
    <t>Table 36. Out-turn/Pass-Out at Ph.D., M.Phil. &amp; Post Graduate Level in Major Disciplines/ Subjects
(Based on Actual Response)</t>
  </si>
  <si>
    <t>Out-turn/Pass-Out at Under Graduate Level in Major Disciplines/ Subjects
(Based on Actual Response)</t>
  </si>
  <si>
    <t>Total Number of Institutions Registered and Responded in AISHE 2020-21</t>
  </si>
  <si>
    <t>Table 4(a). Specialisation-wise number of Colleges (Based on Actual Response)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</si>
</sst>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 * #,##0_ ;_ * \-#,##0_ ;_ * &quot;-&quot;_ ;_ @_ "/>
    <numFmt numFmtId="164" formatCode="_(* #,##0.00_);_(* \(#,##0.00\);_(* &quot;-&quot;??_);_(@_)"/>
    <numFmt numFmtId="165" formatCode="0.0"/>
    <numFmt numFmtId="166" formatCode="&quot;-&quot;###0"/>
    <numFmt numFmtId="167" formatCode="0;\-0;;@"/>
    <numFmt numFmtId="168" formatCode="##0"/>
  </numFmts>
  <fonts count="9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mbria"/>
      <family val="2"/>
    </font>
    <font>
      <sz val="10"/>
      <color indexed="8"/>
      <name val="SansSerif"/>
    </font>
    <font>
      <b/>
      <sz val="8"/>
      <color indexed="8"/>
      <name val="SansSerif"/>
    </font>
    <font>
      <b/>
      <sz val="10"/>
      <color indexed="8"/>
      <name val="SansSerif"/>
    </font>
    <font>
      <b/>
      <sz val="9"/>
      <color indexed="8"/>
      <name val="SansSerif"/>
    </font>
    <font>
      <b/>
      <sz val="12"/>
      <color indexed="8"/>
      <name val="Cambria"/>
      <family val="1"/>
      <scheme val="major"/>
    </font>
    <font>
      <sz val="12"/>
      <color indexed="8"/>
      <name val="Cambria"/>
      <family val="1"/>
      <scheme val="major"/>
    </font>
    <font>
      <sz val="12"/>
      <name val="Cambria"/>
      <family val="1"/>
      <scheme val="major"/>
    </font>
    <font>
      <b/>
      <sz val="14"/>
      <color indexed="8"/>
      <name val="Cambria"/>
      <family val="1"/>
      <scheme val="major"/>
    </font>
    <font>
      <sz val="10"/>
      <color rgb="FF000000"/>
      <name val="SansSerif"/>
      <family val="2"/>
    </font>
    <font>
      <b/>
      <sz val="10"/>
      <color rgb="FF000000"/>
      <name val="SansSerif"/>
      <family val="2"/>
    </font>
    <font>
      <b/>
      <sz val="11"/>
      <name val="Calibri"/>
      <family val="2"/>
    </font>
    <font>
      <sz val="10"/>
      <name val="Arial"/>
      <family val="2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1"/>
      <color theme="1"/>
      <name val="Calibri"/>
      <family val="2"/>
      <scheme val="minor"/>
    </font>
    <font>
      <b/>
      <sz val="11"/>
      <color theme="1"/>
      <name val="Cambria"/>
      <family val="1"/>
      <scheme val="major"/>
    </font>
    <font>
      <sz val="12"/>
      <name val="Palatino Linotype"/>
      <family val="1"/>
    </font>
    <font>
      <b/>
      <sz val="12"/>
      <name val="Cambria"/>
      <family val="1"/>
      <scheme val="major"/>
    </font>
    <font>
      <b/>
      <sz val="10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MS Sans Serif"/>
      <family val="2"/>
    </font>
    <font>
      <sz val="10"/>
      <name val="Arial"/>
      <family val="2"/>
    </font>
    <font>
      <sz val="10"/>
      <name val="MS Sans Serif"/>
    </font>
    <font>
      <b/>
      <sz val="10"/>
      <color theme="1"/>
      <name val="Arial"/>
      <family val="2"/>
    </font>
    <font>
      <b/>
      <sz val="14"/>
      <name val="Arial"/>
      <family val="2"/>
    </font>
    <font>
      <b/>
      <sz val="11"/>
      <name val="Arial"/>
      <family val="2"/>
    </font>
    <font>
      <i/>
      <sz val="9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b/>
      <sz val="12"/>
      <color indexed="8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1.5"/>
      <color theme="1"/>
      <name val="Arial"/>
      <family val="2"/>
    </font>
    <font>
      <sz val="11.5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  <font>
      <i/>
      <sz val="8"/>
      <name val="Arial"/>
      <family val="2"/>
    </font>
    <font>
      <b/>
      <sz val="10.5"/>
      <name val="Arial"/>
      <family val="2"/>
    </font>
    <font>
      <b/>
      <i/>
      <sz val="9"/>
      <name val="Arial"/>
      <family val="2"/>
    </font>
    <font>
      <sz val="12"/>
      <color theme="1"/>
      <name val="Arial"/>
      <family val="2"/>
    </font>
    <font>
      <i/>
      <sz val="11"/>
      <color theme="1"/>
      <name val="Arial"/>
      <family val="2"/>
    </font>
    <font>
      <sz val="11"/>
      <color indexed="8"/>
      <name val="Arial"/>
      <family val="2"/>
    </font>
    <font>
      <b/>
      <sz val="11.5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i/>
      <sz val="10"/>
      <name val="Arial"/>
      <family val="2"/>
    </font>
    <font>
      <sz val="13"/>
      <name val="Arial"/>
      <family val="2"/>
    </font>
    <font>
      <b/>
      <sz val="11"/>
      <color indexed="8"/>
      <name val="Arial"/>
      <family val="2"/>
    </font>
    <font>
      <b/>
      <sz val="11.5"/>
      <color indexed="8"/>
      <name val="Arial"/>
      <family val="2"/>
    </font>
    <font>
      <sz val="11.5"/>
      <name val="Arial"/>
      <family val="2"/>
    </font>
    <font>
      <b/>
      <sz val="10"/>
      <color indexed="8"/>
      <name val="Arial"/>
      <family val="2"/>
    </font>
    <font>
      <i/>
      <sz val="11"/>
      <name val="Arial"/>
      <family val="2"/>
    </font>
    <font>
      <b/>
      <sz val="10.5"/>
      <color indexed="8"/>
      <name val="Arial"/>
      <family val="2"/>
    </font>
    <font>
      <b/>
      <sz val="11"/>
      <color rgb="FF000000"/>
      <name val="Arial"/>
      <family val="2"/>
    </font>
    <font>
      <sz val="11"/>
      <color rgb="FF000000"/>
      <name val="Arial"/>
      <family val="2"/>
    </font>
    <font>
      <sz val="8"/>
      <name val="Arial"/>
      <family val="2"/>
    </font>
    <font>
      <i/>
      <sz val="8"/>
      <color indexed="8"/>
      <name val="Arial"/>
      <family val="2"/>
    </font>
    <font>
      <i/>
      <sz val="8"/>
      <color theme="1"/>
      <name val="Arial"/>
      <family val="2"/>
    </font>
    <font>
      <i/>
      <sz val="12"/>
      <name val="Arial"/>
      <family val="2"/>
    </font>
    <font>
      <i/>
      <sz val="11"/>
      <color indexed="8"/>
      <name val="Arial"/>
      <family val="2"/>
    </font>
    <font>
      <sz val="10"/>
      <color theme="5" tint="-0.249977111117893"/>
      <name val="Arial"/>
      <family val="2"/>
    </font>
    <font>
      <sz val="8"/>
      <color theme="1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FF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rgb="FFE6CED4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theme="4" tint="0.79998168889431442"/>
      </patternFill>
    </fill>
    <fill>
      <patternFill patternType="solid">
        <fgColor rgb="FFFFFFFF"/>
        <bgColor rgb="FF000000"/>
      </patternFill>
    </fill>
  </fills>
  <borders count="20">
    <border>
      <left/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75">
    <xf numFmtId="0" fontId="0" fillId="0" borderId="0"/>
    <xf numFmtId="0" fontId="32" fillId="0" borderId="0"/>
    <xf numFmtId="0" fontId="32" fillId="0" borderId="0"/>
    <xf numFmtId="0" fontId="35" fillId="0" borderId="0"/>
    <xf numFmtId="0" fontId="32" fillId="0" borderId="0"/>
    <xf numFmtId="0" fontId="32" fillId="0" borderId="0"/>
    <xf numFmtId="164" fontId="32" fillId="0" borderId="0" applyFont="0" applyFill="0" applyBorder="0" applyAlignment="0" applyProtection="0"/>
    <xf numFmtId="0" fontId="20" fillId="0" borderId="0"/>
    <xf numFmtId="0" fontId="35" fillId="0" borderId="0"/>
    <xf numFmtId="0" fontId="32" fillId="0" borderId="0"/>
    <xf numFmtId="0" fontId="35" fillId="0" borderId="0"/>
    <xf numFmtId="0" fontId="32" fillId="0" borderId="0"/>
    <xf numFmtId="0" fontId="35" fillId="0" borderId="0"/>
    <xf numFmtId="9" fontId="32" fillId="0" borderId="0" applyFont="0" applyFill="0" applyBorder="0" applyAlignment="0" applyProtection="0"/>
    <xf numFmtId="9" fontId="32" fillId="0" borderId="0" applyFont="0" applyFill="0" applyBorder="0" applyAlignment="0" applyProtection="0"/>
    <xf numFmtId="0" fontId="40" fillId="0" borderId="0"/>
    <xf numFmtId="0" fontId="19" fillId="0" borderId="0"/>
    <xf numFmtId="0" fontId="41" fillId="0" borderId="0"/>
    <xf numFmtId="0" fontId="32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42" fillId="0" borderId="0"/>
    <xf numFmtId="0" fontId="43" fillId="0" borderId="0"/>
    <xf numFmtId="0" fontId="17" fillId="0" borderId="0"/>
    <xf numFmtId="9" fontId="41" fillId="0" borderId="0" applyFont="0" applyFill="0" applyBorder="0" applyAlignment="0" applyProtection="0"/>
    <xf numFmtId="0" fontId="32" fillId="0" borderId="0"/>
    <xf numFmtId="0" fontId="16" fillId="0" borderId="0"/>
    <xf numFmtId="0" fontId="15" fillId="0" borderId="0"/>
    <xf numFmtId="0" fontId="15" fillId="0" borderId="0"/>
    <xf numFmtId="0" fontId="14" fillId="0" borderId="0"/>
    <xf numFmtId="0" fontId="41" fillId="0" borderId="0"/>
    <xf numFmtId="0" fontId="13" fillId="0" borderId="0"/>
    <xf numFmtId="0" fontId="44" fillId="0" borderId="0"/>
    <xf numFmtId="0" fontId="12" fillId="0" borderId="0"/>
    <xf numFmtId="0" fontId="45" fillId="0" borderId="0"/>
    <xf numFmtId="0" fontId="46" fillId="0" borderId="0"/>
    <xf numFmtId="0" fontId="11" fillId="0" borderId="0"/>
    <xf numFmtId="0" fontId="47" fillId="0" borderId="0"/>
    <xf numFmtId="0" fontId="32" fillId="0" borderId="0"/>
    <xf numFmtId="0" fontId="32" fillId="0" borderId="0"/>
    <xf numFmtId="0" fontId="10" fillId="0" borderId="0"/>
    <xf numFmtId="0" fontId="32" fillId="0" borderId="0"/>
    <xf numFmtId="0" fontId="32" fillId="0" borderId="0"/>
    <xf numFmtId="0" fontId="9" fillId="0" borderId="0"/>
    <xf numFmtId="0" fontId="32" fillId="0" borderId="0"/>
    <xf numFmtId="0" fontId="32" fillId="0" borderId="0"/>
    <xf numFmtId="0" fontId="8" fillId="0" borderId="0"/>
    <xf numFmtId="0" fontId="32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32" fillId="0" borderId="0"/>
    <xf numFmtId="0" fontId="32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9" fontId="93" fillId="0" borderId="0" applyFont="0" applyFill="0" applyBorder="0" applyAlignment="0" applyProtection="0"/>
    <xf numFmtId="41" fontId="94" fillId="0" borderId="0" applyFont="0" applyFill="0" applyBorder="0" applyAlignment="0" applyProtection="0"/>
  </cellStyleXfs>
  <cellXfs count="1200">
    <xf numFmtId="0" fontId="0" fillId="0" borderId="0" xfId="0"/>
    <xf numFmtId="0" fontId="0" fillId="2" borderId="0" xfId="0" applyFill="1"/>
    <xf numFmtId="0" fontId="21" fillId="2" borderId="0" xfId="0" applyFont="1" applyFill="1" applyAlignment="1">
      <alignment horizontal="left" vertical="top" wrapText="1"/>
    </xf>
    <xf numFmtId="0" fontId="24" fillId="2" borderId="1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6" fillId="2" borderId="0" xfId="0" applyFont="1" applyFill="1" applyAlignment="1">
      <alignment horizontal="left" vertical="top" wrapText="1"/>
    </xf>
    <xf numFmtId="0" fontId="27" fillId="0" borderId="0" xfId="0" applyFont="1"/>
    <xf numFmtId="0" fontId="25" fillId="2" borderId="2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left" vertical="center" wrapText="1"/>
    </xf>
    <xf numFmtId="0" fontId="25" fillId="2" borderId="3" xfId="0" applyFont="1" applyFill="1" applyBorder="1" applyAlignment="1">
      <alignment vertical="center" wrapText="1"/>
    </xf>
    <xf numFmtId="0" fontId="25" fillId="2" borderId="4" xfId="0" applyFont="1" applyFill="1" applyBorder="1" applyAlignment="1">
      <alignment horizontal="center" vertical="center" wrapText="1"/>
    </xf>
    <xf numFmtId="0" fontId="28" fillId="2" borderId="3" xfId="0" applyFont="1" applyFill="1" applyBorder="1" applyAlignment="1">
      <alignment vertical="center"/>
    </xf>
    <xf numFmtId="0" fontId="25" fillId="2" borderId="0" xfId="0" applyFont="1" applyFill="1" applyAlignment="1">
      <alignment vertical="center" wrapText="1"/>
    </xf>
    <xf numFmtId="0" fontId="28" fillId="2" borderId="0" xfId="0" applyFont="1" applyFill="1" applyAlignment="1">
      <alignment vertical="center"/>
    </xf>
    <xf numFmtId="0" fontId="25" fillId="2" borderId="2" xfId="0" applyFont="1" applyFill="1" applyBorder="1" applyAlignment="1">
      <alignment horizontal="center" vertical="center" textRotation="90" wrapText="1"/>
    </xf>
    <xf numFmtId="0" fontId="26" fillId="2" borderId="2" xfId="0" applyFont="1" applyFill="1" applyBorder="1" applyAlignment="1">
      <alignment horizontal="right" vertical="center" wrapText="1" indent="1"/>
    </xf>
    <xf numFmtId="0" fontId="25" fillId="2" borderId="2" xfId="0" applyFont="1" applyFill="1" applyBorder="1" applyAlignment="1">
      <alignment horizontal="right" vertical="center" wrapText="1" indent="1"/>
    </xf>
    <xf numFmtId="0" fontId="26" fillId="2" borderId="2" xfId="0" applyFont="1" applyFill="1" applyBorder="1" applyAlignment="1">
      <alignment horizontal="right" vertical="center" wrapText="1" indent="3"/>
    </xf>
    <xf numFmtId="165" fontId="26" fillId="2" borderId="2" xfId="0" applyNumberFormat="1" applyFont="1" applyFill="1" applyBorder="1" applyAlignment="1">
      <alignment horizontal="right" vertical="top" wrapText="1" indent="3"/>
    </xf>
    <xf numFmtId="165" fontId="26" fillId="2" borderId="2" xfId="0" applyNumberFormat="1" applyFont="1" applyFill="1" applyBorder="1" applyAlignment="1">
      <alignment horizontal="right" vertical="center" wrapText="1" indent="3"/>
    </xf>
    <xf numFmtId="0" fontId="25" fillId="2" borderId="2" xfId="0" applyFont="1" applyFill="1" applyBorder="1" applyAlignment="1">
      <alignment horizontal="right" vertical="center" wrapText="1" indent="3"/>
    </xf>
    <xf numFmtId="165" fontId="25" fillId="2" borderId="2" xfId="0" applyNumberFormat="1" applyFont="1" applyFill="1" applyBorder="1" applyAlignment="1">
      <alignment horizontal="right" vertical="center" wrapText="1" indent="3"/>
    </xf>
    <xf numFmtId="0" fontId="28" fillId="2" borderId="3" xfId="0" applyFont="1" applyFill="1" applyBorder="1" applyAlignment="1">
      <alignment horizontal="right" vertical="center"/>
    </xf>
    <xf numFmtId="0" fontId="29" fillId="3" borderId="5" xfId="0" applyFont="1" applyFill="1" applyBorder="1" applyAlignment="1">
      <alignment horizontal="left" vertical="center" wrapText="1"/>
    </xf>
    <xf numFmtId="0" fontId="29" fillId="3" borderId="5" xfId="0" applyFont="1" applyFill="1" applyBorder="1" applyAlignment="1">
      <alignment horizontal="right" vertical="center" wrapText="1"/>
    </xf>
    <xf numFmtId="0" fontId="30" fillId="3" borderId="5" xfId="0" applyFont="1" applyFill="1" applyBorder="1" applyAlignment="1">
      <alignment horizontal="center" vertical="center" wrapText="1"/>
    </xf>
    <xf numFmtId="0" fontId="33" fillId="0" borderId="0" xfId="0" applyFont="1"/>
    <xf numFmtId="0" fontId="33" fillId="0" borderId="0" xfId="0" applyFont="1" applyAlignment="1">
      <alignment vertical="center"/>
    </xf>
    <xf numFmtId="0" fontId="33" fillId="0" borderId="2" xfId="0" applyFont="1" applyBorder="1" applyAlignment="1">
      <alignment vertical="center"/>
    </xf>
    <xf numFmtId="0" fontId="34" fillId="0" borderId="0" xfId="0" applyFont="1" applyAlignment="1">
      <alignment vertical="center"/>
    </xf>
    <xf numFmtId="0" fontId="36" fillId="4" borderId="2" xfId="0" applyFont="1" applyFill="1" applyBorder="1" applyAlignment="1">
      <alignment horizontal="center" vertical="center" wrapText="1"/>
    </xf>
    <xf numFmtId="0" fontId="33" fillId="5" borderId="0" xfId="0" applyFont="1" applyFill="1" applyAlignment="1">
      <alignment horizontal="center"/>
    </xf>
    <xf numFmtId="0" fontId="33" fillId="0" borderId="2" xfId="0" applyFont="1" applyBorder="1" applyAlignment="1">
      <alignment vertical="center" wrapText="1"/>
    </xf>
    <xf numFmtId="0" fontId="33" fillId="0" borderId="2" xfId="0" applyFont="1" applyBorder="1" applyAlignment="1">
      <alignment horizontal="right" vertical="center"/>
    </xf>
    <xf numFmtId="0" fontId="34" fillId="0" borderId="2" xfId="0" applyFont="1" applyBorder="1" applyAlignment="1">
      <alignment vertical="center"/>
    </xf>
    <xf numFmtId="0" fontId="34" fillId="0" borderId="2" xfId="0" applyFont="1" applyBorder="1" applyAlignment="1">
      <alignment horizontal="right" vertical="center"/>
    </xf>
    <xf numFmtId="0" fontId="34" fillId="0" borderId="0" xfId="0" applyFont="1"/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right"/>
    </xf>
    <xf numFmtId="165" fontId="33" fillId="0" borderId="0" xfId="0" applyNumberFormat="1" applyFont="1" applyAlignment="1">
      <alignment horizontal="center"/>
    </xf>
    <xf numFmtId="0" fontId="36" fillId="4" borderId="4" xfId="0" applyFont="1" applyFill="1" applyBorder="1" applyAlignment="1">
      <alignment vertical="center" wrapText="1"/>
    </xf>
    <xf numFmtId="165" fontId="33" fillId="0" borderId="0" xfId="0" applyNumberFormat="1" applyFont="1" applyAlignment="1">
      <alignment vertical="center"/>
    </xf>
    <xf numFmtId="0" fontId="33" fillId="0" borderId="0" xfId="1" applyFont="1"/>
    <xf numFmtId="0" fontId="33" fillId="0" borderId="0" xfId="1" applyFont="1" applyAlignment="1">
      <alignment horizontal="left"/>
    </xf>
    <xf numFmtId="0" fontId="37" fillId="6" borderId="6" xfId="0" applyFont="1" applyFill="1" applyBorder="1" applyAlignment="1">
      <alignment horizontal="center" wrapText="1"/>
    </xf>
    <xf numFmtId="0" fontId="37" fillId="6" borderId="7" xfId="0" applyFont="1" applyFill="1" applyBorder="1" applyAlignment="1">
      <alignment horizontal="center" wrapText="1"/>
    </xf>
    <xf numFmtId="0" fontId="37" fillId="6" borderId="7" xfId="0" applyFont="1" applyFill="1" applyBorder="1" applyAlignment="1">
      <alignment horizontal="center" vertical="top" wrapText="1"/>
    </xf>
    <xf numFmtId="0" fontId="32" fillId="0" borderId="0" xfId="5" applyAlignment="1">
      <alignment vertical="center"/>
    </xf>
    <xf numFmtId="0" fontId="38" fillId="7" borderId="2" xfId="4" applyFont="1" applyFill="1" applyBorder="1" applyAlignment="1">
      <alignment horizontal="center" vertical="center" wrapText="1"/>
    </xf>
    <xf numFmtId="0" fontId="27" fillId="0" borderId="2" xfId="4" applyFont="1" applyBorder="1" applyAlignment="1">
      <alignment horizontal="center" vertical="center"/>
    </xf>
    <xf numFmtId="0" fontId="27" fillId="0" borderId="2" xfId="4" applyFont="1" applyBorder="1" applyAlignment="1">
      <alignment vertical="center" wrapText="1"/>
    </xf>
    <xf numFmtId="0" fontId="27" fillId="0" borderId="2" xfId="5" applyFont="1" applyBorder="1" applyAlignment="1">
      <alignment horizontal="right" vertical="center" indent="2"/>
    </xf>
    <xf numFmtId="0" fontId="38" fillId="0" borderId="0" xfId="0" applyFont="1" applyAlignment="1">
      <alignment horizontal="right" vertical="center"/>
    </xf>
    <xf numFmtId="0" fontId="38" fillId="0" borderId="0" xfId="0" applyFont="1" applyAlignment="1">
      <alignment vertical="center"/>
    </xf>
    <xf numFmtId="0" fontId="38" fillId="0" borderId="3" xfId="4" applyFont="1" applyBorder="1" applyAlignment="1">
      <alignment vertical="center" wrapText="1"/>
    </xf>
    <xf numFmtId="0" fontId="38" fillId="0" borderId="3" xfId="4" applyFont="1" applyBorder="1" applyAlignment="1">
      <alignment horizontal="left" vertical="center"/>
    </xf>
    <xf numFmtId="0" fontId="32" fillId="0" borderId="0" xfId="5" applyAlignment="1">
      <alignment horizontal="center" vertical="center"/>
    </xf>
    <xf numFmtId="0" fontId="27" fillId="0" borderId="2" xfId="5" applyFont="1" applyBorder="1" applyAlignment="1">
      <alignment horizontal="center" vertical="center"/>
    </xf>
    <xf numFmtId="0" fontId="32" fillId="0" borderId="0" xfId="0" applyFont="1"/>
    <xf numFmtId="0" fontId="52" fillId="0" borderId="2" xfId="1" applyFont="1" applyBorder="1" applyAlignment="1">
      <alignment horizontal="center" vertical="center"/>
    </xf>
    <xf numFmtId="0" fontId="52" fillId="0" borderId="0" xfId="1" applyFont="1" applyAlignment="1">
      <alignment horizontal="center" vertical="center"/>
    </xf>
    <xf numFmtId="0" fontId="55" fillId="2" borderId="0" xfId="1" applyFont="1" applyFill="1" applyAlignment="1">
      <alignment horizontal="right" vertical="top"/>
    </xf>
    <xf numFmtId="0" fontId="52" fillId="0" borderId="0" xfId="1" applyFont="1" applyAlignment="1">
      <alignment vertical="top"/>
    </xf>
    <xf numFmtId="0" fontId="53" fillId="8" borderId="2" xfId="1" applyFont="1" applyFill="1" applyBorder="1" applyAlignment="1">
      <alignment horizontal="center" vertical="center" wrapText="1"/>
    </xf>
    <xf numFmtId="0" fontId="55" fillId="8" borderId="2" xfId="1" applyFont="1" applyFill="1" applyBorder="1" applyAlignment="1">
      <alignment horizontal="center" vertical="center" wrapText="1"/>
    </xf>
    <xf numFmtId="0" fontId="56" fillId="10" borderId="2" xfId="1" applyFont="1" applyFill="1" applyBorder="1" applyAlignment="1">
      <alignment horizontal="center" vertical="center" textRotation="90" wrapText="1"/>
    </xf>
    <xf numFmtId="0" fontId="52" fillId="8" borderId="0" xfId="1" applyFont="1" applyFill="1"/>
    <xf numFmtId="0" fontId="55" fillId="2" borderId="2" xfId="1" applyFont="1" applyFill="1" applyBorder="1" applyAlignment="1">
      <alignment horizontal="left" vertical="center" wrapText="1"/>
    </xf>
    <xf numFmtId="0" fontId="54" fillId="0" borderId="2" xfId="1" applyFont="1" applyBorder="1" applyAlignment="1">
      <alignment vertical="center"/>
    </xf>
    <xf numFmtId="0" fontId="53" fillId="0" borderId="2" xfId="1" applyFont="1" applyBorder="1" applyAlignment="1">
      <alignment vertical="center"/>
    </xf>
    <xf numFmtId="0" fontId="52" fillId="0" borderId="0" xfId="1" applyFont="1"/>
    <xf numFmtId="0" fontId="56" fillId="0" borderId="2" xfId="1" applyFont="1" applyBorder="1" applyAlignment="1">
      <alignment vertical="center"/>
    </xf>
    <xf numFmtId="0" fontId="57" fillId="0" borderId="0" xfId="43" applyFont="1" applyAlignment="1">
      <alignment vertical="center"/>
    </xf>
    <xf numFmtId="0" fontId="58" fillId="8" borderId="2" xfId="43" applyFont="1" applyFill="1" applyBorder="1" applyAlignment="1">
      <alignment horizontal="center" vertical="center" wrapText="1"/>
    </xf>
    <xf numFmtId="0" fontId="58" fillId="8" borderId="2" xfId="43" applyFont="1" applyFill="1" applyBorder="1" applyAlignment="1">
      <alignment horizontal="center" vertical="center" textRotation="90" wrapText="1"/>
    </xf>
    <xf numFmtId="0" fontId="58" fillId="0" borderId="0" xfId="43" applyFont="1" applyAlignment="1">
      <alignment horizontal="center" vertical="center" wrapText="1"/>
    </xf>
    <xf numFmtId="0" fontId="57" fillId="0" borderId="2" xfId="43" applyFont="1" applyBorder="1" applyAlignment="1">
      <alignment horizontal="center" vertical="center"/>
    </xf>
    <xf numFmtId="0" fontId="58" fillId="0" borderId="2" xfId="43" applyFont="1" applyBorder="1" applyAlignment="1">
      <alignment horizontal="left" vertical="center"/>
    </xf>
    <xf numFmtId="167" fontId="57" fillId="0" borderId="2" xfId="43" applyNumberFormat="1" applyFont="1" applyBorder="1" applyAlignment="1">
      <alignment vertical="center"/>
    </xf>
    <xf numFmtId="167" fontId="58" fillId="0" borderId="2" xfId="43" applyNumberFormat="1" applyFont="1" applyBorder="1" applyAlignment="1">
      <alignment vertical="center"/>
    </xf>
    <xf numFmtId="0" fontId="54" fillId="5" borderId="0" xfId="1" applyFont="1" applyFill="1" applyAlignment="1">
      <alignment horizontal="center"/>
    </xf>
    <xf numFmtId="0" fontId="48" fillId="10" borderId="11" xfId="1" applyFont="1" applyFill="1" applyBorder="1" applyAlignment="1">
      <alignment horizontal="center" vertical="center" wrapText="1"/>
    </xf>
    <xf numFmtId="0" fontId="54" fillId="0" borderId="2" xfId="1" applyFont="1" applyBorder="1" applyAlignment="1">
      <alignment horizontal="center" vertical="center"/>
    </xf>
    <xf numFmtId="0" fontId="50" fillId="0" borderId="2" xfId="1" applyFont="1" applyBorder="1" applyAlignment="1">
      <alignment vertical="center" wrapText="1"/>
    </xf>
    <xf numFmtId="0" fontId="54" fillId="0" borderId="2" xfId="1" applyFont="1" applyBorder="1" applyAlignment="1">
      <alignment horizontal="right" vertical="center"/>
    </xf>
    <xf numFmtId="1" fontId="54" fillId="0" borderId="2" xfId="1" applyNumberFormat="1" applyFont="1" applyBorder="1" applyAlignment="1">
      <alignment horizontal="right" vertical="center"/>
    </xf>
    <xf numFmtId="1" fontId="54" fillId="0" borderId="2" xfId="1" applyNumberFormat="1" applyFont="1" applyBorder="1" applyAlignment="1">
      <alignment vertical="center"/>
    </xf>
    <xf numFmtId="0" fontId="54" fillId="0" borderId="0" xfId="1" applyFont="1" applyAlignment="1">
      <alignment vertical="center"/>
    </xf>
    <xf numFmtId="0" fontId="54" fillId="0" borderId="0" xfId="1" applyFont="1"/>
    <xf numFmtId="0" fontId="52" fillId="0" borderId="2" xfId="1" applyFont="1" applyBorder="1" applyAlignment="1">
      <alignment vertical="center"/>
    </xf>
    <xf numFmtId="0" fontId="52" fillId="0" borderId="2" xfId="1" applyFont="1" applyBorder="1"/>
    <xf numFmtId="0" fontId="53" fillId="0" borderId="2" xfId="1" applyFont="1" applyBorder="1"/>
    <xf numFmtId="167" fontId="57" fillId="0" borderId="0" xfId="43" applyNumberFormat="1" applyFont="1" applyAlignment="1">
      <alignment vertical="center"/>
    </xf>
    <xf numFmtId="0" fontId="57" fillId="0" borderId="2" xfId="43" applyFont="1" applyBorder="1" applyAlignment="1">
      <alignment vertical="center"/>
    </xf>
    <xf numFmtId="1" fontId="54" fillId="0" borderId="2" xfId="4" applyNumberFormat="1" applyFont="1" applyBorder="1" applyAlignment="1">
      <alignment vertical="center"/>
    </xf>
    <xf numFmtId="0" fontId="54" fillId="0" borderId="2" xfId="5" applyFont="1" applyBorder="1" applyAlignment="1">
      <alignment vertical="center"/>
    </xf>
    <xf numFmtId="1" fontId="54" fillId="0" borderId="2" xfId="5" applyNumberFormat="1" applyFont="1" applyBorder="1" applyAlignment="1">
      <alignment horizontal="right" vertical="center"/>
    </xf>
    <xf numFmtId="1" fontId="54" fillId="0" borderId="10" xfId="5" applyNumberFormat="1" applyFont="1" applyBorder="1" applyAlignment="1">
      <alignment horizontal="right" vertical="center"/>
    </xf>
    <xf numFmtId="1" fontId="54" fillId="0" borderId="2" xfId="5" applyNumberFormat="1" applyFont="1" applyBorder="1" applyAlignment="1">
      <alignment vertical="center"/>
    </xf>
    <xf numFmtId="167" fontId="54" fillId="0" borderId="2" xfId="1" applyNumberFormat="1" applyFont="1" applyBorder="1" applyAlignment="1">
      <alignment vertical="center"/>
    </xf>
    <xf numFmtId="0" fontId="54" fillId="0" borderId="2" xfId="41" applyFont="1" applyBorder="1" applyAlignment="1">
      <alignment horizontal="right" vertical="center"/>
    </xf>
    <xf numFmtId="0" fontId="54" fillId="0" borderId="2" xfId="41" applyFont="1" applyBorder="1" applyAlignment="1">
      <alignment vertical="center"/>
    </xf>
    <xf numFmtId="0" fontId="54" fillId="0" borderId="10" xfId="41" applyFont="1" applyBorder="1" applyAlignment="1">
      <alignment horizontal="right" vertical="center"/>
    </xf>
    <xf numFmtId="0" fontId="54" fillId="0" borderId="2" xfId="5" applyFont="1" applyBorder="1" applyAlignment="1">
      <alignment horizontal="right" vertical="center"/>
    </xf>
    <xf numFmtId="0" fontId="54" fillId="0" borderId="10" xfId="5" applyFont="1" applyBorder="1" applyAlignment="1">
      <alignment horizontal="right" vertical="center"/>
    </xf>
    <xf numFmtId="0" fontId="68" fillId="2" borderId="2" xfId="5" applyFont="1" applyFill="1" applyBorder="1" applyAlignment="1">
      <alignment horizontal="right" vertical="center" wrapText="1"/>
    </xf>
    <xf numFmtId="167" fontId="54" fillId="0" borderId="2" xfId="41" applyNumberFormat="1" applyFont="1" applyBorder="1" applyAlignment="1">
      <alignment horizontal="right" vertical="center"/>
    </xf>
    <xf numFmtId="167" fontId="68" fillId="2" borderId="2" xfId="41" applyNumberFormat="1" applyFont="1" applyFill="1" applyBorder="1" applyAlignment="1">
      <alignment horizontal="right" vertical="center" wrapText="1"/>
    </xf>
    <xf numFmtId="167" fontId="54" fillId="0" borderId="2" xfId="41" applyNumberFormat="1" applyFont="1" applyBorder="1" applyAlignment="1">
      <alignment vertical="center"/>
    </xf>
    <xf numFmtId="1" fontId="68" fillId="2" borderId="2" xfId="5" applyNumberFormat="1" applyFont="1" applyFill="1" applyBorder="1" applyAlignment="1">
      <alignment horizontal="right" vertical="center" wrapText="1"/>
    </xf>
    <xf numFmtId="1" fontId="54" fillId="0" borderId="2" xfId="50" applyNumberFormat="1" applyFont="1" applyBorder="1" applyAlignment="1">
      <alignment vertical="center"/>
    </xf>
    <xf numFmtId="0" fontId="54" fillId="0" borderId="2" xfId="50" applyFont="1" applyBorder="1" applyAlignment="1">
      <alignment vertical="center"/>
    </xf>
    <xf numFmtId="167" fontId="54" fillId="0" borderId="2" xfId="50" applyNumberFormat="1" applyFont="1" applyBorder="1" applyAlignment="1">
      <alignment horizontal="right" vertical="center"/>
    </xf>
    <xf numFmtId="0" fontId="54" fillId="0" borderId="2" xfId="50" applyFont="1" applyBorder="1" applyAlignment="1">
      <alignment horizontal="right" vertical="center"/>
    </xf>
    <xf numFmtId="1" fontId="54" fillId="0" borderId="2" xfId="50" applyNumberFormat="1" applyFont="1" applyBorder="1" applyAlignment="1">
      <alignment horizontal="right" vertical="center"/>
    </xf>
    <xf numFmtId="167" fontId="54" fillId="0" borderId="11" xfId="50" applyNumberFormat="1" applyFont="1" applyBorder="1" applyAlignment="1">
      <alignment horizontal="right" vertical="center"/>
    </xf>
    <xf numFmtId="165" fontId="54" fillId="0" borderId="2" xfId="4" applyNumberFormat="1" applyFont="1" applyBorder="1" applyAlignment="1">
      <alignment horizontal="right" vertical="center"/>
    </xf>
    <xf numFmtId="0" fontId="32" fillId="0" borderId="0" xfId="41"/>
    <xf numFmtId="0" fontId="32" fillId="0" borderId="0" xfId="41" applyAlignment="1">
      <alignment vertical="center"/>
    </xf>
    <xf numFmtId="0" fontId="39" fillId="0" borderId="0" xfId="41" applyFont="1"/>
    <xf numFmtId="167" fontId="54" fillId="0" borderId="2" xfId="45" applyNumberFormat="1" applyFont="1" applyBorder="1" applyAlignment="1">
      <alignment horizontal="center" vertical="center"/>
    </xf>
    <xf numFmtId="1" fontId="32" fillId="0" borderId="2" xfId="45" applyNumberFormat="1" applyBorder="1" applyAlignment="1">
      <alignment horizontal="center" vertical="center"/>
    </xf>
    <xf numFmtId="0" fontId="54" fillId="0" borderId="11" xfId="17" applyFont="1" applyBorder="1" applyAlignment="1">
      <alignment vertical="center"/>
    </xf>
    <xf numFmtId="0" fontId="54" fillId="0" borderId="2" xfId="17" applyFont="1" applyBorder="1" applyAlignment="1">
      <alignment vertical="center"/>
    </xf>
    <xf numFmtId="167" fontId="54" fillId="0" borderId="11" xfId="17" applyNumberFormat="1" applyFont="1" applyBorder="1" applyAlignment="1">
      <alignment vertical="center"/>
    </xf>
    <xf numFmtId="167" fontId="54" fillId="0" borderId="11" xfId="5" applyNumberFormat="1" applyFont="1" applyBorder="1" applyAlignment="1">
      <alignment vertical="center"/>
    </xf>
    <xf numFmtId="0" fontId="54" fillId="0" borderId="11" xfId="5" applyFont="1" applyBorder="1" applyAlignment="1">
      <alignment vertical="center"/>
    </xf>
    <xf numFmtId="0" fontId="68" fillId="2" borderId="2" xfId="1" applyFont="1" applyFill="1" applyBorder="1" applyAlignment="1">
      <alignment horizontal="right" vertical="center" wrapText="1"/>
    </xf>
    <xf numFmtId="167" fontId="68" fillId="2" borderId="2" xfId="1" applyNumberFormat="1" applyFont="1" applyFill="1" applyBorder="1" applyAlignment="1">
      <alignment horizontal="right" vertical="center" wrapText="1"/>
    </xf>
    <xf numFmtId="0" fontId="74" fillId="0" borderId="0" xfId="54" applyFont="1" applyAlignment="1">
      <alignment vertical="center"/>
    </xf>
    <xf numFmtId="0" fontId="60" fillId="8" borderId="0" xfId="54" applyFont="1" applyFill="1" applyAlignment="1">
      <alignment vertical="center"/>
    </xf>
    <xf numFmtId="0" fontId="69" fillId="8" borderId="2" xfId="41" applyFont="1" applyFill="1" applyBorder="1" applyAlignment="1">
      <alignment horizontal="center" vertical="center"/>
    </xf>
    <xf numFmtId="0" fontId="60" fillId="8" borderId="0" xfId="54" applyFont="1" applyFill="1" applyAlignment="1">
      <alignment vertical="center" wrapText="1"/>
    </xf>
    <xf numFmtId="0" fontId="71" fillId="0" borderId="2" xfId="54" applyFont="1" applyBorder="1" applyAlignment="1">
      <alignment horizontal="center" vertical="center" wrapText="1"/>
    </xf>
    <xf numFmtId="0" fontId="71" fillId="0" borderId="0" xfId="54" applyFont="1" applyAlignment="1">
      <alignment vertical="center" wrapText="1"/>
    </xf>
    <xf numFmtId="0" fontId="57" fillId="0" borderId="2" xfId="54" applyFont="1" applyBorder="1" applyAlignment="1">
      <alignment horizontal="center" vertical="center"/>
    </xf>
    <xf numFmtId="0" fontId="57" fillId="0" borderId="2" xfId="54" applyFont="1" applyBorder="1" applyAlignment="1">
      <alignment vertical="center" wrapText="1"/>
    </xf>
    <xf numFmtId="167" fontId="57" fillId="0" borderId="2" xfId="54" applyNumberFormat="1" applyFont="1" applyBorder="1" applyAlignment="1">
      <alignment vertical="center"/>
    </xf>
    <xf numFmtId="0" fontId="57" fillId="0" borderId="0" xfId="54" applyFont="1" applyAlignment="1">
      <alignment vertical="center"/>
    </xf>
    <xf numFmtId="167" fontId="57" fillId="0" borderId="2" xfId="54" applyNumberFormat="1" applyFont="1" applyBorder="1" applyAlignment="1">
      <alignment wrapText="1"/>
    </xf>
    <xf numFmtId="0" fontId="57" fillId="0" borderId="2" xfId="54" applyFont="1" applyBorder="1" applyAlignment="1">
      <alignment vertical="center"/>
    </xf>
    <xf numFmtId="167" fontId="58" fillId="0" borderId="2" xfId="54" applyNumberFormat="1" applyFont="1" applyBorder="1" applyAlignment="1">
      <alignment vertical="center"/>
    </xf>
    <xf numFmtId="0" fontId="57" fillId="0" borderId="0" xfId="54" applyFont="1" applyAlignment="1">
      <alignment vertical="center" wrapText="1"/>
    </xf>
    <xf numFmtId="0" fontId="66" fillId="0" borderId="0" xfId="54" applyFont="1" applyAlignment="1">
      <alignment vertical="center"/>
    </xf>
    <xf numFmtId="0" fontId="58" fillId="8" borderId="0" xfId="54" applyFont="1" applyFill="1" applyAlignment="1">
      <alignment vertical="center"/>
    </xf>
    <xf numFmtId="0" fontId="50" fillId="8" borderId="2" xfId="41" applyFont="1" applyFill="1" applyBorder="1" applyAlignment="1">
      <alignment horizontal="center" vertical="center"/>
    </xf>
    <xf numFmtId="0" fontId="58" fillId="8" borderId="0" xfId="54" applyFont="1" applyFill="1" applyAlignment="1">
      <alignment vertical="center" wrapText="1"/>
    </xf>
    <xf numFmtId="0" fontId="58" fillId="0" borderId="2" xfId="54" applyFont="1" applyBorder="1" applyAlignment="1">
      <alignment vertical="center"/>
    </xf>
    <xf numFmtId="167" fontId="54" fillId="0" borderId="2" xfId="41" applyNumberFormat="1" applyFont="1" applyBorder="1" applyAlignment="1">
      <alignment vertical="center" wrapText="1"/>
    </xf>
    <xf numFmtId="167" fontId="58" fillId="0" borderId="2" xfId="41" applyNumberFormat="1" applyFont="1" applyBorder="1" applyAlignment="1">
      <alignment vertical="center" wrapText="1"/>
    </xf>
    <xf numFmtId="167" fontId="50" fillId="0" borderId="2" xfId="41" applyNumberFormat="1" applyFont="1" applyBorder="1" applyAlignment="1">
      <alignment vertical="center" wrapText="1"/>
    </xf>
    <xf numFmtId="167" fontId="57" fillId="0" borderId="2" xfId="41" applyNumberFormat="1" applyFont="1" applyBorder="1" applyAlignment="1">
      <alignment vertical="center" wrapText="1"/>
    </xf>
    <xf numFmtId="0" fontId="58" fillId="0" borderId="0" xfId="54" applyFont="1" applyAlignment="1">
      <alignment vertical="center"/>
    </xf>
    <xf numFmtId="0" fontId="58" fillId="0" borderId="2" xfId="41" applyFont="1" applyBorder="1" applyAlignment="1">
      <alignment vertical="center"/>
    </xf>
    <xf numFmtId="167" fontId="57" fillId="4" borderId="2" xfId="41" applyNumberFormat="1" applyFont="1" applyFill="1" applyBorder="1" applyAlignment="1">
      <alignment vertical="center" wrapText="1"/>
    </xf>
    <xf numFmtId="167" fontId="57" fillId="0" borderId="2" xfId="54" applyNumberFormat="1" applyFont="1" applyBorder="1" applyAlignment="1">
      <alignment vertical="center" wrapText="1"/>
    </xf>
    <xf numFmtId="0" fontId="58" fillId="0" borderId="0" xfId="54" applyFont="1" applyAlignment="1">
      <alignment horizontal="left" vertical="center"/>
    </xf>
    <xf numFmtId="0" fontId="52" fillId="0" borderId="0" xfId="54" applyFont="1" applyAlignment="1">
      <alignment vertical="top"/>
    </xf>
    <xf numFmtId="0" fontId="53" fillId="0" borderId="0" xfId="5" applyFont="1" applyAlignment="1">
      <alignment horizontal="right" vertical="top"/>
    </xf>
    <xf numFmtId="0" fontId="54" fillId="0" borderId="0" xfId="54" applyFont="1"/>
    <xf numFmtId="0" fontId="51" fillId="0" borderId="2" xfId="54" applyFont="1" applyBorder="1" applyAlignment="1">
      <alignment horizontal="center" vertical="center" wrapText="1"/>
    </xf>
    <xf numFmtId="0" fontId="51" fillId="0" borderId="0" xfId="54" applyFont="1"/>
    <xf numFmtId="0" fontId="54" fillId="0" borderId="2" xfId="54" applyFont="1" applyBorder="1" applyAlignment="1">
      <alignment horizontal="center" vertical="center"/>
    </xf>
    <xf numFmtId="0" fontId="50" fillId="0" borderId="2" xfId="54" applyFont="1" applyBorder="1" applyAlignment="1">
      <alignment horizontal="left" vertical="center" wrapText="1"/>
    </xf>
    <xf numFmtId="168" fontId="54" fillId="0" borderId="2" xfId="54" applyNumberFormat="1" applyFont="1" applyBorder="1" applyAlignment="1">
      <alignment horizontal="right" vertical="center"/>
    </xf>
    <xf numFmtId="168" fontId="50" fillId="0" borderId="2" xfId="54" applyNumberFormat="1" applyFont="1" applyBorder="1" applyAlignment="1">
      <alignment horizontal="right" vertical="center"/>
    </xf>
    <xf numFmtId="1" fontId="50" fillId="0" borderId="2" xfId="54" applyNumberFormat="1" applyFont="1" applyBorder="1" applyAlignment="1">
      <alignment vertical="center"/>
    </xf>
    <xf numFmtId="0" fontId="54" fillId="0" borderId="0" xfId="54" applyFont="1" applyAlignment="1">
      <alignment wrapText="1"/>
    </xf>
    <xf numFmtId="0" fontId="50" fillId="0" borderId="0" xfId="54" applyFont="1" applyAlignment="1">
      <alignment horizontal="center" vertical="center"/>
    </xf>
    <xf numFmtId="0" fontId="54" fillId="0" borderId="0" xfId="54" applyFont="1" applyAlignment="1">
      <alignment vertical="center"/>
    </xf>
    <xf numFmtId="0" fontId="75" fillId="0" borderId="2" xfId="54" applyFont="1" applyBorder="1" applyAlignment="1">
      <alignment horizontal="center" vertical="center" wrapText="1"/>
    </xf>
    <xf numFmtId="0" fontId="75" fillId="0" borderId="0" xfId="54" applyFont="1" applyAlignment="1">
      <alignment vertical="center"/>
    </xf>
    <xf numFmtId="1" fontId="50" fillId="0" borderId="2" xfId="54" applyNumberFormat="1" applyFont="1" applyBorder="1" applyAlignment="1">
      <alignment horizontal="right" vertical="center"/>
    </xf>
    <xf numFmtId="0" fontId="54" fillId="0" borderId="0" xfId="54" applyFont="1" applyAlignment="1">
      <alignment vertical="center" wrapText="1"/>
    </xf>
    <xf numFmtId="0" fontId="56" fillId="0" borderId="0" xfId="54" applyFont="1" applyAlignment="1">
      <alignment horizontal="left" vertical="center"/>
    </xf>
    <xf numFmtId="0" fontId="76" fillId="0" borderId="0" xfId="1" applyFont="1" applyAlignment="1">
      <alignment horizontal="center" vertical="center"/>
    </xf>
    <xf numFmtId="0" fontId="53" fillId="0" borderId="3" xfId="41" applyFont="1" applyBorder="1" applyAlignment="1">
      <alignment horizontal="right" vertical="top"/>
    </xf>
    <xf numFmtId="0" fontId="76" fillId="0" borderId="0" xfId="1" applyFont="1" applyAlignment="1">
      <alignment vertical="center"/>
    </xf>
    <xf numFmtId="0" fontId="54" fillId="8" borderId="0" xfId="1" applyFont="1" applyFill="1" applyAlignment="1">
      <alignment horizontal="center" vertical="center"/>
    </xf>
    <xf numFmtId="0" fontId="32" fillId="0" borderId="2" xfId="1" applyBorder="1" applyAlignment="1">
      <alignment horizontal="center" vertical="center" wrapText="1"/>
    </xf>
    <xf numFmtId="0" fontId="54" fillId="8" borderId="0" xfId="1" applyFont="1" applyFill="1"/>
    <xf numFmtId="0" fontId="50" fillId="0" borderId="2" xfId="1" applyFont="1" applyBorder="1" applyAlignment="1">
      <alignment horizontal="left" vertical="center" wrapText="1"/>
    </xf>
    <xf numFmtId="0" fontId="50" fillId="0" borderId="2" xfId="1" applyFont="1" applyBorder="1" applyAlignment="1">
      <alignment vertical="center"/>
    </xf>
    <xf numFmtId="0" fontId="54" fillId="0" borderId="0" xfId="1" applyFont="1" applyAlignment="1">
      <alignment horizontal="center" vertical="center"/>
    </xf>
    <xf numFmtId="0" fontId="52" fillId="0" borderId="0" xfId="1" applyFont="1" applyAlignment="1">
      <alignment vertical="center"/>
    </xf>
    <xf numFmtId="0" fontId="54" fillId="8" borderId="0" xfId="1" applyFont="1" applyFill="1" applyAlignment="1">
      <alignment vertical="center"/>
    </xf>
    <xf numFmtId="0" fontId="50" fillId="8" borderId="0" xfId="1" applyFont="1" applyFill="1" applyAlignment="1">
      <alignment vertical="center"/>
    </xf>
    <xf numFmtId="0" fontId="50" fillId="0" borderId="2" xfId="48" applyFont="1" applyBorder="1" applyAlignment="1">
      <alignment horizontal="left" vertical="center" wrapText="1"/>
    </xf>
    <xf numFmtId="0" fontId="52" fillId="0" borderId="0" xfId="55" applyFont="1" applyAlignment="1">
      <alignment horizontal="center" vertical="center"/>
    </xf>
    <xf numFmtId="0" fontId="52" fillId="0" borderId="0" xfId="55" applyFont="1" applyAlignment="1">
      <alignment vertical="center"/>
    </xf>
    <xf numFmtId="0" fontId="54" fillId="8" borderId="0" xfId="55" applyFont="1" applyFill="1" applyAlignment="1">
      <alignment vertical="center"/>
    </xf>
    <xf numFmtId="0" fontId="50" fillId="8" borderId="0" xfId="55" applyFont="1" applyFill="1" applyAlignment="1">
      <alignment vertical="center"/>
    </xf>
    <xf numFmtId="167" fontId="68" fillId="2" borderId="2" xfId="1" applyNumberFormat="1" applyFont="1" applyFill="1" applyBorder="1" applyAlignment="1">
      <alignment horizontal="center" vertical="center" wrapText="1"/>
    </xf>
    <xf numFmtId="0" fontId="54" fillId="0" borderId="2" xfId="55" applyFont="1" applyBorder="1" applyAlignment="1">
      <alignment horizontal="center" vertical="center"/>
    </xf>
    <xf numFmtId="0" fontId="54" fillId="0" borderId="0" xfId="55" applyFont="1" applyAlignment="1">
      <alignment vertical="center"/>
    </xf>
    <xf numFmtId="0" fontId="54" fillId="0" borderId="0" xfId="55" applyFont="1" applyAlignment="1">
      <alignment horizontal="center" vertical="center"/>
    </xf>
    <xf numFmtId="0" fontId="52" fillId="0" borderId="0" xfId="55" applyFont="1" applyAlignment="1">
      <alignment vertical="top"/>
    </xf>
    <xf numFmtId="0" fontId="80" fillId="8" borderId="2" xfId="1" applyFont="1" applyFill="1" applyBorder="1" applyAlignment="1">
      <alignment horizontal="center" vertical="center" wrapText="1"/>
    </xf>
    <xf numFmtId="0" fontId="80" fillId="8" borderId="2" xfId="4" applyFont="1" applyFill="1" applyBorder="1" applyAlignment="1">
      <alignment horizontal="center" vertical="center" wrapText="1"/>
    </xf>
    <xf numFmtId="0" fontId="32" fillId="0" borderId="2" xfId="55" applyBorder="1" applyAlignment="1">
      <alignment horizontal="center" vertical="center" wrapText="1"/>
    </xf>
    <xf numFmtId="0" fontId="50" fillId="0" borderId="2" xfId="55" applyFont="1" applyBorder="1" applyAlignment="1">
      <alignment horizontal="left" vertical="center" wrapText="1"/>
    </xf>
    <xf numFmtId="0" fontId="50" fillId="0" borderId="2" xfId="4" applyFont="1" applyBorder="1" applyAlignment="1">
      <alignment horizontal="left" vertical="center" wrapText="1"/>
    </xf>
    <xf numFmtId="0" fontId="53" fillId="0" borderId="0" xfId="45" applyFont="1" applyAlignment="1">
      <alignment horizontal="center" vertical="center" wrapText="1"/>
    </xf>
    <xf numFmtId="0" fontId="54" fillId="7" borderId="0" xfId="45" applyFont="1" applyFill="1"/>
    <xf numFmtId="0" fontId="50" fillId="8" borderId="2" xfId="45" applyFont="1" applyFill="1" applyBorder="1" applyAlignment="1">
      <alignment horizontal="center" vertical="center" wrapText="1"/>
    </xf>
    <xf numFmtId="0" fontId="32" fillId="0" borderId="2" xfId="45" applyBorder="1" applyAlignment="1">
      <alignment horizontal="center" vertical="center" wrapText="1"/>
    </xf>
    <xf numFmtId="0" fontId="54" fillId="0" borderId="2" xfId="45" applyFont="1" applyBorder="1" applyAlignment="1">
      <alignment horizontal="center" vertical="center"/>
    </xf>
    <xf numFmtId="0" fontId="50" fillId="0" borderId="2" xfId="45" applyFont="1" applyBorder="1" applyAlignment="1">
      <alignment vertical="center" wrapText="1"/>
    </xf>
    <xf numFmtId="167" fontId="54" fillId="0" borderId="2" xfId="9" applyNumberFormat="1" applyFont="1" applyBorder="1" applyAlignment="1">
      <alignment horizontal="center" vertical="center"/>
    </xf>
    <xf numFmtId="1" fontId="54" fillId="0" borderId="0" xfId="45" applyNumberFormat="1" applyFont="1" applyAlignment="1">
      <alignment vertical="center"/>
    </xf>
    <xf numFmtId="0" fontId="54" fillId="0" borderId="0" xfId="45" applyFont="1" applyAlignment="1">
      <alignment vertical="center"/>
    </xf>
    <xf numFmtId="0" fontId="50" fillId="0" borderId="2" xfId="45" applyFont="1" applyBorder="1" applyAlignment="1">
      <alignment vertical="center"/>
    </xf>
    <xf numFmtId="0" fontId="50" fillId="0" borderId="2" xfId="5" applyFont="1" applyBorder="1" applyAlignment="1">
      <alignment horizontal="left" vertical="center" wrapText="1"/>
    </xf>
    <xf numFmtId="0" fontId="77" fillId="0" borderId="2" xfId="45" applyFont="1" applyBorder="1" applyAlignment="1">
      <alignment vertical="center"/>
    </xf>
    <xf numFmtId="0" fontId="50" fillId="0" borderId="0" xfId="48" applyFont="1" applyAlignment="1">
      <alignment vertical="center" wrapText="1"/>
    </xf>
    <xf numFmtId="0" fontId="54" fillId="0" borderId="0" xfId="45" applyFont="1"/>
    <xf numFmtId="0" fontId="52" fillId="0" borderId="0" xfId="5" applyFont="1"/>
    <xf numFmtId="0" fontId="53" fillId="8" borderId="0" xfId="5" applyFont="1" applyFill="1" applyAlignment="1">
      <alignment vertical="center" wrapText="1"/>
    </xf>
    <xf numFmtId="0" fontId="52" fillId="8" borderId="0" xfId="5" applyFont="1" applyFill="1" applyAlignment="1">
      <alignment vertical="center"/>
    </xf>
    <xf numFmtId="0" fontId="51" fillId="0" borderId="11" xfId="5" applyFont="1" applyBorder="1" applyAlignment="1">
      <alignment horizontal="center" vertical="center" wrapText="1"/>
    </xf>
    <xf numFmtId="0" fontId="52" fillId="0" borderId="0" xfId="5" applyFont="1" applyAlignment="1">
      <alignment vertical="center"/>
    </xf>
    <xf numFmtId="0" fontId="52" fillId="0" borderId="2" xfId="5" applyFont="1" applyBorder="1" applyAlignment="1">
      <alignment horizontal="center" vertical="center"/>
    </xf>
    <xf numFmtId="0" fontId="53" fillId="0" borderId="2" xfId="5" applyFont="1" applyBorder="1" applyAlignment="1">
      <alignment vertical="center" wrapText="1"/>
    </xf>
    <xf numFmtId="167" fontId="52" fillId="0" borderId="2" xfId="5" applyNumberFormat="1" applyFont="1" applyBorder="1" applyAlignment="1">
      <alignment horizontal="right" vertical="center"/>
    </xf>
    <xf numFmtId="167" fontId="53" fillId="0" borderId="2" xfId="5" applyNumberFormat="1" applyFont="1" applyBorder="1" applyAlignment="1">
      <alignment horizontal="right" vertical="center"/>
    </xf>
    <xf numFmtId="0" fontId="53" fillId="0" borderId="2" xfId="5" applyFont="1" applyBorder="1" applyAlignment="1">
      <alignment vertical="center"/>
    </xf>
    <xf numFmtId="0" fontId="50" fillId="8" borderId="2" xfId="48" applyFont="1" applyFill="1" applyBorder="1" applyAlignment="1">
      <alignment horizontal="center" vertical="center"/>
    </xf>
    <xf numFmtId="0" fontId="57" fillId="8" borderId="0" xfId="54" applyFont="1" applyFill="1" applyAlignment="1">
      <alignment vertical="center" wrapText="1"/>
    </xf>
    <xf numFmtId="0" fontId="54" fillId="0" borderId="2" xfId="54" applyFont="1" applyBorder="1" applyAlignment="1">
      <alignment vertical="center" wrapText="1"/>
    </xf>
    <xf numFmtId="0" fontId="71" fillId="0" borderId="8" xfId="54" applyFont="1" applyBorder="1" applyAlignment="1">
      <alignment horizontal="center" vertical="center"/>
    </xf>
    <xf numFmtId="0" fontId="71" fillId="0" borderId="2" xfId="54" applyFont="1" applyBorder="1" applyAlignment="1">
      <alignment horizontal="center" vertical="center"/>
    </xf>
    <xf numFmtId="0" fontId="71" fillId="0" borderId="10" xfId="54" applyFont="1" applyBorder="1" applyAlignment="1">
      <alignment horizontal="center" vertical="center"/>
    </xf>
    <xf numFmtId="0" fontId="58" fillId="0" borderId="2" xfId="54" applyFont="1" applyBorder="1" applyAlignment="1">
      <alignment horizontal="left" vertical="center"/>
    </xf>
    <xf numFmtId="0" fontId="52" fillId="0" borderId="0" xfId="4" applyFont="1" applyAlignment="1">
      <alignment vertical="top"/>
    </xf>
    <xf numFmtId="0" fontId="54" fillId="8" borderId="0" xfId="4" applyFont="1" applyFill="1" applyAlignment="1">
      <alignment vertical="center"/>
    </xf>
    <xf numFmtId="0" fontId="82" fillId="8" borderId="2" xfId="4" applyFont="1" applyFill="1" applyBorder="1" applyAlignment="1">
      <alignment horizontal="center" vertical="center" wrapText="1"/>
    </xf>
    <xf numFmtId="0" fontId="51" fillId="0" borderId="2" xfId="4" applyFont="1" applyBorder="1" applyAlignment="1">
      <alignment horizontal="center" vertical="center" wrapText="1"/>
    </xf>
    <xf numFmtId="0" fontId="51" fillId="8" borderId="0" xfId="4" applyFont="1" applyFill="1" applyAlignment="1">
      <alignment vertical="center"/>
    </xf>
    <xf numFmtId="167" fontId="68" fillId="2" borderId="2" xfId="4" applyNumberFormat="1" applyFont="1" applyFill="1" applyBorder="1" applyAlignment="1">
      <alignment horizontal="right" vertical="center" wrapText="1"/>
    </xf>
    <xf numFmtId="0" fontId="54" fillId="0" borderId="0" xfId="4" applyFont="1" applyAlignment="1">
      <alignment vertical="center"/>
    </xf>
    <xf numFmtId="0" fontId="50" fillId="0" borderId="0" xfId="4" applyFont="1" applyAlignment="1">
      <alignment vertical="center"/>
    </xf>
    <xf numFmtId="0" fontId="84" fillId="0" borderId="2" xfId="4" applyFont="1" applyBorder="1" applyAlignment="1">
      <alignment horizontal="right" vertical="center" wrapText="1"/>
    </xf>
    <xf numFmtId="0" fontId="83" fillId="11" borderId="2" xfId="4" applyFont="1" applyFill="1" applyBorder="1" applyAlignment="1">
      <alignment horizontal="center" vertical="center" wrapText="1"/>
    </xf>
    <xf numFmtId="0" fontId="83" fillId="11" borderId="2" xfId="4" applyFont="1" applyFill="1" applyBorder="1" applyAlignment="1">
      <alignment horizontal="right" vertical="center" wrapText="1"/>
    </xf>
    <xf numFmtId="0" fontId="50" fillId="0" borderId="2" xfId="4" applyFont="1" applyBorder="1" applyAlignment="1">
      <alignment horizontal="center" vertical="center" wrapText="1"/>
    </xf>
    <xf numFmtId="0" fontId="69" fillId="0" borderId="2" xfId="4" applyFont="1" applyBorder="1" applyAlignment="1">
      <alignment horizontal="left" vertical="center" wrapText="1"/>
    </xf>
    <xf numFmtId="167" fontId="54" fillId="0" borderId="0" xfId="4" applyNumberFormat="1" applyFont="1" applyAlignment="1">
      <alignment vertical="center"/>
    </xf>
    <xf numFmtId="0" fontId="39" fillId="0" borderId="0" xfId="4" applyFont="1" applyAlignment="1">
      <alignment vertical="center"/>
    </xf>
    <xf numFmtId="1" fontId="68" fillId="2" borderId="2" xfId="4" applyNumberFormat="1" applyFont="1" applyFill="1" applyBorder="1" applyAlignment="1">
      <alignment horizontal="right" vertical="center" wrapText="1"/>
    </xf>
    <xf numFmtId="0" fontId="78" fillId="2" borderId="2" xfId="4" applyFont="1" applyFill="1" applyBorder="1" applyAlignment="1">
      <alignment horizontal="left" vertical="center" wrapText="1"/>
    </xf>
    <xf numFmtId="1" fontId="77" fillId="2" borderId="2" xfId="4" applyNumberFormat="1" applyFont="1" applyFill="1" applyBorder="1" applyAlignment="1">
      <alignment horizontal="right" vertical="center" wrapText="1"/>
    </xf>
    <xf numFmtId="0" fontId="57" fillId="0" borderId="8" xfId="54" applyFont="1" applyBorder="1" applyAlignment="1">
      <alignment horizontal="center" vertical="center"/>
    </xf>
    <xf numFmtId="167" fontId="54" fillId="0" borderId="2" xfId="54" applyNumberFormat="1" applyFont="1" applyBorder="1" applyAlignment="1">
      <alignment vertical="center"/>
    </xf>
    <xf numFmtId="167" fontId="32" fillId="0" borderId="0" xfId="0" applyNumberFormat="1" applyFont="1"/>
    <xf numFmtId="0" fontId="39" fillId="8" borderId="15" xfId="0" applyFont="1" applyFill="1" applyBorder="1" applyAlignment="1">
      <alignment horizontal="center" vertical="center" wrapText="1"/>
    </xf>
    <xf numFmtId="0" fontId="54" fillId="0" borderId="2" xfId="5" applyFont="1" applyBorder="1" applyAlignment="1">
      <alignment horizontal="center" vertical="center"/>
    </xf>
    <xf numFmtId="0" fontId="54" fillId="0" borderId="17" xfId="5" applyFont="1" applyBorder="1" applyAlignment="1">
      <alignment vertical="center"/>
    </xf>
    <xf numFmtId="167" fontId="54" fillId="0" borderId="11" xfId="5" applyNumberFormat="1" applyFont="1" applyBorder="1" applyAlignment="1">
      <alignment horizontal="right" vertical="center"/>
    </xf>
    <xf numFmtId="167" fontId="54" fillId="0" borderId="17" xfId="5" applyNumberFormat="1" applyFont="1" applyBorder="1" applyAlignment="1">
      <alignment horizontal="right" vertical="center"/>
    </xf>
    <xf numFmtId="167" fontId="54" fillId="0" borderId="2" xfId="5" applyNumberFormat="1" applyFont="1" applyBorder="1" applyAlignment="1">
      <alignment horizontal="right" vertical="center"/>
    </xf>
    <xf numFmtId="167" fontId="54" fillId="0" borderId="10" xfId="5" applyNumberFormat="1" applyFont="1" applyBorder="1" applyAlignment="1">
      <alignment horizontal="right" vertical="center"/>
    </xf>
    <xf numFmtId="167" fontId="54" fillId="0" borderId="2" xfId="5" applyNumberFormat="1" applyFont="1" applyBorder="1" applyAlignment="1">
      <alignment vertical="center"/>
    </xf>
    <xf numFmtId="0" fontId="54" fillId="0" borderId="4" xfId="5" applyFont="1" applyBorder="1" applyAlignment="1">
      <alignment vertical="center"/>
    </xf>
    <xf numFmtId="0" fontId="54" fillId="0" borderId="4" xfId="5" applyFont="1" applyBorder="1" applyAlignment="1">
      <alignment horizontal="right" vertical="center"/>
    </xf>
    <xf numFmtId="0" fontId="54" fillId="0" borderId="12" xfId="5" applyFont="1" applyBorder="1" applyAlignment="1">
      <alignment vertical="center"/>
    </xf>
    <xf numFmtId="0" fontId="54" fillId="0" borderId="12" xfId="5" applyFont="1" applyBorder="1" applyAlignment="1">
      <alignment horizontal="right" vertical="center"/>
    </xf>
    <xf numFmtId="0" fontId="54" fillId="0" borderId="13" xfId="5" applyFont="1" applyBorder="1" applyAlignment="1">
      <alignment horizontal="right" vertical="center"/>
    </xf>
    <xf numFmtId="0" fontId="54" fillId="0" borderId="14" xfId="5" applyFont="1" applyBorder="1" applyAlignment="1">
      <alignment vertical="center"/>
    </xf>
    <xf numFmtId="0" fontId="54" fillId="0" borderId="9" xfId="5" applyFont="1" applyBorder="1" applyAlignment="1">
      <alignment horizontal="right" vertical="center"/>
    </xf>
    <xf numFmtId="0" fontId="54" fillId="0" borderId="9" xfId="5" applyFont="1" applyBorder="1" applyAlignment="1">
      <alignment vertical="center"/>
    </xf>
    <xf numFmtId="0" fontId="54" fillId="0" borderId="10" xfId="5" applyFont="1" applyBorder="1" applyAlignment="1">
      <alignment vertical="center"/>
    </xf>
    <xf numFmtId="167" fontId="54" fillId="0" borderId="9" xfId="5" applyNumberFormat="1" applyFont="1" applyBorder="1" applyAlignment="1">
      <alignment horizontal="right" vertical="center"/>
    </xf>
    <xf numFmtId="0" fontId="58" fillId="8" borderId="2" xfId="54" applyFont="1" applyFill="1" applyBorder="1" applyAlignment="1">
      <alignment vertical="center"/>
    </xf>
    <xf numFmtId="0" fontId="58" fillId="8" borderId="4" xfId="54" applyFont="1" applyFill="1" applyBorder="1" applyAlignment="1">
      <alignment vertical="center"/>
    </xf>
    <xf numFmtId="0" fontId="58" fillId="0" borderId="11" xfId="41" applyFont="1" applyBorder="1" applyAlignment="1">
      <alignment vertical="center"/>
    </xf>
    <xf numFmtId="0" fontId="57" fillId="0" borderId="0" xfId="61" applyFont="1"/>
    <xf numFmtId="0" fontId="57" fillId="0" borderId="0" xfId="61" applyFont="1" applyAlignment="1">
      <alignment wrapText="1"/>
    </xf>
    <xf numFmtId="0" fontId="62" fillId="0" borderId="2" xfId="61" applyFont="1" applyBorder="1" applyAlignment="1">
      <alignment horizontal="center" vertical="center" wrapText="1"/>
    </xf>
    <xf numFmtId="0" fontId="63" fillId="0" borderId="0" xfId="61" applyFont="1" applyAlignment="1">
      <alignment wrapText="1"/>
    </xf>
    <xf numFmtId="0" fontId="56" fillId="0" borderId="2" xfId="61" applyFont="1" applyBorder="1" applyAlignment="1">
      <alignment horizontal="left" vertical="center" wrapText="1"/>
    </xf>
    <xf numFmtId="0" fontId="58" fillId="0" borderId="2" xfId="61" applyFont="1" applyBorder="1" applyAlignment="1">
      <alignment horizontal="center" vertical="center"/>
    </xf>
    <xf numFmtId="0" fontId="57" fillId="0" borderId="0" xfId="61" applyFont="1" applyAlignment="1">
      <alignment vertical="center"/>
    </xf>
    <xf numFmtId="0" fontId="57" fillId="0" borderId="2" xfId="61" applyFont="1" applyBorder="1" applyAlignment="1">
      <alignment horizontal="center" vertical="center"/>
    </xf>
    <xf numFmtId="0" fontId="56" fillId="0" borderId="0" xfId="61" applyFont="1" applyAlignment="1">
      <alignment horizontal="left" vertical="center"/>
    </xf>
    <xf numFmtId="0" fontId="64" fillId="8" borderId="2" xfId="61" applyFont="1" applyFill="1" applyBorder="1" applyAlignment="1">
      <alignment horizontal="center" vertical="center" textRotation="90" wrapText="1"/>
    </xf>
    <xf numFmtId="0" fontId="62" fillId="0" borderId="13" xfId="61" applyFont="1" applyBorder="1" applyAlignment="1">
      <alignment horizontal="center" vertical="center" wrapText="1"/>
    </xf>
    <xf numFmtId="0" fontId="58" fillId="0" borderId="2" xfId="61" applyFont="1" applyBorder="1" applyAlignment="1">
      <alignment horizontal="left"/>
    </xf>
    <xf numFmtId="0" fontId="57" fillId="0" borderId="2" xfId="61" applyFont="1" applyBorder="1"/>
    <xf numFmtId="0" fontId="57" fillId="0" borderId="2" xfId="61" applyFont="1" applyBorder="1" applyAlignment="1">
      <alignment horizontal="left" indent="1"/>
    </xf>
    <xf numFmtId="0" fontId="56" fillId="0" borderId="0" xfId="61" applyFont="1" applyAlignment="1">
      <alignment horizontal="right" vertical="center" wrapText="1"/>
    </xf>
    <xf numFmtId="0" fontId="56" fillId="0" borderId="0" xfId="61" applyFont="1" applyAlignment="1">
      <alignment vertical="center"/>
    </xf>
    <xf numFmtId="0" fontId="58" fillId="8" borderId="0" xfId="61" applyFont="1" applyFill="1"/>
    <xf numFmtId="0" fontId="64" fillId="8" borderId="8" xfId="61" applyFont="1" applyFill="1" applyBorder="1" applyAlignment="1">
      <alignment horizontal="center" vertical="center" wrapText="1"/>
    </xf>
    <xf numFmtId="0" fontId="65" fillId="0" borderId="2" xfId="61" applyFont="1" applyBorder="1" applyAlignment="1">
      <alignment horizontal="center" vertical="center" wrapText="1"/>
    </xf>
    <xf numFmtId="0" fontId="65" fillId="0" borderId="0" xfId="61" applyFont="1"/>
    <xf numFmtId="0" fontId="58" fillId="0" borderId="2" xfId="61" applyFont="1" applyBorder="1" applyAlignment="1">
      <alignment horizontal="left" vertical="center" wrapText="1"/>
    </xf>
    <xf numFmtId="1" fontId="58" fillId="0" borderId="2" xfId="61" applyNumberFormat="1" applyFont="1" applyBorder="1" applyAlignment="1">
      <alignment vertical="center"/>
    </xf>
    <xf numFmtId="0" fontId="58" fillId="0" borderId="2" xfId="61" applyFont="1" applyBorder="1" applyAlignment="1">
      <alignment vertical="center"/>
    </xf>
    <xf numFmtId="0" fontId="58" fillId="0" borderId="0" xfId="61" applyFont="1" applyAlignment="1">
      <alignment vertical="center"/>
    </xf>
    <xf numFmtId="1" fontId="57" fillId="0" borderId="2" xfId="61" applyNumberFormat="1" applyFont="1" applyBorder="1" applyAlignment="1">
      <alignment vertical="center"/>
    </xf>
    <xf numFmtId="0" fontId="57" fillId="0" borderId="2" xfId="61" applyFont="1" applyBorder="1" applyAlignment="1">
      <alignment vertical="center"/>
    </xf>
    <xf numFmtId="0" fontId="56" fillId="0" borderId="0" xfId="61" applyFont="1" applyAlignment="1">
      <alignment horizontal="right" vertical="center"/>
    </xf>
    <xf numFmtId="0" fontId="66" fillId="0" borderId="0" xfId="61" applyFont="1" applyAlignment="1">
      <alignment horizontal="center" vertical="center"/>
    </xf>
    <xf numFmtId="0" fontId="66" fillId="0" borderId="0" xfId="61" applyFont="1" applyAlignment="1">
      <alignment vertical="center"/>
    </xf>
    <xf numFmtId="0" fontId="58" fillId="0" borderId="0" xfId="61" applyFont="1"/>
    <xf numFmtId="0" fontId="50" fillId="8" borderId="10" xfId="61" applyFont="1" applyFill="1" applyBorder="1" applyAlignment="1">
      <alignment horizontal="center" vertical="center" wrapText="1"/>
    </xf>
    <xf numFmtId="0" fontId="63" fillId="0" borderId="4" xfId="61" applyFont="1" applyBorder="1" applyAlignment="1">
      <alignment horizontal="center" vertical="center"/>
    </xf>
    <xf numFmtId="0" fontId="63" fillId="0" borderId="4" xfId="61" applyFont="1" applyBorder="1" applyAlignment="1">
      <alignment horizontal="center" vertical="center" wrapText="1"/>
    </xf>
    <xf numFmtId="0" fontId="67" fillId="0" borderId="0" xfId="61" applyFont="1"/>
    <xf numFmtId="0" fontId="58" fillId="0" borderId="8" xfId="61" applyFont="1" applyBorder="1" applyAlignment="1">
      <alignment horizontal="left"/>
    </xf>
    <xf numFmtId="0" fontId="58" fillId="0" borderId="9" xfId="61" applyFont="1" applyBorder="1"/>
    <xf numFmtId="0" fontId="58" fillId="0" borderId="10" xfId="61" applyFont="1" applyBorder="1"/>
    <xf numFmtId="0" fontId="57" fillId="0" borderId="11" xfId="61" applyFont="1" applyBorder="1" applyAlignment="1">
      <alignment horizontal="left" vertical="center" indent="1"/>
    </xf>
    <xf numFmtId="0" fontId="57" fillId="0" borderId="2" xfId="61" applyFont="1" applyBorder="1" applyAlignment="1">
      <alignment horizontal="right"/>
    </xf>
    <xf numFmtId="0" fontId="57" fillId="0" borderId="2" xfId="61" applyFont="1" applyBorder="1" applyAlignment="1">
      <alignment horizontal="left" vertical="center" indent="1"/>
    </xf>
    <xf numFmtId="0" fontId="57" fillId="0" borderId="10" xfId="61" applyFont="1" applyBorder="1"/>
    <xf numFmtId="1" fontId="57" fillId="0" borderId="2" xfId="61" applyNumberFormat="1" applyFont="1" applyBorder="1"/>
    <xf numFmtId="1" fontId="57" fillId="0" borderId="10" xfId="61" applyNumberFormat="1" applyFont="1" applyBorder="1"/>
    <xf numFmtId="0" fontId="54" fillId="0" borderId="9" xfId="41" applyFont="1" applyBorder="1" applyAlignment="1">
      <alignment horizontal="right" vertical="center"/>
    </xf>
    <xf numFmtId="0" fontId="54" fillId="0" borderId="9" xfId="41" applyFont="1" applyBorder="1" applyAlignment="1">
      <alignment vertical="center"/>
    </xf>
    <xf numFmtId="0" fontId="54" fillId="0" borderId="10" xfId="41" applyFont="1" applyBorder="1" applyAlignment="1">
      <alignment vertical="center"/>
    </xf>
    <xf numFmtId="0" fontId="58" fillId="0" borderId="0" xfId="61" applyFont="1" applyAlignment="1">
      <alignment horizontal="right" vertical="center"/>
    </xf>
    <xf numFmtId="0" fontId="57" fillId="8" borderId="0" xfId="61" applyFont="1" applyFill="1"/>
    <xf numFmtId="0" fontId="62" fillId="0" borderId="2" xfId="61" applyFont="1" applyBorder="1" applyAlignment="1">
      <alignment horizontal="center" vertical="center"/>
    </xf>
    <xf numFmtId="0" fontId="58" fillId="0" borderId="18" xfId="61" applyFont="1" applyBorder="1" applyAlignment="1">
      <alignment horizontal="left"/>
    </xf>
    <xf numFmtId="0" fontId="58" fillId="0" borderId="13" xfId="61" applyFont="1" applyBorder="1"/>
    <xf numFmtId="0" fontId="58" fillId="0" borderId="12" xfId="61" applyFont="1" applyBorder="1"/>
    <xf numFmtId="0" fontId="58" fillId="0" borderId="14" xfId="61" applyFont="1" applyBorder="1"/>
    <xf numFmtId="0" fontId="57" fillId="0" borderId="13" xfId="61" applyFont="1" applyBorder="1"/>
    <xf numFmtId="0" fontId="57" fillId="0" borderId="12" xfId="61" applyFont="1" applyBorder="1"/>
    <xf numFmtId="0" fontId="57" fillId="0" borderId="14" xfId="61" applyFont="1" applyBorder="1"/>
    <xf numFmtId="0" fontId="58" fillId="0" borderId="16" xfId="61" applyFont="1" applyBorder="1" applyAlignment="1">
      <alignment horizontal="left"/>
    </xf>
    <xf numFmtId="0" fontId="58" fillId="0" borderId="8" xfId="61" applyFont="1" applyBorder="1"/>
    <xf numFmtId="0" fontId="58" fillId="0" borderId="2" xfId="61" applyFont="1" applyBorder="1" applyAlignment="1">
      <alignment horizontal="left" wrapText="1"/>
    </xf>
    <xf numFmtId="167" fontId="54" fillId="0" borderId="13" xfId="41" applyNumberFormat="1" applyFont="1" applyBorder="1" applyAlignment="1">
      <alignment horizontal="right" vertical="center"/>
    </xf>
    <xf numFmtId="167" fontId="54" fillId="0" borderId="12" xfId="41" applyNumberFormat="1" applyFont="1" applyBorder="1" applyAlignment="1">
      <alignment horizontal="right" vertical="center"/>
    </xf>
    <xf numFmtId="167" fontId="68" fillId="2" borderId="12" xfId="41" applyNumberFormat="1" applyFont="1" applyFill="1" applyBorder="1" applyAlignment="1">
      <alignment horizontal="right" vertical="center" wrapText="1"/>
    </xf>
    <xf numFmtId="167" fontId="68" fillId="2" borderId="14" xfId="41" applyNumberFormat="1" applyFont="1" applyFill="1" applyBorder="1" applyAlignment="1">
      <alignment horizontal="right" vertical="center" wrapText="1"/>
    </xf>
    <xf numFmtId="167" fontId="54" fillId="0" borderId="12" xfId="41" applyNumberFormat="1" applyFont="1" applyBorder="1" applyAlignment="1">
      <alignment vertical="center"/>
    </xf>
    <xf numFmtId="167" fontId="68" fillId="2" borderId="2" xfId="5" applyNumberFormat="1" applyFont="1" applyFill="1" applyBorder="1" applyAlignment="1">
      <alignment horizontal="right" vertical="center" wrapText="1"/>
    </xf>
    <xf numFmtId="0" fontId="68" fillId="2" borderId="11" xfId="5" applyFont="1" applyFill="1" applyBorder="1" applyAlignment="1">
      <alignment horizontal="right" vertical="center" wrapText="1"/>
    </xf>
    <xf numFmtId="0" fontId="54" fillId="0" borderId="0" xfId="5" applyFont="1" applyAlignment="1">
      <alignment vertical="center"/>
    </xf>
    <xf numFmtId="0" fontId="68" fillId="2" borderId="18" xfId="5" applyFont="1" applyFill="1" applyBorder="1" applyAlignment="1">
      <alignment horizontal="right" vertical="center" wrapText="1"/>
    </xf>
    <xf numFmtId="0" fontId="68" fillId="2" borderId="0" xfId="5" applyFont="1" applyFill="1" applyAlignment="1">
      <alignment horizontal="right" vertical="center" wrapText="1"/>
    </xf>
    <xf numFmtId="0" fontId="68" fillId="2" borderId="19" xfId="5" applyFont="1" applyFill="1" applyBorder="1" applyAlignment="1">
      <alignment horizontal="right" vertical="center" wrapText="1"/>
    </xf>
    <xf numFmtId="0" fontId="54" fillId="0" borderId="11" xfId="4" applyFont="1" applyBorder="1" applyAlignment="1">
      <alignment vertical="center"/>
    </xf>
    <xf numFmtId="0" fontId="54" fillId="0" borderId="2" xfId="4" applyFont="1" applyBorder="1" applyAlignment="1">
      <alignment vertical="center"/>
    </xf>
    <xf numFmtId="167" fontId="54" fillId="0" borderId="2" xfId="54" applyNumberFormat="1" applyFont="1" applyBorder="1" applyAlignment="1">
      <alignment horizontal="right" vertical="center"/>
    </xf>
    <xf numFmtId="0" fontId="56" fillId="0" borderId="0" xfId="65" applyFont="1" applyAlignment="1">
      <alignment horizontal="right" vertical="center"/>
    </xf>
    <xf numFmtId="0" fontId="57" fillId="0" borderId="0" xfId="65" applyFont="1"/>
    <xf numFmtId="0" fontId="62" fillId="0" borderId="2" xfId="65" applyFont="1" applyBorder="1" applyAlignment="1">
      <alignment horizontal="center" vertical="center"/>
    </xf>
    <xf numFmtId="0" fontId="62" fillId="0" borderId="2" xfId="65" applyFont="1" applyBorder="1" applyAlignment="1">
      <alignment horizontal="center" vertical="center" wrapText="1"/>
    </xf>
    <xf numFmtId="0" fontId="58" fillId="0" borderId="2" xfId="65" applyFont="1" applyBorder="1" applyAlignment="1">
      <alignment horizontal="left"/>
    </xf>
    <xf numFmtId="0" fontId="57" fillId="0" borderId="2" xfId="65" applyFont="1" applyBorder="1" applyAlignment="1">
      <alignment horizontal="left" vertical="center" indent="1"/>
    </xf>
    <xf numFmtId="0" fontId="57" fillId="0" borderId="2" xfId="65" applyFont="1" applyBorder="1"/>
    <xf numFmtId="0" fontId="58" fillId="0" borderId="18" xfId="65" applyFont="1" applyBorder="1" applyAlignment="1">
      <alignment horizontal="left"/>
    </xf>
    <xf numFmtId="0" fontId="57" fillId="0" borderId="13" xfId="65" applyFont="1" applyBorder="1"/>
    <xf numFmtId="0" fontId="57" fillId="0" borderId="12" xfId="65" applyFont="1" applyBorder="1"/>
    <xf numFmtId="0" fontId="57" fillId="0" borderId="14" xfId="65" applyFont="1" applyBorder="1"/>
    <xf numFmtId="0" fontId="57" fillId="0" borderId="11" xfId="65" applyFont="1" applyBorder="1" applyAlignment="1">
      <alignment horizontal="left" vertical="center" indent="1"/>
    </xf>
    <xf numFmtId="0" fontId="58" fillId="0" borderId="8" xfId="65" applyFont="1" applyBorder="1" applyAlignment="1">
      <alignment horizontal="left" wrapText="1"/>
    </xf>
    <xf numFmtId="0" fontId="57" fillId="0" borderId="4" xfId="65" applyFont="1" applyBorder="1" applyAlignment="1">
      <alignment horizontal="left" vertical="center" indent="1"/>
    </xf>
    <xf numFmtId="0" fontId="57" fillId="0" borderId="13" xfId="65" applyFont="1" applyBorder="1" applyAlignment="1">
      <alignment horizontal="left" vertical="center" indent="1"/>
    </xf>
    <xf numFmtId="0" fontId="58" fillId="0" borderId="8" xfId="65" applyFont="1" applyBorder="1" applyAlignment="1">
      <alignment horizontal="left"/>
    </xf>
    <xf numFmtId="0" fontId="57" fillId="0" borderId="9" xfId="65" applyFont="1" applyBorder="1"/>
    <xf numFmtId="0" fontId="57" fillId="0" borderId="10" xfId="65" applyFont="1" applyBorder="1"/>
    <xf numFmtId="0" fontId="57" fillId="0" borderId="11" xfId="65" applyFont="1" applyBorder="1"/>
    <xf numFmtId="0" fontId="62" fillId="0" borderId="13" xfId="65" applyFont="1" applyBorder="1" applyAlignment="1">
      <alignment horizontal="center" vertical="center"/>
    </xf>
    <xf numFmtId="0" fontId="62" fillId="0" borderId="9" xfId="65" applyFont="1" applyBorder="1" applyAlignment="1">
      <alignment horizontal="center" vertical="center" wrapText="1"/>
    </xf>
    <xf numFmtId="0" fontId="57" fillId="0" borderId="2" xfId="65" applyFont="1" applyBorder="1" applyAlignment="1">
      <alignment horizontal="left" indent="1"/>
    </xf>
    <xf numFmtId="0" fontId="56" fillId="0" borderId="3" xfId="65" applyFont="1" applyBorder="1" applyAlignment="1">
      <alignment horizontal="right" vertical="center"/>
    </xf>
    <xf numFmtId="0" fontId="56" fillId="0" borderId="2" xfId="65" applyFont="1" applyBorder="1" applyAlignment="1">
      <alignment horizontal="left" vertical="center" wrapText="1"/>
    </xf>
    <xf numFmtId="2" fontId="56" fillId="0" borderId="2" xfId="65" applyNumberFormat="1" applyFont="1" applyBorder="1" applyAlignment="1">
      <alignment horizontal="center" vertical="center"/>
    </xf>
    <xf numFmtId="0" fontId="56" fillId="0" borderId="0" xfId="66" applyFont="1" applyAlignment="1">
      <alignment horizontal="right" vertical="center"/>
    </xf>
    <xf numFmtId="0" fontId="56" fillId="0" borderId="0" xfId="66" applyFont="1" applyAlignment="1">
      <alignment vertical="center"/>
    </xf>
    <xf numFmtId="0" fontId="66" fillId="0" borderId="0" xfId="66" applyFont="1" applyAlignment="1">
      <alignment vertical="center"/>
    </xf>
    <xf numFmtId="0" fontId="61" fillId="0" borderId="0" xfId="66" applyFont="1"/>
    <xf numFmtId="0" fontId="39" fillId="8" borderId="2" xfId="66" applyFont="1" applyFill="1" applyBorder="1" applyAlignment="1">
      <alignment horizontal="center" vertical="center" wrapText="1"/>
    </xf>
    <xf numFmtId="0" fontId="61" fillId="0" borderId="0" xfId="66" applyFont="1" applyAlignment="1">
      <alignment wrapText="1"/>
    </xf>
    <xf numFmtId="0" fontId="62" fillId="0" borderId="2" xfId="66" applyFont="1" applyBorder="1" applyAlignment="1">
      <alignment horizontal="center" vertical="center"/>
    </xf>
    <xf numFmtId="0" fontId="62" fillId="0" borderId="2" xfId="66" applyFont="1" applyBorder="1" applyAlignment="1">
      <alignment horizontal="center" vertical="center" wrapText="1"/>
    </xf>
    <xf numFmtId="0" fontId="48" fillId="0" borderId="8" xfId="66" applyFont="1" applyBorder="1" applyAlignment="1">
      <alignment horizontal="left"/>
    </xf>
    <xf numFmtId="0" fontId="61" fillId="0" borderId="9" xfId="66" applyFont="1" applyBorder="1"/>
    <xf numFmtId="0" fontId="61" fillId="0" borderId="10" xfId="66" applyFont="1" applyBorder="1"/>
    <xf numFmtId="0" fontId="61" fillId="0" borderId="11" xfId="66" applyFont="1" applyBorder="1" applyAlignment="1">
      <alignment horizontal="left" vertical="center" indent="1"/>
    </xf>
    <xf numFmtId="0" fontId="61" fillId="0" borderId="2" xfId="66" applyFont="1" applyBorder="1" applyAlignment="1">
      <alignment horizontal="left" vertical="center" indent="1"/>
    </xf>
    <xf numFmtId="1" fontId="61" fillId="0" borderId="2" xfId="66" applyNumberFormat="1" applyFont="1" applyBorder="1" applyAlignment="1">
      <alignment horizontal="center"/>
    </xf>
    <xf numFmtId="0" fontId="61" fillId="0" borderId="9" xfId="66" applyFont="1" applyBorder="1" applyAlignment="1">
      <alignment horizontal="center"/>
    </xf>
    <xf numFmtId="0" fontId="61" fillId="0" borderId="10" xfId="66" applyFont="1" applyBorder="1" applyAlignment="1">
      <alignment horizontal="center"/>
    </xf>
    <xf numFmtId="1" fontId="61" fillId="0" borderId="9" xfId="66" applyNumberFormat="1" applyFont="1" applyBorder="1" applyAlignment="1">
      <alignment horizontal="center"/>
    </xf>
    <xf numFmtId="1" fontId="61" fillId="0" borderId="10" xfId="66" applyNumberFormat="1" applyFont="1" applyBorder="1" applyAlignment="1">
      <alignment horizontal="center"/>
    </xf>
    <xf numFmtId="0" fontId="57" fillId="0" borderId="0" xfId="66" applyFont="1"/>
    <xf numFmtId="0" fontId="50" fillId="8" borderId="4" xfId="66" applyFont="1" applyFill="1" applyBorder="1" applyAlignment="1">
      <alignment horizontal="center" vertical="center" wrapText="1"/>
    </xf>
    <xf numFmtId="0" fontId="50" fillId="8" borderId="13" xfId="66" applyFont="1" applyFill="1" applyBorder="1" applyAlignment="1">
      <alignment horizontal="center" vertical="center" wrapText="1"/>
    </xf>
    <xf numFmtId="0" fontId="58" fillId="0" borderId="8" xfId="66" applyFont="1" applyBorder="1" applyAlignment="1">
      <alignment horizontal="left"/>
    </xf>
    <xf numFmtId="0" fontId="58" fillId="0" borderId="9" xfId="66" applyFont="1" applyBorder="1"/>
    <xf numFmtId="0" fontId="57" fillId="0" borderId="2" xfId="66" applyFont="1" applyBorder="1" applyAlignment="1">
      <alignment horizontal="left" vertical="center" indent="1"/>
    </xf>
    <xf numFmtId="0" fontId="57" fillId="0" borderId="2" xfId="66" applyFont="1" applyBorder="1"/>
    <xf numFmtId="0" fontId="58" fillId="0" borderId="8" xfId="66" applyFont="1" applyBorder="1" applyAlignment="1">
      <alignment horizontal="left" wrapText="1"/>
    </xf>
    <xf numFmtId="0" fontId="58" fillId="0" borderId="2" xfId="66" applyFont="1" applyBorder="1"/>
    <xf numFmtId="0" fontId="61" fillId="0" borderId="0" xfId="66" applyFont="1" applyAlignment="1">
      <alignment vertical="center"/>
    </xf>
    <xf numFmtId="0" fontId="64" fillId="8" borderId="2" xfId="66" applyFont="1" applyFill="1" applyBorder="1" applyAlignment="1">
      <alignment horizontal="center" vertical="center"/>
    </xf>
    <xf numFmtId="0" fontId="57" fillId="0" borderId="0" xfId="66" applyFont="1" applyAlignment="1">
      <alignment vertical="center"/>
    </xf>
    <xf numFmtId="0" fontId="58" fillId="0" borderId="4" xfId="66" applyFont="1" applyBorder="1" applyAlignment="1">
      <alignment horizontal="left"/>
    </xf>
    <xf numFmtId="0" fontId="57" fillId="0" borderId="8" xfId="66" applyFont="1" applyBorder="1"/>
    <xf numFmtId="0" fontId="57" fillId="0" borderId="9" xfId="66" applyFont="1" applyBorder="1"/>
    <xf numFmtId="0" fontId="57" fillId="0" borderId="10" xfId="66" applyFont="1" applyBorder="1"/>
    <xf numFmtId="0" fontId="57" fillId="0" borderId="13" xfId="66" applyFont="1" applyBorder="1"/>
    <xf numFmtId="0" fontId="57" fillId="0" borderId="12" xfId="66" applyFont="1" applyBorder="1"/>
    <xf numFmtId="0" fontId="57" fillId="0" borderId="14" xfId="66" applyFont="1" applyBorder="1"/>
    <xf numFmtId="0" fontId="57" fillId="0" borderId="0" xfId="66" applyFont="1" applyAlignment="1">
      <alignment horizontal="left" vertical="center" indent="1"/>
    </xf>
    <xf numFmtId="0" fontId="57" fillId="0" borderId="2" xfId="66" applyFont="1" applyBorder="1" applyAlignment="1">
      <alignment horizontal="left" indent="1"/>
    </xf>
    <xf numFmtId="0" fontId="57" fillId="0" borderId="11" xfId="66" applyFont="1" applyBorder="1" applyAlignment="1">
      <alignment horizontal="left" indent="1"/>
    </xf>
    <xf numFmtId="0" fontId="57" fillId="0" borderId="11" xfId="66" applyFont="1" applyBorder="1"/>
    <xf numFmtId="0" fontId="58" fillId="0" borderId="2" xfId="66" applyFont="1" applyBorder="1" applyAlignment="1">
      <alignment horizontal="left"/>
    </xf>
    <xf numFmtId="0" fontId="50" fillId="8" borderId="8" xfId="66" applyFont="1" applyFill="1" applyBorder="1" applyAlignment="1">
      <alignment horizontal="center" vertical="center"/>
    </xf>
    <xf numFmtId="0" fontId="70" fillId="0" borderId="4" xfId="66" applyFont="1" applyBorder="1" applyAlignment="1">
      <alignment horizontal="center" vertical="center"/>
    </xf>
    <xf numFmtId="0" fontId="71" fillId="0" borderId="0" xfId="66" applyFont="1" applyAlignment="1">
      <alignment horizontal="center" vertical="center"/>
    </xf>
    <xf numFmtId="0" fontId="57" fillId="0" borderId="11" xfId="66" applyFont="1" applyBorder="1" applyAlignment="1">
      <alignment vertical="center"/>
    </xf>
    <xf numFmtId="0" fontId="57" fillId="0" borderId="2" xfId="66" applyFont="1" applyBorder="1" applyAlignment="1">
      <alignment vertical="center"/>
    </xf>
    <xf numFmtId="0" fontId="57" fillId="0" borderId="9" xfId="66" applyFont="1" applyBorder="1" applyAlignment="1">
      <alignment vertical="center"/>
    </xf>
    <xf numFmtId="0" fontId="57" fillId="0" borderId="10" xfId="66" applyFont="1" applyBorder="1" applyAlignment="1">
      <alignment vertical="center"/>
    </xf>
    <xf numFmtId="1" fontId="54" fillId="0" borderId="2" xfId="67" applyNumberFormat="1" applyFont="1" applyBorder="1" applyAlignment="1">
      <alignment vertical="center"/>
    </xf>
    <xf numFmtId="167" fontId="54" fillId="0" borderId="2" xfId="67" applyNumberFormat="1" applyFont="1" applyBorder="1" applyAlignment="1">
      <alignment vertical="center"/>
    </xf>
    <xf numFmtId="1" fontId="54" fillId="0" borderId="2" xfId="68" applyNumberFormat="1" applyFont="1" applyBorder="1" applyAlignment="1">
      <alignment vertical="center"/>
    </xf>
    <xf numFmtId="167" fontId="54" fillId="0" borderId="2" xfId="68" applyNumberFormat="1" applyFont="1" applyBorder="1" applyAlignment="1">
      <alignment vertical="center"/>
    </xf>
    <xf numFmtId="0" fontId="72" fillId="0" borderId="0" xfId="54" applyFont="1" applyAlignment="1">
      <alignment vertical="center"/>
    </xf>
    <xf numFmtId="0" fontId="57" fillId="0" borderId="0" xfId="61" applyFont="1" applyAlignment="1">
      <alignment horizontal="center"/>
    </xf>
    <xf numFmtId="0" fontId="65" fillId="0" borderId="0" xfId="61" applyFont="1" applyAlignment="1">
      <alignment horizontal="center"/>
    </xf>
    <xf numFmtId="0" fontId="70" fillId="0" borderId="2" xfId="66" applyFont="1" applyBorder="1" applyAlignment="1">
      <alignment horizontal="center" vertical="center"/>
    </xf>
    <xf numFmtId="1" fontId="54" fillId="0" borderId="0" xfId="1" applyNumberFormat="1" applyFont="1" applyAlignment="1">
      <alignment vertical="center"/>
    </xf>
    <xf numFmtId="167" fontId="54" fillId="0" borderId="8" xfId="50" applyNumberFormat="1" applyFont="1" applyBorder="1" applyAlignment="1">
      <alignment horizontal="right" vertical="center"/>
    </xf>
    <xf numFmtId="1" fontId="54" fillId="0" borderId="8" xfId="50" applyNumberFormat="1" applyFont="1" applyBorder="1" applyAlignment="1">
      <alignment horizontal="right" vertical="center"/>
    </xf>
    <xf numFmtId="0" fontId="54" fillId="0" borderId="8" xfId="5" applyFont="1" applyBorder="1" applyAlignment="1">
      <alignment vertical="center"/>
    </xf>
    <xf numFmtId="0" fontId="62" fillId="0" borderId="12" xfId="65" applyFont="1" applyBorder="1" applyAlignment="1">
      <alignment horizontal="center" vertical="center" wrapText="1"/>
    </xf>
    <xf numFmtId="0" fontId="62" fillId="0" borderId="4" xfId="65" applyFont="1" applyBorder="1" applyAlignment="1">
      <alignment horizontal="center" vertical="center"/>
    </xf>
    <xf numFmtId="0" fontId="62" fillId="0" borderId="4" xfId="65" applyFont="1" applyBorder="1" applyAlignment="1">
      <alignment horizontal="center" vertical="center" wrapText="1"/>
    </xf>
    <xf numFmtId="0" fontId="57" fillId="0" borderId="8" xfId="65" applyFont="1" applyBorder="1"/>
    <xf numFmtId="0" fontId="57" fillId="0" borderId="0" xfId="71" applyFont="1" applyAlignment="1">
      <alignment horizontal="center"/>
    </xf>
    <xf numFmtId="0" fontId="56" fillId="0" borderId="0" xfId="72" applyFont="1" applyAlignment="1">
      <alignment horizontal="right" vertical="center"/>
    </xf>
    <xf numFmtId="0" fontId="57" fillId="0" borderId="0" xfId="72" applyFont="1"/>
    <xf numFmtId="0" fontId="62" fillId="0" borderId="13" xfId="72" applyFont="1" applyBorder="1" applyAlignment="1">
      <alignment horizontal="center" vertical="center"/>
    </xf>
    <xf numFmtId="0" fontId="62" fillId="0" borderId="2" xfId="72" applyFont="1" applyBorder="1" applyAlignment="1">
      <alignment horizontal="center" vertical="center"/>
    </xf>
    <xf numFmtId="0" fontId="62" fillId="0" borderId="2" xfId="72" applyFont="1" applyBorder="1" applyAlignment="1">
      <alignment horizontal="center" vertical="center" wrapText="1"/>
    </xf>
    <xf numFmtId="0" fontId="58" fillId="0" borderId="13" xfId="72" applyFont="1" applyBorder="1" applyAlignment="1">
      <alignment horizontal="left"/>
    </xf>
    <xf numFmtId="0" fontId="58" fillId="0" borderId="12" xfId="72" applyFont="1" applyBorder="1"/>
    <xf numFmtId="0" fontId="58" fillId="0" borderId="14" xfId="72" applyFont="1" applyBorder="1"/>
    <xf numFmtId="0" fontId="57" fillId="0" borderId="2" xfId="72" applyFont="1" applyBorder="1" applyAlignment="1">
      <alignment horizontal="left" vertical="center" indent="1"/>
    </xf>
    <xf numFmtId="0" fontId="53" fillId="9" borderId="0" xfId="72" applyFont="1" applyFill="1"/>
    <xf numFmtId="0" fontId="57" fillId="0" borderId="2" xfId="72" applyFont="1" applyBorder="1" applyAlignment="1">
      <alignment horizontal="left" indent="1"/>
    </xf>
    <xf numFmtId="165" fontId="57" fillId="0" borderId="2" xfId="72" applyNumberFormat="1" applyFont="1" applyBorder="1"/>
    <xf numFmtId="165" fontId="57" fillId="0" borderId="2" xfId="72" applyNumberFormat="1" applyFont="1" applyBorder="1" applyAlignment="1">
      <alignment horizontal="right"/>
    </xf>
    <xf numFmtId="165" fontId="58" fillId="0" borderId="12" xfId="72" applyNumberFormat="1" applyFont="1" applyBorder="1" applyAlignment="1">
      <alignment horizontal="right"/>
    </xf>
    <xf numFmtId="165" fontId="58" fillId="0" borderId="14" xfId="72" applyNumberFormat="1" applyFont="1" applyBorder="1" applyAlignment="1">
      <alignment horizontal="right"/>
    </xf>
    <xf numFmtId="165" fontId="54" fillId="0" borderId="2" xfId="72" applyNumberFormat="1" applyFont="1" applyBorder="1" applyAlignment="1">
      <alignment horizontal="right"/>
    </xf>
    <xf numFmtId="0" fontId="58" fillId="0" borderId="18" xfId="72" applyFont="1" applyBorder="1" applyAlignment="1">
      <alignment horizontal="left"/>
    </xf>
    <xf numFmtId="165" fontId="58" fillId="0" borderId="0" xfId="72" applyNumberFormat="1" applyFont="1" applyAlignment="1">
      <alignment horizontal="right"/>
    </xf>
    <xf numFmtId="165" fontId="58" fillId="0" borderId="19" xfId="72" applyNumberFormat="1" applyFont="1" applyBorder="1" applyAlignment="1">
      <alignment horizontal="right"/>
    </xf>
    <xf numFmtId="165" fontId="57" fillId="0" borderId="0" xfId="72" applyNumberFormat="1" applyFont="1" applyAlignment="1">
      <alignment horizontal="right"/>
    </xf>
    <xf numFmtId="165" fontId="57" fillId="0" borderId="19" xfId="72" applyNumberFormat="1" applyFont="1" applyBorder="1" applyAlignment="1">
      <alignment horizontal="right"/>
    </xf>
    <xf numFmtId="0" fontId="58" fillId="0" borderId="8" xfId="72" applyFont="1" applyBorder="1" applyAlignment="1">
      <alignment horizontal="left"/>
    </xf>
    <xf numFmtId="165" fontId="57" fillId="0" borderId="12" xfId="72" applyNumberFormat="1" applyFont="1" applyBorder="1" applyAlignment="1">
      <alignment horizontal="right"/>
    </xf>
    <xf numFmtId="165" fontId="57" fillId="0" borderId="14" xfId="72" applyNumberFormat="1" applyFont="1" applyBorder="1" applyAlignment="1">
      <alignment horizontal="right"/>
    </xf>
    <xf numFmtId="0" fontId="58" fillId="0" borderId="2" xfId="54" applyFont="1" applyBorder="1" applyAlignment="1">
      <alignment vertical="top"/>
    </xf>
    <xf numFmtId="0" fontId="58" fillId="0" borderId="2" xfId="54" applyFont="1" applyBorder="1" applyAlignment="1">
      <alignment vertical="top" wrapText="1"/>
    </xf>
    <xf numFmtId="0" fontId="71" fillId="0" borderId="2" xfId="54" applyFont="1" applyBorder="1" applyAlignment="1">
      <alignment horizontal="center" vertical="top" wrapText="1"/>
    </xf>
    <xf numFmtId="167" fontId="58" fillId="0" borderId="10" xfId="54" applyNumberFormat="1" applyFont="1" applyBorder="1" applyAlignment="1">
      <alignment vertical="center"/>
    </xf>
    <xf numFmtId="0" fontId="57" fillId="0" borderId="4" xfId="54" applyFont="1" applyBorder="1" applyAlignment="1">
      <alignment vertical="center" wrapText="1"/>
    </xf>
    <xf numFmtId="0" fontId="58" fillId="0" borderId="8" xfId="54" applyFont="1" applyBorder="1" applyAlignment="1">
      <alignment vertical="top" wrapText="1"/>
    </xf>
    <xf numFmtId="0" fontId="58" fillId="0" borderId="10" xfId="54" applyFont="1" applyBorder="1" applyAlignment="1">
      <alignment vertical="center"/>
    </xf>
    <xf numFmtId="0" fontId="58" fillId="0" borderId="8" xfId="54" applyFont="1" applyBorder="1" applyAlignment="1">
      <alignment vertical="top"/>
    </xf>
    <xf numFmtId="0" fontId="57" fillId="0" borderId="10" xfId="54" applyFont="1" applyBorder="1" applyAlignment="1">
      <alignment vertical="center" wrapText="1"/>
    </xf>
    <xf numFmtId="0" fontId="57" fillId="0" borderId="11" xfId="54" applyFont="1" applyBorder="1" applyAlignment="1">
      <alignment vertical="center" wrapText="1"/>
    </xf>
    <xf numFmtId="0" fontId="57" fillId="0" borderId="4" xfId="54" applyFont="1" applyBorder="1" applyAlignment="1">
      <alignment vertical="center"/>
    </xf>
    <xf numFmtId="0" fontId="58" fillId="0" borderId="4" xfId="54" applyFont="1" applyBorder="1" applyAlignment="1">
      <alignment vertical="center"/>
    </xf>
    <xf numFmtId="0" fontId="57" fillId="0" borderId="11" xfId="54" applyFont="1" applyBorder="1" applyAlignment="1">
      <alignment vertical="center"/>
    </xf>
    <xf numFmtId="0" fontId="58" fillId="0" borderId="10" xfId="54" applyFont="1" applyBorder="1" applyAlignment="1">
      <alignment vertical="center" wrapText="1"/>
    </xf>
    <xf numFmtId="0" fontId="57" fillId="0" borderId="10" xfId="54" applyFont="1" applyBorder="1" applyAlignment="1">
      <alignment vertical="center"/>
    </xf>
    <xf numFmtId="0" fontId="58" fillId="0" borderId="8" xfId="54" applyFont="1" applyBorder="1" applyAlignment="1">
      <alignment horizontal="left" vertical="top" wrapText="1"/>
    </xf>
    <xf numFmtId="0" fontId="58" fillId="0" borderId="13" xfId="54" applyFont="1" applyBorder="1" applyAlignment="1">
      <alignment horizontal="left" vertical="top" wrapText="1"/>
    </xf>
    <xf numFmtId="0" fontId="58" fillId="0" borderId="4" xfId="54" applyFont="1" applyBorder="1" applyAlignment="1">
      <alignment horizontal="left" vertical="top"/>
    </xf>
    <xf numFmtId="0" fontId="58" fillId="0" borderId="14" xfId="54" applyFont="1" applyBorder="1" applyAlignment="1">
      <alignment vertical="center"/>
    </xf>
    <xf numFmtId="0" fontId="50" fillId="0" borderId="13" xfId="66" applyFont="1" applyBorder="1" applyAlignment="1">
      <alignment horizontal="center" vertical="center"/>
    </xf>
    <xf numFmtId="0" fontId="50" fillId="0" borderId="12" xfId="66" applyFont="1" applyBorder="1" applyAlignment="1">
      <alignment horizontal="center" vertical="center" wrapText="1"/>
    </xf>
    <xf numFmtId="0" fontId="85" fillId="0" borderId="0" xfId="0" applyFont="1"/>
    <xf numFmtId="0" fontId="86" fillId="2" borderId="2" xfId="1" applyFont="1" applyFill="1" applyBorder="1" applyAlignment="1">
      <alignment horizontal="center" vertical="center" wrapText="1"/>
    </xf>
    <xf numFmtId="0" fontId="63" fillId="0" borderId="0" xfId="1" applyFont="1"/>
    <xf numFmtId="0" fontId="85" fillId="0" borderId="0" xfId="5" applyFont="1" applyAlignment="1">
      <alignment vertical="center"/>
    </xf>
    <xf numFmtId="0" fontId="87" fillId="0" borderId="2" xfId="43" applyFont="1" applyBorder="1" applyAlignment="1">
      <alignment horizontal="center" vertical="center"/>
    </xf>
    <xf numFmtId="0" fontId="87" fillId="0" borderId="0" xfId="43" applyFont="1" applyAlignment="1">
      <alignment horizontal="center" vertical="center" wrapText="1"/>
    </xf>
    <xf numFmtId="0" fontId="63" fillId="0" borderId="2" xfId="1" applyFont="1" applyBorder="1" applyAlignment="1">
      <alignment horizontal="center" vertical="center" wrapText="1"/>
    </xf>
    <xf numFmtId="0" fontId="85" fillId="5" borderId="0" xfId="1" applyFont="1" applyFill="1" applyAlignment="1">
      <alignment horizontal="center"/>
    </xf>
    <xf numFmtId="0" fontId="87" fillId="0" borderId="2" xfId="54" applyFont="1" applyBorder="1" applyAlignment="1">
      <alignment horizontal="center" vertical="center" wrapText="1"/>
    </xf>
    <xf numFmtId="0" fontId="87" fillId="0" borderId="0" xfId="54" applyFont="1" applyAlignment="1">
      <alignment vertical="center" wrapText="1"/>
    </xf>
    <xf numFmtId="0" fontId="87" fillId="0" borderId="2" xfId="41" applyFont="1" applyBorder="1" applyAlignment="1">
      <alignment horizontal="center" vertical="center"/>
    </xf>
    <xf numFmtId="0" fontId="58" fillId="0" borderId="8" xfId="41" applyFont="1" applyBorder="1" applyAlignment="1">
      <alignment vertical="center"/>
    </xf>
    <xf numFmtId="0" fontId="58" fillId="0" borderId="13" xfId="41" applyFont="1" applyBorder="1" applyAlignment="1">
      <alignment vertical="center"/>
    </xf>
    <xf numFmtId="0" fontId="58" fillId="0" borderId="11" xfId="41" applyFont="1" applyBorder="1" applyAlignment="1">
      <alignment vertical="top"/>
    </xf>
    <xf numFmtId="0" fontId="58" fillId="0" borderId="8" xfId="54" applyFont="1" applyBorder="1" applyAlignment="1">
      <alignment horizontal="left" vertical="center"/>
    </xf>
    <xf numFmtId="0" fontId="58" fillId="0" borderId="8" xfId="54" applyFont="1" applyBorder="1" applyAlignment="1">
      <alignment vertical="center"/>
    </xf>
    <xf numFmtId="0" fontId="57" fillId="0" borderId="16" xfId="66" applyFont="1" applyBorder="1" applyAlignment="1">
      <alignment horizontal="left" vertical="center" indent="1"/>
    </xf>
    <xf numFmtId="0" fontId="57" fillId="0" borderId="8" xfId="66" applyFont="1" applyBorder="1" applyAlignment="1">
      <alignment horizontal="left" vertical="center" indent="1"/>
    </xf>
    <xf numFmtId="0" fontId="58" fillId="0" borderId="10" xfId="66" applyFont="1" applyBorder="1"/>
    <xf numFmtId="0" fontId="50" fillId="0" borderId="13" xfId="66" applyFont="1" applyBorder="1" applyAlignment="1">
      <alignment horizontal="center" vertical="center" wrapText="1"/>
    </xf>
    <xf numFmtId="0" fontId="50" fillId="0" borderId="14" xfId="66" applyFont="1" applyBorder="1" applyAlignment="1">
      <alignment horizontal="center" vertical="center" wrapText="1"/>
    </xf>
    <xf numFmtId="0" fontId="58" fillId="0" borderId="8" xfId="66" applyFont="1" applyBorder="1"/>
    <xf numFmtId="0" fontId="50" fillId="0" borderId="4" xfId="66" applyFont="1" applyBorder="1" applyAlignment="1">
      <alignment horizontal="center" vertical="center"/>
    </xf>
    <xf numFmtId="0" fontId="54" fillId="0" borderId="2" xfId="66" applyFont="1" applyBorder="1"/>
    <xf numFmtId="167" fontId="77" fillId="2" borderId="2" xfId="4" applyNumberFormat="1" applyFont="1" applyFill="1" applyBorder="1" applyAlignment="1">
      <alignment horizontal="right" vertical="center" wrapText="1"/>
    </xf>
    <xf numFmtId="0" fontId="58" fillId="10" borderId="2" xfId="0" applyFont="1" applyFill="1" applyBorder="1" applyAlignment="1">
      <alignment horizontal="center" vertical="center" textRotation="90" wrapText="1"/>
    </xf>
    <xf numFmtId="0" fontId="50" fillId="8" borderId="2" xfId="1" applyFont="1" applyFill="1" applyBorder="1" applyAlignment="1">
      <alignment horizontal="center" vertical="center" textRotation="90" wrapText="1"/>
    </xf>
    <xf numFmtId="0" fontId="68" fillId="2" borderId="2" xfId="1" applyFont="1" applyFill="1" applyBorder="1" applyAlignment="1">
      <alignment horizontal="left" vertical="center" wrapText="1"/>
    </xf>
    <xf numFmtId="0" fontId="54" fillId="0" borderId="0" xfId="0" applyFont="1"/>
    <xf numFmtId="0" fontId="50" fillId="0" borderId="0" xfId="0" applyFont="1" applyAlignment="1">
      <alignment vertical="center"/>
    </xf>
    <xf numFmtId="0" fontId="81" fillId="0" borderId="2" xfId="0" applyFont="1" applyBorder="1" applyAlignment="1">
      <alignment horizontal="center" vertical="center" wrapText="1"/>
    </xf>
    <xf numFmtId="167" fontId="54" fillId="0" borderId="2" xfId="0" applyNumberFormat="1" applyFont="1" applyBorder="1" applyAlignment="1">
      <alignment vertical="center"/>
    </xf>
    <xf numFmtId="0" fontId="86" fillId="2" borderId="2" xfId="5" applyFont="1" applyFill="1" applyBorder="1" applyAlignment="1">
      <alignment horizontal="center" vertical="center" wrapText="1"/>
    </xf>
    <xf numFmtId="0" fontId="54" fillId="0" borderId="2" xfId="4" applyFont="1" applyBorder="1" applyAlignment="1">
      <alignment vertical="center" wrapText="1"/>
    </xf>
    <xf numFmtId="167" fontId="54" fillId="0" borderId="2" xfId="4" applyNumberFormat="1" applyFont="1" applyBorder="1" applyAlignment="1">
      <alignment vertical="center"/>
    </xf>
    <xf numFmtId="0" fontId="54" fillId="0" borderId="2" xfId="4" applyFont="1" applyBorder="1" applyAlignment="1">
      <alignment horizontal="left" vertical="center" wrapText="1"/>
    </xf>
    <xf numFmtId="0" fontId="86" fillId="2" borderId="4" xfId="0" applyFont="1" applyFill="1" applyBorder="1" applyAlignment="1">
      <alignment horizontal="center" vertical="center" wrapText="1"/>
    </xf>
    <xf numFmtId="0" fontId="86" fillId="2" borderId="2" xfId="0" applyFont="1" applyFill="1" applyBorder="1" applyAlignment="1">
      <alignment horizontal="center" vertical="center" wrapText="1"/>
    </xf>
    <xf numFmtId="0" fontId="32" fillId="0" borderId="2" xfId="5" applyBorder="1" applyAlignment="1">
      <alignment horizontal="center" vertical="center"/>
    </xf>
    <xf numFmtId="1" fontId="54" fillId="0" borderId="2" xfId="5" applyNumberFormat="1" applyFont="1" applyBorder="1" applyAlignment="1">
      <alignment horizontal="center" vertical="center"/>
    </xf>
    <xf numFmtId="167" fontId="54" fillId="0" borderId="2" xfId="4" applyNumberFormat="1" applyFont="1" applyBorder="1" applyAlignment="1">
      <alignment horizontal="right" vertical="center" indent="3"/>
    </xf>
    <xf numFmtId="0" fontId="54" fillId="0" borderId="2" xfId="4" applyFont="1" applyBorder="1" applyAlignment="1">
      <alignment horizontal="center" vertical="center"/>
    </xf>
    <xf numFmtId="167" fontId="54" fillId="0" borderId="2" xfId="5" applyNumberFormat="1" applyFont="1" applyBorder="1" applyAlignment="1">
      <alignment horizontal="right" vertical="center" indent="2"/>
    </xf>
    <xf numFmtId="0" fontId="53" fillId="0" borderId="0" xfId="5" applyFont="1" applyAlignment="1">
      <alignment vertical="top"/>
    </xf>
    <xf numFmtId="167" fontId="54" fillId="0" borderId="2" xfId="1" applyNumberFormat="1" applyFont="1" applyBorder="1" applyAlignment="1">
      <alignment horizontal="right" vertical="center"/>
    </xf>
    <xf numFmtId="0" fontId="50" fillId="8" borderId="2" xfId="1" applyFont="1" applyFill="1" applyBorder="1" applyAlignment="1">
      <alignment horizontal="center" vertical="center"/>
    </xf>
    <xf numFmtId="0" fontId="81" fillId="0" borderId="11" xfId="0" applyFont="1" applyBorder="1" applyAlignment="1">
      <alignment horizontal="center" vertical="center" wrapText="1"/>
    </xf>
    <xf numFmtId="0" fontId="85" fillId="0" borderId="11" xfId="1" applyFont="1" applyBorder="1" applyAlignment="1">
      <alignment horizontal="center" vertical="center" wrapText="1"/>
    </xf>
    <xf numFmtId="0" fontId="32" fillId="0" borderId="2" xfId="1" applyBorder="1" applyAlignment="1">
      <alignment horizontal="center" vertical="center"/>
    </xf>
    <xf numFmtId="0" fontId="39" fillId="0" borderId="2" xfId="1" applyFont="1" applyBorder="1" applyAlignment="1">
      <alignment vertical="center" wrapText="1"/>
    </xf>
    <xf numFmtId="167" fontId="32" fillId="0" borderId="2" xfId="1" applyNumberFormat="1" applyBorder="1" applyAlignment="1">
      <alignment horizontal="right" vertical="center"/>
    </xf>
    <xf numFmtId="0" fontId="39" fillId="0" borderId="2" xfId="1" applyFont="1" applyBorder="1" applyAlignment="1">
      <alignment vertical="center"/>
    </xf>
    <xf numFmtId="167" fontId="50" fillId="8" borderId="2" xfId="5" applyNumberFormat="1" applyFont="1" applyFill="1" applyBorder="1" applyAlignment="1">
      <alignment horizontal="center" vertical="center"/>
    </xf>
    <xf numFmtId="0" fontId="63" fillId="0" borderId="11" xfId="5" applyFont="1" applyBorder="1" applyAlignment="1">
      <alignment horizontal="center" vertical="center" wrapText="1"/>
    </xf>
    <xf numFmtId="0" fontId="50" fillId="0" borderId="2" xfId="5" applyFont="1" applyBorder="1" applyAlignment="1">
      <alignment vertical="center" wrapText="1"/>
    </xf>
    <xf numFmtId="0" fontId="50" fillId="0" borderId="2" xfId="5" applyFont="1" applyBorder="1" applyAlignment="1">
      <alignment vertical="center"/>
    </xf>
    <xf numFmtId="167" fontId="32" fillId="0" borderId="2" xfId="5" applyNumberFormat="1" applyBorder="1" applyAlignment="1">
      <alignment horizontal="right" vertical="center"/>
    </xf>
    <xf numFmtId="167" fontId="32" fillId="0" borderId="0" xfId="5" applyNumberFormat="1" applyAlignment="1">
      <alignment vertical="center"/>
    </xf>
    <xf numFmtId="0" fontId="52" fillId="0" borderId="0" xfId="5" applyFont="1" applyAlignment="1">
      <alignment vertical="top"/>
    </xf>
    <xf numFmtId="0" fontId="63" fillId="0" borderId="11" xfId="2" applyFont="1" applyBorder="1" applyAlignment="1">
      <alignment horizontal="center" vertical="center" wrapText="1"/>
    </xf>
    <xf numFmtId="167" fontId="54" fillId="0" borderId="2" xfId="2" applyNumberFormat="1" applyFont="1" applyBorder="1" applyAlignment="1">
      <alignment horizontal="center" vertical="center" wrapText="1"/>
    </xf>
    <xf numFmtId="0" fontId="54" fillId="0" borderId="2" xfId="2" applyFont="1" applyBorder="1" applyAlignment="1">
      <alignment horizontal="center" vertical="center"/>
    </xf>
    <xf numFmtId="0" fontId="50" fillId="0" borderId="2" xfId="2" applyFont="1" applyBorder="1" applyAlignment="1">
      <alignment vertical="center" wrapText="1"/>
    </xf>
    <xf numFmtId="167" fontId="54" fillId="0" borderId="2" xfId="2" applyNumberFormat="1" applyFont="1" applyBorder="1" applyAlignment="1">
      <alignment horizontal="right" vertical="center"/>
    </xf>
    <xf numFmtId="167" fontId="54" fillId="0" borderId="2" xfId="2" applyNumberFormat="1" applyFont="1" applyBorder="1" applyAlignment="1">
      <alignment vertical="center"/>
    </xf>
    <xf numFmtId="0" fontId="50" fillId="0" borderId="2" xfId="2" applyFont="1" applyBorder="1" applyAlignment="1">
      <alignment vertical="center"/>
    </xf>
    <xf numFmtId="0" fontId="50" fillId="8" borderId="2" xfId="2" applyFont="1" applyFill="1" applyBorder="1" applyAlignment="1">
      <alignment horizontal="center" vertical="center"/>
    </xf>
    <xf numFmtId="0" fontId="52" fillId="0" borderId="0" xfId="7" applyFont="1" applyAlignment="1">
      <alignment vertical="top"/>
    </xf>
    <xf numFmtId="167" fontId="54" fillId="0" borderId="2" xfId="0" applyNumberFormat="1" applyFont="1" applyBorder="1" applyAlignment="1">
      <alignment horizontal="right" vertical="center" indent="1"/>
    </xf>
    <xf numFmtId="0" fontId="54" fillId="0" borderId="2" xfId="0" applyFont="1" applyBorder="1" applyAlignment="1">
      <alignment horizontal="center" vertical="center"/>
    </xf>
    <xf numFmtId="0" fontId="50" fillId="0" borderId="2" xfId="0" applyFont="1" applyBorder="1" applyAlignment="1">
      <alignment vertical="center" wrapText="1"/>
    </xf>
    <xf numFmtId="167" fontId="54" fillId="0" borderId="2" xfId="0" applyNumberFormat="1" applyFont="1" applyBorder="1" applyAlignment="1">
      <alignment vertical="center" wrapText="1"/>
    </xf>
    <xf numFmtId="0" fontId="50" fillId="0" borderId="2" xfId="0" applyFont="1" applyBorder="1" applyAlignment="1">
      <alignment vertical="center"/>
    </xf>
    <xf numFmtId="167" fontId="50" fillId="0" borderId="2" xfId="0" applyNumberFormat="1" applyFont="1" applyBorder="1" applyAlignment="1">
      <alignment vertical="center"/>
    </xf>
    <xf numFmtId="0" fontId="32" fillId="0" borderId="0" xfId="5" applyAlignment="1">
      <alignment vertical="top"/>
    </xf>
    <xf numFmtId="0" fontId="39" fillId="0" borderId="0" xfId="5" applyFont="1" applyAlignment="1">
      <alignment horizontal="right" vertical="top"/>
    </xf>
    <xf numFmtId="0" fontId="75" fillId="0" borderId="2" xfId="5" applyFont="1" applyBorder="1" applyAlignment="1">
      <alignment horizontal="center" vertical="center" wrapText="1"/>
    </xf>
    <xf numFmtId="0" fontId="39" fillId="0" borderId="2" xfId="5" applyFont="1" applyBorder="1" applyAlignment="1">
      <alignment vertical="center" wrapText="1"/>
    </xf>
    <xf numFmtId="0" fontId="32" fillId="0" borderId="2" xfId="5" applyBorder="1" applyAlignment="1">
      <alignment vertical="center"/>
    </xf>
    <xf numFmtId="0" fontId="32" fillId="0" borderId="2" xfId="5" applyBorder="1" applyAlignment="1">
      <alignment vertical="center" wrapText="1"/>
    </xf>
    <xf numFmtId="1" fontId="32" fillId="0" borderId="2" xfId="5" applyNumberFormat="1" applyBorder="1" applyAlignment="1">
      <alignment vertical="center"/>
    </xf>
    <xf numFmtId="0" fontId="39" fillId="0" borderId="2" xfId="5" applyFont="1" applyBorder="1" applyAlignment="1">
      <alignment vertical="center"/>
    </xf>
    <xf numFmtId="2" fontId="52" fillId="0" borderId="2" xfId="45" applyNumberFormat="1" applyFont="1" applyBorder="1" applyAlignment="1">
      <alignment horizontal="center" vertical="center"/>
    </xf>
    <xf numFmtId="2" fontId="56" fillId="0" borderId="2" xfId="70" applyNumberFormat="1" applyFont="1" applyBorder="1" applyAlignment="1">
      <alignment horizontal="center" vertical="center"/>
    </xf>
    <xf numFmtId="2" fontId="66" fillId="0" borderId="2" xfId="70" applyNumberFormat="1" applyFont="1" applyBorder="1" applyAlignment="1">
      <alignment horizontal="center" vertical="center"/>
    </xf>
    <xf numFmtId="0" fontId="50" fillId="8" borderId="2" xfId="1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/>
    </xf>
    <xf numFmtId="0" fontId="50" fillId="8" borderId="2" xfId="5" applyFont="1" applyFill="1" applyBorder="1" applyAlignment="1">
      <alignment horizontal="center" vertical="center"/>
    </xf>
    <xf numFmtId="0" fontId="50" fillId="8" borderId="2" xfId="4" applyFont="1" applyFill="1" applyBorder="1" applyAlignment="1">
      <alignment horizontal="center" vertical="center" wrapText="1"/>
    </xf>
    <xf numFmtId="0" fontId="50" fillId="8" borderId="2" xfId="5" applyFont="1" applyFill="1" applyBorder="1" applyAlignment="1">
      <alignment horizontal="center" vertical="center" wrapText="1"/>
    </xf>
    <xf numFmtId="0" fontId="50" fillId="8" borderId="2" xfId="2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 wrapText="1"/>
    </xf>
    <xf numFmtId="0" fontId="39" fillId="8" borderId="2" xfId="5" applyFont="1" applyFill="1" applyBorder="1" applyAlignment="1">
      <alignment horizontal="center" vertical="center"/>
    </xf>
    <xf numFmtId="0" fontId="39" fillId="8" borderId="2" xfId="5" applyFont="1" applyFill="1" applyBorder="1" applyAlignment="1">
      <alignment horizontal="center" vertical="center" wrapText="1"/>
    </xf>
    <xf numFmtId="0" fontId="53" fillId="0" borderId="0" xfId="41" applyFont="1" applyAlignment="1">
      <alignment horizontal="right" vertical="top"/>
    </xf>
    <xf numFmtId="0" fontId="58" fillId="8" borderId="2" xfId="54" applyFont="1" applyFill="1" applyBorder="1" applyAlignment="1">
      <alignment horizontal="center" vertical="center" wrapText="1"/>
    </xf>
    <xf numFmtId="0" fontId="50" fillId="8" borderId="2" xfId="54" applyFont="1" applyFill="1" applyBorder="1" applyAlignment="1">
      <alignment horizontal="center" vertical="center"/>
    </xf>
    <xf numFmtId="0" fontId="77" fillId="8" borderId="2" xfId="48" applyFont="1" applyFill="1" applyBorder="1" applyAlignment="1">
      <alignment horizontal="center" vertical="center" wrapText="1"/>
    </xf>
    <xf numFmtId="0" fontId="77" fillId="8" borderId="2" xfId="1" applyFont="1" applyFill="1" applyBorder="1" applyAlignment="1">
      <alignment horizontal="center" vertical="center" wrapText="1"/>
    </xf>
    <xf numFmtId="0" fontId="58" fillId="8" borderId="2" xfId="54" applyFont="1" applyFill="1" applyBorder="1" applyAlignment="1">
      <alignment horizontal="center" vertical="center"/>
    </xf>
    <xf numFmtId="0" fontId="53" fillId="8" borderId="2" xfId="61" applyFont="1" applyFill="1" applyBorder="1" applyAlignment="1">
      <alignment horizontal="center" vertical="center" wrapText="1"/>
    </xf>
    <xf numFmtId="0" fontId="50" fillId="8" borderId="2" xfId="61" applyFont="1" applyFill="1" applyBorder="1" applyAlignment="1">
      <alignment horizontal="center" vertical="center" wrapText="1"/>
    </xf>
    <xf numFmtId="0" fontId="50" fillId="8" borderId="2" xfId="65" applyFont="1" applyFill="1" applyBorder="1" applyAlignment="1">
      <alignment horizontal="center" vertical="center"/>
    </xf>
    <xf numFmtId="0" fontId="50" fillId="8" borderId="2" xfId="65" applyFont="1" applyFill="1" applyBorder="1" applyAlignment="1">
      <alignment horizontal="center" vertical="center" wrapText="1"/>
    </xf>
    <xf numFmtId="0" fontId="50" fillId="8" borderId="2" xfId="72" applyFont="1" applyFill="1" applyBorder="1" applyAlignment="1">
      <alignment horizontal="center" vertical="center" wrapText="1"/>
    </xf>
    <xf numFmtId="0" fontId="50" fillId="8" borderId="2" xfId="66" applyFont="1" applyFill="1" applyBorder="1" applyAlignment="1">
      <alignment horizontal="center" vertical="center"/>
    </xf>
    <xf numFmtId="0" fontId="64" fillId="8" borderId="2" xfId="61" applyFont="1" applyFill="1" applyBorder="1" applyAlignment="1">
      <alignment horizontal="center" vertical="center" wrapText="1"/>
    </xf>
    <xf numFmtId="0" fontId="53" fillId="0" borderId="0" xfId="7" applyFont="1" applyAlignment="1">
      <alignment vertical="top"/>
    </xf>
    <xf numFmtId="0" fontId="54" fillId="0" borderId="2" xfId="0" applyFont="1" applyBorder="1" applyAlignment="1">
      <alignment vertical="center"/>
    </xf>
    <xf numFmtId="0" fontId="56" fillId="0" borderId="0" xfId="54" applyFont="1" applyAlignment="1">
      <alignment horizontal="left" vertical="center" wrapText="1"/>
    </xf>
    <xf numFmtId="0" fontId="56" fillId="0" borderId="0" xfId="54" applyFont="1" applyAlignment="1">
      <alignment vertical="center"/>
    </xf>
    <xf numFmtId="0" fontId="87" fillId="0" borderId="4" xfId="54" applyFont="1" applyBorder="1" applyAlignment="1">
      <alignment horizontal="center" vertical="center"/>
    </xf>
    <xf numFmtId="0" fontId="87" fillId="0" borderId="2" xfId="54" applyFont="1" applyBorder="1" applyAlignment="1">
      <alignment horizontal="center" vertical="center"/>
    </xf>
    <xf numFmtId="0" fontId="58" fillId="0" borderId="8" xfId="0" applyFont="1" applyBorder="1" applyAlignment="1">
      <alignment horizontal="left" vertical="center"/>
    </xf>
    <xf numFmtId="0" fontId="54" fillId="0" borderId="10" xfId="0" applyFont="1" applyBorder="1" applyAlignment="1">
      <alignment vertical="center"/>
    </xf>
    <xf numFmtId="0" fontId="54" fillId="0" borderId="2" xfId="0" applyFont="1" applyBorder="1" applyAlignment="1">
      <alignment horizontal="left" vertical="center"/>
    </xf>
    <xf numFmtId="0" fontId="58" fillId="0" borderId="8" xfId="0" applyFont="1" applyBorder="1" applyAlignment="1">
      <alignment vertical="center"/>
    </xf>
    <xf numFmtId="0" fontId="54" fillId="0" borderId="10" xfId="0" applyFont="1" applyBorder="1" applyAlignment="1">
      <alignment horizontal="left" vertical="center"/>
    </xf>
    <xf numFmtId="0" fontId="58" fillId="0" borderId="10" xfId="0" applyFont="1" applyBorder="1" applyAlignment="1">
      <alignment vertical="center"/>
    </xf>
    <xf numFmtId="0" fontId="58" fillId="0" borderId="2" xfId="0" applyFont="1" applyBorder="1" applyAlignment="1">
      <alignment vertical="center"/>
    </xf>
    <xf numFmtId="0" fontId="58" fillId="0" borderId="11" xfId="54" applyFont="1" applyBorder="1" applyAlignment="1">
      <alignment horizontal="left" vertical="center"/>
    </xf>
    <xf numFmtId="0" fontId="52" fillId="0" borderId="0" xfId="0" applyFont="1"/>
    <xf numFmtId="0" fontId="77" fillId="2" borderId="0" xfId="1" applyFont="1" applyFill="1" applyAlignment="1">
      <alignment horizontal="right" vertical="center"/>
    </xf>
    <xf numFmtId="0" fontId="77" fillId="2" borderId="0" xfId="1" applyFont="1" applyFill="1" applyAlignment="1">
      <alignment vertical="center"/>
    </xf>
    <xf numFmtId="0" fontId="77" fillId="2" borderId="0" xfId="1" applyFont="1" applyFill="1" applyAlignment="1">
      <alignment vertical="center" wrapText="1"/>
    </xf>
    <xf numFmtId="0" fontId="89" fillId="2" borderId="2" xfId="1" applyFont="1" applyFill="1" applyBorder="1" applyAlignment="1">
      <alignment horizontal="center" vertical="center" wrapText="1"/>
    </xf>
    <xf numFmtId="0" fontId="50" fillId="0" borderId="0" xfId="0" applyFont="1" applyAlignment="1">
      <alignment horizontal="right" vertical="center"/>
    </xf>
    <xf numFmtId="0" fontId="54" fillId="0" borderId="0" xfId="1" applyFont="1" applyAlignment="1">
      <alignment horizontal="center" vertical="center" wrapText="1"/>
    </xf>
    <xf numFmtId="0" fontId="85" fillId="0" borderId="0" xfId="1" applyFont="1"/>
    <xf numFmtId="0" fontId="85" fillId="0" borderId="0" xfId="1" applyFont="1" applyAlignment="1">
      <alignment horizontal="center" vertical="center" wrapText="1"/>
    </xf>
    <xf numFmtId="0" fontId="54" fillId="0" borderId="9" xfId="66" applyFont="1" applyBorder="1"/>
    <xf numFmtId="167" fontId="54" fillId="2" borderId="2" xfId="5" applyNumberFormat="1" applyFont="1" applyFill="1" applyBorder="1" applyAlignment="1">
      <alignment horizontal="right" vertical="center" wrapText="1"/>
    </xf>
    <xf numFmtId="1" fontId="54" fillId="0" borderId="2" xfId="45" applyNumberFormat="1" applyFont="1" applyBorder="1" applyAlignment="1">
      <alignment horizontal="center" vertical="center"/>
    </xf>
    <xf numFmtId="2" fontId="50" fillId="0" borderId="0" xfId="9" applyNumberFormat="1" applyFont="1" applyAlignment="1">
      <alignment horizontal="center" vertical="center"/>
    </xf>
    <xf numFmtId="0" fontId="54" fillId="0" borderId="2" xfId="65" applyFont="1" applyBorder="1"/>
    <xf numFmtId="0" fontId="54" fillId="0" borderId="2" xfId="61" applyFont="1" applyBorder="1"/>
    <xf numFmtId="1" fontId="54" fillId="0" borderId="2" xfId="61" applyNumberFormat="1" applyFont="1" applyBorder="1" applyAlignment="1">
      <alignment vertical="center"/>
    </xf>
    <xf numFmtId="0" fontId="54" fillId="0" borderId="2" xfId="61" applyFont="1" applyBorder="1" applyAlignment="1">
      <alignment horizontal="center" vertical="center"/>
    </xf>
    <xf numFmtId="0" fontId="53" fillId="8" borderId="2" xfId="5" applyFont="1" applyFill="1" applyBorder="1" applyAlignment="1">
      <alignment horizontal="center" vertical="center"/>
    </xf>
    <xf numFmtId="0" fontId="50" fillId="0" borderId="2" xfId="5" applyFont="1" applyBorder="1" applyAlignment="1">
      <alignment horizontal="right" vertical="center"/>
    </xf>
    <xf numFmtId="0" fontId="57" fillId="0" borderId="0" xfId="69" applyFont="1"/>
    <xf numFmtId="0" fontId="50" fillId="8" borderId="8" xfId="4" applyFont="1" applyFill="1" applyBorder="1" applyAlignment="1">
      <alignment horizontal="center" vertical="center" wrapText="1"/>
    </xf>
    <xf numFmtId="0" fontId="81" fillId="0" borderId="2" xfId="4" applyFont="1" applyBorder="1" applyAlignment="1">
      <alignment horizontal="center" vertical="center"/>
    </xf>
    <xf numFmtId="0" fontId="81" fillId="0" borderId="8" xfId="4" applyFont="1" applyBorder="1" applyAlignment="1">
      <alignment horizontal="center" vertical="center"/>
    </xf>
    <xf numFmtId="0" fontId="50" fillId="0" borderId="0" xfId="1" applyFont="1" applyAlignment="1">
      <alignment vertical="top"/>
    </xf>
    <xf numFmtId="0" fontId="52" fillId="0" borderId="0" xfId="1" applyFont="1" applyAlignment="1">
      <alignment horizontal="center" vertical="top"/>
    </xf>
    <xf numFmtId="0" fontId="53" fillId="0" borderId="0" xfId="1" applyFont="1" applyAlignment="1">
      <alignment vertical="top"/>
    </xf>
    <xf numFmtId="0" fontId="58" fillId="8" borderId="2" xfId="1" applyFont="1" applyFill="1" applyBorder="1" applyAlignment="1">
      <alignment horizontal="center" vertical="center" wrapText="1"/>
    </xf>
    <xf numFmtId="0" fontId="50" fillId="0" borderId="0" xfId="1" applyFont="1" applyAlignment="1">
      <alignment vertical="center" wrapText="1"/>
    </xf>
    <xf numFmtId="0" fontId="48" fillId="8" borderId="2" xfId="1" applyFont="1" applyFill="1" applyBorder="1" applyAlignment="1">
      <alignment horizontal="center" vertical="center" textRotation="90" wrapText="1"/>
    </xf>
    <xf numFmtId="0" fontId="58" fillId="8" borderId="11" xfId="1" applyFont="1" applyFill="1" applyBorder="1" applyAlignment="1">
      <alignment horizontal="center" vertical="center" wrapText="1"/>
    </xf>
    <xf numFmtId="0" fontId="39" fillId="0" borderId="0" xfId="1" applyFont="1" applyAlignment="1">
      <alignment horizontal="center" vertical="center" textRotation="90" wrapText="1"/>
    </xf>
    <xf numFmtId="0" fontId="51" fillId="0" borderId="2" xfId="1" applyFont="1" applyBorder="1" applyAlignment="1">
      <alignment horizontal="center" vertical="center" wrapText="1"/>
    </xf>
    <xf numFmtId="0" fontId="54" fillId="0" borderId="2" xfId="1" applyFont="1" applyBorder="1" applyAlignment="1">
      <alignment horizontal="left" vertical="center" wrapText="1"/>
    </xf>
    <xf numFmtId="167" fontId="54" fillId="0" borderId="2" xfId="1" applyNumberFormat="1" applyFont="1" applyBorder="1" applyAlignment="1">
      <alignment horizontal="center" vertical="center"/>
    </xf>
    <xf numFmtId="0" fontId="54" fillId="0" borderId="0" xfId="1" applyFont="1" applyAlignment="1">
      <alignment vertical="center" wrapText="1"/>
    </xf>
    <xf numFmtId="0" fontId="58" fillId="0" borderId="0" xfId="54" applyFont="1" applyAlignment="1">
      <alignment horizontal="left" vertical="top" wrapText="1"/>
    </xf>
    <xf numFmtId="0" fontId="57" fillId="8" borderId="0" xfId="54" applyFont="1" applyFill="1" applyAlignment="1">
      <alignment vertical="center"/>
    </xf>
    <xf numFmtId="0" fontId="71" fillId="0" borderId="0" xfId="54" applyFont="1" applyAlignment="1">
      <alignment vertical="center"/>
    </xf>
    <xf numFmtId="0" fontId="58" fillId="0" borderId="8" xfId="0" applyFont="1" applyBorder="1"/>
    <xf numFmtId="0" fontId="58" fillId="0" borderId="10" xfId="0" applyFont="1" applyBorder="1"/>
    <xf numFmtId="0" fontId="58" fillId="0" borderId="8" xfId="0" applyFont="1" applyBorder="1" applyAlignment="1">
      <alignment horizontal="left"/>
    </xf>
    <xf numFmtId="0" fontId="58" fillId="0" borderId="2" xfId="0" applyFont="1" applyBorder="1"/>
    <xf numFmtId="0" fontId="54" fillId="0" borderId="2" xfId="0" applyFont="1" applyBorder="1"/>
    <xf numFmtId="0" fontId="53" fillId="0" borderId="0" xfId="5" applyFont="1" applyAlignment="1">
      <alignment horizontal="left" vertical="top"/>
    </xf>
    <xf numFmtId="0" fontId="50" fillId="0" borderId="0" xfId="38" applyFont="1" applyAlignment="1">
      <alignment vertical="center" wrapText="1"/>
    </xf>
    <xf numFmtId="0" fontId="50" fillId="8" borderId="2" xfId="38" applyFont="1" applyFill="1" applyBorder="1" applyAlignment="1">
      <alignment horizontal="center" vertical="center"/>
    </xf>
    <xf numFmtId="0" fontId="54" fillId="0" borderId="0" xfId="38" applyFont="1" applyAlignment="1">
      <alignment vertical="center"/>
    </xf>
    <xf numFmtId="0" fontId="51" fillId="0" borderId="11" xfId="38" applyFont="1" applyBorder="1" applyAlignment="1">
      <alignment horizontal="center" vertical="center" wrapText="1"/>
    </xf>
    <xf numFmtId="0" fontId="51" fillId="0" borderId="15" xfId="38" applyFont="1" applyBorder="1" applyAlignment="1">
      <alignment horizontal="center" vertical="center" wrapText="1"/>
    </xf>
    <xf numFmtId="0" fontId="54" fillId="0" borderId="2" xfId="38" applyFont="1" applyBorder="1" applyAlignment="1">
      <alignment horizontal="center" vertical="center"/>
    </xf>
    <xf numFmtId="0" fontId="50" fillId="0" borderId="2" xfId="38" applyFont="1" applyBorder="1" applyAlignment="1">
      <alignment vertical="center" wrapText="1"/>
    </xf>
    <xf numFmtId="0" fontId="54" fillId="0" borderId="2" xfId="38" applyFont="1" applyBorder="1" applyAlignment="1">
      <alignment horizontal="right" vertical="center"/>
    </xf>
    <xf numFmtId="0" fontId="50" fillId="0" borderId="2" xfId="38" applyFont="1" applyBorder="1" applyAlignment="1">
      <alignment vertical="center"/>
    </xf>
    <xf numFmtId="0" fontId="54" fillId="0" borderId="0" xfId="38" applyFont="1"/>
    <xf numFmtId="0" fontId="54" fillId="0" borderId="0" xfId="5" applyFont="1"/>
    <xf numFmtId="0" fontId="57" fillId="0" borderId="0" xfId="46" applyFont="1"/>
    <xf numFmtId="0" fontId="50" fillId="8" borderId="2" xfId="28" applyFont="1" applyFill="1" applyBorder="1" applyAlignment="1">
      <alignment horizontal="center" vertical="center" wrapText="1"/>
    </xf>
    <xf numFmtId="0" fontId="51" fillId="0" borderId="2" xfId="5" applyFont="1" applyBorder="1" applyAlignment="1">
      <alignment horizontal="center" vertical="center" wrapText="1"/>
    </xf>
    <xf numFmtId="0" fontId="51" fillId="0" borderId="2" xfId="28" applyFont="1" applyBorder="1" applyAlignment="1">
      <alignment horizontal="center" vertical="center" wrapText="1"/>
    </xf>
    <xf numFmtId="0" fontId="54" fillId="0" borderId="2" xfId="28" applyFont="1" applyBorder="1" applyAlignment="1">
      <alignment horizontal="left" vertical="center" wrapText="1"/>
    </xf>
    <xf numFmtId="0" fontId="68" fillId="2" borderId="2" xfId="28" applyFont="1" applyFill="1" applyBorder="1" applyAlignment="1">
      <alignment horizontal="right" vertical="center" wrapText="1"/>
    </xf>
    <xf numFmtId="0" fontId="80" fillId="2" borderId="2" xfId="28" applyFont="1" applyFill="1" applyBorder="1" applyAlignment="1">
      <alignment horizontal="center" vertical="center" wrapText="1"/>
    </xf>
    <xf numFmtId="0" fontId="80" fillId="2" borderId="2" xfId="28" applyFont="1" applyFill="1" applyBorder="1" applyAlignment="1">
      <alignment horizontal="right" vertical="center" wrapText="1"/>
    </xf>
    <xf numFmtId="0" fontId="54" fillId="0" borderId="0" xfId="46" applyFont="1"/>
    <xf numFmtId="0" fontId="32" fillId="0" borderId="0" xfId="17" applyFont="1" applyAlignment="1">
      <alignment vertical="center"/>
    </xf>
    <xf numFmtId="0" fontId="39" fillId="8" borderId="2" xfId="44" applyFont="1" applyFill="1" applyBorder="1" applyAlignment="1">
      <alignment horizontal="center" vertical="center" wrapText="1"/>
    </xf>
    <xf numFmtId="0" fontId="51" fillId="0" borderId="2" xfId="41" applyFont="1" applyBorder="1" applyAlignment="1">
      <alignment horizontal="center" vertical="center" wrapText="1"/>
    </xf>
    <xf numFmtId="0" fontId="51" fillId="0" borderId="2" xfId="44" applyFont="1" applyBorder="1" applyAlignment="1">
      <alignment horizontal="center" vertical="center" wrapText="1"/>
    </xf>
    <xf numFmtId="0" fontId="32" fillId="0" borderId="2" xfId="17" applyFont="1" applyBorder="1" applyAlignment="1">
      <alignment horizontal="center" vertical="center"/>
    </xf>
    <xf numFmtId="0" fontId="56" fillId="0" borderId="2" xfId="45" applyFont="1" applyBorder="1" applyAlignment="1">
      <alignment horizontal="left" vertical="center" wrapText="1"/>
    </xf>
    <xf numFmtId="167" fontId="57" fillId="0" borderId="2" xfId="45" applyNumberFormat="1" applyFont="1" applyBorder="1" applyAlignment="1">
      <alignment horizontal="right" vertical="center"/>
    </xf>
    <xf numFmtId="0" fontId="39" fillId="0" borderId="0" xfId="17" applyFont="1" applyAlignment="1">
      <alignment vertical="center"/>
    </xf>
    <xf numFmtId="167" fontId="54" fillId="0" borderId="2" xfId="45" applyNumberFormat="1" applyFont="1" applyBorder="1" applyAlignment="1">
      <alignment horizontal="right" vertical="center"/>
    </xf>
    <xf numFmtId="0" fontId="52" fillId="0" borderId="0" xfId="17" applyFont="1" applyAlignment="1">
      <alignment vertical="center" wrapText="1"/>
    </xf>
    <xf numFmtId="0" fontId="52" fillId="0" borderId="0" xfId="28" applyFont="1" applyAlignment="1">
      <alignment vertical="top"/>
    </xf>
    <xf numFmtId="0" fontId="54" fillId="0" borderId="0" xfId="28" applyFont="1" applyAlignment="1">
      <alignment vertical="center"/>
    </xf>
    <xf numFmtId="0" fontId="51" fillId="0" borderId="11" xfId="28" applyFont="1" applyBorder="1" applyAlignment="1">
      <alignment horizontal="center" vertical="center" wrapText="1"/>
    </xf>
    <xf numFmtId="0" fontId="50" fillId="0" borderId="8" xfId="28" applyFont="1" applyBorder="1" applyAlignment="1">
      <alignment horizontal="left" vertical="center" wrapText="1"/>
    </xf>
    <xf numFmtId="0" fontId="54" fillId="0" borderId="2" xfId="28" applyFont="1" applyBorder="1" applyAlignment="1">
      <alignment vertical="center"/>
    </xf>
    <xf numFmtId="0" fontId="39" fillId="0" borderId="0" xfId="28" applyFont="1" applyAlignment="1">
      <alignment vertical="center"/>
    </xf>
    <xf numFmtId="0" fontId="50" fillId="0" borderId="2" xfId="28" applyFont="1" applyBorder="1" applyAlignment="1">
      <alignment horizontal="left" vertical="center" wrapText="1"/>
    </xf>
    <xf numFmtId="0" fontId="80" fillId="2" borderId="8" xfId="28" applyFont="1" applyFill="1" applyBorder="1" applyAlignment="1">
      <alignment horizontal="center" vertical="center" wrapText="1"/>
    </xf>
    <xf numFmtId="0" fontId="32" fillId="0" borderId="0" xfId="17" applyFont="1"/>
    <xf numFmtId="0" fontId="32" fillId="8" borderId="0" xfId="17" applyFont="1" applyFill="1"/>
    <xf numFmtId="0" fontId="54" fillId="8" borderId="0" xfId="17" applyFont="1" applyFill="1"/>
    <xf numFmtId="0" fontId="51" fillId="0" borderId="2" xfId="17" applyFont="1" applyBorder="1" applyAlignment="1">
      <alignment horizontal="center" vertical="center" wrapText="1"/>
    </xf>
    <xf numFmtId="1" fontId="32" fillId="0" borderId="0" xfId="17" applyNumberFormat="1" applyFont="1"/>
    <xf numFmtId="0" fontId="53" fillId="0" borderId="2" xfId="5" applyFont="1" applyBorder="1" applyAlignment="1">
      <alignment horizontal="left" vertical="center" wrapText="1"/>
    </xf>
    <xf numFmtId="0" fontId="39" fillId="0" borderId="2" xfId="17" applyFont="1" applyBorder="1" applyAlignment="1">
      <alignment vertical="center"/>
    </xf>
    <xf numFmtId="0" fontId="39" fillId="0" borderId="0" xfId="17" applyFont="1"/>
    <xf numFmtId="0" fontId="90" fillId="9" borderId="0" xfId="17" applyFont="1" applyFill="1"/>
    <xf numFmtId="0" fontId="54" fillId="0" borderId="0" xfId="17" applyFont="1"/>
    <xf numFmtId="0" fontId="54" fillId="8" borderId="0" xfId="5" applyFont="1" applyFill="1"/>
    <xf numFmtId="0" fontId="54" fillId="8" borderId="0" xfId="5" applyFont="1" applyFill="1" applyAlignment="1">
      <alignment vertical="center"/>
    </xf>
    <xf numFmtId="0" fontId="50" fillId="0" borderId="0" xfId="5" applyFont="1"/>
    <xf numFmtId="1" fontId="52" fillId="0" borderId="0" xfId="5" applyNumberFormat="1" applyFont="1" applyAlignment="1">
      <alignment vertical="top"/>
    </xf>
    <xf numFmtId="0" fontId="68" fillId="8" borderId="0" xfId="5" applyFont="1" applyFill="1" applyAlignment="1">
      <alignment horizontal="left" vertical="center" wrapText="1"/>
    </xf>
    <xf numFmtId="1" fontId="54" fillId="8" borderId="0" xfId="5" applyNumberFormat="1" applyFont="1" applyFill="1" applyAlignment="1">
      <alignment vertical="center"/>
    </xf>
    <xf numFmtId="0" fontId="68" fillId="8" borderId="2" xfId="5" applyFont="1" applyFill="1" applyBorder="1" applyAlignment="1">
      <alignment horizontal="center" vertical="center" wrapText="1"/>
    </xf>
    <xf numFmtId="0" fontId="68" fillId="2" borderId="2" xfId="47" applyFont="1" applyFill="1" applyBorder="1" applyAlignment="1">
      <alignment horizontal="right" vertical="center" wrapText="1"/>
    </xf>
    <xf numFmtId="0" fontId="68" fillId="2" borderId="0" xfId="5" applyFont="1" applyFill="1" applyAlignment="1">
      <alignment horizontal="left" vertical="center" wrapText="1"/>
    </xf>
    <xf numFmtId="1" fontId="54" fillId="0" borderId="0" xfId="5" applyNumberFormat="1" applyFont="1" applyAlignment="1">
      <alignment vertical="center"/>
    </xf>
    <xf numFmtId="0" fontId="54" fillId="2" borderId="2" xfId="47" applyFont="1" applyFill="1" applyBorder="1" applyAlignment="1">
      <alignment horizontal="right" vertical="center" wrapText="1"/>
    </xf>
    <xf numFmtId="0" fontId="54" fillId="2" borderId="2" xfId="1" applyFont="1" applyFill="1" applyBorder="1" applyAlignment="1">
      <alignment horizontal="right" vertical="center" wrapText="1"/>
    </xf>
    <xf numFmtId="167" fontId="54" fillId="2" borderId="2" xfId="1" applyNumberFormat="1" applyFont="1" applyFill="1" applyBorder="1" applyAlignment="1">
      <alignment horizontal="right" vertical="center" wrapText="1"/>
    </xf>
    <xf numFmtId="0" fontId="53" fillId="0" borderId="0" xfId="9" applyFont="1" applyAlignment="1">
      <alignment vertical="center" wrapText="1"/>
    </xf>
    <xf numFmtId="0" fontId="53" fillId="0" borderId="0" xfId="9" applyFont="1" applyAlignment="1">
      <alignment horizontal="center" vertical="center" wrapText="1"/>
    </xf>
    <xf numFmtId="0" fontId="50" fillId="8" borderId="2" xfId="9" applyFont="1" applyFill="1" applyBorder="1" applyAlignment="1">
      <alignment horizontal="center" vertical="center" wrapText="1"/>
    </xf>
    <xf numFmtId="0" fontId="50" fillId="8" borderId="2" xfId="9" applyFont="1" applyFill="1" applyBorder="1" applyAlignment="1">
      <alignment horizontal="center" vertical="center" wrapText="1" shrinkToFit="1"/>
    </xf>
    <xf numFmtId="0" fontId="50" fillId="8" borderId="2" xfId="9" applyFont="1" applyFill="1" applyBorder="1" applyAlignment="1">
      <alignment horizontal="center" vertical="center"/>
    </xf>
    <xf numFmtId="0" fontId="54" fillId="7" borderId="0" xfId="9" applyFont="1" applyFill="1"/>
    <xf numFmtId="0" fontId="54" fillId="0" borderId="2" xfId="9" applyFont="1" applyBorder="1" applyAlignment="1">
      <alignment horizontal="center" vertical="center"/>
    </xf>
    <xf numFmtId="0" fontId="54" fillId="0" borderId="2" xfId="9" applyFont="1" applyBorder="1" applyAlignment="1">
      <alignment vertical="center"/>
    </xf>
    <xf numFmtId="2" fontId="54" fillId="0" borderId="2" xfId="9" applyNumberFormat="1" applyFont="1" applyBorder="1" applyAlignment="1">
      <alignment horizontal="center" vertical="center"/>
    </xf>
    <xf numFmtId="0" fontId="54" fillId="0" borderId="0" xfId="9" applyFont="1" applyAlignment="1">
      <alignment vertical="center"/>
    </xf>
    <xf numFmtId="0" fontId="54" fillId="0" borderId="2" xfId="9" applyFont="1" applyBorder="1" applyAlignment="1">
      <alignment vertical="center" wrapText="1"/>
    </xf>
    <xf numFmtId="0" fontId="68" fillId="0" borderId="2" xfId="9" applyFont="1" applyBorder="1" applyAlignment="1">
      <alignment vertical="center"/>
    </xf>
    <xf numFmtId="0" fontId="54" fillId="0" borderId="0" xfId="4" applyFont="1" applyAlignment="1">
      <alignment vertical="center" wrapText="1"/>
    </xf>
    <xf numFmtId="0" fontId="50" fillId="0" borderId="8" xfId="9" applyFont="1" applyBorder="1" applyAlignment="1">
      <alignment vertical="center"/>
    </xf>
    <xf numFmtId="0" fontId="50" fillId="0" borderId="10" xfId="9" applyFont="1" applyBorder="1" applyAlignment="1">
      <alignment vertical="center"/>
    </xf>
    <xf numFmtId="0" fontId="54" fillId="0" borderId="0" xfId="9" applyFont="1"/>
    <xf numFmtId="0" fontId="52" fillId="0" borderId="0" xfId="4" applyFont="1"/>
    <xf numFmtId="0" fontId="54" fillId="0" borderId="0" xfId="4" applyFont="1"/>
    <xf numFmtId="165" fontId="54" fillId="0" borderId="2" xfId="4" applyNumberFormat="1" applyFont="1" applyBorder="1" applyAlignment="1">
      <alignment horizontal="center" vertical="center"/>
    </xf>
    <xf numFmtId="165" fontId="52" fillId="0" borderId="0" xfId="4" applyNumberFormat="1" applyFont="1" applyAlignment="1">
      <alignment vertical="center"/>
    </xf>
    <xf numFmtId="0" fontId="52" fillId="0" borderId="0" xfId="4" applyFont="1" applyAlignment="1">
      <alignment vertical="center"/>
    </xf>
    <xf numFmtId="0" fontId="51" fillId="0" borderId="2" xfId="38" applyFont="1" applyBorder="1" applyAlignment="1">
      <alignment horizontal="center" vertical="center" wrapText="1"/>
    </xf>
    <xf numFmtId="0" fontId="91" fillId="0" borderId="0" xfId="54" applyFont="1" applyAlignment="1">
      <alignment vertical="center"/>
    </xf>
    <xf numFmtId="167" fontId="32" fillId="0" borderId="2" xfId="0" applyNumberFormat="1" applyFont="1" applyBorder="1"/>
    <xf numFmtId="167" fontId="54" fillId="0" borderId="2" xfId="0" applyNumberFormat="1" applyFont="1" applyBorder="1"/>
    <xf numFmtId="0" fontId="52" fillId="0" borderId="0" xfId="7" applyFont="1"/>
    <xf numFmtId="0" fontId="53" fillId="0" borderId="0" xfId="1" applyFont="1" applyAlignment="1">
      <alignment vertical="center" wrapText="1"/>
    </xf>
    <xf numFmtId="0" fontId="85" fillId="0" borderId="0" xfId="1" applyFont="1" applyAlignment="1">
      <alignment vertical="center"/>
    </xf>
    <xf numFmtId="0" fontId="50" fillId="0" borderId="0" xfId="0" applyFont="1" applyAlignment="1">
      <alignment vertical="center" wrapText="1"/>
    </xf>
    <xf numFmtId="0" fontId="54" fillId="0" borderId="0" xfId="0" applyFont="1" applyAlignment="1">
      <alignment vertical="center"/>
    </xf>
    <xf numFmtId="0" fontId="52" fillId="0" borderId="0" xfId="0" applyFont="1" applyAlignment="1">
      <alignment vertical="center"/>
    </xf>
    <xf numFmtId="0" fontId="50" fillId="0" borderId="0" xfId="5" applyFont="1" applyAlignment="1">
      <alignment vertical="center" wrapText="1"/>
    </xf>
    <xf numFmtId="0" fontId="50" fillId="0" borderId="0" xfId="5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0" fillId="0" borderId="0" xfId="2" applyFont="1" applyAlignment="1">
      <alignment horizontal="center" vertical="center" wrapText="1"/>
    </xf>
    <xf numFmtId="0" fontId="54" fillId="0" borderId="0" xfId="2" applyFont="1" applyAlignment="1">
      <alignment horizontal="center" vertical="center"/>
    </xf>
    <xf numFmtId="0" fontId="85" fillId="0" borderId="0" xfId="2" applyFont="1" applyAlignment="1">
      <alignment vertical="center"/>
    </xf>
    <xf numFmtId="0" fontId="52" fillId="0" borderId="0" xfId="2" applyFont="1" applyAlignment="1">
      <alignment vertical="center"/>
    </xf>
    <xf numFmtId="0" fontId="52" fillId="0" borderId="0" xfId="2" applyFont="1"/>
    <xf numFmtId="0" fontId="50" fillId="0" borderId="0" xfId="5" applyFont="1" applyAlignment="1">
      <alignment horizontal="center" vertical="center" wrapText="1"/>
    </xf>
    <xf numFmtId="0" fontId="63" fillId="0" borderId="0" xfId="5" applyFont="1" applyAlignment="1">
      <alignment horizontal="center" vertical="center" wrapText="1"/>
    </xf>
    <xf numFmtId="0" fontId="63" fillId="0" borderId="0" xfId="5" applyFont="1" applyAlignment="1">
      <alignment vertical="center"/>
    </xf>
    <xf numFmtId="0" fontId="51" fillId="0" borderId="0" xfId="41" applyFont="1" applyAlignment="1">
      <alignment horizontal="center" vertical="center" wrapText="1"/>
    </xf>
    <xf numFmtId="0" fontId="54" fillId="0" borderId="0" xfId="41" applyFont="1" applyAlignment="1">
      <alignment vertical="center"/>
    </xf>
    <xf numFmtId="165" fontId="54" fillId="0" borderId="0" xfId="5" applyNumberFormat="1" applyFont="1" applyAlignment="1">
      <alignment vertical="center"/>
    </xf>
    <xf numFmtId="167" fontId="54" fillId="0" borderId="0" xfId="5" applyNumberFormat="1" applyFont="1" applyAlignment="1">
      <alignment vertical="center"/>
    </xf>
    <xf numFmtId="0" fontId="92" fillId="0" borderId="0" xfId="5" applyFont="1"/>
    <xf numFmtId="0" fontId="52" fillId="0" borderId="0" xfId="5" applyFont="1" applyAlignment="1">
      <alignment horizontal="right"/>
    </xf>
    <xf numFmtId="0" fontId="50" fillId="0" borderId="0" xfId="1" applyFont="1" applyAlignment="1">
      <alignment horizontal="right" vertical="center" wrapText="1"/>
    </xf>
    <xf numFmtId="0" fontId="54" fillId="0" borderId="0" xfId="1" applyFont="1" applyAlignment="1">
      <alignment horizontal="right" vertical="center"/>
    </xf>
    <xf numFmtId="0" fontId="85" fillId="0" borderId="0" xfId="1" applyFont="1" applyAlignment="1">
      <alignment horizontal="left" vertical="center"/>
    </xf>
    <xf numFmtId="165" fontId="54" fillId="0" borderId="0" xfId="1" applyNumberFormat="1" applyFont="1" applyAlignment="1">
      <alignment horizontal="center" vertical="center"/>
    </xf>
    <xf numFmtId="0" fontId="54" fillId="0" borderId="0" xfId="1" applyFont="1" applyAlignment="1">
      <alignment horizontal="right"/>
    </xf>
    <xf numFmtId="0" fontId="63" fillId="0" borderId="11" xfId="0" applyFont="1" applyBorder="1" applyAlignment="1">
      <alignment horizontal="center" vertical="center" wrapText="1"/>
    </xf>
    <xf numFmtId="0" fontId="85" fillId="0" borderId="0" xfId="0" applyFont="1" applyAlignment="1">
      <alignment vertical="center"/>
    </xf>
    <xf numFmtId="1" fontId="52" fillId="0" borderId="0" xfId="1" applyNumberFormat="1" applyFont="1" applyAlignment="1">
      <alignment vertical="center"/>
    </xf>
    <xf numFmtId="2" fontId="52" fillId="0" borderId="0" xfId="1" applyNumberFormat="1" applyFont="1"/>
    <xf numFmtId="0" fontId="50" fillId="0" borderId="2" xfId="43" applyFont="1" applyBorder="1" applyAlignment="1">
      <alignment horizontal="left" vertical="center"/>
    </xf>
    <xf numFmtId="167" fontId="54" fillId="0" borderId="2" xfId="43" applyNumberFormat="1" applyFont="1" applyBorder="1" applyAlignment="1">
      <alignment vertical="center"/>
    </xf>
    <xf numFmtId="0" fontId="32" fillId="0" borderId="0" xfId="40" applyFont="1"/>
    <xf numFmtId="0" fontId="85" fillId="0" borderId="0" xfId="40" applyFont="1"/>
    <xf numFmtId="0" fontId="50" fillId="2" borderId="2" xfId="1" applyFont="1" applyFill="1" applyBorder="1" applyAlignment="1">
      <alignment horizontal="left" vertical="center" wrapText="1"/>
    </xf>
    <xf numFmtId="167" fontId="68" fillId="0" borderId="2" xfId="5" applyNumberFormat="1" applyFont="1" applyBorder="1" applyAlignment="1">
      <alignment horizontal="right" vertical="center" wrapText="1"/>
    </xf>
    <xf numFmtId="0" fontId="50" fillId="0" borderId="2" xfId="48" applyFont="1" applyBorder="1" applyAlignment="1">
      <alignment vertical="center" wrapText="1"/>
    </xf>
    <xf numFmtId="0" fontId="68" fillId="0" borderId="2" xfId="47" applyFont="1" applyBorder="1" applyAlignment="1">
      <alignment horizontal="right" vertical="center" wrapText="1"/>
    </xf>
    <xf numFmtId="0" fontId="68" fillId="0" borderId="0" xfId="5" applyFont="1" applyAlignment="1">
      <alignment horizontal="left" vertical="center" wrapText="1"/>
    </xf>
    <xf numFmtId="0" fontId="68" fillId="0" borderId="2" xfId="1" applyFont="1" applyBorder="1" applyAlignment="1">
      <alignment horizontal="right" vertical="center" wrapText="1"/>
    </xf>
    <xf numFmtId="167" fontId="68" fillId="0" borderId="2" xfId="1" applyNumberFormat="1" applyFont="1" applyBorder="1" applyAlignment="1">
      <alignment horizontal="right" vertical="center" wrapText="1"/>
    </xf>
    <xf numFmtId="0" fontId="50" fillId="0" borderId="2" xfId="41" applyFont="1" applyBorder="1" applyAlignment="1">
      <alignment vertical="center"/>
    </xf>
    <xf numFmtId="0" fontId="54" fillId="0" borderId="4" xfId="9" applyFont="1" applyBorder="1" applyAlignment="1">
      <alignment horizontal="center" vertical="center"/>
    </xf>
    <xf numFmtId="0" fontId="54" fillId="0" borderId="4" xfId="9" applyFont="1" applyBorder="1" applyAlignment="1">
      <alignment vertical="center"/>
    </xf>
    <xf numFmtId="0" fontId="39" fillId="0" borderId="2" xfId="2" applyFont="1" applyBorder="1" applyAlignment="1">
      <alignment vertical="center" wrapText="1"/>
    </xf>
    <xf numFmtId="0" fontId="68" fillId="0" borderId="0" xfId="5" applyFont="1" applyAlignment="1">
      <alignment horizontal="right" vertical="center" wrapText="1"/>
    </xf>
    <xf numFmtId="0" fontId="60" fillId="0" borderId="0" xfId="43" applyFont="1" applyAlignment="1">
      <alignment vertical="center"/>
    </xf>
    <xf numFmtId="0" fontId="53" fillId="0" borderId="0" xfId="17" applyFont="1" applyAlignment="1">
      <alignment horizontal="right" vertical="top"/>
    </xf>
    <xf numFmtId="0" fontId="54" fillId="0" borderId="10" xfId="0" applyFont="1" applyBorder="1"/>
    <xf numFmtId="0" fontId="54" fillId="0" borderId="2" xfId="0" applyFont="1" applyBorder="1" applyAlignment="1">
      <alignment horizontal="left"/>
    </xf>
    <xf numFmtId="0" fontId="54" fillId="0" borderId="4" xfId="0" applyFont="1" applyBorder="1" applyAlignment="1">
      <alignment horizontal="left"/>
    </xf>
    <xf numFmtId="0" fontId="54" fillId="0" borderId="10" xfId="0" applyFont="1" applyBorder="1" applyAlignment="1">
      <alignment horizontal="left"/>
    </xf>
    <xf numFmtId="0" fontId="54" fillId="0" borderId="11" xfId="0" applyFont="1" applyBorder="1"/>
    <xf numFmtId="0" fontId="50" fillId="0" borderId="10" xfId="0" applyFont="1" applyBorder="1"/>
    <xf numFmtId="0" fontId="50" fillId="0" borderId="3" xfId="4" applyFont="1" applyBorder="1" applyAlignment="1">
      <alignment vertical="center"/>
    </xf>
    <xf numFmtId="0" fontId="50" fillId="0" borderId="3" xfId="4" applyFont="1" applyBorder="1" applyAlignment="1">
      <alignment horizontal="left" vertical="center"/>
    </xf>
    <xf numFmtId="0" fontId="50" fillId="0" borderId="3" xfId="4" applyFont="1" applyBorder="1" applyAlignment="1">
      <alignment horizontal="right" vertical="center"/>
    </xf>
    <xf numFmtId="0" fontId="57" fillId="0" borderId="2" xfId="69" applyFont="1" applyBorder="1" applyAlignment="1">
      <alignment vertical="center"/>
    </xf>
    <xf numFmtId="0" fontId="58" fillId="0" borderId="2" xfId="69" applyFont="1" applyBorder="1" applyAlignment="1">
      <alignment vertical="center" wrapText="1"/>
    </xf>
    <xf numFmtId="0" fontId="57" fillId="0" borderId="0" xfId="69" applyFont="1" applyAlignment="1">
      <alignment vertical="center"/>
    </xf>
    <xf numFmtId="0" fontId="54" fillId="0" borderId="2" xfId="69" applyFont="1" applyBorder="1" applyAlignment="1">
      <alignment vertical="center"/>
    </xf>
    <xf numFmtId="0" fontId="56" fillId="0" borderId="0" xfId="54" applyFont="1" applyAlignment="1">
      <alignment horizontal="right" vertical="top"/>
    </xf>
    <xf numFmtId="0" fontId="58" fillId="0" borderId="0" xfId="54" applyFont="1" applyAlignment="1">
      <alignment horizontal="right" vertical="top" wrapText="1"/>
    </xf>
    <xf numFmtId="0" fontId="68" fillId="0" borderId="2" xfId="1" applyFont="1" applyBorder="1" applyAlignment="1">
      <alignment horizontal="left" vertical="center" wrapText="1"/>
    </xf>
    <xf numFmtId="0" fontId="68" fillId="0" borderId="11" xfId="5" applyFont="1" applyBorder="1" applyAlignment="1">
      <alignment horizontal="right" vertical="center" wrapText="1"/>
    </xf>
    <xf numFmtId="167" fontId="68" fillId="0" borderId="2" xfId="41" applyNumberFormat="1" applyFont="1" applyBorder="1" applyAlignment="1">
      <alignment horizontal="right" vertical="center" wrapText="1"/>
    </xf>
    <xf numFmtId="0" fontId="68" fillId="0" borderId="2" xfId="5" applyFont="1" applyBorder="1" applyAlignment="1">
      <alignment horizontal="right" vertical="center" wrapText="1"/>
    </xf>
    <xf numFmtId="1" fontId="68" fillId="0" borderId="2" xfId="5" applyNumberFormat="1" applyFont="1" applyBorder="1" applyAlignment="1">
      <alignment horizontal="right" vertical="center" wrapText="1"/>
    </xf>
    <xf numFmtId="0" fontId="58" fillId="0" borderId="2" xfId="61" applyFont="1" applyBorder="1"/>
    <xf numFmtId="0" fontId="53" fillId="0" borderId="0" xfId="5" applyFont="1" applyAlignment="1">
      <alignment vertical="center"/>
    </xf>
    <xf numFmtId="0" fontId="88" fillId="0" borderId="0" xfId="17" applyFont="1"/>
    <xf numFmtId="167" fontId="50" fillId="0" borderId="2" xfId="1" applyNumberFormat="1" applyFont="1" applyBorder="1" applyAlignment="1">
      <alignment horizontal="center" vertical="center"/>
    </xf>
    <xf numFmtId="0" fontId="50" fillId="0" borderId="0" xfId="1" applyFont="1" applyAlignment="1">
      <alignment vertical="center"/>
    </xf>
    <xf numFmtId="167" fontId="54" fillId="0" borderId="0" xfId="1" applyNumberFormat="1" applyFont="1" applyAlignment="1">
      <alignment horizontal="center" vertical="center"/>
    </xf>
    <xf numFmtId="0" fontId="50" fillId="0" borderId="11" xfId="50" applyFont="1" applyBorder="1" applyAlignment="1">
      <alignment vertical="center"/>
    </xf>
    <xf numFmtId="0" fontId="50" fillId="0" borderId="0" xfId="38" applyFont="1" applyAlignment="1">
      <alignment vertical="center"/>
    </xf>
    <xf numFmtId="0" fontId="50" fillId="0" borderId="0" xfId="38" applyFont="1" applyAlignment="1">
      <alignment horizontal="center" vertical="center"/>
    </xf>
    <xf numFmtId="0" fontId="39" fillId="0" borderId="0" xfId="38" applyFont="1" applyAlignment="1">
      <alignment vertical="center"/>
    </xf>
    <xf numFmtId="1" fontId="54" fillId="0" borderId="0" xfId="38" applyNumberFormat="1" applyFont="1" applyAlignment="1">
      <alignment horizontal="center"/>
    </xf>
    <xf numFmtId="165" fontId="54" fillId="0" borderId="0" xfId="38" applyNumberFormat="1" applyFont="1" applyAlignment="1">
      <alignment horizontal="center"/>
    </xf>
    <xf numFmtId="167" fontId="53" fillId="0" borderId="2" xfId="5" applyNumberFormat="1" applyFont="1" applyBorder="1" applyAlignment="1">
      <alignment vertical="center"/>
    </xf>
    <xf numFmtId="167" fontId="58" fillId="0" borderId="2" xfId="45" applyNumberFormat="1" applyFont="1" applyBorder="1" applyAlignment="1">
      <alignment horizontal="right" vertical="center"/>
    </xf>
    <xf numFmtId="0" fontId="50" fillId="0" borderId="2" xfId="56" applyFont="1" applyBorder="1" applyAlignment="1">
      <alignment horizontal="left" vertical="center" wrapText="1"/>
    </xf>
    <xf numFmtId="167" fontId="50" fillId="0" borderId="2" xfId="45" applyNumberFormat="1" applyFont="1" applyBorder="1" applyAlignment="1">
      <alignment horizontal="center" vertical="center"/>
    </xf>
    <xf numFmtId="167" fontId="50" fillId="0" borderId="2" xfId="9" applyNumberFormat="1" applyFont="1" applyBorder="1" applyAlignment="1">
      <alignment horizontal="center" vertical="center"/>
    </xf>
    <xf numFmtId="0" fontId="50" fillId="0" borderId="0" xfId="45" applyFont="1" applyAlignment="1">
      <alignment vertical="center"/>
    </xf>
    <xf numFmtId="0" fontId="81" fillId="0" borderId="0" xfId="45" applyFont="1"/>
    <xf numFmtId="0" fontId="50" fillId="0" borderId="0" xfId="5" applyFont="1" applyAlignment="1">
      <alignment vertical="center"/>
    </xf>
    <xf numFmtId="0" fontId="77" fillId="0" borderId="2" xfId="5" applyFont="1" applyBorder="1" applyAlignment="1">
      <alignment horizontal="center" vertical="center" wrapText="1"/>
    </xf>
    <xf numFmtId="0" fontId="77" fillId="0" borderId="2" xfId="5" applyFont="1" applyBorder="1" applyAlignment="1">
      <alignment horizontal="right" vertical="center" wrapText="1"/>
    </xf>
    <xf numFmtId="0" fontId="77" fillId="0" borderId="0" xfId="5" applyFont="1" applyAlignment="1">
      <alignment horizontal="left" vertical="center" wrapText="1"/>
    </xf>
    <xf numFmtId="0" fontId="77" fillId="0" borderId="2" xfId="1" applyFont="1" applyBorder="1" applyAlignment="1">
      <alignment horizontal="right" vertical="center" wrapText="1"/>
    </xf>
    <xf numFmtId="0" fontId="50" fillId="0" borderId="0" xfId="55" applyFont="1" applyAlignment="1">
      <alignment vertical="center"/>
    </xf>
    <xf numFmtId="167" fontId="77" fillId="0" borderId="2" xfId="1" applyNumberFormat="1" applyFont="1" applyBorder="1" applyAlignment="1">
      <alignment horizontal="right" vertical="center" wrapText="1"/>
    </xf>
    <xf numFmtId="0" fontId="50" fillId="0" borderId="0" xfId="1" applyFont="1"/>
    <xf numFmtId="165" fontId="54" fillId="0" borderId="0" xfId="1" applyNumberFormat="1" applyFont="1"/>
    <xf numFmtId="2" fontId="50" fillId="0" borderId="2" xfId="9" applyNumberFormat="1" applyFont="1" applyBorder="1" applyAlignment="1">
      <alignment horizontal="center" vertical="center"/>
    </xf>
    <xf numFmtId="0" fontId="50" fillId="0" borderId="0" xfId="9" applyFont="1" applyAlignment="1">
      <alignment vertical="center"/>
    </xf>
    <xf numFmtId="0" fontId="81" fillId="0" borderId="0" xfId="9" applyFont="1"/>
    <xf numFmtId="0" fontId="54" fillId="0" borderId="4" xfId="4" applyFont="1" applyBorder="1" applyAlignment="1">
      <alignment horizontal="center" vertical="center"/>
    </xf>
    <xf numFmtId="0" fontId="54" fillId="0" borderId="4" xfId="4" applyFont="1" applyBorder="1" applyAlignment="1">
      <alignment vertical="center"/>
    </xf>
    <xf numFmtId="165" fontId="50" fillId="0" borderId="2" xfId="4" applyNumberFormat="1" applyFont="1" applyBorder="1" applyAlignment="1">
      <alignment horizontal="center" vertical="center"/>
    </xf>
    <xf numFmtId="165" fontId="52" fillId="0" borderId="0" xfId="4" applyNumberFormat="1" applyFont="1"/>
    <xf numFmtId="0" fontId="39" fillId="0" borderId="2" xfId="38" applyFont="1" applyBorder="1" applyAlignment="1">
      <alignment vertical="center"/>
    </xf>
    <xf numFmtId="0" fontId="50" fillId="0" borderId="2" xfId="38" applyFont="1" applyBorder="1" applyAlignment="1">
      <alignment horizontal="right" vertical="center"/>
    </xf>
    <xf numFmtId="167" fontId="54" fillId="0" borderId="2" xfId="41" applyNumberFormat="1" applyFont="1" applyBorder="1" applyAlignment="1">
      <alignment horizontal="right" vertical="center" wrapText="1"/>
    </xf>
    <xf numFmtId="0" fontId="53" fillId="0" borderId="0" xfId="1" applyFont="1" applyAlignment="1">
      <alignment vertical="center"/>
    </xf>
    <xf numFmtId="0" fontId="53" fillId="0" borderId="0" xfId="0" applyFont="1" applyAlignment="1">
      <alignment vertical="center"/>
    </xf>
    <xf numFmtId="1" fontId="39" fillId="0" borderId="2" xfId="5" applyNumberFormat="1" applyFont="1" applyBorder="1" applyAlignment="1">
      <alignment vertical="center"/>
    </xf>
    <xf numFmtId="0" fontId="50" fillId="0" borderId="2" xfId="5" applyFont="1" applyBorder="1" applyAlignment="1">
      <alignment horizontal="center" vertical="center"/>
    </xf>
    <xf numFmtId="0" fontId="50" fillId="0" borderId="2" xfId="5" applyFont="1" applyBorder="1" applyAlignment="1">
      <alignment horizontal="center" vertical="center" wrapText="1"/>
    </xf>
    <xf numFmtId="2" fontId="54" fillId="0" borderId="0" xfId="5" applyNumberFormat="1" applyFont="1"/>
    <xf numFmtId="167" fontId="50" fillId="0" borderId="2" xfId="2" applyNumberFormat="1" applyFont="1" applyBorder="1" applyAlignment="1">
      <alignment horizontal="center" vertical="center" wrapText="1"/>
    </xf>
    <xf numFmtId="167" fontId="50" fillId="0" borderId="2" xfId="2" applyNumberFormat="1" applyFont="1" applyBorder="1" applyAlignment="1">
      <alignment horizontal="center" vertical="center"/>
    </xf>
    <xf numFmtId="167" fontId="50" fillId="0" borderId="2" xfId="2" applyNumberFormat="1" applyFont="1" applyBorder="1" applyAlignment="1">
      <alignment horizontal="right" vertical="center"/>
    </xf>
    <xf numFmtId="0" fontId="53" fillId="0" borderId="0" xfId="2" applyFont="1" applyAlignment="1">
      <alignment vertical="center"/>
    </xf>
    <xf numFmtId="0" fontId="54" fillId="0" borderId="0" xfId="2" applyFont="1"/>
    <xf numFmtId="0" fontId="81" fillId="0" borderId="0" xfId="2" applyFont="1"/>
    <xf numFmtId="0" fontId="53" fillId="0" borderId="2" xfId="5" applyFont="1" applyBorder="1" applyAlignment="1">
      <alignment horizontal="center" vertical="center"/>
    </xf>
    <xf numFmtId="0" fontId="53" fillId="0" borderId="2" xfId="5" applyFont="1" applyBorder="1" applyAlignment="1">
      <alignment horizontal="right" vertical="center"/>
    </xf>
    <xf numFmtId="0" fontId="32" fillId="0" borderId="0" xfId="2"/>
    <xf numFmtId="165" fontId="52" fillId="0" borderId="0" xfId="2" applyNumberFormat="1" applyFont="1"/>
    <xf numFmtId="167" fontId="39" fillId="0" borderId="2" xfId="5" applyNumberFormat="1" applyFont="1" applyBorder="1" applyAlignment="1">
      <alignment vertical="center"/>
    </xf>
    <xf numFmtId="167" fontId="54" fillId="0" borderId="0" xfId="5" applyNumberFormat="1" applyFont="1"/>
    <xf numFmtId="0" fontId="32" fillId="0" borderId="0" xfId="5"/>
    <xf numFmtId="167" fontId="39" fillId="0" borderId="2" xfId="1" applyNumberFormat="1" applyFont="1" applyBorder="1" applyAlignment="1">
      <alignment horizontal="right" vertical="center"/>
    </xf>
    <xf numFmtId="165" fontId="54" fillId="0" borderId="0" xfId="1" applyNumberFormat="1" applyFont="1" applyAlignment="1">
      <alignment horizontal="right"/>
    </xf>
    <xf numFmtId="165" fontId="52" fillId="0" borderId="0" xfId="1" applyNumberFormat="1" applyFont="1" applyAlignment="1">
      <alignment horizontal="center"/>
    </xf>
    <xf numFmtId="0" fontId="32" fillId="0" borderId="0" xfId="1"/>
    <xf numFmtId="0" fontId="50" fillId="0" borderId="2" xfId="1" applyFont="1" applyBorder="1" applyAlignment="1">
      <alignment horizontal="right" vertical="center"/>
    </xf>
    <xf numFmtId="1" fontId="50" fillId="0" borderId="0" xfId="1" applyNumberFormat="1" applyFont="1" applyAlignment="1">
      <alignment vertical="center"/>
    </xf>
    <xf numFmtId="0" fontId="58" fillId="0" borderId="2" xfId="43" applyFont="1" applyBorder="1" applyAlignment="1">
      <alignment horizontal="left" vertical="center" wrapText="1"/>
    </xf>
    <xf numFmtId="167" fontId="59" fillId="0" borderId="2" xfId="43" applyNumberFormat="1" applyFont="1" applyBorder="1" applyAlignment="1">
      <alignment vertical="center"/>
    </xf>
    <xf numFmtId="0" fontId="50" fillId="0" borderId="2" xfId="5" applyFont="1" applyBorder="1" applyAlignment="1">
      <alignment horizontal="right" vertical="center" indent="2"/>
    </xf>
    <xf numFmtId="167" fontId="50" fillId="0" borderId="2" xfId="4" applyNumberFormat="1" applyFont="1" applyBorder="1" applyAlignment="1">
      <alignment horizontal="right" vertical="center" indent="3"/>
    </xf>
    <xf numFmtId="1" fontId="50" fillId="0" borderId="2" xfId="5" applyNumberFormat="1" applyFont="1" applyBorder="1" applyAlignment="1">
      <alignment horizontal="center" vertical="center"/>
    </xf>
    <xf numFmtId="1" fontId="32" fillId="0" borderId="0" xfId="5" applyNumberFormat="1" applyAlignment="1">
      <alignment horizontal="center" vertical="center"/>
    </xf>
    <xf numFmtId="1" fontId="32" fillId="0" borderId="0" xfId="5" applyNumberFormat="1" applyAlignment="1">
      <alignment vertical="center"/>
    </xf>
    <xf numFmtId="166" fontId="50" fillId="0" borderId="2" xfId="5" applyNumberFormat="1" applyFont="1" applyBorder="1" applyAlignment="1">
      <alignment horizontal="left" vertical="center" wrapText="1"/>
    </xf>
    <xf numFmtId="0" fontId="50" fillId="0" borderId="2" xfId="4" applyFont="1" applyBorder="1" applyAlignment="1">
      <alignment vertical="center"/>
    </xf>
    <xf numFmtId="0" fontId="55" fillId="0" borderId="2" xfId="1" applyFont="1" applyBorder="1" applyAlignment="1">
      <alignment horizontal="left" vertical="center" wrapText="1"/>
    </xf>
    <xf numFmtId="0" fontId="73" fillId="0" borderId="0" xfId="0" applyFont="1"/>
    <xf numFmtId="1" fontId="73" fillId="0" borderId="0" xfId="0" applyNumberFormat="1" applyFont="1"/>
    <xf numFmtId="0" fontId="54" fillId="0" borderId="8" xfId="41" applyFont="1" applyBorder="1" applyAlignment="1">
      <alignment horizontal="left" vertical="center" wrapText="1"/>
    </xf>
    <xf numFmtId="0" fontId="54" fillId="0" borderId="13" xfId="41" applyFont="1" applyBorder="1" applyAlignment="1">
      <alignment horizontal="left" vertical="center" wrapText="1"/>
    </xf>
    <xf numFmtId="0" fontId="58" fillId="0" borderId="12" xfId="41" applyFont="1" applyBorder="1" applyAlignment="1">
      <alignment vertical="center"/>
    </xf>
    <xf numFmtId="0" fontId="32" fillId="0" borderId="9" xfId="0" applyFont="1" applyBorder="1"/>
    <xf numFmtId="0" fontId="57" fillId="0" borderId="16" xfId="41" applyFont="1" applyBorder="1" applyAlignment="1">
      <alignment vertical="center" wrapText="1"/>
    </xf>
    <xf numFmtId="0" fontId="57" fillId="0" borderId="13" xfId="41" applyFont="1" applyBorder="1" applyAlignment="1">
      <alignment vertical="center"/>
    </xf>
    <xf numFmtId="0" fontId="58" fillId="0" borderId="9" xfId="41" applyFont="1" applyBorder="1" applyAlignment="1">
      <alignment vertical="center"/>
    </xf>
    <xf numFmtId="0" fontId="58" fillId="0" borderId="16" xfId="41" applyFont="1" applyBorder="1" applyAlignment="1">
      <alignment vertical="top"/>
    </xf>
    <xf numFmtId="0" fontId="57" fillId="0" borderId="8" xfId="41" applyFont="1" applyBorder="1" applyAlignment="1">
      <alignment vertical="center" wrapText="1"/>
    </xf>
    <xf numFmtId="0" fontId="57" fillId="0" borderId="8" xfId="41" applyFont="1" applyBorder="1" applyAlignment="1">
      <alignment vertical="center"/>
    </xf>
    <xf numFmtId="0" fontId="57" fillId="0" borderId="9" xfId="41" applyFont="1" applyBorder="1" applyAlignment="1">
      <alignment vertical="center"/>
    </xf>
    <xf numFmtId="0" fontId="57" fillId="0" borderId="9" xfId="41" applyFont="1" applyBorder="1" applyAlignment="1">
      <alignment vertical="center" wrapText="1"/>
    </xf>
    <xf numFmtId="0" fontId="54" fillId="0" borderId="16" xfId="41" applyFont="1" applyBorder="1" applyAlignment="1">
      <alignment horizontal="left" vertical="center" wrapText="1"/>
    </xf>
    <xf numFmtId="0" fontId="54" fillId="0" borderId="9" xfId="41" applyFont="1" applyBorder="1" applyAlignment="1">
      <alignment horizontal="left" vertical="center" wrapText="1"/>
    </xf>
    <xf numFmtId="0" fontId="58" fillId="0" borderId="16" xfId="41" applyFont="1" applyBorder="1" applyAlignment="1">
      <alignment vertical="center"/>
    </xf>
    <xf numFmtId="0" fontId="58" fillId="0" borderId="8" xfId="41" applyFont="1" applyBorder="1" applyAlignment="1">
      <alignment vertical="center" wrapText="1"/>
    </xf>
    <xf numFmtId="0" fontId="50" fillId="0" borderId="8" xfId="41" applyFont="1" applyBorder="1" applyAlignment="1">
      <alignment horizontal="left" vertical="center" wrapText="1"/>
    </xf>
    <xf numFmtId="0" fontId="57" fillId="0" borderId="13" xfId="41" applyFont="1" applyBorder="1" applyAlignment="1">
      <alignment vertical="center" wrapText="1"/>
    </xf>
    <xf numFmtId="0" fontId="57" fillId="0" borderId="8" xfId="54" applyFont="1" applyBorder="1" applyAlignment="1">
      <alignment vertical="center" wrapText="1"/>
    </xf>
    <xf numFmtId="0" fontId="57" fillId="0" borderId="8" xfId="54" applyFont="1" applyBorder="1" applyAlignment="1">
      <alignment vertical="center"/>
    </xf>
    <xf numFmtId="0" fontId="57" fillId="0" borderId="13" xfId="54" applyFont="1" applyBorder="1" applyAlignment="1">
      <alignment vertical="center" wrapText="1"/>
    </xf>
    <xf numFmtId="0" fontId="57" fillId="0" borderId="9" xfId="54" applyFont="1" applyBorder="1" applyAlignment="1">
      <alignment vertical="center" wrapText="1"/>
    </xf>
    <xf numFmtId="0" fontId="57" fillId="0" borderId="16" xfId="54" applyFont="1" applyBorder="1" applyAlignment="1">
      <alignment vertical="center" wrapText="1"/>
    </xf>
    <xf numFmtId="9" fontId="54" fillId="0" borderId="2" xfId="73" applyFont="1" applyBorder="1" applyAlignment="1">
      <alignment vertical="center"/>
    </xf>
    <xf numFmtId="41" fontId="54" fillId="0" borderId="2" xfId="74" applyFont="1" applyBorder="1" applyAlignment="1">
      <alignment vertical="center"/>
    </xf>
    <xf numFmtId="167" fontId="83" fillId="11" borderId="2" xfId="4" applyNumberFormat="1" applyFont="1" applyFill="1" applyBorder="1" applyAlignment="1">
      <alignment horizontal="right" vertical="center" wrapText="1"/>
    </xf>
    <xf numFmtId="0" fontId="56" fillId="0" borderId="3" xfId="66" applyFont="1" applyBorder="1" applyAlignment="1">
      <alignment horizontal="left" vertical="center"/>
    </xf>
    <xf numFmtId="0" fontId="57" fillId="0" borderId="2" xfId="61" applyFont="1" applyBorder="1" applyAlignment="1">
      <alignment horizontal="center" vertical="top"/>
    </xf>
    <xf numFmtId="0" fontId="57" fillId="0" borderId="8" xfId="61" applyFont="1" applyBorder="1" applyAlignment="1">
      <alignment horizontal="center"/>
    </xf>
    <xf numFmtId="0" fontId="57" fillId="0" borderId="2" xfId="61" applyFont="1" applyBorder="1" applyAlignment="1">
      <alignment horizontal="center"/>
    </xf>
    <xf numFmtId="0" fontId="81" fillId="0" borderId="0" xfId="1" applyFont="1" applyAlignment="1">
      <alignment horizontal="left" wrapText="1"/>
    </xf>
    <xf numFmtId="0" fontId="81" fillId="0" borderId="12" xfId="1" applyFont="1" applyBorder="1" applyAlignment="1">
      <alignment horizontal="left" wrapText="1"/>
    </xf>
    <xf numFmtId="0" fontId="77" fillId="0" borderId="2" xfId="1" applyFont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/>
    </xf>
    <xf numFmtId="0" fontId="81" fillId="0" borderId="12" xfId="1" applyFont="1" applyBorder="1" applyAlignment="1">
      <alignment horizontal="left" vertical="center" wrapText="1"/>
    </xf>
    <xf numFmtId="0" fontId="50" fillId="8" borderId="2" xfId="1" applyFont="1" applyFill="1" applyBorder="1" applyAlignment="1">
      <alignment horizontal="center" vertical="center" wrapText="1"/>
    </xf>
    <xf numFmtId="0" fontId="50" fillId="8" borderId="2" xfId="0" applyFont="1" applyFill="1" applyBorder="1" applyAlignment="1">
      <alignment horizontal="center" vertical="center"/>
    </xf>
    <xf numFmtId="0" fontId="55" fillId="2" borderId="3" xfId="1" applyFont="1" applyFill="1" applyBorder="1" applyAlignment="1">
      <alignment horizontal="left" vertical="top" wrapText="1"/>
    </xf>
    <xf numFmtId="0" fontId="55" fillId="0" borderId="2" xfId="1" applyFont="1" applyBorder="1" applyAlignment="1">
      <alignment horizontal="center" vertical="center" wrapText="1"/>
    </xf>
    <xf numFmtId="0" fontId="50" fillId="8" borderId="2" xfId="5" applyFont="1" applyFill="1" applyBorder="1" applyAlignment="1">
      <alignment horizontal="center" vertical="center"/>
    </xf>
    <xf numFmtId="0" fontId="58" fillId="8" borderId="2" xfId="39" applyFont="1" applyFill="1" applyBorder="1" applyAlignment="1">
      <alignment horizontal="center"/>
    </xf>
    <xf numFmtId="0" fontId="55" fillId="2" borderId="0" xfId="5" applyFont="1" applyFill="1" applyAlignment="1">
      <alignment horizontal="left" vertical="center"/>
    </xf>
    <xf numFmtId="0" fontId="50" fillId="0" borderId="8" xfId="4" applyFont="1" applyBorder="1" applyAlignment="1">
      <alignment horizontal="center" vertical="center"/>
    </xf>
    <xf numFmtId="0" fontId="50" fillId="0" borderId="10" xfId="4" applyFont="1" applyBorder="1" applyAlignment="1">
      <alignment horizontal="center" vertical="center"/>
    </xf>
    <xf numFmtId="0" fontId="53" fillId="0" borderId="0" xfId="4" applyFont="1" applyAlignment="1">
      <alignment horizontal="center" vertical="center" wrapText="1"/>
    </xf>
    <xf numFmtId="0" fontId="50" fillId="8" borderId="2" xfId="4" applyFont="1" applyFill="1" applyBorder="1" applyAlignment="1">
      <alignment horizontal="center" vertical="center" wrapText="1"/>
    </xf>
    <xf numFmtId="0" fontId="53" fillId="0" borderId="0" xfId="42" applyFont="1" applyAlignment="1">
      <alignment horizontal="right" vertical="center"/>
    </xf>
    <xf numFmtId="0" fontId="53" fillId="0" borderId="3" xfId="42" applyFont="1" applyBorder="1" applyAlignment="1">
      <alignment horizontal="left" vertical="center" wrapText="1"/>
    </xf>
    <xf numFmtId="0" fontId="56" fillId="0" borderId="3" xfId="43" applyFont="1" applyBorder="1" applyAlignment="1">
      <alignment horizontal="left" vertical="center" wrapText="1"/>
    </xf>
    <xf numFmtId="0" fontId="59" fillId="0" borderId="2" xfId="43" applyFont="1" applyBorder="1" applyAlignment="1">
      <alignment horizontal="center" vertical="center"/>
    </xf>
    <xf numFmtId="0" fontId="58" fillId="10" borderId="4" xfId="1" applyFont="1" applyFill="1" applyBorder="1" applyAlignment="1">
      <alignment horizontal="center" vertical="center" wrapText="1"/>
    </xf>
    <xf numFmtId="0" fontId="58" fillId="10" borderId="11" xfId="1" applyFont="1" applyFill="1" applyBorder="1" applyAlignment="1">
      <alignment horizontal="center" vertical="center" wrapText="1"/>
    </xf>
    <xf numFmtId="0" fontId="53" fillId="0" borderId="0" xfId="1" applyFont="1" applyAlignment="1">
      <alignment horizontal="right" vertical="top"/>
    </xf>
    <xf numFmtId="0" fontId="53" fillId="0" borderId="3" xfId="1" applyFont="1" applyBorder="1" applyAlignment="1">
      <alignment horizontal="left" vertical="top" wrapText="1"/>
    </xf>
    <xf numFmtId="0" fontId="58" fillId="10" borderId="2" xfId="1" applyFont="1" applyFill="1" applyBorder="1" applyAlignment="1">
      <alignment horizontal="center" vertical="center" wrapText="1"/>
    </xf>
    <xf numFmtId="0" fontId="58" fillId="10" borderId="8" xfId="1" applyFont="1" applyFill="1" applyBorder="1" applyAlignment="1">
      <alignment horizontal="center" vertical="center" wrapText="1"/>
    </xf>
    <xf numFmtId="0" fontId="58" fillId="10" borderId="10" xfId="1" applyFont="1" applyFill="1" applyBorder="1" applyAlignment="1">
      <alignment horizontal="center" vertical="center" wrapText="1"/>
    </xf>
    <xf numFmtId="0" fontId="50" fillId="8" borderId="8" xfId="1" applyFont="1" applyFill="1" applyBorder="1" applyAlignment="1">
      <alignment horizontal="center" vertical="center" wrapText="1"/>
    </xf>
    <xf numFmtId="0" fontId="50" fillId="8" borderId="9" xfId="1" applyFont="1" applyFill="1" applyBorder="1" applyAlignment="1">
      <alignment horizontal="center" vertical="center" wrapText="1"/>
    </xf>
    <xf numFmtId="0" fontId="50" fillId="8" borderId="10" xfId="1" applyFont="1" applyFill="1" applyBorder="1" applyAlignment="1">
      <alignment horizontal="center" vertical="center" wrapText="1"/>
    </xf>
    <xf numFmtId="0" fontId="50" fillId="8" borderId="4" xfId="1" applyFont="1" applyFill="1" applyBorder="1" applyAlignment="1">
      <alignment horizontal="center" vertical="center" wrapText="1"/>
    </xf>
    <xf numFmtId="0" fontId="50" fillId="8" borderId="11" xfId="1" applyFont="1" applyFill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/>
    </xf>
    <xf numFmtId="0" fontId="50" fillId="0" borderId="2" xfId="5" applyFont="1" applyBorder="1" applyAlignment="1">
      <alignment horizontal="center" vertical="center"/>
    </xf>
    <xf numFmtId="0" fontId="50" fillId="8" borderId="4" xfId="5" applyFont="1" applyFill="1" applyBorder="1" applyAlignment="1">
      <alignment horizontal="center" vertical="center" wrapText="1"/>
    </xf>
    <xf numFmtId="0" fontId="50" fillId="8" borderId="11" xfId="5" applyFont="1" applyFill="1" applyBorder="1" applyAlignment="1">
      <alignment horizontal="center" vertical="center" wrapText="1"/>
    </xf>
    <xf numFmtId="0" fontId="50" fillId="8" borderId="2" xfId="5" applyFont="1" applyFill="1" applyBorder="1" applyAlignment="1">
      <alignment horizontal="center" vertical="center" wrapText="1"/>
    </xf>
    <xf numFmtId="0" fontId="50" fillId="8" borderId="8" xfId="5" applyFont="1" applyFill="1" applyBorder="1" applyAlignment="1">
      <alignment horizontal="center" vertical="center" wrapText="1"/>
    </xf>
    <xf numFmtId="0" fontId="50" fillId="8" borderId="9" xfId="5" applyFont="1" applyFill="1" applyBorder="1" applyAlignment="1">
      <alignment horizontal="center" vertical="center" wrapText="1"/>
    </xf>
    <xf numFmtId="0" fontId="50" fillId="8" borderId="10" xfId="5" applyFont="1" applyFill="1" applyBorder="1" applyAlignment="1">
      <alignment horizontal="center" vertical="center" wrapText="1"/>
    </xf>
    <xf numFmtId="0" fontId="53" fillId="0" borderId="3" xfId="5" applyFont="1" applyBorder="1" applyAlignment="1">
      <alignment horizontal="left" vertical="top" wrapText="1"/>
    </xf>
    <xf numFmtId="0" fontId="50" fillId="0" borderId="2" xfId="2" applyFont="1" applyBorder="1" applyAlignment="1">
      <alignment horizontal="center" vertical="center"/>
    </xf>
    <xf numFmtId="0" fontId="50" fillId="8" borderId="8" xfId="2" applyFont="1" applyFill="1" applyBorder="1" applyAlignment="1">
      <alignment horizontal="center" vertical="center" wrapText="1"/>
    </xf>
    <xf numFmtId="0" fontId="50" fillId="8" borderId="9" xfId="2" applyFont="1" applyFill="1" applyBorder="1" applyAlignment="1">
      <alignment horizontal="center" vertical="center" wrapText="1"/>
    </xf>
    <xf numFmtId="0" fontId="50" fillId="8" borderId="10" xfId="2" applyFont="1" applyFill="1" applyBorder="1" applyAlignment="1">
      <alignment horizontal="center" vertical="center" wrapText="1"/>
    </xf>
    <xf numFmtId="0" fontId="50" fillId="8" borderId="4" xfId="2" applyFont="1" applyFill="1" applyBorder="1" applyAlignment="1">
      <alignment horizontal="center" vertical="center" wrapText="1"/>
    </xf>
    <xf numFmtId="0" fontId="50" fillId="8" borderId="11" xfId="2" applyFont="1" applyFill="1" applyBorder="1" applyAlignment="1">
      <alignment horizontal="center" vertical="center" wrapText="1"/>
    </xf>
    <xf numFmtId="0" fontId="50" fillId="8" borderId="2" xfId="2" applyFont="1" applyFill="1" applyBorder="1" applyAlignment="1">
      <alignment horizontal="center" vertical="center" wrapText="1"/>
    </xf>
    <xf numFmtId="0" fontId="50" fillId="0" borderId="3" xfId="5" applyFont="1" applyBorder="1" applyAlignment="1">
      <alignment horizontal="left" vertical="top" wrapText="1"/>
    </xf>
    <xf numFmtId="0" fontId="53" fillId="0" borderId="3" xfId="7" applyFont="1" applyBorder="1" applyAlignment="1">
      <alignment horizontal="left" vertical="top" wrapText="1"/>
    </xf>
    <xf numFmtId="0" fontId="53" fillId="0" borderId="3" xfId="7" applyFont="1" applyBorder="1" applyAlignment="1">
      <alignment horizontal="left" vertical="top"/>
    </xf>
    <xf numFmtId="0" fontId="50" fillId="8" borderId="2" xfId="0" applyFont="1" applyFill="1" applyBorder="1" applyAlignment="1">
      <alignment horizontal="center" vertical="center" wrapText="1"/>
    </xf>
    <xf numFmtId="0" fontId="50" fillId="8" borderId="8" xfId="0" applyFont="1" applyFill="1" applyBorder="1" applyAlignment="1">
      <alignment horizontal="center" vertical="center" wrapText="1"/>
    </xf>
    <xf numFmtId="0" fontId="50" fillId="8" borderId="9" xfId="0" applyFont="1" applyFill="1" applyBorder="1" applyAlignment="1">
      <alignment horizontal="center" vertical="center" wrapText="1"/>
    </xf>
    <xf numFmtId="0" fontId="50" fillId="8" borderId="10" xfId="0" applyFont="1" applyFill="1" applyBorder="1" applyAlignment="1">
      <alignment horizontal="center" vertical="center" wrapText="1"/>
    </xf>
    <xf numFmtId="0" fontId="50" fillId="0" borderId="2" xfId="0" applyFont="1" applyBorder="1" applyAlignment="1">
      <alignment horizontal="center" vertical="center"/>
    </xf>
    <xf numFmtId="0" fontId="50" fillId="8" borderId="4" xfId="0" applyFont="1" applyFill="1" applyBorder="1" applyAlignment="1">
      <alignment horizontal="center" vertical="center" wrapText="1"/>
    </xf>
    <xf numFmtId="0" fontId="50" fillId="8" borderId="11" xfId="0" applyFont="1" applyFill="1" applyBorder="1" applyAlignment="1">
      <alignment horizontal="center" vertical="center" wrapText="1"/>
    </xf>
    <xf numFmtId="0" fontId="39" fillId="8" borderId="2" xfId="5" applyFont="1" applyFill="1" applyBorder="1" applyAlignment="1">
      <alignment horizontal="center" vertical="center" wrapText="1"/>
    </xf>
    <xf numFmtId="0" fontId="39" fillId="8" borderId="4" xfId="5" applyFont="1" applyFill="1" applyBorder="1" applyAlignment="1">
      <alignment horizontal="center" vertical="center" textRotation="90" wrapText="1"/>
    </xf>
    <xf numFmtId="0" fontId="39" fillId="8" borderId="11" xfId="5" applyFont="1" applyFill="1" applyBorder="1" applyAlignment="1">
      <alignment horizontal="center" vertical="center" textRotation="90" wrapText="1"/>
    </xf>
    <xf numFmtId="0" fontId="39" fillId="0" borderId="2" xfId="5" applyFont="1" applyBorder="1" applyAlignment="1">
      <alignment horizontal="center" vertical="center"/>
    </xf>
    <xf numFmtId="0" fontId="39" fillId="8" borderId="2" xfId="5" applyFont="1" applyFill="1" applyBorder="1" applyAlignment="1">
      <alignment horizontal="center" vertical="center"/>
    </xf>
    <xf numFmtId="0" fontId="39" fillId="0" borderId="3" xfId="5" applyFont="1" applyBorder="1" applyAlignment="1">
      <alignment horizontal="left" vertical="top" wrapText="1"/>
    </xf>
    <xf numFmtId="0" fontId="39" fillId="8" borderId="8" xfId="5" applyFont="1" applyFill="1" applyBorder="1" applyAlignment="1">
      <alignment horizontal="center" vertical="center"/>
    </xf>
    <xf numFmtId="0" fontId="39" fillId="8" borderId="9" xfId="5" applyFont="1" applyFill="1" applyBorder="1" applyAlignment="1">
      <alignment horizontal="center" vertical="center"/>
    </xf>
    <xf numFmtId="0" fontId="39" fillId="8" borderId="10" xfId="5" applyFont="1" applyFill="1" applyBorder="1" applyAlignment="1">
      <alignment horizontal="center" vertical="center"/>
    </xf>
    <xf numFmtId="0" fontId="53" fillId="0" borderId="0" xfId="41" applyFont="1" applyAlignment="1">
      <alignment horizontal="right" vertical="center"/>
    </xf>
    <xf numFmtId="0" fontId="56" fillId="0" borderId="0" xfId="54" applyFont="1" applyAlignment="1">
      <alignment horizontal="left" vertical="center" wrapText="1"/>
    </xf>
    <xf numFmtId="0" fontId="52" fillId="0" borderId="0" xfId="41" applyFont="1" applyAlignment="1">
      <alignment vertical="center"/>
    </xf>
    <xf numFmtId="0" fontId="56" fillId="0" borderId="0" xfId="54" applyFont="1" applyAlignment="1">
      <alignment horizontal="left" vertical="center"/>
    </xf>
    <xf numFmtId="0" fontId="69" fillId="8" borderId="2" xfId="54" applyFont="1" applyFill="1" applyBorder="1" applyAlignment="1">
      <alignment horizontal="center" vertical="center"/>
    </xf>
    <xf numFmtId="0" fontId="59" fillId="8" borderId="2" xfId="54" applyFont="1" applyFill="1" applyBorder="1" applyAlignment="1">
      <alignment horizontal="center" vertical="center"/>
    </xf>
    <xf numFmtId="0" fontId="59" fillId="8" borderId="2" xfId="54" applyFont="1" applyFill="1" applyBorder="1" applyAlignment="1">
      <alignment horizontal="center" vertical="center" wrapText="1"/>
    </xf>
    <xf numFmtId="0" fontId="69" fillId="8" borderId="2" xfId="41" applyFont="1" applyFill="1" applyBorder="1" applyAlignment="1">
      <alignment horizontal="center" vertical="center" wrapText="1"/>
    </xf>
    <xf numFmtId="0" fontId="58" fillId="0" borderId="2" xfId="54" applyFont="1" applyBorder="1" applyAlignment="1">
      <alignment horizontal="center" vertical="center"/>
    </xf>
    <xf numFmtId="0" fontId="53" fillId="0" borderId="0" xfId="41" applyFont="1" applyAlignment="1">
      <alignment horizontal="right" vertical="top"/>
    </xf>
    <xf numFmtId="0" fontId="56" fillId="0" borderId="0" xfId="54" applyFont="1" applyAlignment="1">
      <alignment horizontal="left" vertical="top" wrapText="1"/>
    </xf>
    <xf numFmtId="0" fontId="32" fillId="0" borderId="0" xfId="41" applyAlignment="1">
      <alignment vertical="top"/>
    </xf>
    <xf numFmtId="0" fontId="50" fillId="8" borderId="2" xfId="54" applyFont="1" applyFill="1" applyBorder="1" applyAlignment="1">
      <alignment horizontal="center" vertical="center" wrapText="1"/>
    </xf>
    <xf numFmtId="0" fontId="58" fillId="8" borderId="2" xfId="54" applyFont="1" applyFill="1" applyBorder="1" applyAlignment="1">
      <alignment horizontal="center" vertical="center" wrapText="1"/>
    </xf>
    <xf numFmtId="0" fontId="50" fillId="8" borderId="2" xfId="41" applyFont="1" applyFill="1" applyBorder="1" applyAlignment="1">
      <alignment horizontal="center" vertical="center" wrapText="1"/>
    </xf>
    <xf numFmtId="0" fontId="56" fillId="0" borderId="3" xfId="54" applyFont="1" applyBorder="1" applyAlignment="1">
      <alignment horizontal="left" vertical="top" wrapText="1"/>
    </xf>
    <xf numFmtId="0" fontId="56" fillId="0" borderId="3" xfId="54" applyFont="1" applyBorder="1" applyAlignment="1">
      <alignment horizontal="left" vertical="center" wrapText="1"/>
    </xf>
    <xf numFmtId="0" fontId="56" fillId="0" borderId="3" xfId="54" applyFont="1" applyBorder="1" applyAlignment="1">
      <alignment horizontal="left" vertical="center"/>
    </xf>
    <xf numFmtId="0" fontId="58" fillId="8" borderId="8" xfId="54" applyFont="1" applyFill="1" applyBorder="1" applyAlignment="1" applyProtection="1">
      <alignment horizontal="center" vertical="center"/>
      <protection locked="0"/>
    </xf>
    <xf numFmtId="0" fontId="58" fillId="8" borderId="10" xfId="54" applyFont="1" applyFill="1" applyBorder="1" applyAlignment="1" applyProtection="1">
      <alignment horizontal="center" vertical="center"/>
      <protection locked="0"/>
    </xf>
    <xf numFmtId="0" fontId="58" fillId="0" borderId="4" xfId="0" applyFont="1" applyBorder="1" applyAlignment="1">
      <alignment horizontal="left" vertical="center"/>
    </xf>
    <xf numFmtId="0" fontId="58" fillId="0" borderId="15" xfId="0" applyFont="1" applyBorder="1" applyAlignment="1">
      <alignment horizontal="left" vertical="center"/>
    </xf>
    <xf numFmtId="0" fontId="58" fillId="0" borderId="11" xfId="0" applyFont="1" applyBorder="1" applyAlignment="1">
      <alignment horizontal="left" vertical="center"/>
    </xf>
    <xf numFmtId="0" fontId="58" fillId="0" borderId="4" xfId="54" applyFont="1" applyBorder="1" applyAlignment="1">
      <alignment horizontal="left" vertical="center"/>
    </xf>
    <xf numFmtId="0" fontId="58" fillId="0" borderId="11" xfId="54" applyFont="1" applyBorder="1" applyAlignment="1">
      <alignment horizontal="left" vertical="center"/>
    </xf>
    <xf numFmtId="0" fontId="58" fillId="0" borderId="15" xfId="54" applyFont="1" applyBorder="1" applyAlignment="1">
      <alignment horizontal="left" vertical="center"/>
    </xf>
    <xf numFmtId="0" fontId="58" fillId="0" borderId="4" xfId="41" applyFont="1" applyBorder="1" applyAlignment="1">
      <alignment horizontal="left" vertical="center"/>
    </xf>
    <xf numFmtId="0" fontId="58" fillId="0" borderId="15" xfId="41" applyFont="1" applyBorder="1" applyAlignment="1">
      <alignment horizontal="left" vertical="center"/>
    </xf>
    <xf numFmtId="0" fontId="58" fillId="0" borderId="11" xfId="41" applyFont="1" applyBorder="1" applyAlignment="1">
      <alignment horizontal="left" vertical="center"/>
    </xf>
    <xf numFmtId="0" fontId="58" fillId="0" borderId="4" xfId="41" applyFont="1" applyBorder="1" applyAlignment="1">
      <alignment horizontal="left" vertical="center" wrapText="1"/>
    </xf>
    <xf numFmtId="0" fontId="58" fillId="0" borderId="11" xfId="41" applyFont="1" applyBorder="1" applyAlignment="1">
      <alignment horizontal="left" vertical="center" wrapText="1"/>
    </xf>
    <xf numFmtId="0" fontId="58" fillId="0" borderId="4" xfId="54" applyFont="1" applyBorder="1" applyAlignment="1">
      <alignment horizontal="center" vertical="center"/>
    </xf>
    <xf numFmtId="0" fontId="58" fillId="0" borderId="15" xfId="54" applyFont="1" applyBorder="1" applyAlignment="1">
      <alignment horizontal="center" vertical="center"/>
    </xf>
    <xf numFmtId="0" fontId="58" fillId="0" borderId="4" xfId="41" applyFont="1" applyBorder="1" applyAlignment="1">
      <alignment horizontal="center" vertical="center"/>
    </xf>
    <xf numFmtId="0" fontId="58" fillId="0" borderId="15" xfId="41" applyFont="1" applyBorder="1" applyAlignment="1">
      <alignment horizontal="center" vertical="center"/>
    </xf>
    <xf numFmtId="0" fontId="56" fillId="0" borderId="3" xfId="54" applyFont="1" applyBorder="1" applyAlignment="1">
      <alignment horizontal="center" vertical="center" wrapText="1"/>
    </xf>
    <xf numFmtId="0" fontId="58" fillId="8" borderId="8" xfId="54" applyFont="1" applyFill="1" applyBorder="1" applyAlignment="1">
      <alignment horizontal="center" vertical="center" wrapText="1"/>
    </xf>
    <xf numFmtId="0" fontId="58" fillId="8" borderId="9" xfId="54" applyFont="1" applyFill="1" applyBorder="1" applyAlignment="1">
      <alignment horizontal="center" vertical="center" wrapText="1"/>
    </xf>
    <xf numFmtId="0" fontId="58" fillId="8" borderId="10" xfId="54" applyFont="1" applyFill="1" applyBorder="1" applyAlignment="1">
      <alignment horizontal="center" vertical="center" wrapText="1"/>
    </xf>
    <xf numFmtId="0" fontId="50" fillId="8" borderId="2" xfId="38" applyFont="1" applyFill="1" applyBorder="1" applyAlignment="1">
      <alignment horizontal="center" vertical="center"/>
    </xf>
    <xf numFmtId="0" fontId="53" fillId="0" borderId="0" xfId="5" applyFont="1" applyAlignment="1">
      <alignment horizontal="left" vertical="top"/>
    </xf>
    <xf numFmtId="0" fontId="50" fillId="8" borderId="2" xfId="38" applyFont="1" applyFill="1" applyBorder="1" applyAlignment="1">
      <alignment horizontal="center" vertical="center" wrapText="1"/>
    </xf>
    <xf numFmtId="0" fontId="50" fillId="0" borderId="2" xfId="38" applyFont="1" applyBorder="1" applyAlignment="1">
      <alignment horizontal="center" vertical="center"/>
    </xf>
    <xf numFmtId="0" fontId="53" fillId="0" borderId="3" xfId="5" applyFont="1" applyBorder="1" applyAlignment="1">
      <alignment horizontal="left" vertical="top"/>
    </xf>
    <xf numFmtId="0" fontId="50" fillId="8" borderId="4" xfId="38" applyFont="1" applyFill="1" applyBorder="1" applyAlignment="1">
      <alignment horizontal="center" vertical="center" wrapText="1"/>
    </xf>
    <xf numFmtId="0" fontId="50" fillId="8" borderId="11" xfId="38" applyFont="1" applyFill="1" applyBorder="1" applyAlignment="1">
      <alignment horizontal="center" vertical="center" wrapText="1"/>
    </xf>
    <xf numFmtId="0" fontId="50" fillId="8" borderId="8" xfId="38" applyFont="1" applyFill="1" applyBorder="1" applyAlignment="1">
      <alignment horizontal="center" vertical="center" wrapText="1"/>
    </xf>
    <xf numFmtId="0" fontId="50" fillId="8" borderId="9" xfId="38" applyFont="1" applyFill="1" applyBorder="1" applyAlignment="1">
      <alignment horizontal="center" vertical="center" wrapText="1"/>
    </xf>
    <xf numFmtId="0" fontId="50" fillId="8" borderId="10" xfId="38" applyFont="1" applyFill="1" applyBorder="1" applyAlignment="1">
      <alignment horizontal="center" vertical="center" wrapText="1"/>
    </xf>
    <xf numFmtId="0" fontId="50" fillId="8" borderId="8" xfId="38" applyFont="1" applyFill="1" applyBorder="1" applyAlignment="1">
      <alignment horizontal="center" vertical="center"/>
    </xf>
    <xf numFmtId="0" fontId="50" fillId="8" borderId="9" xfId="38" applyFont="1" applyFill="1" applyBorder="1" applyAlignment="1">
      <alignment horizontal="center" vertical="center"/>
    </xf>
    <xf numFmtId="0" fontId="50" fillId="8" borderId="10" xfId="38" applyFont="1" applyFill="1" applyBorder="1" applyAlignment="1">
      <alignment horizontal="center" vertical="center"/>
    </xf>
    <xf numFmtId="0" fontId="50" fillId="0" borderId="2" xfId="54" applyFont="1" applyBorder="1" applyAlignment="1">
      <alignment horizontal="center" vertical="center" wrapText="1"/>
    </xf>
    <xf numFmtId="0" fontId="53" fillId="0" borderId="0" xfId="54" applyFont="1" applyAlignment="1">
      <alignment horizontal="left" vertical="top" wrapText="1"/>
    </xf>
    <xf numFmtId="0" fontId="50" fillId="8" borderId="2" xfId="54" applyFont="1" applyFill="1" applyBorder="1" applyAlignment="1">
      <alignment horizontal="center" vertical="top" wrapText="1"/>
    </xf>
    <xf numFmtId="0" fontId="50" fillId="8" borderId="2" xfId="54" applyFont="1" applyFill="1" applyBorder="1" applyAlignment="1">
      <alignment horizontal="center"/>
    </xf>
    <xf numFmtId="0" fontId="50" fillId="0" borderId="8" xfId="54" applyFont="1" applyBorder="1" applyAlignment="1">
      <alignment horizontal="center" vertical="center" wrapText="1"/>
    </xf>
    <xf numFmtId="0" fontId="50" fillId="0" borderId="10" xfId="54" applyFont="1" applyBorder="1" applyAlignment="1">
      <alignment horizontal="center" vertical="center" wrapText="1"/>
    </xf>
    <xf numFmtId="0" fontId="53" fillId="0" borderId="3" xfId="54" applyFont="1" applyBorder="1" applyAlignment="1">
      <alignment horizontal="left" vertical="top" wrapText="1"/>
    </xf>
    <xf numFmtId="0" fontId="53" fillId="0" borderId="3" xfId="54" applyFont="1" applyBorder="1" applyAlignment="1">
      <alignment horizontal="left" vertical="top"/>
    </xf>
    <xf numFmtId="0" fontId="50" fillId="8" borderId="4" xfId="54" applyFont="1" applyFill="1" applyBorder="1" applyAlignment="1">
      <alignment horizontal="center" vertical="center" wrapText="1"/>
    </xf>
    <xf numFmtId="0" fontId="50" fillId="8" borderId="11" xfId="54" applyFont="1" applyFill="1" applyBorder="1" applyAlignment="1">
      <alignment horizontal="center" vertical="center" wrapText="1"/>
    </xf>
    <xf numFmtId="0" fontId="50" fillId="8" borderId="2" xfId="54" applyFont="1" applyFill="1" applyBorder="1" applyAlignment="1">
      <alignment horizontal="center" vertical="center"/>
    </xf>
    <xf numFmtId="0" fontId="58" fillId="0" borderId="2" xfId="54" applyFont="1" applyBorder="1" applyAlignment="1">
      <alignment horizontal="center" vertical="center" wrapText="1"/>
    </xf>
    <xf numFmtId="0" fontId="53" fillId="0" borderId="8" xfId="4" applyFont="1" applyBorder="1" applyAlignment="1">
      <alignment horizontal="center" vertical="center"/>
    </xf>
    <xf numFmtId="0" fontId="53" fillId="0" borderId="10" xfId="4" applyFont="1" applyBorder="1" applyAlignment="1">
      <alignment horizontal="center" vertical="center"/>
    </xf>
    <xf numFmtId="0" fontId="53" fillId="0" borderId="3" xfId="4" applyFont="1" applyBorder="1" applyAlignment="1">
      <alignment horizontal="center" vertical="center" wrapText="1"/>
    </xf>
    <xf numFmtId="0" fontId="53" fillId="0" borderId="3" xfId="4" applyFont="1" applyBorder="1" applyAlignment="1">
      <alignment horizontal="center" vertical="center"/>
    </xf>
    <xf numFmtId="0" fontId="53" fillId="0" borderId="0" xfId="9" applyFont="1" applyAlignment="1">
      <alignment horizontal="center" vertical="center" wrapText="1"/>
    </xf>
    <xf numFmtId="0" fontId="50" fillId="8" borderId="18" xfId="1" applyFont="1" applyFill="1" applyBorder="1" applyAlignment="1">
      <alignment horizontal="center" vertical="center" wrapText="1"/>
    </xf>
    <xf numFmtId="0" fontId="50" fillId="8" borderId="0" xfId="1" applyFont="1" applyFill="1" applyAlignment="1">
      <alignment horizontal="center" vertical="center" wrapText="1"/>
    </xf>
    <xf numFmtId="0" fontId="50" fillId="8" borderId="19" xfId="1" applyFont="1" applyFill="1" applyBorder="1" applyAlignment="1">
      <alignment horizontal="center" vertical="center" wrapText="1"/>
    </xf>
    <xf numFmtId="0" fontId="50" fillId="0" borderId="2" xfId="1" applyFont="1" applyBorder="1" applyAlignment="1">
      <alignment horizontal="center" vertical="center" wrapText="1"/>
    </xf>
    <xf numFmtId="0" fontId="53" fillId="0" borderId="3" xfId="1" applyFont="1" applyBorder="1" applyAlignment="1">
      <alignment horizontal="left" vertical="center" wrapText="1"/>
    </xf>
    <xf numFmtId="0" fontId="53" fillId="0" borderId="3" xfId="1" applyFont="1" applyBorder="1" applyAlignment="1">
      <alignment horizontal="left" vertical="center"/>
    </xf>
    <xf numFmtId="0" fontId="50" fillId="8" borderId="15" xfId="1" applyFont="1" applyFill="1" applyBorder="1" applyAlignment="1">
      <alignment horizontal="center" vertical="center" wrapText="1"/>
    </xf>
    <xf numFmtId="0" fontId="50" fillId="8" borderId="16" xfId="1" applyFont="1" applyFill="1" applyBorder="1" applyAlignment="1">
      <alignment horizontal="center" vertical="center" wrapText="1"/>
    </xf>
    <xf numFmtId="0" fontId="50" fillId="8" borderId="3" xfId="1" applyFont="1" applyFill="1" applyBorder="1" applyAlignment="1">
      <alignment horizontal="center" vertical="center" wrapText="1"/>
    </xf>
    <xf numFmtId="0" fontId="50" fillId="8" borderId="17" xfId="1" applyFont="1" applyFill="1" applyBorder="1" applyAlignment="1">
      <alignment horizontal="center" vertical="center" wrapText="1"/>
    </xf>
    <xf numFmtId="0" fontId="77" fillId="8" borderId="13" xfId="1" applyFont="1" applyFill="1" applyBorder="1" applyAlignment="1">
      <alignment horizontal="center" vertical="center" wrapText="1"/>
    </xf>
    <xf numFmtId="0" fontId="77" fillId="8" borderId="12" xfId="1" applyFont="1" applyFill="1" applyBorder="1" applyAlignment="1">
      <alignment horizontal="center" vertical="center" wrapText="1"/>
    </xf>
    <xf numFmtId="0" fontId="77" fillId="8" borderId="14" xfId="1" applyFont="1" applyFill="1" applyBorder="1" applyAlignment="1">
      <alignment horizontal="center" vertical="center" wrapText="1"/>
    </xf>
    <xf numFmtId="0" fontId="77" fillId="8" borderId="2" xfId="48" applyFont="1" applyFill="1" applyBorder="1" applyAlignment="1">
      <alignment horizontal="center" vertical="center" wrapText="1"/>
    </xf>
    <xf numFmtId="0" fontId="54" fillId="8" borderId="2" xfId="48" applyFont="1" applyFill="1" applyBorder="1" applyAlignment="1">
      <alignment vertical="center"/>
    </xf>
    <xf numFmtId="0" fontId="53" fillId="0" borderId="3" xfId="41" applyFont="1" applyBorder="1" applyAlignment="1">
      <alignment horizontal="left" vertical="center" wrapText="1"/>
    </xf>
    <xf numFmtId="0" fontId="53" fillId="0" borderId="3" xfId="41" applyFont="1" applyBorder="1" applyAlignment="1">
      <alignment horizontal="left" vertical="top" wrapText="1"/>
    </xf>
    <xf numFmtId="0" fontId="77" fillId="8" borderId="2" xfId="1" applyFont="1" applyFill="1" applyBorder="1" applyAlignment="1">
      <alignment horizontal="center" vertical="center" wrapText="1"/>
    </xf>
    <xf numFmtId="0" fontId="54" fillId="8" borderId="2" xfId="1" applyFont="1" applyFill="1" applyBorder="1" applyAlignment="1">
      <alignment vertical="center"/>
    </xf>
    <xf numFmtId="0" fontId="78" fillId="8" borderId="13" xfId="1" applyFont="1" applyFill="1" applyBorder="1" applyAlignment="1">
      <alignment horizontal="center" vertical="center" wrapText="1"/>
    </xf>
    <xf numFmtId="0" fontId="78" fillId="8" borderId="12" xfId="1" applyFont="1" applyFill="1" applyBorder="1" applyAlignment="1">
      <alignment horizontal="center" vertical="center" wrapText="1"/>
    </xf>
    <xf numFmtId="0" fontId="78" fillId="8" borderId="14" xfId="1" applyFont="1" applyFill="1" applyBorder="1" applyAlignment="1">
      <alignment horizontal="center" vertical="center" wrapText="1"/>
    </xf>
    <xf numFmtId="0" fontId="78" fillId="8" borderId="2" xfId="48" applyFont="1" applyFill="1" applyBorder="1" applyAlignment="1">
      <alignment horizontal="center" vertical="center" wrapText="1"/>
    </xf>
    <xf numFmtId="0" fontId="79" fillId="8" borderId="2" xfId="48" applyFont="1" applyFill="1" applyBorder="1" applyAlignment="1">
      <alignment vertical="center"/>
    </xf>
    <xf numFmtId="0" fontId="50" fillId="8" borderId="2" xfId="55" applyFont="1" applyFill="1" applyBorder="1" applyAlignment="1">
      <alignment horizontal="center" vertical="center" wrapText="1"/>
    </xf>
    <xf numFmtId="0" fontId="78" fillId="8" borderId="2" xfId="1" applyFont="1" applyFill="1" applyBorder="1" applyAlignment="1">
      <alignment horizontal="center" vertical="center" wrapText="1"/>
    </xf>
    <xf numFmtId="0" fontId="79" fillId="8" borderId="2" xfId="1" applyFont="1" applyFill="1" applyBorder="1" applyAlignment="1">
      <alignment vertical="center"/>
    </xf>
    <xf numFmtId="0" fontId="77" fillId="8" borderId="2" xfId="4" applyFont="1" applyFill="1" applyBorder="1" applyAlignment="1">
      <alignment horizontal="center" vertical="center" wrapText="1"/>
    </xf>
    <xf numFmtId="0" fontId="54" fillId="8" borderId="2" xfId="4" applyFont="1" applyFill="1" applyBorder="1" applyAlignment="1">
      <alignment vertical="center"/>
    </xf>
    <xf numFmtId="0" fontId="77" fillId="0" borderId="8" xfId="55" applyFont="1" applyBorder="1" applyAlignment="1">
      <alignment horizontal="center" vertical="center" wrapText="1"/>
    </xf>
    <xf numFmtId="0" fontId="77" fillId="0" borderId="10" xfId="55" applyFont="1" applyBorder="1" applyAlignment="1">
      <alignment horizontal="center" vertical="center" wrapText="1"/>
    </xf>
    <xf numFmtId="0" fontId="77" fillId="8" borderId="2" xfId="55" applyFont="1" applyFill="1" applyBorder="1" applyAlignment="1">
      <alignment horizontal="center" vertical="center" wrapText="1"/>
    </xf>
    <xf numFmtId="0" fontId="77" fillId="8" borderId="2" xfId="5" applyFont="1" applyFill="1" applyBorder="1" applyAlignment="1">
      <alignment horizontal="center" vertical="center" wrapText="1"/>
    </xf>
    <xf numFmtId="0" fontId="54" fillId="8" borderId="2" xfId="5" applyFont="1" applyFill="1" applyBorder="1" applyAlignment="1">
      <alignment vertical="center"/>
    </xf>
    <xf numFmtId="0" fontId="50" fillId="0" borderId="8" xfId="5" applyFont="1" applyBorder="1" applyAlignment="1">
      <alignment horizontal="center" vertical="center" wrapText="1"/>
    </xf>
    <xf numFmtId="0" fontId="50" fillId="0" borderId="10" xfId="5" applyFont="1" applyBorder="1" applyAlignment="1">
      <alignment horizontal="center" vertical="center" wrapText="1"/>
    </xf>
    <xf numFmtId="0" fontId="53" fillId="0" borderId="0" xfId="5" applyFont="1" applyAlignment="1">
      <alignment horizontal="left" vertical="top" wrapText="1"/>
    </xf>
    <xf numFmtId="0" fontId="50" fillId="0" borderId="2" xfId="45" applyFont="1" applyBorder="1" applyAlignment="1">
      <alignment horizontal="center" vertical="center"/>
    </xf>
    <xf numFmtId="0" fontId="53" fillId="0" borderId="0" xfId="45" applyFont="1" applyAlignment="1">
      <alignment horizontal="center" vertical="center" wrapText="1"/>
    </xf>
    <xf numFmtId="0" fontId="50" fillId="8" borderId="4" xfId="45" applyFont="1" applyFill="1" applyBorder="1" applyAlignment="1">
      <alignment horizontal="center" vertical="center" wrapText="1"/>
    </xf>
    <xf numFmtId="0" fontId="50" fillId="8" borderId="11" xfId="45" applyFont="1" applyFill="1" applyBorder="1" applyAlignment="1">
      <alignment horizontal="center" vertical="center" wrapText="1"/>
    </xf>
    <xf numFmtId="0" fontId="50" fillId="8" borderId="8" xfId="45" applyFont="1" applyFill="1" applyBorder="1" applyAlignment="1">
      <alignment horizontal="center" vertical="center" wrapText="1"/>
    </xf>
    <xf numFmtId="0" fontId="50" fillId="8" borderId="10" xfId="45" applyFont="1" applyFill="1" applyBorder="1" applyAlignment="1">
      <alignment horizontal="center" vertical="center" wrapText="1"/>
    </xf>
    <xf numFmtId="0" fontId="53" fillId="8" borderId="2" xfId="5" applyFont="1" applyFill="1" applyBorder="1" applyAlignment="1">
      <alignment horizontal="center" vertical="center" wrapText="1"/>
    </xf>
    <xf numFmtId="0" fontId="50" fillId="8" borderId="2" xfId="28" applyFont="1" applyFill="1" applyBorder="1" applyAlignment="1">
      <alignment horizontal="center" vertical="center" wrapText="1"/>
    </xf>
    <xf numFmtId="0" fontId="77" fillId="8" borderId="13" xfId="4" applyFont="1" applyFill="1" applyBorder="1" applyAlignment="1">
      <alignment horizontal="center" vertical="center" wrapText="1"/>
    </xf>
    <xf numFmtId="0" fontId="77" fillId="8" borderId="12" xfId="4" applyFont="1" applyFill="1" applyBorder="1" applyAlignment="1">
      <alignment horizontal="center" vertical="center" wrapText="1"/>
    </xf>
    <xf numFmtId="0" fontId="77" fillId="8" borderId="14" xfId="4" applyFont="1" applyFill="1" applyBorder="1" applyAlignment="1">
      <alignment horizontal="center" vertical="center" wrapText="1"/>
    </xf>
    <xf numFmtId="0" fontId="69" fillId="8" borderId="2" xfId="5" applyFont="1" applyFill="1" applyBorder="1" applyAlignment="1">
      <alignment horizontal="center" vertical="center" wrapText="1"/>
    </xf>
    <xf numFmtId="0" fontId="69" fillId="8" borderId="2" xfId="4" applyFont="1" applyFill="1" applyBorder="1" applyAlignment="1">
      <alignment horizontal="center" vertical="center" wrapText="1"/>
    </xf>
    <xf numFmtId="0" fontId="53" fillId="0" borderId="2" xfId="17" applyFont="1" applyBorder="1" applyAlignment="1">
      <alignment horizontal="center" vertical="center" wrapText="1"/>
    </xf>
    <xf numFmtId="0" fontId="53" fillId="8" borderId="2" xfId="17" applyFont="1" applyFill="1" applyBorder="1" applyAlignment="1">
      <alignment horizontal="center" vertical="center" wrapText="1"/>
    </xf>
    <xf numFmtId="0" fontId="50" fillId="8" borderId="2" xfId="44" applyFont="1" applyFill="1" applyBorder="1" applyAlignment="1">
      <alignment horizontal="center" vertical="center" wrapText="1"/>
    </xf>
    <xf numFmtId="0" fontId="50" fillId="8" borderId="8" xfId="28" applyFont="1" applyFill="1" applyBorder="1" applyAlignment="1">
      <alignment horizontal="center" vertical="center" wrapText="1"/>
    </xf>
    <xf numFmtId="0" fontId="50" fillId="8" borderId="9" xfId="28" applyFont="1" applyFill="1" applyBorder="1" applyAlignment="1">
      <alignment horizontal="center" vertical="center" wrapText="1"/>
    </xf>
    <xf numFmtId="0" fontId="50" fillId="8" borderId="10" xfId="28" applyFont="1" applyFill="1" applyBorder="1" applyAlignment="1">
      <alignment horizontal="center" vertical="center" wrapText="1"/>
    </xf>
    <xf numFmtId="0" fontId="53" fillId="0" borderId="8" xfId="5" applyFont="1" applyBorder="1" applyAlignment="1">
      <alignment horizontal="center" vertical="center"/>
    </xf>
    <xf numFmtId="0" fontId="53" fillId="0" borderId="10" xfId="5" applyFont="1" applyBorder="1" applyAlignment="1">
      <alignment horizontal="center" vertical="center"/>
    </xf>
    <xf numFmtId="0" fontId="53" fillId="8" borderId="4" xfId="5" applyFont="1" applyFill="1" applyBorder="1" applyAlignment="1">
      <alignment horizontal="center" vertical="center" wrapText="1"/>
    </xf>
    <xf numFmtId="0" fontId="53" fillId="8" borderId="11" xfId="5" applyFont="1" applyFill="1" applyBorder="1" applyAlignment="1">
      <alignment horizontal="center" vertical="center" wrapText="1"/>
    </xf>
    <xf numFmtId="0" fontId="69" fillId="8" borderId="8" xfId="5" applyFont="1" applyFill="1" applyBorder="1" applyAlignment="1">
      <alignment horizontal="center" vertical="center" wrapText="1"/>
    </xf>
    <xf numFmtId="0" fontId="69" fillId="8" borderId="9" xfId="5" applyFont="1" applyFill="1" applyBorder="1" applyAlignment="1">
      <alignment horizontal="center" vertical="center" wrapText="1"/>
    </xf>
    <xf numFmtId="0" fontId="69" fillId="8" borderId="10" xfId="5" applyFont="1" applyFill="1" applyBorder="1" applyAlignment="1">
      <alignment horizontal="center" vertical="center" wrapText="1"/>
    </xf>
    <xf numFmtId="0" fontId="50" fillId="0" borderId="11" xfId="38" applyFont="1" applyBorder="1" applyAlignment="1">
      <alignment horizontal="center" vertical="center"/>
    </xf>
    <xf numFmtId="0" fontId="53" fillId="0" borderId="0" xfId="41" applyFont="1" applyAlignment="1">
      <alignment horizontal="center" vertical="center" wrapText="1"/>
    </xf>
    <xf numFmtId="0" fontId="49" fillId="0" borderId="0" xfId="41" applyFont="1" applyAlignment="1">
      <alignment horizontal="right" vertical="center"/>
    </xf>
    <xf numFmtId="0" fontId="72" fillId="0" borderId="0" xfId="54" applyFont="1" applyAlignment="1">
      <alignment horizontal="left" vertical="center" wrapText="1"/>
    </xf>
    <xf numFmtId="0" fontId="73" fillId="0" borderId="0" xfId="41" applyFont="1" applyAlignment="1">
      <alignment vertical="center"/>
    </xf>
    <xf numFmtId="0" fontId="72" fillId="0" borderId="0" xfId="54" applyFont="1" applyAlignment="1">
      <alignment horizontal="left" vertical="center"/>
    </xf>
    <xf numFmtId="0" fontId="69" fillId="8" borderId="8" xfId="41" applyFont="1" applyFill="1" applyBorder="1" applyAlignment="1">
      <alignment horizontal="center" vertical="center"/>
    </xf>
    <xf numFmtId="0" fontId="69" fillId="8" borderId="9" xfId="41" applyFont="1" applyFill="1" applyBorder="1" applyAlignment="1">
      <alignment horizontal="center" vertical="center"/>
    </xf>
    <xf numFmtId="0" fontId="69" fillId="8" borderId="10" xfId="41" applyFont="1" applyFill="1" applyBorder="1" applyAlignment="1">
      <alignment horizontal="center" vertical="center"/>
    </xf>
    <xf numFmtId="0" fontId="58" fillId="0" borderId="8" xfId="54" applyFont="1" applyBorder="1" applyAlignment="1">
      <alignment horizontal="center" vertical="center"/>
    </xf>
    <xf numFmtId="0" fontId="58" fillId="0" borderId="10" xfId="54" applyFont="1" applyBorder="1" applyAlignment="1">
      <alignment horizontal="center" vertical="center"/>
    </xf>
    <xf numFmtId="0" fontId="58" fillId="8" borderId="8" xfId="54" applyFont="1" applyFill="1" applyBorder="1" applyAlignment="1">
      <alignment horizontal="center" vertical="center"/>
    </xf>
    <xf numFmtId="0" fontId="58" fillId="8" borderId="10" xfId="54" applyFont="1" applyFill="1" applyBorder="1" applyAlignment="1">
      <alignment horizontal="center" vertical="center"/>
    </xf>
    <xf numFmtId="0" fontId="58" fillId="0" borderId="4" xfId="54" applyFont="1" applyBorder="1" applyAlignment="1">
      <alignment horizontal="left" vertical="center" wrapText="1"/>
    </xf>
    <xf numFmtId="0" fontId="58" fillId="0" borderId="15" xfId="54" applyFont="1" applyBorder="1" applyAlignment="1">
      <alignment horizontal="left" vertical="center" wrapText="1"/>
    </xf>
    <xf numFmtId="0" fontId="58" fillId="0" borderId="11" xfId="54" applyFont="1" applyBorder="1" applyAlignment="1">
      <alignment horizontal="left" vertical="center" wrapText="1"/>
    </xf>
    <xf numFmtId="0" fontId="58" fillId="0" borderId="4" xfId="54" applyFont="1" applyBorder="1" applyAlignment="1">
      <alignment vertical="center" wrapText="1"/>
    </xf>
    <xf numFmtId="0" fontId="58" fillId="0" borderId="15" xfId="54" applyFont="1" applyBorder="1" applyAlignment="1">
      <alignment vertical="center" wrapText="1"/>
    </xf>
    <xf numFmtId="0" fontId="58" fillId="8" borderId="2" xfId="54" applyFont="1" applyFill="1" applyBorder="1" applyAlignment="1">
      <alignment horizontal="center" vertical="center"/>
    </xf>
    <xf numFmtId="0" fontId="53" fillId="0" borderId="3" xfId="1" applyFont="1" applyBorder="1" applyAlignment="1">
      <alignment horizontal="right" vertical="top"/>
    </xf>
    <xf numFmtId="0" fontId="50" fillId="0" borderId="2" xfId="1" applyFont="1" applyBorder="1" applyAlignment="1">
      <alignment horizontal="right" vertical="center" wrapText="1"/>
    </xf>
    <xf numFmtId="0" fontId="58" fillId="8" borderId="4" xfId="1" applyFont="1" applyFill="1" applyBorder="1" applyAlignment="1">
      <alignment horizontal="center" vertical="center" wrapText="1"/>
    </xf>
    <xf numFmtId="0" fontId="58" fillId="8" borderId="11" xfId="1" applyFont="1" applyFill="1" applyBorder="1" applyAlignment="1">
      <alignment horizontal="center" vertical="center" wrapText="1"/>
    </xf>
    <xf numFmtId="0" fontId="58" fillId="8" borderId="13" xfId="1" applyFont="1" applyFill="1" applyBorder="1" applyAlignment="1">
      <alignment horizontal="center" vertical="center" wrapText="1"/>
    </xf>
    <xf numFmtId="0" fontId="58" fillId="8" borderId="12" xfId="1" applyFont="1" applyFill="1" applyBorder="1" applyAlignment="1">
      <alignment horizontal="center" vertical="center" wrapText="1"/>
    </xf>
    <xf numFmtId="0" fontId="58" fillId="8" borderId="14" xfId="1" applyFont="1" applyFill="1" applyBorder="1" applyAlignment="1">
      <alignment horizontal="center" vertical="center" wrapText="1"/>
    </xf>
    <xf numFmtId="0" fontId="58" fillId="8" borderId="2" xfId="1" applyFont="1" applyFill="1" applyBorder="1" applyAlignment="1">
      <alignment horizontal="center" vertical="center" wrapText="1"/>
    </xf>
    <xf numFmtId="0" fontId="58" fillId="8" borderId="8" xfId="1" applyFont="1" applyFill="1" applyBorder="1" applyAlignment="1">
      <alignment horizontal="center" vertical="center" wrapText="1"/>
    </xf>
    <xf numFmtId="0" fontId="58" fillId="8" borderId="9" xfId="1" applyFont="1" applyFill="1" applyBorder="1" applyAlignment="1">
      <alignment horizontal="center" vertical="center" wrapText="1"/>
    </xf>
    <xf numFmtId="0" fontId="58" fillId="8" borderId="10" xfId="1" applyFont="1" applyFill="1" applyBorder="1" applyAlignment="1">
      <alignment horizontal="center" vertical="center" wrapText="1"/>
    </xf>
    <xf numFmtId="0" fontId="58" fillId="0" borderId="4" xfId="69" applyFont="1" applyBorder="1" applyAlignment="1">
      <alignment horizontal="center" vertical="center" wrapText="1"/>
    </xf>
    <xf numFmtId="0" fontId="58" fillId="0" borderId="11" xfId="69" applyFont="1" applyBorder="1" applyAlignment="1">
      <alignment horizontal="center" vertical="center" wrapText="1"/>
    </xf>
    <xf numFmtId="0" fontId="58" fillId="0" borderId="2" xfId="69" applyFont="1" applyBorder="1" applyAlignment="1">
      <alignment horizontal="center" vertical="center"/>
    </xf>
    <xf numFmtId="0" fontId="50" fillId="8" borderId="4" xfId="4" applyFont="1" applyFill="1" applyBorder="1" applyAlignment="1">
      <alignment horizontal="center" vertical="center" wrapText="1"/>
    </xf>
    <xf numFmtId="0" fontId="50" fillId="8" borderId="11" xfId="4" applyFont="1" applyFill="1" applyBorder="1" applyAlignment="1">
      <alignment horizontal="center" vertical="center" wrapText="1"/>
    </xf>
    <xf numFmtId="0" fontId="50" fillId="8" borderId="8" xfId="4" applyFont="1" applyFill="1" applyBorder="1" applyAlignment="1">
      <alignment horizontal="center" vertical="center" wrapText="1"/>
    </xf>
    <xf numFmtId="0" fontId="53" fillId="0" borderId="2" xfId="5" applyFont="1" applyBorder="1" applyAlignment="1">
      <alignment horizontal="center" vertical="center"/>
    </xf>
    <xf numFmtId="0" fontId="53" fillId="8" borderId="8" xfId="5" applyFont="1" applyFill="1" applyBorder="1" applyAlignment="1">
      <alignment horizontal="center" vertical="center" wrapText="1"/>
    </xf>
    <xf numFmtId="0" fontId="53" fillId="8" borderId="9" xfId="5" applyFont="1" applyFill="1" applyBorder="1" applyAlignment="1">
      <alignment horizontal="center" vertical="center" wrapText="1"/>
    </xf>
    <xf numFmtId="0" fontId="53" fillId="8" borderId="10" xfId="5" applyFont="1" applyFill="1" applyBorder="1" applyAlignment="1">
      <alignment horizontal="center" vertical="center" wrapText="1"/>
    </xf>
    <xf numFmtId="0" fontId="56" fillId="0" borderId="3" xfId="61" applyFont="1" applyBorder="1" applyAlignment="1">
      <alignment horizontal="left" vertical="center"/>
    </xf>
    <xf numFmtId="0" fontId="53" fillId="8" borderId="4" xfId="61" applyFont="1" applyFill="1" applyBorder="1" applyAlignment="1">
      <alignment horizontal="center" vertical="center" wrapText="1"/>
    </xf>
    <xf numFmtId="0" fontId="53" fillId="8" borderId="11" xfId="61" applyFont="1" applyFill="1" applyBorder="1" applyAlignment="1">
      <alignment horizontal="center" vertical="center" wrapText="1"/>
    </xf>
    <xf numFmtId="0" fontId="53" fillId="8" borderId="2" xfId="61" applyFont="1" applyFill="1" applyBorder="1" applyAlignment="1">
      <alignment horizontal="center" vertical="center" wrapText="1"/>
    </xf>
    <xf numFmtId="0" fontId="50" fillId="8" borderId="8" xfId="61" applyFont="1" applyFill="1" applyBorder="1" applyAlignment="1">
      <alignment horizontal="center" vertical="center" wrapText="1"/>
    </xf>
    <xf numFmtId="0" fontId="50" fillId="8" borderId="9" xfId="61" applyFont="1" applyFill="1" applyBorder="1" applyAlignment="1">
      <alignment horizontal="center" vertical="center" wrapText="1"/>
    </xf>
    <xf numFmtId="0" fontId="50" fillId="8" borderId="2" xfId="61" applyFont="1" applyFill="1" applyBorder="1" applyAlignment="1">
      <alignment horizontal="center" vertical="center" wrapText="1"/>
    </xf>
    <xf numFmtId="0" fontId="57" fillId="0" borderId="4" xfId="61" applyFont="1" applyBorder="1" applyAlignment="1">
      <alignment horizontal="center" vertical="top"/>
    </xf>
    <xf numFmtId="0" fontId="57" fillId="0" borderId="15" xfId="61" applyFont="1" applyBorder="1" applyAlignment="1">
      <alignment horizontal="center" vertical="top"/>
    </xf>
    <xf numFmtId="0" fontId="57" fillId="0" borderId="11" xfId="61" applyFont="1" applyBorder="1" applyAlignment="1">
      <alignment horizontal="center" vertical="top"/>
    </xf>
    <xf numFmtId="0" fontId="64" fillId="8" borderId="4" xfId="61" applyFont="1" applyFill="1" applyBorder="1" applyAlignment="1">
      <alignment horizontal="center" vertical="center" wrapText="1"/>
    </xf>
    <xf numFmtId="0" fontId="64" fillId="8" borderId="11" xfId="61" applyFont="1" applyFill="1" applyBorder="1" applyAlignment="1">
      <alignment horizontal="center" vertical="center" wrapText="1"/>
    </xf>
    <xf numFmtId="0" fontId="50" fillId="8" borderId="2" xfId="61" applyFont="1" applyFill="1" applyBorder="1" applyAlignment="1">
      <alignment horizontal="center"/>
    </xf>
    <xf numFmtId="0" fontId="50" fillId="8" borderId="2" xfId="61" applyFont="1" applyFill="1" applyBorder="1" applyAlignment="1">
      <alignment horizontal="center" vertical="center"/>
    </xf>
    <xf numFmtId="0" fontId="58" fillId="0" borderId="3" xfId="61" applyFont="1" applyBorder="1" applyAlignment="1">
      <alignment horizontal="left" vertical="center"/>
    </xf>
    <xf numFmtId="0" fontId="56" fillId="0" borderId="3" xfId="65" applyFont="1" applyBorder="1" applyAlignment="1">
      <alignment horizontal="left" vertical="center"/>
    </xf>
    <xf numFmtId="0" fontId="57" fillId="0" borderId="8" xfId="65" applyFont="1" applyBorder="1" applyAlignment="1">
      <alignment horizontal="center"/>
    </xf>
    <xf numFmtId="0" fontId="57" fillId="0" borderId="9" xfId="65" applyFont="1" applyBorder="1" applyAlignment="1">
      <alignment horizontal="center"/>
    </xf>
    <xf numFmtId="0" fontId="57" fillId="0" borderId="10" xfId="65" applyFont="1" applyBorder="1" applyAlignment="1">
      <alignment horizontal="center"/>
    </xf>
    <xf numFmtId="0" fontId="50" fillId="8" borderId="2" xfId="65" applyFont="1" applyFill="1" applyBorder="1" applyAlignment="1">
      <alignment horizontal="center" vertical="center"/>
    </xf>
    <xf numFmtId="0" fontId="50" fillId="8" borderId="2" xfId="65" applyFont="1" applyFill="1" applyBorder="1" applyAlignment="1">
      <alignment horizontal="center" vertical="center" wrapText="1"/>
    </xf>
    <xf numFmtId="0" fontId="50" fillId="8" borderId="2" xfId="65" applyFont="1" applyFill="1" applyBorder="1" applyAlignment="1">
      <alignment horizontal="center"/>
    </xf>
    <xf numFmtId="0" fontId="56" fillId="0" borderId="3" xfId="65" applyFont="1" applyBorder="1" applyAlignment="1">
      <alignment horizontal="center" vertical="center"/>
    </xf>
    <xf numFmtId="0" fontId="50" fillId="8" borderId="8" xfId="65" applyFont="1" applyFill="1" applyBorder="1" applyAlignment="1">
      <alignment horizontal="center" vertical="center" wrapText="1"/>
    </xf>
    <xf numFmtId="0" fontId="50" fillId="8" borderId="9" xfId="65" applyFont="1" applyFill="1" applyBorder="1" applyAlignment="1">
      <alignment horizontal="center" vertical="center" wrapText="1"/>
    </xf>
    <xf numFmtId="0" fontId="50" fillId="8" borderId="10" xfId="65" applyFont="1" applyFill="1" applyBorder="1" applyAlignment="1">
      <alignment horizontal="center" vertical="center" wrapText="1"/>
    </xf>
    <xf numFmtId="0" fontId="50" fillId="8" borderId="4" xfId="65" applyFont="1" applyFill="1" applyBorder="1" applyAlignment="1">
      <alignment horizontal="center" vertical="center"/>
    </xf>
    <xf numFmtId="0" fontId="57" fillId="0" borderId="2" xfId="71" applyFont="1" applyBorder="1" applyAlignment="1">
      <alignment horizontal="center" vertical="top"/>
    </xf>
    <xf numFmtId="0" fontId="56" fillId="0" borderId="0" xfId="72" applyFont="1" applyAlignment="1">
      <alignment horizontal="left" vertical="center"/>
    </xf>
    <xf numFmtId="0" fontId="64" fillId="8" borderId="4" xfId="71" applyFont="1" applyFill="1" applyBorder="1" applyAlignment="1">
      <alignment horizontal="center" vertical="center" wrapText="1"/>
    </xf>
    <xf numFmtId="0" fontId="64" fillId="8" borderId="11" xfId="71" applyFont="1" applyFill="1" applyBorder="1" applyAlignment="1">
      <alignment horizontal="center" vertical="center" wrapText="1"/>
    </xf>
    <xf numFmtId="0" fontId="50" fillId="8" borderId="2" xfId="72" applyFont="1" applyFill="1" applyBorder="1" applyAlignment="1">
      <alignment horizontal="center" vertical="center"/>
    </xf>
    <xf numFmtId="0" fontId="50" fillId="8" borderId="2" xfId="72" applyFont="1" applyFill="1" applyBorder="1" applyAlignment="1">
      <alignment horizontal="center" vertical="center" wrapText="1"/>
    </xf>
    <xf numFmtId="0" fontId="57" fillId="0" borderId="2" xfId="71" applyFont="1" applyBorder="1" applyAlignment="1">
      <alignment horizontal="center"/>
    </xf>
    <xf numFmtId="0" fontId="57" fillId="0" borderId="4" xfId="71" applyFont="1" applyBorder="1" applyAlignment="1">
      <alignment horizontal="center" vertical="top"/>
    </xf>
    <xf numFmtId="0" fontId="57" fillId="0" borderId="15" xfId="71" applyFont="1" applyBorder="1" applyAlignment="1">
      <alignment horizontal="center" vertical="top"/>
    </xf>
    <xf numFmtId="0" fontId="57" fillId="0" borderId="11" xfId="71" applyFont="1" applyBorder="1" applyAlignment="1">
      <alignment horizontal="center" vertical="top"/>
    </xf>
    <xf numFmtId="0" fontId="69" fillId="8" borderId="2" xfId="65" applyFont="1" applyFill="1" applyBorder="1" applyAlignment="1">
      <alignment horizontal="center" vertical="center"/>
    </xf>
    <xf numFmtId="0" fontId="69" fillId="8" borderId="8" xfId="65" applyFont="1" applyFill="1" applyBorder="1" applyAlignment="1">
      <alignment horizontal="center" vertical="center"/>
    </xf>
    <xf numFmtId="0" fontId="69" fillId="8" borderId="9" xfId="65" applyFont="1" applyFill="1" applyBorder="1" applyAlignment="1">
      <alignment horizontal="center" vertical="center"/>
    </xf>
    <xf numFmtId="0" fontId="69" fillId="8" borderId="10" xfId="65" applyFont="1" applyFill="1" applyBorder="1" applyAlignment="1">
      <alignment horizontal="center" vertical="center"/>
    </xf>
    <xf numFmtId="0" fontId="50" fillId="8" borderId="2" xfId="66" applyFont="1" applyFill="1" applyBorder="1" applyAlignment="1">
      <alignment horizontal="center" vertical="center"/>
    </xf>
    <xf numFmtId="0" fontId="50" fillId="8" borderId="2" xfId="66" applyFont="1" applyFill="1" applyBorder="1" applyAlignment="1">
      <alignment horizontal="center" vertical="center" wrapText="1"/>
    </xf>
    <xf numFmtId="0" fontId="50" fillId="8" borderId="2" xfId="66" applyFont="1" applyFill="1" applyBorder="1" applyAlignment="1">
      <alignment horizontal="center"/>
    </xf>
    <xf numFmtId="0" fontId="64" fillId="8" borderId="2" xfId="61" applyFont="1" applyFill="1" applyBorder="1" applyAlignment="1">
      <alignment horizontal="center" vertical="center" wrapText="1"/>
    </xf>
    <xf numFmtId="0" fontId="50" fillId="8" borderId="4" xfId="66" applyFont="1" applyFill="1" applyBorder="1" applyAlignment="1">
      <alignment horizontal="center" vertical="center"/>
    </xf>
    <xf numFmtId="0" fontId="69" fillId="8" borderId="2" xfId="66" applyFont="1" applyFill="1" applyBorder="1" applyAlignment="1">
      <alignment horizontal="center" vertical="center"/>
    </xf>
    <xf numFmtId="0" fontId="69" fillId="8" borderId="2" xfId="66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3" fillId="2" borderId="0" xfId="0" applyFont="1" applyFill="1" applyAlignment="1">
      <alignment horizontal="center" vertical="center" wrapText="1"/>
    </xf>
    <xf numFmtId="0" fontId="24" fillId="2" borderId="1" xfId="0" applyFont="1" applyFill="1" applyBorder="1" applyAlignment="1">
      <alignment horizontal="center" vertical="center" wrapText="1"/>
    </xf>
  </cellXfs>
  <cellStyles count="75">
    <cellStyle name="Comma [0]" xfId="74" builtinId="6"/>
    <cellStyle name="Comma 2" xfId="6" xr:uid="{00000000-0005-0000-0000-000000000000}"/>
    <cellStyle name="Normal" xfId="0" builtinId="0"/>
    <cellStyle name="Normal 10" xfId="20" xr:uid="{00000000-0005-0000-0000-000002000000}"/>
    <cellStyle name="Normal 10 2" xfId="56" xr:uid="{00000000-0005-0000-0000-000003000000}"/>
    <cellStyle name="Normal 11" xfId="35" xr:uid="{00000000-0005-0000-0000-000004000000}"/>
    <cellStyle name="Normal 12" xfId="37" xr:uid="{00000000-0005-0000-0000-000005000000}"/>
    <cellStyle name="Normal 13" xfId="40" xr:uid="{00000000-0005-0000-0000-000006000000}"/>
    <cellStyle name="Normal 14" xfId="46" xr:uid="{00000000-0005-0000-0000-000007000000}"/>
    <cellStyle name="Normal 14 2 2 2 2 2" xfId="51" xr:uid="{00000000-0005-0000-0000-000008000000}"/>
    <cellStyle name="Normal 14 2 2 2 2 2 2" xfId="58" xr:uid="{00000000-0005-0000-0000-000009000000}"/>
    <cellStyle name="Normal 14 2 2 2 2 2 2 2" xfId="62" xr:uid="{00000000-0005-0000-0000-00000A000000}"/>
    <cellStyle name="Normal 14 2 2 2 2 2 2 2 2" xfId="66" xr:uid="{00000000-0005-0000-0000-00000B000000}"/>
    <cellStyle name="Normal 14 2 2 3 2" xfId="49" xr:uid="{00000000-0005-0000-0000-00000C000000}"/>
    <cellStyle name="Normal 14 2 2 3 2 2" xfId="57" xr:uid="{00000000-0005-0000-0000-00000D000000}"/>
    <cellStyle name="Normal 14 2 2 3 2 2 2" xfId="61" xr:uid="{00000000-0005-0000-0000-00000E000000}"/>
    <cellStyle name="Normal 14 2 2 3 2 2 2 2" xfId="65" xr:uid="{00000000-0005-0000-0000-00000F000000}"/>
    <cellStyle name="Normal 14 2 2 3 2 2 2 2 2" xfId="72" xr:uid="{00000000-0005-0000-0000-000010000000}"/>
    <cellStyle name="Normal 14 2 2 3 2 2 2 3" xfId="71" xr:uid="{00000000-0005-0000-0000-000011000000}"/>
    <cellStyle name="Normal 15" xfId="69" xr:uid="{00000000-0005-0000-0000-000012000000}"/>
    <cellStyle name="Normal 16" xfId="70" xr:uid="{00000000-0005-0000-0000-000013000000}"/>
    <cellStyle name="Normal 2" xfId="1" xr:uid="{00000000-0005-0000-0000-000014000000}"/>
    <cellStyle name="Normal 2 2" xfId="5" xr:uid="{00000000-0005-0000-0000-000015000000}"/>
    <cellStyle name="Normal 2 2 2" xfId="41" xr:uid="{00000000-0005-0000-0000-000016000000}"/>
    <cellStyle name="Normal 2 3" xfId="7" xr:uid="{00000000-0005-0000-0000-000017000000}"/>
    <cellStyle name="Normal 2 4" xfId="17" xr:uid="{00000000-0005-0000-0000-000018000000}"/>
    <cellStyle name="Normal 2 4 2" xfId="33" xr:uid="{00000000-0005-0000-0000-000019000000}"/>
    <cellStyle name="Normal 2 5" xfId="22" xr:uid="{00000000-0005-0000-0000-00001A000000}"/>
    <cellStyle name="Normal 2 5 2" xfId="23" xr:uid="{00000000-0005-0000-0000-00001B000000}"/>
    <cellStyle name="Normal 2 6" xfId="25" xr:uid="{00000000-0005-0000-0000-00001C000000}"/>
    <cellStyle name="Normal 2 7" xfId="38" xr:uid="{00000000-0005-0000-0000-00001D000000}"/>
    <cellStyle name="Normal 2 7 2" xfId="50" xr:uid="{00000000-0005-0000-0000-00001E000000}"/>
    <cellStyle name="Normal 3" xfId="2" xr:uid="{00000000-0005-0000-0000-00001F000000}"/>
    <cellStyle name="Normal 3 2" xfId="3" xr:uid="{00000000-0005-0000-0000-000020000000}"/>
    <cellStyle name="Normal 3 2 2" xfId="4" xr:uid="{00000000-0005-0000-0000-000021000000}"/>
    <cellStyle name="Normal 3 2 2 2" xfId="48" xr:uid="{00000000-0005-0000-0000-000022000000}"/>
    <cellStyle name="Normal 3 2 3" xfId="26" xr:uid="{00000000-0005-0000-0000-000023000000}"/>
    <cellStyle name="Normal 3 2 3 2" xfId="34" xr:uid="{00000000-0005-0000-0000-000024000000}"/>
    <cellStyle name="Normal 3 2 3 3" xfId="36" xr:uid="{00000000-0005-0000-0000-000025000000}"/>
    <cellStyle name="Normal 3 2 3 4" xfId="39" xr:uid="{00000000-0005-0000-0000-000026000000}"/>
    <cellStyle name="Normal 3 3" xfId="15" xr:uid="{00000000-0005-0000-0000-000027000000}"/>
    <cellStyle name="Normal 3 3 2" xfId="28" xr:uid="{00000000-0005-0000-0000-000028000000}"/>
    <cellStyle name="Normal 3 3 2 2" xfId="44" xr:uid="{00000000-0005-0000-0000-000029000000}"/>
    <cellStyle name="Normal 3 4" xfId="24" xr:uid="{00000000-0005-0000-0000-00002A000000}"/>
    <cellStyle name="Normal 3 4 2" xfId="55" xr:uid="{00000000-0005-0000-0000-00002B000000}"/>
    <cellStyle name="Normal 3 5" xfId="47" xr:uid="{00000000-0005-0000-0000-00002C000000}"/>
    <cellStyle name="Normal 4" xfId="8" xr:uid="{00000000-0005-0000-0000-00002D000000}"/>
    <cellStyle name="Normal 4 2" xfId="9" xr:uid="{00000000-0005-0000-0000-00002E000000}"/>
    <cellStyle name="Normal 4 2 2" xfId="45" xr:uid="{00000000-0005-0000-0000-00002F000000}"/>
    <cellStyle name="Normal 5" xfId="10" xr:uid="{00000000-0005-0000-0000-000030000000}"/>
    <cellStyle name="Normal 5 2" xfId="32" xr:uid="{00000000-0005-0000-0000-000031000000}"/>
    <cellStyle name="Normal 5 2 2 2 2 2" xfId="53" xr:uid="{00000000-0005-0000-0000-000032000000}"/>
    <cellStyle name="Normal 5 2 2 2 2 2 2" xfId="60" xr:uid="{00000000-0005-0000-0000-000033000000}"/>
    <cellStyle name="Normal 5 2 2 2 2 2 2 2" xfId="64" xr:uid="{00000000-0005-0000-0000-000034000000}"/>
    <cellStyle name="Normal 5 2 2 2 2 2 2 2 2" xfId="68" xr:uid="{00000000-0005-0000-0000-000035000000}"/>
    <cellStyle name="Normal 5 2 3 2 2" xfId="52" xr:uid="{00000000-0005-0000-0000-000036000000}"/>
    <cellStyle name="Normal 5 2 3 2 2 2" xfId="59" xr:uid="{00000000-0005-0000-0000-000037000000}"/>
    <cellStyle name="Normal 5 2 3 2 2 2 2" xfId="63" xr:uid="{00000000-0005-0000-0000-000038000000}"/>
    <cellStyle name="Normal 5 2 3 2 2 2 2 2" xfId="67" xr:uid="{00000000-0005-0000-0000-000039000000}"/>
    <cellStyle name="Normal 6" xfId="11" xr:uid="{00000000-0005-0000-0000-00003A000000}"/>
    <cellStyle name="Normal 7" xfId="12" xr:uid="{00000000-0005-0000-0000-00003B000000}"/>
    <cellStyle name="Normal 7 2" xfId="19" xr:uid="{00000000-0005-0000-0000-00003C000000}"/>
    <cellStyle name="Normal 7 2 2" xfId="43" xr:uid="{00000000-0005-0000-0000-00003D000000}"/>
    <cellStyle name="Normal 7 3" xfId="29" xr:uid="{00000000-0005-0000-0000-00003E000000}"/>
    <cellStyle name="Normal 7 3 2" xfId="54" xr:uid="{00000000-0005-0000-0000-00003F000000}"/>
    <cellStyle name="Normal 7 4" xfId="30" xr:uid="{00000000-0005-0000-0000-000040000000}"/>
    <cellStyle name="Normal 7 5" xfId="31" xr:uid="{00000000-0005-0000-0000-000041000000}"/>
    <cellStyle name="Normal 8" xfId="16" xr:uid="{00000000-0005-0000-0000-000042000000}"/>
    <cellStyle name="Normal 8 2" xfId="18" xr:uid="{00000000-0005-0000-0000-000043000000}"/>
    <cellStyle name="Normal 8 2 2" xfId="42" xr:uid="{00000000-0005-0000-0000-000044000000}"/>
    <cellStyle name="Normal 9" xfId="21" xr:uid="{00000000-0005-0000-0000-000045000000}"/>
    <cellStyle name="Percent" xfId="73" builtinId="5"/>
    <cellStyle name="Percent 2" xfId="13" xr:uid="{00000000-0005-0000-0000-000046000000}"/>
    <cellStyle name="Percent 3" xfId="14" xr:uid="{00000000-0005-0000-0000-000047000000}"/>
    <cellStyle name="Percent 4" xfId="27" xr:uid="{00000000-0005-0000-0000-000048000000}"/>
  </cellStyles>
  <dxfs count="2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71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externalLink" Target="externalLinks/externalLink1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 sz="800"/>
            </a:pPr>
            <a:r>
              <a:rPr lang="en-US" sz="800"/>
              <a:t>Figure 6: Student Enrolment by Levels</a:t>
            </a:r>
          </a:p>
        </c:rich>
      </c:tx>
      <c:layout>
        <c:manualLayout>
          <c:xMode val="edge"/>
          <c:yMode val="edge"/>
          <c:x val="0.31734033245844662"/>
          <c:y val="0.92129629629629661"/>
        </c:manualLayout>
      </c:layout>
      <c:overlay val="0"/>
    </c:title>
    <c:autoTitleDeleted val="0"/>
    <c:view3D>
      <c:rotX val="30"/>
      <c:rotY val="57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4.5833333333334114E-2"/>
          <c:y val="8.5882181393992424E-2"/>
          <c:w val="0.90694444444445144"/>
          <c:h val="0.62499125109362585"/>
        </c:manualLayout>
      </c:layout>
      <c:pie3DChart>
        <c:varyColors val="1"/>
        <c:ser>
          <c:idx val="0"/>
          <c:order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'6TotalEnr'!$B$46:$B$53</c:f>
              <c:strCache>
                <c:ptCount val="8"/>
                <c:pt idx="0">
                  <c:v>Ph.D.</c:v>
                </c:pt>
                <c:pt idx="1">
                  <c:v>M.Phil.</c:v>
                </c:pt>
                <c:pt idx="2">
                  <c:v>Post Graduate</c:v>
                </c:pt>
                <c:pt idx="3">
                  <c:v>Under Graduate</c:v>
                </c:pt>
                <c:pt idx="4">
                  <c:v>PG Diploma</c:v>
                </c:pt>
                <c:pt idx="5">
                  <c:v>Diploma</c:v>
                </c:pt>
                <c:pt idx="6">
                  <c:v>Certificate</c:v>
                </c:pt>
                <c:pt idx="7">
                  <c:v>Integrated</c:v>
                </c:pt>
              </c:strCache>
            </c:strRef>
          </c:cat>
          <c:val>
            <c:numRef>
              <c:f>'6TotalEnr'!$E$46:$E$53</c:f>
              <c:numCache>
                <c:formatCode>General</c:formatCode>
                <c:ptCount val="8"/>
                <c:pt idx="0">
                  <c:v>211852</c:v>
                </c:pt>
                <c:pt idx="1">
                  <c:v>16744</c:v>
                </c:pt>
                <c:pt idx="2">
                  <c:v>4716649</c:v>
                </c:pt>
                <c:pt idx="3">
                  <c:v>32657509</c:v>
                </c:pt>
                <c:pt idx="4">
                  <c:v>257187</c:v>
                </c:pt>
                <c:pt idx="5">
                  <c:v>2979320</c:v>
                </c:pt>
                <c:pt idx="6">
                  <c:v>155911</c:v>
                </c:pt>
                <c:pt idx="7">
                  <c:v>385541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4-4BD1-8988-4017383A7A8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b"/>
      <c:layout>
        <c:manualLayout>
          <c:xMode val="edge"/>
          <c:yMode val="edge"/>
          <c:x val="7.0335958005249374E-2"/>
          <c:y val="0.72839895013123368"/>
          <c:w val="0.8537725284339458"/>
          <c:h val="0.16048993875765541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0711" l="0.70000000000000062" r="0.70000000000000062" t="0.75000000000000711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200" b="1"/>
              <a:t>Figure 7: Gender-wise Distribution at Different Levels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'6TotalEnr'!$C$45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'6TotalEnr'!$B$46:$B$53</c:f>
              <c:strCache>
                <c:ptCount val="8"/>
                <c:pt idx="0">
                  <c:v>Ph.D.</c:v>
                </c:pt>
                <c:pt idx="1">
                  <c:v>M.Phil.</c:v>
                </c:pt>
                <c:pt idx="2">
                  <c:v>Post Graduate</c:v>
                </c:pt>
                <c:pt idx="3">
                  <c:v>Under Graduate</c:v>
                </c:pt>
                <c:pt idx="4">
                  <c:v>PG Diploma</c:v>
                </c:pt>
                <c:pt idx="5">
                  <c:v>Diploma</c:v>
                </c:pt>
                <c:pt idx="6">
                  <c:v>Certificate</c:v>
                </c:pt>
                <c:pt idx="7">
                  <c:v>Integrated</c:v>
                </c:pt>
              </c:strCache>
            </c:strRef>
          </c:cat>
          <c:val>
            <c:numRef>
              <c:f>'6TotalEnr'!$C$46:$C$53</c:f>
              <c:numCache>
                <c:formatCode>General</c:formatCode>
                <c:ptCount val="8"/>
                <c:pt idx="0">
                  <c:v>95088</c:v>
                </c:pt>
                <c:pt idx="1">
                  <c:v>10399</c:v>
                </c:pt>
                <c:pt idx="2">
                  <c:v>2662855</c:v>
                </c:pt>
                <c:pt idx="3">
                  <c:v>15909835</c:v>
                </c:pt>
                <c:pt idx="4">
                  <c:v>113464</c:v>
                </c:pt>
                <c:pt idx="5">
                  <c:v>1105752</c:v>
                </c:pt>
                <c:pt idx="6">
                  <c:v>72070</c:v>
                </c:pt>
                <c:pt idx="7">
                  <c:v>173340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D3-485F-8780-BA0B6E747581}"/>
            </c:ext>
          </c:extLst>
        </c:ser>
        <c:ser>
          <c:idx val="1"/>
          <c:order val="1"/>
          <c:tx>
            <c:strRef>
              <c:f>'6TotalEnr'!$D$45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'6TotalEnr'!$B$46:$B$53</c:f>
              <c:strCache>
                <c:ptCount val="8"/>
                <c:pt idx="0">
                  <c:v>Ph.D.</c:v>
                </c:pt>
                <c:pt idx="1">
                  <c:v>M.Phil.</c:v>
                </c:pt>
                <c:pt idx="2">
                  <c:v>Post Graduate</c:v>
                </c:pt>
                <c:pt idx="3">
                  <c:v>Under Graduate</c:v>
                </c:pt>
                <c:pt idx="4">
                  <c:v>PG Diploma</c:v>
                </c:pt>
                <c:pt idx="5">
                  <c:v>Diploma</c:v>
                </c:pt>
                <c:pt idx="6">
                  <c:v>Certificate</c:v>
                </c:pt>
                <c:pt idx="7">
                  <c:v>Integrated</c:v>
                </c:pt>
              </c:strCache>
            </c:strRef>
          </c:cat>
          <c:val>
            <c:numRef>
              <c:f>'6TotalEnr'!$D$46:$D$53</c:f>
              <c:numCache>
                <c:formatCode>General</c:formatCode>
                <c:ptCount val="8"/>
                <c:pt idx="0">
                  <c:v>116764</c:v>
                </c:pt>
                <c:pt idx="1">
                  <c:v>6345</c:v>
                </c:pt>
                <c:pt idx="2">
                  <c:v>2053794</c:v>
                </c:pt>
                <c:pt idx="3">
                  <c:v>16747674</c:v>
                </c:pt>
                <c:pt idx="4">
                  <c:v>143723</c:v>
                </c:pt>
                <c:pt idx="5">
                  <c:v>1873568</c:v>
                </c:pt>
                <c:pt idx="6">
                  <c:v>83841</c:v>
                </c:pt>
                <c:pt idx="7">
                  <c:v>212201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8D3-485F-8780-BA0B6E747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5"/>
        <c:overlap val="100"/>
        <c:axId val="371301352"/>
        <c:axId val="371299000"/>
      </c:barChart>
      <c:catAx>
        <c:axId val="371301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299000"/>
        <c:crosses val="autoZero"/>
        <c:auto val="1"/>
        <c:lblAlgn val="ctr"/>
        <c:lblOffset val="100"/>
        <c:noMultiLvlLbl val="0"/>
      </c:catAx>
      <c:valAx>
        <c:axId val="371299000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1301352"/>
        <c:crosses val="autoZero"/>
        <c:crossBetween val="between"/>
        <c:majorUnit val="0.2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900" b="1" i="0" baseline="0"/>
              <a:t>Figure 17: Female Participation in Different Type of Stand-Alone Institutions</a:t>
            </a:r>
          </a:p>
        </c:rich>
      </c:tx>
      <c:layout>
        <c:manualLayout>
          <c:xMode val="edge"/>
          <c:yMode val="edge"/>
          <c:x val="8.1574156413200025E-2"/>
          <c:y val="0.91203703703703709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5779829369378334"/>
          <c:y val="5.5960921551472934E-2"/>
          <c:w val="0.73377052714406665"/>
          <c:h val="0.70570173519976664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'9AllSAAct'!$C$45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</c:spPr>
          <c:invertIfNegative val="0"/>
          <c:cat>
            <c:strRef>
              <c:f>'9AllSAAct'!$B$46:$B$48</c:f>
              <c:strCache>
                <c:ptCount val="3"/>
                <c:pt idx="0">
                  <c:v>Polytechnics</c:v>
                </c:pt>
                <c:pt idx="1">
                  <c:v>Nursing</c:v>
                </c:pt>
                <c:pt idx="2">
                  <c:v>Teacher Training</c:v>
                </c:pt>
              </c:strCache>
            </c:strRef>
          </c:cat>
          <c:val>
            <c:numRef>
              <c:f>'9AllSAAct'!$C$46:$C$48</c:f>
              <c:numCache>
                <c:formatCode>General</c:formatCode>
                <c:ptCount val="3"/>
                <c:pt idx="0">
                  <c:v>981968</c:v>
                </c:pt>
                <c:pt idx="1">
                  <c:v>16051</c:v>
                </c:pt>
                <c:pt idx="2">
                  <c:v>123103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45-4494-86E4-F2F3CD45E149}"/>
            </c:ext>
          </c:extLst>
        </c:ser>
        <c:ser>
          <c:idx val="1"/>
          <c:order val="1"/>
          <c:tx>
            <c:strRef>
              <c:f>'9AllSAAct'!$D$45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3">
                <a:lumMod val="40000"/>
                <a:lumOff val="60000"/>
              </a:schemeClr>
            </a:solidFill>
          </c:spPr>
          <c:invertIfNegative val="0"/>
          <c:cat>
            <c:strRef>
              <c:f>'9AllSAAct'!$B$46:$B$48</c:f>
              <c:strCache>
                <c:ptCount val="3"/>
                <c:pt idx="0">
                  <c:v>Polytechnics</c:v>
                </c:pt>
                <c:pt idx="1">
                  <c:v>Nursing</c:v>
                </c:pt>
                <c:pt idx="2">
                  <c:v>Teacher Training</c:v>
                </c:pt>
              </c:strCache>
            </c:strRef>
          </c:cat>
          <c:val>
            <c:numRef>
              <c:f>'9AllSAAct'!$D$46:$D$48</c:f>
              <c:numCache>
                <c:formatCode>General</c:formatCode>
                <c:ptCount val="3"/>
                <c:pt idx="0">
                  <c:v>210499</c:v>
                </c:pt>
                <c:pt idx="1">
                  <c:v>88510</c:v>
                </c:pt>
                <c:pt idx="2">
                  <c:v>199560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45-4494-86E4-F2F3CD45E1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305272"/>
        <c:axId val="371305664"/>
        <c:axId val="0"/>
      </c:bar3DChart>
      <c:catAx>
        <c:axId val="37130527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305664"/>
        <c:crosses val="autoZero"/>
        <c:auto val="1"/>
        <c:lblAlgn val="ctr"/>
        <c:lblOffset val="100"/>
        <c:noMultiLvlLbl val="0"/>
      </c:catAx>
      <c:valAx>
        <c:axId val="371305664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305272"/>
        <c:crosses val="autoZero"/>
        <c:crossBetween val="between"/>
      </c:valAx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99" l="0.70000000000000062" r="0.70000000000000062" t="0.75000000000001199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anchor="b" anchorCtr="0"/>
          <a:lstStyle/>
          <a:p>
            <a:pPr>
              <a:defRPr lang="en-US" sz="900"/>
            </a:pPr>
            <a:r>
              <a:rPr lang="en-US" sz="900" b="1" i="0" baseline="0"/>
              <a:t>Figure 10: Social Categories and Gender Distribution in Student Enrolment</a:t>
            </a:r>
            <a:endParaRPr lang="en-US" sz="900"/>
          </a:p>
        </c:rich>
      </c:tx>
      <c:layout>
        <c:manualLayout>
          <c:xMode val="edge"/>
          <c:yMode val="edge"/>
          <c:x val="0.11311811023622052"/>
          <c:y val="0.9166666666666665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843285214348206"/>
          <c:y val="5.1400554097404488E-2"/>
          <c:w val="0.81877690288713911"/>
          <c:h val="0.68521580635753865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'14-15TotalEnrCategory'!$D$45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'14-15TotalEnrCategory'!$C$46:$C$49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'14-15TotalEnrCategory'!$D$46:$D$49</c:f>
              <c:numCache>
                <c:formatCode>General</c:formatCode>
                <c:ptCount val="4"/>
                <c:pt idx="0">
                  <c:v>21119079</c:v>
                </c:pt>
                <c:pt idx="1">
                  <c:v>2889125</c:v>
                </c:pt>
                <c:pt idx="2">
                  <c:v>1154106</c:v>
                </c:pt>
                <c:pt idx="3">
                  <c:v>7253014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DF-487A-91B2-193F9B94FC07}"/>
            </c:ext>
          </c:extLst>
        </c:ser>
        <c:ser>
          <c:idx val="1"/>
          <c:order val="1"/>
          <c:tx>
            <c:strRef>
              <c:f>'14-15TotalEnrCategory'!$E$45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'14-15TotalEnrCategory'!$C$46:$C$49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'14-15TotalEnrCategory'!$E$46:$E$49</c:f>
              <c:numCache>
                <c:formatCode>General</c:formatCode>
                <c:ptCount val="4"/>
                <c:pt idx="0">
                  <c:v>19905778</c:v>
                </c:pt>
                <c:pt idx="1">
                  <c:v>2752960</c:v>
                </c:pt>
                <c:pt idx="2">
                  <c:v>1157542</c:v>
                </c:pt>
                <c:pt idx="3">
                  <c:v>6892236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DF-487A-91B2-193F9B94FC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71309584"/>
        <c:axId val="371306056"/>
        <c:axId val="0"/>
      </c:bar3DChart>
      <c:catAx>
        <c:axId val="3713095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6056"/>
        <c:crosses val="autoZero"/>
        <c:auto val="1"/>
        <c:lblAlgn val="ctr"/>
        <c:lblOffset val="100"/>
        <c:noMultiLvlLbl val="0"/>
      </c:catAx>
      <c:valAx>
        <c:axId val="37130605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95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99875328084077"/>
          <c:y val="7.8319845435987162E-2"/>
          <c:w val="0.1294569116360455"/>
          <c:h val="0.16743438320210283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5194591773951103E-2"/>
          <c:y val="5.1784412365121033E-2"/>
          <c:w val="0.9030447751894517"/>
          <c:h val="0.7978412073491079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'ManagementCollegeNo (2)'!$A$41</c:f>
              <c:strCache>
                <c:ptCount val="1"/>
                <c:pt idx="0">
                  <c:v>% Number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0"/>
                  <c:y val="-3.703703703703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BA9-41FF-A973-E7EDBAA4A5B9}"/>
                </c:ext>
              </c:extLst>
            </c:dLbl>
            <c:dLbl>
              <c:idx val="1"/>
              <c:layout>
                <c:manualLayout>
                  <c:x val="1.9782393669634532E-3"/>
                  <c:y val="-5.09259259259259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9BA9-41FF-A973-E7EDBAA4A5B9}"/>
                </c:ext>
              </c:extLst>
            </c:dLbl>
            <c:dLbl>
              <c:idx val="2"/>
              <c:layout>
                <c:manualLayout>
                  <c:x val="0"/>
                  <c:y val="-5.55555555555554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9BA9-41FF-A973-E7EDBAA4A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BA9-41FF-A973-E7EDBAA4A5B9}"/>
            </c:ext>
          </c:extLst>
        </c:ser>
        <c:ser>
          <c:idx val="1"/>
          <c:order val="1"/>
          <c:tx>
            <c:strRef>
              <c:f>'ManagementCollegeNo (2)'!$A$42</c:f>
              <c:strCache>
                <c:ptCount val="1"/>
                <c:pt idx="0">
                  <c:v>% Enrolment</c:v>
                </c:pt>
              </c:strCache>
            </c:strRef>
          </c:tx>
          <c:invertIfNegative val="0"/>
          <c:dLbls>
            <c:dLbl>
              <c:idx val="0"/>
              <c:layout>
                <c:manualLayout>
                  <c:x val="1.1869436201780601E-2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9BA9-41FF-A973-E7EDBAA4A5B9}"/>
                </c:ext>
              </c:extLst>
            </c:dLbl>
            <c:dLbl>
              <c:idx val="1"/>
              <c:layout>
                <c:manualLayout>
                  <c:x val="9.8911968348173313E-3"/>
                  <c:y val="-4.6296296296296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BA9-41FF-A973-E7EDBAA4A5B9}"/>
                </c:ext>
              </c:extLst>
            </c:dLbl>
            <c:dLbl>
              <c:idx val="2"/>
              <c:layout>
                <c:manualLayout>
                  <c:x val="9.891196834817392E-3"/>
                  <c:y val="-4.1666666666666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9BA9-41FF-A973-E7EDBAA4A5B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(2)'!$B$42:$D$42</c:f>
              <c:numCache>
                <c:formatCode>0.0</c:formatCode>
                <c:ptCount val="3"/>
                <c:pt idx="0">
                  <c:v>37.020716588195</c:v>
                </c:pt>
                <c:pt idx="1">
                  <c:v>23.781242219635931</c:v>
                </c:pt>
                <c:pt idx="2">
                  <c:v>39.198041192169065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BA9-41FF-A973-E7EDBAA4A5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71306840"/>
        <c:axId val="371307232"/>
        <c:axId val="0"/>
      </c:bar3DChart>
      <c:catAx>
        <c:axId val="3713068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7232"/>
        <c:crosses val="autoZero"/>
        <c:auto val="1"/>
        <c:lblAlgn val="ctr"/>
        <c:lblOffset val="100"/>
        <c:noMultiLvlLbl val="0"/>
      </c:catAx>
      <c:valAx>
        <c:axId val="371307232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06840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0.47194576197264376"/>
          <c:y val="5.6946847161346202E-2"/>
          <c:w val="0.30882911913239447"/>
          <c:h val="0.18880726116132696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266" l="0.70000000000000062" r="0.70000000000000062" t="0.75000000000001266" header="0.30000000000000032" footer="0.30000000000000032"/>
    <c:pageSetup orientation="landscape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doughnutChart>
        <c:varyColors val="1"/>
        <c:ser>
          <c:idx val="0"/>
          <c:order val="0"/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'ManagementCollegeNo (2)'!$B$40:$D$40</c:f>
              <c:strCache>
                <c:ptCount val="3"/>
                <c:pt idx="0">
                  <c:v>Private Un-Aided</c:v>
                </c:pt>
                <c:pt idx="1">
                  <c:v>Private Aided</c:v>
                </c:pt>
                <c:pt idx="2">
                  <c:v>Government</c:v>
                </c:pt>
              </c:strCache>
            </c:strRef>
          </c:cat>
          <c:val>
            <c:numRef>
              <c:f>'ManagementCollegeNo (2)'!$B$41:$D$41</c:f>
              <c:numCache>
                <c:formatCode>0.0</c:formatCode>
                <c:ptCount val="3"/>
                <c:pt idx="0">
                  <c:v>59.003575974301469</c:v>
                </c:pt>
                <c:pt idx="1">
                  <c:v>14.206921631614037</c:v>
                </c:pt>
                <c:pt idx="2">
                  <c:v>26.78950239408449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F7-4DA4-BBCF-8BE78D35C5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</c:plotArea>
    <c:legend>
      <c:legendPos val="r"/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177" l="0.70000000000000062" r="0.70000000000000062" t="0.75000000000001177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algn="l">
              <a:defRPr lang="en-US" sz="900"/>
            </a:pPr>
            <a:r>
              <a:rPr lang="en-US" sz="900" b="1" i="0" baseline="0"/>
              <a:t>Figure 16 GER: Distributed according to Social Category and Gender</a:t>
            </a:r>
            <a:endParaRPr lang="en-US" sz="900"/>
          </a:p>
        </c:rich>
      </c:tx>
      <c:layout>
        <c:manualLayout>
          <c:xMode val="edge"/>
          <c:yMode val="edge"/>
          <c:x val="0.15154155730533694"/>
          <c:y val="0.87037037037038256"/>
        </c:manualLayout>
      </c:layout>
      <c:overlay val="1"/>
    </c:title>
    <c:autoTitleDeleted val="0"/>
    <c:view3D>
      <c:rotX val="10"/>
      <c:rotY val="20"/>
      <c:depthPercent val="11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200918635170603"/>
          <c:y val="5.7205720572057209E-2"/>
          <c:w val="0.73187423447070443"/>
          <c:h val="0.82264736709891462"/>
        </c:manualLayout>
      </c:layout>
      <c:area3DChart>
        <c:grouping val="stacked"/>
        <c:varyColors val="0"/>
        <c:ser>
          <c:idx val="0"/>
          <c:order val="0"/>
          <c:tx>
            <c:strRef>
              <c:f>'19GER(2011)'!$D$46</c:f>
              <c:strCache>
                <c:ptCount val="1"/>
                <c:pt idx="0">
                  <c:v>Total</c:v>
                </c:pt>
              </c:strCache>
            </c:strRef>
          </c:tx>
          <c:dLbls>
            <c:dLbl>
              <c:idx val="0"/>
              <c:layout>
                <c:manualLayout>
                  <c:x val="1.6666666666666701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4FC-4FF7-89E1-5B3BDF5A3480}"/>
                </c:ext>
              </c:extLst>
            </c:dLbl>
            <c:dLbl>
              <c:idx val="2"/>
              <c:layout>
                <c:manualLayout>
                  <c:x val="-5.8333333333334715E-2"/>
                  <c:y val="-4.629629629629550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4FC-4FF7-89E1-5B3BDF5A3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'19GER(2011)'!$E$45:$G$45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'19GER(2011)'!$E$46:$G$46</c:f>
              <c:numCache>
                <c:formatCode>0.0</c:formatCode>
                <c:ptCount val="3"/>
                <c:pt idx="0">
                  <c:v>26.711725716227374</c:v>
                </c:pt>
                <c:pt idx="1">
                  <c:v>28.609969160506651</c:v>
                </c:pt>
                <c:pt idx="2">
                  <c:v>27.291517192729735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4FC-4FF7-89E1-5B3BDF5A3480}"/>
            </c:ext>
          </c:extLst>
        </c:ser>
        <c:ser>
          <c:idx val="1"/>
          <c:order val="1"/>
          <c:tx>
            <c:strRef>
              <c:f>'19GER(2011)'!$D$47</c:f>
              <c:strCache>
                <c:ptCount val="1"/>
                <c:pt idx="0">
                  <c:v>SC</c:v>
                </c:pt>
              </c:strCache>
            </c:strRef>
          </c:tx>
          <c:dLbls>
            <c:dLbl>
              <c:idx val="0"/>
              <c:layout>
                <c:manualLayout>
                  <c:x val="1.3888888888889237E-2"/>
                  <c:y val="4.2437781360070697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FC-4FF7-89E1-5B3BDF5A3480}"/>
                </c:ext>
              </c:extLst>
            </c:dLbl>
            <c:dLbl>
              <c:idx val="2"/>
              <c:layout>
                <c:manualLayout>
                  <c:x val="-5.8333333333334715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FC-4FF7-89E1-5B3BDF5A348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'19GER(2011)'!$E$45:$G$45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'19GER(2011)'!$E$47:$G$47</c:f>
              <c:numCache>
                <c:formatCode>0.0</c:formatCode>
                <c:ptCount val="3"/>
                <c:pt idx="0">
                  <c:v>22.420931288622658</c:v>
                </c:pt>
                <c:pt idx="1">
                  <c:v>23.931475240287789</c:v>
                </c:pt>
                <c:pt idx="2">
                  <c:v>23.139777334943947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4FC-4FF7-89E1-5B3BDF5A3480}"/>
            </c:ext>
          </c:extLst>
        </c:ser>
        <c:ser>
          <c:idx val="2"/>
          <c:order val="2"/>
          <c:tx>
            <c:strRef>
              <c:f>'19GER(2011)'!$D$48</c:f>
              <c:strCache>
                <c:ptCount val="1"/>
                <c:pt idx="0">
                  <c:v>ST</c:v>
                </c:pt>
              </c:strCache>
            </c:strRef>
          </c:tx>
          <c:dLbls>
            <c:dLbl>
              <c:idx val="0"/>
              <c:layout>
                <c:manualLayout>
                  <c:x val="1.3888888888889237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4FC-4FF7-89E1-5B3BDF5A3480}"/>
                </c:ext>
              </c:extLst>
            </c:dLbl>
            <c:dLbl>
              <c:idx val="2"/>
              <c:layout>
                <c:manualLayout>
                  <c:x val="-5.2777777777777792E-2"/>
                  <c:y val="4.62962962962970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4FC-4FF7-89E1-5B3BDF5A3480}"/>
                </c:ext>
              </c:extLst>
            </c:dLbl>
            <c:spPr>
              <a:noFill/>
            </c:spPr>
            <c:txPr>
              <a:bodyPr/>
              <a:lstStyle/>
              <a:p>
                <a:pPr>
                  <a:defRPr lang="en-US" b="1">
                    <a:solidFill>
                      <a:schemeClr val="bg1"/>
                    </a:solidFill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'19GER(2011)'!$E$45:$G$45</c:f>
              <c:strCache>
                <c:ptCount val="3"/>
                <c:pt idx="0">
                  <c:v>Male</c:v>
                </c:pt>
                <c:pt idx="1">
                  <c:v>Female</c:v>
                </c:pt>
                <c:pt idx="2">
                  <c:v>Total</c:v>
                </c:pt>
              </c:strCache>
            </c:strRef>
          </c:cat>
          <c:val>
            <c:numRef>
              <c:f>'19GER(2011)'!$E$48:$G$48</c:f>
              <c:numCache>
                <c:formatCode>0.0</c:formatCode>
                <c:ptCount val="3"/>
                <c:pt idx="0">
                  <c:v>18.760653940481273</c:v>
                </c:pt>
                <c:pt idx="1">
                  <c:v>19.081669122527202</c:v>
                </c:pt>
                <c:pt idx="2">
                  <c:v>18.921795991063082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4FC-4FF7-89E1-5B3BDF5A34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Depth val="149"/>
        <c:axId val="371311152"/>
        <c:axId val="371317424"/>
        <c:axId val="0"/>
      </c:area3DChart>
      <c:catAx>
        <c:axId val="3713111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7424"/>
        <c:crosses val="autoZero"/>
        <c:auto val="1"/>
        <c:lblAlgn val="ctr"/>
        <c:lblOffset val="100"/>
        <c:noMultiLvlLbl val="0"/>
      </c:catAx>
      <c:valAx>
        <c:axId val="371317424"/>
        <c:scaling>
          <c:orientation val="minMax"/>
        </c:scaling>
        <c:delete val="0"/>
        <c:axPos val="l"/>
        <c:numFmt formatCode="0.0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1152"/>
        <c:crosses val="autoZero"/>
        <c:crossBetween val="midCat"/>
      </c:valAx>
    </c:plotArea>
    <c:legend>
      <c:legendPos val="r"/>
      <c:layout>
        <c:manualLayout>
          <c:xMode val="edge"/>
          <c:yMode val="edge"/>
          <c:x val="0.38452909011373582"/>
          <c:y val="0.16061883353689943"/>
          <c:w val="0.38491535433071217"/>
          <c:h val="9.7904247117625146E-2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zero"/>
    <c:showDLblsOverMax val="0"/>
  </c:chart>
  <c:printSettings>
    <c:headerFooter/>
    <c:pageMargins b="0.7500000000000111" l="0.70000000000000062" r="0.70000000000000062" t="0.7500000000000111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900" b="1" i="0" baseline="0"/>
              <a:t>Figure 35: Level-wise Enrolment in Different Type of University</a:t>
            </a:r>
          </a:p>
        </c:rich>
      </c:tx>
      <c:layout>
        <c:manualLayout>
          <c:xMode val="edge"/>
          <c:yMode val="edge"/>
          <c:x val="0.20462998338225491"/>
          <c:y val="0.9338768824109801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0263342082239718"/>
          <c:y val="6.3586885368545079E-2"/>
          <c:w val="0.87087574837459847"/>
          <c:h val="0.3947957037285233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'26UnivEnrolinclConstituentU'!$B$25</c:f>
              <c:strCache>
                <c:ptCount val="1"/>
                <c:pt idx="0">
                  <c:v>Ph.D.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'26UnivEnrolinclConstituentU'!$B$26:$B$37</c:f>
              <c:numCache>
                <c:formatCode>General</c:formatCode>
                <c:ptCount val="12"/>
                <c:pt idx="0">
                  <c:v>1263</c:v>
                </c:pt>
                <c:pt idx="1">
                  <c:v>165</c:v>
                </c:pt>
                <c:pt idx="2">
                  <c:v>42341</c:v>
                </c:pt>
                <c:pt idx="3">
                  <c:v>47604</c:v>
                </c:pt>
                <c:pt idx="4">
                  <c:v>280</c:v>
                </c:pt>
                <c:pt idx="5">
                  <c:v>28555</c:v>
                </c:pt>
                <c:pt idx="6">
                  <c:v>48</c:v>
                </c:pt>
                <c:pt idx="7">
                  <c:v>183</c:v>
                </c:pt>
                <c:pt idx="8">
                  <c:v>5650</c:v>
                </c:pt>
                <c:pt idx="9">
                  <c:v>2819</c:v>
                </c:pt>
                <c:pt idx="10">
                  <c:v>29751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E5-4BCE-9718-CCD0B502D01C}"/>
            </c:ext>
          </c:extLst>
        </c:ser>
        <c:ser>
          <c:idx val="1"/>
          <c:order val="1"/>
          <c:tx>
            <c:strRef>
              <c:f>'26UnivEnrolinclConstituentU'!$C$25</c:f>
              <c:strCache>
                <c:ptCount val="1"/>
                <c:pt idx="0">
                  <c:v>M.Phil.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'26UnivEnrolinclConstituentU'!$C$26:$C$37</c:f>
              <c:numCache>
                <c:formatCode>General</c:formatCode>
                <c:ptCount val="12"/>
                <c:pt idx="0">
                  <c:v>68508</c:v>
                </c:pt>
                <c:pt idx="1">
                  <c:v>0</c:v>
                </c:pt>
                <c:pt idx="2">
                  <c:v>245</c:v>
                </c:pt>
                <c:pt idx="3">
                  <c:v>9021</c:v>
                </c:pt>
                <c:pt idx="4">
                  <c:v>22</c:v>
                </c:pt>
                <c:pt idx="5">
                  <c:v>390</c:v>
                </c:pt>
                <c:pt idx="6">
                  <c:v>0</c:v>
                </c:pt>
                <c:pt idx="7">
                  <c:v>0</c:v>
                </c:pt>
                <c:pt idx="8">
                  <c:v>111</c:v>
                </c:pt>
                <c:pt idx="9">
                  <c:v>186</c:v>
                </c:pt>
                <c:pt idx="10">
                  <c:v>576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E5-4BCE-9718-CCD0B502D01C}"/>
            </c:ext>
          </c:extLst>
        </c:ser>
        <c:ser>
          <c:idx val="2"/>
          <c:order val="2"/>
          <c:tx>
            <c:strRef>
              <c:f>'26UnivEnrolinclConstituentU'!$D$25</c:f>
              <c:strCache>
                <c:ptCount val="1"/>
                <c:pt idx="0">
                  <c:v>Post Graduate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'26UnivEnrolinclConstituentU'!$D$26:$D$37</c:f>
              <c:numCache>
                <c:formatCode>General</c:formatCode>
                <c:ptCount val="12"/>
                <c:pt idx="0">
                  <c:v>295444</c:v>
                </c:pt>
                <c:pt idx="1">
                  <c:v>409182</c:v>
                </c:pt>
                <c:pt idx="2">
                  <c:v>69500</c:v>
                </c:pt>
                <c:pt idx="3">
                  <c:v>995146</c:v>
                </c:pt>
                <c:pt idx="4">
                  <c:v>412978</c:v>
                </c:pt>
                <c:pt idx="5">
                  <c:v>246537</c:v>
                </c:pt>
                <c:pt idx="6">
                  <c:v>1974</c:v>
                </c:pt>
                <c:pt idx="7">
                  <c:v>1363</c:v>
                </c:pt>
                <c:pt idx="8">
                  <c:v>12630</c:v>
                </c:pt>
                <c:pt idx="9">
                  <c:v>13878</c:v>
                </c:pt>
                <c:pt idx="10">
                  <c:v>134884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E5-4BCE-9718-CCD0B502D01C}"/>
            </c:ext>
          </c:extLst>
        </c:ser>
        <c:ser>
          <c:idx val="3"/>
          <c:order val="3"/>
          <c:tx>
            <c:strRef>
              <c:f>'26UnivEnrolinclConstituentU'!$E$25</c:f>
              <c:strCache>
                <c:ptCount val="1"/>
                <c:pt idx="0">
                  <c:v>Under Graduate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'26UnivEnrolinclConstituentU'!$E$26:$E$37</c:f>
              <c:numCache>
                <c:formatCode>General</c:formatCode>
                <c:ptCount val="12"/>
                <c:pt idx="0">
                  <c:v>2488</c:v>
                </c:pt>
                <c:pt idx="1">
                  <c:v>740810</c:v>
                </c:pt>
                <c:pt idx="2">
                  <c:v>170070</c:v>
                </c:pt>
                <c:pt idx="3">
                  <c:v>1537214</c:v>
                </c:pt>
                <c:pt idx="4">
                  <c:v>1235132</c:v>
                </c:pt>
                <c:pt idx="5">
                  <c:v>1001204</c:v>
                </c:pt>
                <c:pt idx="6">
                  <c:v>2774</c:v>
                </c:pt>
                <c:pt idx="7">
                  <c:v>5318</c:v>
                </c:pt>
                <c:pt idx="8">
                  <c:v>15315</c:v>
                </c:pt>
                <c:pt idx="9">
                  <c:v>32755</c:v>
                </c:pt>
                <c:pt idx="10">
                  <c:v>678804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8E5-4BCE-9718-CCD0B502D01C}"/>
            </c:ext>
          </c:extLst>
        </c:ser>
        <c:ser>
          <c:idx val="4"/>
          <c:order val="4"/>
          <c:tx>
            <c:strRef>
              <c:f>'26UnivEnrolinclConstituentU'!$F$25</c:f>
              <c:strCache>
                <c:ptCount val="1"/>
                <c:pt idx="0">
                  <c:v>PG Diploma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'26UnivEnrolinclConstituentU'!$F$26:$F$37</c:f>
              <c:numCache>
                <c:formatCode>General</c:formatCode>
                <c:ptCount val="12"/>
                <c:pt idx="0">
                  <c:v>5887</c:v>
                </c:pt>
                <c:pt idx="1">
                  <c:v>40342</c:v>
                </c:pt>
                <c:pt idx="2">
                  <c:v>1740</c:v>
                </c:pt>
                <c:pt idx="3">
                  <c:v>49651</c:v>
                </c:pt>
                <c:pt idx="4">
                  <c:v>42125</c:v>
                </c:pt>
                <c:pt idx="5">
                  <c:v>23260</c:v>
                </c:pt>
                <c:pt idx="6">
                  <c:v>0</c:v>
                </c:pt>
                <c:pt idx="7">
                  <c:v>59</c:v>
                </c:pt>
                <c:pt idx="8">
                  <c:v>815</c:v>
                </c:pt>
                <c:pt idx="9">
                  <c:v>804</c:v>
                </c:pt>
                <c:pt idx="10">
                  <c:v>8448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E5-4BCE-9718-CCD0B502D01C}"/>
            </c:ext>
          </c:extLst>
        </c:ser>
        <c:ser>
          <c:idx val="5"/>
          <c:order val="5"/>
          <c:tx>
            <c:strRef>
              <c:f>'26UnivEnrolinclConstituentU'!$G$25</c:f>
              <c:strCache>
                <c:ptCount val="1"/>
                <c:pt idx="0">
                  <c:v>Diploma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'26UnivEnrolinclConstituentU'!$G$26:$G$37</c:f>
              <c:numCache>
                <c:formatCode>General</c:formatCode>
                <c:ptCount val="12"/>
                <c:pt idx="0">
                  <c:v>2404</c:v>
                </c:pt>
                <c:pt idx="1">
                  <c:v>61787</c:v>
                </c:pt>
                <c:pt idx="2">
                  <c:v>508</c:v>
                </c:pt>
                <c:pt idx="3">
                  <c:v>62828</c:v>
                </c:pt>
                <c:pt idx="4">
                  <c:v>65104</c:v>
                </c:pt>
                <c:pt idx="5">
                  <c:v>114046</c:v>
                </c:pt>
                <c:pt idx="6">
                  <c:v>0</c:v>
                </c:pt>
                <c:pt idx="7">
                  <c:v>298</c:v>
                </c:pt>
                <c:pt idx="8">
                  <c:v>2036</c:v>
                </c:pt>
                <c:pt idx="9">
                  <c:v>3124</c:v>
                </c:pt>
                <c:pt idx="10">
                  <c:v>4573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8E5-4BCE-9718-CCD0B502D01C}"/>
            </c:ext>
          </c:extLst>
        </c:ser>
        <c:ser>
          <c:idx val="6"/>
          <c:order val="6"/>
          <c:tx>
            <c:strRef>
              <c:f>'26UnivEnrolinclConstituentU'!$H$25</c:f>
              <c:strCache>
                <c:ptCount val="1"/>
                <c:pt idx="0">
                  <c:v>Certificate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'26UnivEnrolinclConstituentU'!$H$26:$H$37</c:f>
              <c:numCache>
                <c:formatCode>General</c:formatCode>
                <c:ptCount val="12"/>
                <c:pt idx="0">
                  <c:v>6769</c:v>
                </c:pt>
                <c:pt idx="1">
                  <c:v>0</c:v>
                </c:pt>
                <c:pt idx="2">
                  <c:v>2662</c:v>
                </c:pt>
                <c:pt idx="3">
                  <c:v>23531</c:v>
                </c:pt>
                <c:pt idx="4">
                  <c:v>44900</c:v>
                </c:pt>
                <c:pt idx="5">
                  <c:v>11675</c:v>
                </c:pt>
                <c:pt idx="6">
                  <c:v>0</c:v>
                </c:pt>
                <c:pt idx="7">
                  <c:v>86</c:v>
                </c:pt>
                <c:pt idx="8">
                  <c:v>745</c:v>
                </c:pt>
                <c:pt idx="9">
                  <c:v>334</c:v>
                </c:pt>
                <c:pt idx="10">
                  <c:v>1414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8E5-4BCE-9718-CCD0B502D01C}"/>
            </c:ext>
          </c:extLst>
        </c:ser>
        <c:ser>
          <c:idx val="7"/>
          <c:order val="7"/>
          <c:tx>
            <c:strRef>
              <c:f>'26UnivEnrolinclConstituentU'!$I$25</c:f>
              <c:strCache>
                <c:ptCount val="1"/>
                <c:pt idx="0">
                  <c:v>Integrated</c:v>
                </c:pt>
              </c:strCache>
            </c:strRef>
          </c:tx>
          <c:invertIfNegative val="0"/>
          <c:cat>
            <c:strRef>
              <c:f>'26UnivEnrolinclConstituentU'!$A$26:$A$37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'26UnivEnrolinclConstituentU'!$I$26:$I$37</c:f>
              <c:numCache>
                <c:formatCode>General</c:formatCode>
                <c:ptCount val="12"/>
                <c:pt idx="0">
                  <c:v>11941</c:v>
                </c:pt>
                <c:pt idx="1">
                  <c:v>0</c:v>
                </c:pt>
                <c:pt idx="2">
                  <c:v>22930</c:v>
                </c:pt>
                <c:pt idx="3">
                  <c:v>49673</c:v>
                </c:pt>
                <c:pt idx="4">
                  <c:v>0</c:v>
                </c:pt>
                <c:pt idx="5">
                  <c:v>60304</c:v>
                </c:pt>
                <c:pt idx="6">
                  <c:v>0</c:v>
                </c:pt>
                <c:pt idx="7">
                  <c:v>0</c:v>
                </c:pt>
                <c:pt idx="8">
                  <c:v>1197</c:v>
                </c:pt>
                <c:pt idx="9">
                  <c:v>1432</c:v>
                </c:pt>
                <c:pt idx="10">
                  <c:v>31344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8E5-4BCE-9718-CCD0B502D0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311544"/>
        <c:axId val="371311936"/>
        <c:axId val="0"/>
      </c:bar3DChart>
      <c:catAx>
        <c:axId val="37131154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1936"/>
        <c:crosses val="autoZero"/>
        <c:auto val="1"/>
        <c:lblAlgn val="ctr"/>
        <c:lblOffset val="100"/>
        <c:noMultiLvlLbl val="0"/>
      </c:catAx>
      <c:valAx>
        <c:axId val="371311936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1544"/>
        <c:crosses val="autoZero"/>
        <c:crossBetween val="between"/>
      </c:valAx>
    </c:plotArea>
    <c:legend>
      <c:legendPos val="t"/>
      <c:layout>
        <c:manualLayout>
          <c:xMode val="edge"/>
          <c:yMode val="edge"/>
          <c:x val="8.7108229118419266E-3"/>
          <c:y val="0.8622190116143803"/>
          <c:w val="0.89678246101590064"/>
          <c:h val="6.3883069662163783E-2"/>
        </c:manualLayout>
      </c:layout>
      <c:overlay val="0"/>
      <c:txPr>
        <a:bodyPr/>
        <a:lstStyle/>
        <a:p>
          <a:pPr>
            <a:defRPr lang="en-US" sz="80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lang="en-US"/>
            </a:pPr>
            <a:r>
              <a:rPr lang="en-US" sz="900" b="1" i="0" baseline="0"/>
              <a:t>Figure 36: Gender Distribution in Enrolment in Different Type of University</a:t>
            </a:r>
          </a:p>
        </c:rich>
      </c:tx>
      <c:layout>
        <c:manualLayout>
          <c:xMode val="edge"/>
          <c:yMode val="edge"/>
          <c:x val="0.11220842793423828"/>
          <c:y val="0.94382022471910165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3258167882388819"/>
          <c:y val="9.3146244359904498E-2"/>
          <c:w val="0.80851037792055136"/>
          <c:h val="0.38211772998339882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'26UnivEnrolinclConstituentU'!$B$41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'26UnivEnrolinclConstituentU'!$A$42:$A$53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'26UnivEnrolinclConstituentU'!$B$42:$B$53</c:f>
              <c:numCache>
                <c:formatCode>General</c:formatCode>
                <c:ptCount val="12"/>
                <c:pt idx="0">
                  <c:v>395388</c:v>
                </c:pt>
                <c:pt idx="1">
                  <c:v>698009</c:v>
                </c:pt>
                <c:pt idx="2">
                  <c:v>229819</c:v>
                </c:pt>
                <c:pt idx="3">
                  <c:v>1330685</c:v>
                </c:pt>
                <c:pt idx="4">
                  <c:v>1078876</c:v>
                </c:pt>
                <c:pt idx="5">
                  <c:v>961005</c:v>
                </c:pt>
                <c:pt idx="6">
                  <c:v>2518</c:v>
                </c:pt>
                <c:pt idx="7">
                  <c:v>1835</c:v>
                </c:pt>
                <c:pt idx="8">
                  <c:v>25986</c:v>
                </c:pt>
                <c:pt idx="9">
                  <c:v>25968</c:v>
                </c:pt>
                <c:pt idx="10">
                  <c:v>525832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90-4AF7-AF54-E53D152A9B28}"/>
            </c:ext>
          </c:extLst>
        </c:ser>
        <c:ser>
          <c:idx val="1"/>
          <c:order val="1"/>
          <c:tx>
            <c:strRef>
              <c:f>'26UnivEnrolinclConstituentU'!$C$41</c:f>
              <c:strCache>
                <c:ptCount val="1"/>
                <c:pt idx="0">
                  <c:v>Female</c:v>
                </c:pt>
              </c:strCache>
            </c:strRef>
          </c:tx>
          <c:invertIfNegative val="0"/>
          <c:cat>
            <c:strRef>
              <c:f>'26UnivEnrolinclConstituentU'!$A$42:$A$53</c:f>
              <c:strCache>
                <c:ptCount val="12"/>
                <c:pt idx="0">
                  <c:v>Central University</c:v>
                </c:pt>
                <c:pt idx="1">
                  <c:v>Central Open University</c:v>
                </c:pt>
                <c:pt idx="2">
                  <c:v>Institute of National Importance</c:v>
                </c:pt>
                <c:pt idx="3">
                  <c:v>State Public University</c:v>
                </c:pt>
                <c:pt idx="4">
                  <c:v>State Open University</c:v>
                </c:pt>
                <c:pt idx="5">
                  <c:v>State Private University</c:v>
                </c:pt>
                <c:pt idx="6">
                  <c:v>State Private Open University</c:v>
                </c:pt>
                <c:pt idx="7">
                  <c:v>Institute under State Legislature Act</c:v>
                </c:pt>
                <c:pt idx="8">
                  <c:v>Deemed University-Government</c:v>
                </c:pt>
                <c:pt idx="9">
                  <c:v>Deemed University-Government Aided</c:v>
                </c:pt>
                <c:pt idx="10">
                  <c:v>Deemed University-Private</c:v>
                </c:pt>
                <c:pt idx="11">
                  <c:v>Others</c:v>
                </c:pt>
              </c:strCache>
            </c:strRef>
          </c:cat>
          <c:val>
            <c:numRef>
              <c:f>'26UnivEnrolinclConstituentU'!$C$42:$C$53</c:f>
              <c:numCache>
                <c:formatCode>General</c:formatCode>
                <c:ptCount val="12"/>
                <c:pt idx="0">
                  <c:v>350885</c:v>
                </c:pt>
                <c:pt idx="1">
                  <c:v>554277</c:v>
                </c:pt>
                <c:pt idx="2">
                  <c:v>80177</c:v>
                </c:pt>
                <c:pt idx="3">
                  <c:v>1443983</c:v>
                </c:pt>
                <c:pt idx="4">
                  <c:v>721665</c:v>
                </c:pt>
                <c:pt idx="5">
                  <c:v>524966</c:v>
                </c:pt>
                <c:pt idx="6">
                  <c:v>2278</c:v>
                </c:pt>
                <c:pt idx="7">
                  <c:v>5472</c:v>
                </c:pt>
                <c:pt idx="8">
                  <c:v>12513</c:v>
                </c:pt>
                <c:pt idx="9">
                  <c:v>29364</c:v>
                </c:pt>
                <c:pt idx="10">
                  <c:v>363962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790-4AF7-AF54-E53D152A9B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ylinder"/>
        <c:axId val="371315072"/>
        <c:axId val="371317032"/>
        <c:axId val="0"/>
      </c:bar3DChart>
      <c:catAx>
        <c:axId val="3713150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7032"/>
        <c:crosses val="autoZero"/>
        <c:auto val="1"/>
        <c:lblAlgn val="ctr"/>
        <c:lblOffset val="100"/>
        <c:noMultiLvlLbl val="0"/>
      </c:catAx>
      <c:valAx>
        <c:axId val="371317032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50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3930347970307429"/>
          <c:y val="1.1339526379427301E-2"/>
          <c:w val="0.29067345109468901"/>
          <c:h val="6.6414462237164171E-2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178" l="0.70000000000000062" r="0.70000000000000062" t="0.75000000000000178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anchor="b" anchorCtr="0"/>
          <a:lstStyle/>
          <a:p>
            <a:pPr>
              <a:defRPr lang="en-US" sz="900"/>
            </a:pPr>
            <a:r>
              <a:rPr lang="en-US" sz="900" b="1" i="0" baseline="0"/>
              <a:t>Figure 10: Social Categories and Gender Distribution in Student Enrolment</a:t>
            </a:r>
            <a:endParaRPr lang="en-US" sz="900"/>
          </a:p>
        </c:rich>
      </c:tx>
      <c:layout>
        <c:manualLayout>
          <c:xMode val="edge"/>
          <c:yMode val="edge"/>
          <c:x val="0.11311811023622052"/>
          <c:y val="0.91666666666666652"/>
        </c:manualLayout>
      </c:layout>
      <c:overlay val="0"/>
    </c:title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1843285214348206"/>
          <c:y val="5.1400554097404488E-2"/>
          <c:w val="0.81877690288713911"/>
          <c:h val="0.68521580635753865"/>
        </c:manualLayout>
      </c:layout>
      <c:bar3DChart>
        <c:barDir val="col"/>
        <c:grouping val="percentStacked"/>
        <c:varyColors val="0"/>
        <c:ser>
          <c:idx val="0"/>
          <c:order val="0"/>
          <c:tx>
            <c:strRef>
              <c:f>'33a CategoryOutTurn'!$D$45</c:f>
              <c:strCache>
                <c:ptCount val="1"/>
                <c:pt idx="0">
                  <c:v>Male</c:v>
                </c:pt>
              </c:strCache>
            </c:strRef>
          </c:tx>
          <c:invertIfNegative val="0"/>
          <c:cat>
            <c:strRef>
              <c:f>'33a CategoryOutTurn'!$C$46:$C$49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'33a CategoryOutTurn'!$D$46:$D$49</c:f>
              <c:numCache>
                <c:formatCode>General</c:formatCode>
                <c:ptCount val="4"/>
                <c:pt idx="0">
                  <c:v>21119079</c:v>
                </c:pt>
                <c:pt idx="1">
                  <c:v>2889125</c:v>
                </c:pt>
                <c:pt idx="2">
                  <c:v>1154106</c:v>
                </c:pt>
                <c:pt idx="3">
                  <c:v>7253014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CA-43B2-A9B0-52B27DAB1DF6}"/>
            </c:ext>
          </c:extLst>
        </c:ser>
        <c:ser>
          <c:idx val="1"/>
          <c:order val="1"/>
          <c:tx>
            <c:strRef>
              <c:f>'33a CategoryOutTurn'!$E$45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</c:spPr>
          <c:invertIfNegative val="0"/>
          <c:cat>
            <c:strRef>
              <c:f>'33a CategoryOutTurn'!$C$46:$C$49</c:f>
              <c:strCache>
                <c:ptCount val="4"/>
                <c:pt idx="0">
                  <c:v>ALL CATEGORIES</c:v>
                </c:pt>
                <c:pt idx="1">
                  <c:v>SC</c:v>
                </c:pt>
                <c:pt idx="2">
                  <c:v>ST</c:v>
                </c:pt>
                <c:pt idx="3">
                  <c:v>OBC</c:v>
                </c:pt>
              </c:strCache>
            </c:strRef>
          </c:cat>
          <c:val>
            <c:numRef>
              <c:f>'33a CategoryOutTurn'!$E$46:$E$49</c:f>
              <c:numCache>
                <c:formatCode>General</c:formatCode>
                <c:ptCount val="4"/>
                <c:pt idx="0">
                  <c:v>19905778</c:v>
                </c:pt>
                <c:pt idx="1">
                  <c:v>2752960</c:v>
                </c:pt>
                <c:pt idx="2">
                  <c:v>1157542</c:v>
                </c:pt>
                <c:pt idx="3">
                  <c:v>6892236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4CA-43B2-A9B0-52B27DAB1D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cone"/>
        <c:axId val="371313896"/>
        <c:axId val="371288808"/>
        <c:axId val="0"/>
      </c:bar3DChart>
      <c:catAx>
        <c:axId val="37131389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288808"/>
        <c:crosses val="autoZero"/>
        <c:auto val="1"/>
        <c:lblAlgn val="ctr"/>
        <c:lblOffset val="100"/>
        <c:noMultiLvlLbl val="0"/>
      </c:catAx>
      <c:valAx>
        <c:axId val="371288808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 sz="800"/>
            </a:pPr>
            <a:endParaRPr lang="en-US"/>
          </a:p>
        </c:txPr>
        <c:crossAx val="3713138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399875328084077"/>
          <c:y val="7.8319845435987162E-2"/>
          <c:w val="0.1294569116360455"/>
          <c:h val="0.16743438320210283"/>
        </c:manualLayout>
      </c:layout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0699" l="0.70000000000000062" r="0.70000000000000062" t="0.75000000000000699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181620633104019E-2"/>
          <c:y val="5.1941612561587247E-2"/>
          <c:w val="0.86533020346865264"/>
          <c:h val="0.89611677487681107"/>
        </c:manualLayout>
      </c:layout>
      <c:bubbleChart>
        <c:varyColors val="0"/>
        <c:ser>
          <c:idx val="0"/>
          <c:order val="0"/>
          <c:tx>
            <c:strRef>
              <c:f>'4CollegeIndicator (2)'!$D$2</c:f>
              <c:strCache>
                <c:ptCount val="1"/>
                <c:pt idx="0">
                  <c:v>Population</c:v>
                </c:pt>
              </c:strCache>
            </c:strRef>
          </c:tx>
          <c:invertIfNegative val="0"/>
          <c:dLbls>
            <c:dLbl>
              <c:idx val="1"/>
              <c:layout>
                <c:manualLayout>
                  <c:x val="-0.15232722143864597"/>
                  <c:y val="0.14035087719298253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082-4DD5-81A8-627534B4AB67}"/>
                </c:ext>
              </c:extLst>
            </c:dLbl>
            <c:dLbl>
              <c:idx val="2"/>
              <c:layout>
                <c:manualLayout>
                  <c:x val="-3.7611659614480486E-2"/>
                  <c:y val="-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082-4DD5-81A8-627534B4AB67}"/>
                </c:ext>
              </c:extLst>
            </c:dLbl>
            <c:dLbl>
              <c:idx val="3"/>
              <c:layout>
                <c:manualLayout>
                  <c:x val="-0.10719322990127345"/>
                  <c:y val="8.4210526315789527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082-4DD5-81A8-627534B4AB67}"/>
                </c:ext>
              </c:extLst>
            </c:dLbl>
            <c:dLbl>
              <c:idx val="4"/>
              <c:layout>
                <c:manualLayout>
                  <c:x val="-0.10343206393982136"/>
                  <c:y val="-0.1543859649122807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082-4DD5-81A8-627534B4AB67}"/>
                </c:ext>
              </c:extLst>
            </c:dLbl>
            <c:dLbl>
              <c:idx val="5"/>
              <c:layout>
                <c:manualLayout>
                  <c:x val="-0.10719322990127345"/>
                  <c:y val="8.8888520513883268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082-4DD5-81A8-627534B4AB67}"/>
                </c:ext>
              </c:extLst>
            </c:dLbl>
            <c:dLbl>
              <c:idx val="6"/>
              <c:layout>
                <c:manualLayout>
                  <c:x val="-9.2148566055477207E-2"/>
                  <c:y val="-0.1029239766081872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082-4DD5-81A8-627534B4AB67}"/>
                </c:ext>
              </c:extLst>
            </c:dLbl>
            <c:dLbl>
              <c:idx val="7"/>
              <c:layout>
                <c:manualLayout>
                  <c:x val="-8.4626234132581205E-2"/>
                  <c:y val="0.11228070175438599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082-4DD5-81A8-627534B4AB67}"/>
                </c:ext>
              </c:extLst>
            </c:dLbl>
            <c:dLbl>
              <c:idx val="8"/>
              <c:layout>
                <c:manualLayout>
                  <c:x val="-8.0865068171136395E-2"/>
                  <c:y val="-0.13567251461987767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082-4DD5-81A8-627534B4AB6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(2)'!$C$3:$C$11</c:f>
              <c:strCache>
                <c:ptCount val="9"/>
                <c:pt idx="0">
                  <c:v>Uttar Pradesh</c:v>
                </c:pt>
                <c:pt idx="1">
                  <c:v>Maharashtra</c:v>
                </c:pt>
                <c:pt idx="2">
                  <c:v>Bihar</c:v>
                </c:pt>
                <c:pt idx="3">
                  <c:v>West Bengal</c:v>
                </c:pt>
                <c:pt idx="4">
                  <c:v>Andhra Pradesh</c:v>
                </c:pt>
                <c:pt idx="5">
                  <c:v>Madhya Pradesh</c:v>
                </c:pt>
                <c:pt idx="6">
                  <c:v>Rajasthan</c:v>
                </c:pt>
                <c:pt idx="7">
                  <c:v>Tamil Nadu</c:v>
                </c:pt>
                <c:pt idx="8">
                  <c:v>Karnataka</c:v>
                </c:pt>
              </c:strCache>
            </c:strRef>
          </c:xVal>
          <c:yVal>
            <c:numRef>
              <c:f>'4CollegeIndicator (2)'!$D$3:$D$11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yVal>
          <c:bubbleSize>
            <c:numRef>
              <c:f>'4CollegeIndicator (2)'!$E$3:$E$11</c:f>
              <c:numCache>
                <c:formatCode>General</c:formatCode>
                <c:ptCount val="9"/>
                <c:pt idx="0">
                  <c:v>4049</c:v>
                </c:pt>
                <c:pt idx="1">
                  <c:v>4512</c:v>
                </c:pt>
                <c:pt idx="2">
                  <c:v>629</c:v>
                </c:pt>
                <c:pt idx="3">
                  <c:v>857</c:v>
                </c:pt>
                <c:pt idx="4">
                  <c:v>4780</c:v>
                </c:pt>
                <c:pt idx="5">
                  <c:v>2009</c:v>
                </c:pt>
                <c:pt idx="6">
                  <c:v>2435</c:v>
                </c:pt>
                <c:pt idx="7">
                  <c:v>1985</c:v>
                </c:pt>
                <c:pt idx="8">
                  <c:v>3098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8-8082-4DD5-81A8-627534B4AB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1289592"/>
        <c:axId val="371291944"/>
      </c:bubbleChart>
      <c:valAx>
        <c:axId val="371289592"/>
        <c:scaling>
          <c:orientation val="minMax"/>
          <c:max val="10"/>
          <c:min val="0"/>
        </c:scaling>
        <c:delete val="0"/>
        <c:axPos val="b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91944"/>
        <c:crosses val="autoZero"/>
        <c:crossBetween val="midCat"/>
      </c:valAx>
      <c:valAx>
        <c:axId val="371291944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959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6.9189165176637858E-3"/>
                <c:y val="0.15942717686605329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  <c:spPr>
        <a:ln>
          <a:solidFill>
            <a:srgbClr val="8064A2">
              <a:lumMod val="75000"/>
            </a:srgbClr>
          </a:solidFill>
        </a:ln>
      </c:spPr>
    </c:plotArea>
    <c:plotVisOnly val="1"/>
    <c:dispBlanksAs val="gap"/>
    <c:showDLblsOverMax val="0"/>
  </c:chart>
  <c:printSettings>
    <c:headerFooter/>
    <c:pageMargins b="0.75000000000001066" l="0.70000000000000062" r="0.70000000000000062" t="0.75000000000001066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autoTitleDeleted val="1"/>
    <c:plotArea>
      <c:layout/>
      <c:bubbleChart>
        <c:varyColors val="0"/>
        <c:ser>
          <c:idx val="0"/>
          <c:order val="0"/>
          <c:invertIfNegative val="0"/>
          <c:dLbls>
            <c:dLbl>
              <c:idx val="1"/>
              <c:layout>
                <c:manualLayout>
                  <c:x val="-0.17777777777777778"/>
                  <c:y val="-0.13099415204678391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3C-41EC-B0B9-B5E64976FA11}"/>
                </c:ext>
              </c:extLst>
            </c:dLbl>
            <c:dLbl>
              <c:idx val="2"/>
              <c:layout>
                <c:manualLayout>
                  <c:x val="-0.10555555555555562"/>
                  <c:y val="9.8245614035087733E-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B3C-41EC-B0B9-B5E64976FA11}"/>
                </c:ext>
              </c:extLst>
            </c:dLbl>
            <c:dLbl>
              <c:idx val="3"/>
              <c:layout>
                <c:manualLayout>
                  <c:x val="-1.3888888888889232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3C-41EC-B0B9-B5E64976FA11}"/>
                </c:ext>
              </c:extLst>
            </c:dLbl>
            <c:dLbl>
              <c:idx val="4"/>
              <c:layout>
                <c:manualLayout>
                  <c:x val="-6.1111111111111123E-2"/>
                  <c:y val="-0.15906432748538452"/>
                </c:manualLayout>
              </c:layout>
              <c:showLegendKey val="0"/>
              <c:showVal val="0"/>
              <c:showCatName val="1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3C-41EC-B0B9-B5E64976FA1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/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strRef>
              <c:f>'4CollegeIndicator (2)'!$C$8:$C$15</c:f>
              <c:strCache>
                <c:ptCount val="8"/>
                <c:pt idx="0">
                  <c:v>Madhya Pradesh</c:v>
                </c:pt>
                <c:pt idx="1">
                  <c:v>Rajasthan</c:v>
                </c:pt>
                <c:pt idx="2">
                  <c:v>Tamil Nadu</c:v>
                </c:pt>
                <c:pt idx="3">
                  <c:v>Karnataka</c:v>
                </c:pt>
                <c:pt idx="4">
                  <c:v>Gujarat</c:v>
                </c:pt>
                <c:pt idx="5">
                  <c:v>Odisha</c:v>
                </c:pt>
                <c:pt idx="6">
                  <c:v>Jharkhand</c:v>
                </c:pt>
                <c:pt idx="7">
                  <c:v>Assam</c:v>
                </c:pt>
              </c:strCache>
            </c:strRef>
          </c:xVal>
          <c:yVal>
            <c:numRef>
              <c:f>'4CollegeIndicator (2)'!$D$8:$D$15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yVal>
          <c:bubbleSize>
            <c:numRef>
              <c:f>'4CollegeIndicator (2)'!$E$8:$E$15</c:f>
              <c:numCache>
                <c:formatCode>General</c:formatCode>
                <c:ptCount val="8"/>
                <c:pt idx="0">
                  <c:v>2009</c:v>
                </c:pt>
                <c:pt idx="1">
                  <c:v>2435</c:v>
                </c:pt>
                <c:pt idx="2">
                  <c:v>1985</c:v>
                </c:pt>
                <c:pt idx="3">
                  <c:v>3098</c:v>
                </c:pt>
                <c:pt idx="4">
                  <c:v>1815</c:v>
                </c:pt>
                <c:pt idx="5">
                  <c:v>1089</c:v>
                </c:pt>
                <c:pt idx="6">
                  <c:v>187</c:v>
                </c:pt>
                <c:pt idx="7">
                  <c:v>485</c:v>
                </c:pt>
              </c:numCache>
            </c:numRef>
          </c:bubbleSize>
          <c:bubble3D val="1"/>
          <c:extLst>
            <c:ext xmlns:c16="http://schemas.microsoft.com/office/drawing/2014/chart" uri="{C3380CC4-5D6E-409C-BE32-E72D297353CC}">
              <c16:uniqueId val="{00000004-AB3C-41EC-B0B9-B5E64976FA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bubbleScale val="100"/>
        <c:showNegBubbles val="0"/>
        <c:axId val="371285672"/>
        <c:axId val="371292728"/>
      </c:bubbleChart>
      <c:valAx>
        <c:axId val="371285672"/>
        <c:scaling>
          <c:orientation val="minMax"/>
        </c:scaling>
        <c:delete val="1"/>
        <c:axPos val="b"/>
        <c:majorTickMark val="out"/>
        <c:minorTickMark val="none"/>
        <c:tickLblPos val="nextTo"/>
        <c:crossAx val="371292728"/>
        <c:crosses val="autoZero"/>
        <c:crossBetween val="midCat"/>
      </c:valAx>
      <c:valAx>
        <c:axId val="371292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5672"/>
        <c:crosses val="autoZero"/>
        <c:crossBetween val="midCat"/>
        <c:dispUnits>
          <c:builtInUnit val="hundredThousands"/>
          <c:dispUnitsLbl>
            <c:layout>
              <c:manualLayout>
                <c:xMode val="edge"/>
                <c:yMode val="edge"/>
                <c:x val="3.888888888888889E-2"/>
                <c:y val="0.19685407745084488"/>
              </c:manualLayout>
            </c:layout>
            <c:tx>
              <c:rich>
                <a:bodyPr/>
                <a:lstStyle/>
                <a:p>
                  <a:pPr>
                    <a:defRPr lang="en-US"/>
                  </a:pPr>
                  <a:r>
                    <a:rPr lang="en-US"/>
                    <a:t>Population (18-23 years) in Lakhs</a:t>
                  </a:r>
                </a:p>
              </c:rich>
            </c:tx>
          </c:dispUnitsLbl>
        </c:dispUnits>
      </c:valAx>
    </c:plotArea>
    <c:plotVisOnly val="1"/>
    <c:dispBlanksAs val="gap"/>
    <c:showDLblsOverMax val="0"/>
  </c:chart>
  <c:printSettings>
    <c:headerFooter/>
    <c:pageMargins b="0.75000000000001088" l="0.70000000000000062" r="0.70000000000000062" t="0.75000000000001088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percentStacked"/>
        <c:varyColors val="0"/>
        <c:ser>
          <c:idx val="0"/>
          <c:order val="0"/>
          <c:tx>
            <c:strRef>
              <c:f>StandaloneMgt!$A$7</c:f>
              <c:strCache>
                <c:ptCount val="1"/>
                <c:pt idx="0">
                  <c:v>Private</c:v>
                </c:pt>
              </c:strCache>
            </c:strRef>
          </c:tx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StandaloneMgt!$B$7:$E$7</c:f>
              <c:numCache>
                <c:formatCode>General</c:formatCode>
                <c:ptCount val="4"/>
                <c:pt idx="0">
                  <c:v>1426</c:v>
                </c:pt>
                <c:pt idx="1">
                  <c:v>2130</c:v>
                </c:pt>
                <c:pt idx="2">
                  <c:v>742</c:v>
                </c:pt>
                <c:pt idx="3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AA-48B1-8E45-0FC117A91D23}"/>
            </c:ext>
          </c:extLst>
        </c:ser>
        <c:ser>
          <c:idx val="1"/>
          <c:order val="1"/>
          <c:tx>
            <c:strRef>
              <c:f>StandaloneMgt!$A$8</c:f>
              <c:strCache>
                <c:ptCount val="1"/>
              </c:strCache>
            </c:strRef>
          </c:tx>
          <c:spPr>
            <a:solidFill>
              <a:schemeClr val="bg2">
                <a:lumMod val="90000"/>
              </a:schemeClr>
            </a:solidFill>
          </c:spPr>
          <c:invertIfNegative val="0"/>
          <c:cat>
            <c:strRef>
              <c:f>StandaloneMgt!$B$6:$E$6</c:f>
              <c:strCache>
                <c:ptCount val="4"/>
                <c:pt idx="0">
                  <c:v>Technical</c:v>
                </c:pt>
                <c:pt idx="1">
                  <c:v>Teacher Training</c:v>
                </c:pt>
                <c:pt idx="2">
                  <c:v>Nursing</c:v>
                </c:pt>
                <c:pt idx="3">
                  <c:v>PGDM</c:v>
                </c:pt>
              </c:strCache>
            </c:strRef>
          </c:cat>
          <c:val>
            <c:numRef>
              <c:f>StandaloneMgt!$B$8:$E$8</c:f>
              <c:numCache>
                <c:formatCode>General</c:formatCode>
                <c:ptCount val="4"/>
                <c:pt idx="0">
                  <c:v>555</c:v>
                </c:pt>
                <c:pt idx="1">
                  <c:v>666</c:v>
                </c:pt>
                <c:pt idx="2">
                  <c:v>131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AA-48B1-8E45-0FC117A91D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71286456"/>
        <c:axId val="371289200"/>
        <c:axId val="0"/>
      </c:bar3DChart>
      <c:catAx>
        <c:axId val="371286456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9200"/>
        <c:crosses val="autoZero"/>
        <c:auto val="1"/>
        <c:lblAlgn val="ctr"/>
        <c:lblOffset val="100"/>
        <c:noMultiLvlLbl val="0"/>
      </c:catAx>
      <c:valAx>
        <c:axId val="371289200"/>
        <c:scaling>
          <c:orientation val="minMax"/>
        </c:scaling>
        <c:delete val="0"/>
        <c:axPos val="l"/>
        <c:numFmt formatCode="0%" sourceLinked="1"/>
        <c:majorTickMark val="out"/>
        <c:minorTickMark val="none"/>
        <c:tickLblPos val="nextTo"/>
        <c:txPr>
          <a:bodyPr/>
          <a:lstStyle/>
          <a:p>
            <a:pPr>
              <a:defRPr lang="en-US"/>
            </a:pPr>
            <a:endParaRPr lang="en-US"/>
          </a:p>
        </c:txPr>
        <c:crossAx val="371286456"/>
        <c:crosses val="autoZero"/>
        <c:crossBetween val="between"/>
      </c:valAx>
    </c:plotArea>
    <c:legend>
      <c:legendPos val="r"/>
      <c:legendEntry>
        <c:idx val="0"/>
        <c:delete val="1"/>
      </c:legendEntry>
      <c:overlay val="0"/>
      <c:txPr>
        <a:bodyPr/>
        <a:lstStyle/>
        <a:p>
          <a:pPr>
            <a:defRPr lang="en-US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000000000001144" l="0.70000000000000062" r="0.70000000000000062" t="0.75000000000001144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44</xdr:row>
      <xdr:rowOff>0</xdr:rowOff>
    </xdr:from>
    <xdr:to>
      <xdr:col>16</xdr:col>
      <xdr:colOff>342900</xdr:colOff>
      <xdr:row>57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619124</xdr:colOff>
      <xdr:row>59</xdr:row>
      <xdr:rowOff>0</xdr:rowOff>
    </xdr:from>
    <xdr:to>
      <xdr:col>17</xdr:col>
      <xdr:colOff>533399</xdr:colOff>
      <xdr:row>71</xdr:row>
      <xdr:rowOff>190500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400050</xdr:colOff>
      <xdr:row>44</xdr:row>
      <xdr:rowOff>66675</xdr:rowOff>
    </xdr:from>
    <xdr:to>
      <xdr:col>17</xdr:col>
      <xdr:colOff>142875</xdr:colOff>
      <xdr:row>58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</xdr:row>
      <xdr:rowOff>0</xdr:rowOff>
    </xdr:from>
    <xdr:to>
      <xdr:col>15</xdr:col>
      <xdr:colOff>400050</xdr:colOff>
      <xdr:row>59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43</xdr:row>
      <xdr:rowOff>0</xdr:rowOff>
    </xdr:from>
    <xdr:to>
      <xdr:col>3</xdr:col>
      <xdr:colOff>171450</xdr:colOff>
      <xdr:row>53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314325</xdr:colOff>
      <xdr:row>40</xdr:row>
      <xdr:rowOff>152400</xdr:rowOff>
    </xdr:from>
    <xdr:to>
      <xdr:col>8</xdr:col>
      <xdr:colOff>762000</xdr:colOff>
      <xdr:row>56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31059</xdr:colOff>
      <xdr:row>44</xdr:row>
      <xdr:rowOff>176833</xdr:rowOff>
    </xdr:from>
    <xdr:to>
      <xdr:col>17</xdr:col>
      <xdr:colOff>409161</xdr:colOff>
      <xdr:row>59</xdr:row>
      <xdr:rowOff>63776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0</xdr:colOff>
      <xdr:row>28</xdr:row>
      <xdr:rowOff>0</xdr:rowOff>
    </xdr:from>
    <xdr:to>
      <xdr:col>21</xdr:col>
      <xdr:colOff>400050</xdr:colOff>
      <xdr:row>35</xdr:row>
      <xdr:rowOff>314325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619124</xdr:colOff>
      <xdr:row>44</xdr:row>
      <xdr:rowOff>0</xdr:rowOff>
    </xdr:from>
    <xdr:to>
      <xdr:col>16</xdr:col>
      <xdr:colOff>76199</xdr:colOff>
      <xdr:row>51</xdr:row>
      <xdr:rowOff>342900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2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</xdr:row>
      <xdr:rowOff>0</xdr:rowOff>
    </xdr:from>
    <xdr:to>
      <xdr:col>15</xdr:col>
      <xdr:colOff>400050</xdr:colOff>
      <xdr:row>59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466725</xdr:colOff>
      <xdr:row>0</xdr:row>
      <xdr:rowOff>304800</xdr:rowOff>
    </xdr:from>
    <xdr:to>
      <xdr:col>17</xdr:col>
      <xdr:colOff>76201</xdr:colOff>
      <xdr:row>11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3E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485775</xdr:colOff>
      <xdr:row>12</xdr:row>
      <xdr:rowOff>133350</xdr:rowOff>
    </xdr:from>
    <xdr:to>
      <xdr:col>14</xdr:col>
      <xdr:colOff>180975</xdr:colOff>
      <xdr:row>26</xdr:row>
      <xdr:rowOff>47625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3E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76200</xdr:colOff>
      <xdr:row>6</xdr:row>
      <xdr:rowOff>47625</xdr:rowOff>
    </xdr:from>
    <xdr:to>
      <xdr:col>13</xdr:col>
      <xdr:colOff>381000</xdr:colOff>
      <xdr:row>23</xdr:row>
      <xdr:rowOff>38100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4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Final%20AISHE%20Report%20(All%20Tables)%202020-21%20dated%2003.10.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ISHE%202019-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CollegeIndicator"/>
      <sheetName val="4aCollegeSpec"/>
      <sheetName val="5ManagementCollegeNo"/>
      <sheetName val="6TotalEnr"/>
      <sheetName val="6aTotalRegularEnr"/>
      <sheetName val="6bTotalDistanceEnr"/>
      <sheetName val="7UnivActwithConsUnit"/>
      <sheetName val="8CollegeAct"/>
      <sheetName val="9AllSAAct"/>
      <sheetName val="9aSAILevel"/>
      <sheetName val="10CollegeEst"/>
      <sheetName val="NewEstimation"/>
      <sheetName val="11Programme"/>
      <sheetName val="11aProgrammeDistance "/>
      <sheetName val="12UGDisc "/>
      <sheetName val="13PGDisc"/>
      <sheetName val="14-15TotalEnrCategory"/>
      <sheetName val="16FS-countrylevel"/>
      <sheetName val="17FS-statelevel"/>
      <sheetName val="18FS-prog"/>
      <sheetName val="19GER(2001)"/>
      <sheetName val="ManagementCollegeNo (2)"/>
      <sheetName val="WomenCollege"/>
      <sheetName val="19GER(2011)"/>
      <sheetName val="20GPI2001"/>
      <sheetName val="20GPI2011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3a CategoryOutTurn"/>
      <sheetName val="34OutTurn Prog "/>
      <sheetName val="34a"/>
      <sheetName val="35UGDisc"/>
      <sheetName val="36 PGDisc "/>
      <sheetName val="37CollegeTypeNo"/>
      <sheetName val="38pop2020(2001)"/>
      <sheetName val="38Pop2020(2011)"/>
      <sheetName val="39TypeStateUnivwithConsUnit"/>
      <sheetName val="40NoUni"/>
      <sheetName val="41NoUniType"/>
      <sheetName val="42CollegeIndicator"/>
      <sheetName val="43ENRLT 6"/>
      <sheetName val="44ENRLR 6a"/>
      <sheetName val="45EnrlCategory 14"/>
      <sheetName val="46EnrlMinority 14"/>
      <sheetName val="47GER  19"/>
      <sheetName val="48GPI 20"/>
      <sheetName val="49PTR 25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5">
          <cell r="AA5">
            <v>5534</v>
          </cell>
          <cell r="AB5">
            <v>6431</v>
          </cell>
          <cell r="AC5">
            <v>11965</v>
          </cell>
        </row>
        <row r="6">
          <cell r="AA6">
            <v>1056065</v>
          </cell>
          <cell r="AB6">
            <v>931553</v>
          </cell>
          <cell r="AC6">
            <v>1987618</v>
          </cell>
        </row>
        <row r="7">
          <cell r="AA7">
            <v>31465</v>
          </cell>
          <cell r="AB7">
            <v>28270</v>
          </cell>
          <cell r="AC7">
            <v>59735</v>
          </cell>
        </row>
        <row r="8">
          <cell r="AA8">
            <v>341985</v>
          </cell>
          <cell r="AB8">
            <v>355108</v>
          </cell>
          <cell r="AC8">
            <v>697093</v>
          </cell>
        </row>
        <row r="9">
          <cell r="AA9">
            <v>1309402</v>
          </cell>
          <cell r="AB9">
            <v>1051539</v>
          </cell>
          <cell r="AC9">
            <v>2360941</v>
          </cell>
        </row>
        <row r="10">
          <cell r="AA10">
            <v>54809</v>
          </cell>
          <cell r="AB10">
            <v>55656</v>
          </cell>
          <cell r="AC10">
            <v>110465</v>
          </cell>
        </row>
        <row r="11">
          <cell r="AA11">
            <v>302840</v>
          </cell>
          <cell r="AB11">
            <v>350565</v>
          </cell>
          <cell r="AC11">
            <v>653405</v>
          </cell>
        </row>
        <row r="12">
          <cell r="AA12">
            <v>564849</v>
          </cell>
          <cell r="AB12">
            <v>541422</v>
          </cell>
          <cell r="AC12">
            <v>1106271</v>
          </cell>
        </row>
        <row r="13">
          <cell r="AA13">
            <v>29404</v>
          </cell>
          <cell r="AB13">
            <v>30881</v>
          </cell>
          <cell r="AC13">
            <v>60285</v>
          </cell>
        </row>
        <row r="14">
          <cell r="AA14">
            <v>938144</v>
          </cell>
          <cell r="AB14">
            <v>714986</v>
          </cell>
          <cell r="AC14">
            <v>1653130</v>
          </cell>
        </row>
        <row r="15">
          <cell r="AA15">
            <v>517813</v>
          </cell>
          <cell r="AB15">
            <v>511346</v>
          </cell>
          <cell r="AC15">
            <v>1029159</v>
          </cell>
        </row>
        <row r="16">
          <cell r="AA16">
            <v>133196</v>
          </cell>
          <cell r="AB16">
            <v>156389</v>
          </cell>
          <cell r="AC16">
            <v>289585</v>
          </cell>
        </row>
        <row r="17">
          <cell r="AA17">
            <v>193476</v>
          </cell>
          <cell r="AB17">
            <v>205378</v>
          </cell>
          <cell r="AC17">
            <v>398854</v>
          </cell>
        </row>
        <row r="18">
          <cell r="AA18">
            <v>393349</v>
          </cell>
          <cell r="AB18">
            <v>393338</v>
          </cell>
          <cell r="AC18">
            <v>786687</v>
          </cell>
        </row>
        <row r="19">
          <cell r="AA19">
            <v>1223601</v>
          </cell>
          <cell r="AB19">
            <v>1216836</v>
          </cell>
          <cell r="AC19">
            <v>2440437</v>
          </cell>
        </row>
        <row r="20">
          <cell r="AA20">
            <v>559625</v>
          </cell>
          <cell r="AB20">
            <v>804911</v>
          </cell>
          <cell r="AC20">
            <v>1364536</v>
          </cell>
        </row>
        <row r="21">
          <cell r="AA21">
            <v>1108</v>
          </cell>
          <cell r="AB21">
            <v>2039</v>
          </cell>
          <cell r="AC21">
            <v>3147</v>
          </cell>
        </row>
        <row r="22">
          <cell r="AA22">
            <v>133</v>
          </cell>
          <cell r="AB22">
            <v>427</v>
          </cell>
          <cell r="AC22">
            <v>560</v>
          </cell>
        </row>
        <row r="23">
          <cell r="AA23">
            <v>1374036</v>
          </cell>
          <cell r="AB23">
            <v>1224525</v>
          </cell>
          <cell r="AC23">
            <v>2598561</v>
          </cell>
        </row>
        <row r="24">
          <cell r="AA24">
            <v>2491897</v>
          </cell>
          <cell r="AB24">
            <v>2054252</v>
          </cell>
          <cell r="AC24">
            <v>4546149</v>
          </cell>
        </row>
        <row r="25">
          <cell r="AA25">
            <v>68916</v>
          </cell>
          <cell r="AB25">
            <v>69583</v>
          </cell>
          <cell r="AC25">
            <v>138499</v>
          </cell>
        </row>
        <row r="26">
          <cell r="AA26">
            <v>43104</v>
          </cell>
          <cell r="AB26">
            <v>54480</v>
          </cell>
          <cell r="AC26">
            <v>97584</v>
          </cell>
        </row>
        <row r="27">
          <cell r="AA27">
            <v>19201</v>
          </cell>
          <cell r="AB27">
            <v>19509</v>
          </cell>
          <cell r="AC27">
            <v>38710</v>
          </cell>
        </row>
        <row r="28">
          <cell r="AA28">
            <v>21750</v>
          </cell>
          <cell r="AB28">
            <v>25204</v>
          </cell>
          <cell r="AC28">
            <v>46954</v>
          </cell>
        </row>
        <row r="29">
          <cell r="AA29">
            <v>525883</v>
          </cell>
          <cell r="AB29">
            <v>481139</v>
          </cell>
          <cell r="AC29">
            <v>1007022</v>
          </cell>
        </row>
        <row r="30">
          <cell r="AA30">
            <v>43187</v>
          </cell>
          <cell r="AB30">
            <v>48066</v>
          </cell>
          <cell r="AC30">
            <v>91253</v>
          </cell>
        </row>
        <row r="31">
          <cell r="AA31">
            <v>418244</v>
          </cell>
          <cell r="AB31">
            <v>415091</v>
          </cell>
          <cell r="AC31">
            <v>833335</v>
          </cell>
        </row>
        <row r="32">
          <cell r="AA32">
            <v>1278304</v>
          </cell>
          <cell r="AB32">
            <v>1154486</v>
          </cell>
          <cell r="AC32">
            <v>2432790</v>
          </cell>
        </row>
        <row r="33">
          <cell r="AA33">
            <v>16707</v>
          </cell>
          <cell r="AB33">
            <v>18067</v>
          </cell>
          <cell r="AC33">
            <v>34774</v>
          </cell>
        </row>
        <row r="34">
          <cell r="AA34">
            <v>1662153</v>
          </cell>
          <cell r="AB34">
            <v>1674286</v>
          </cell>
          <cell r="AC34">
            <v>3336439</v>
          </cell>
        </row>
        <row r="35">
          <cell r="AA35">
            <v>775309</v>
          </cell>
          <cell r="AB35">
            <v>798477</v>
          </cell>
          <cell r="AC35">
            <v>1573786</v>
          </cell>
        </row>
        <row r="36">
          <cell r="AA36">
            <v>5948</v>
          </cell>
          <cell r="AB36">
            <v>5622</v>
          </cell>
          <cell r="AC36">
            <v>11570</v>
          </cell>
        </row>
        <row r="37">
          <cell r="AA37">
            <v>48428</v>
          </cell>
          <cell r="AB37">
            <v>44232</v>
          </cell>
          <cell r="AC37">
            <v>92660</v>
          </cell>
        </row>
        <row r="38">
          <cell r="AA38">
            <v>3397012</v>
          </cell>
          <cell r="AB38">
            <v>3254055</v>
          </cell>
          <cell r="AC38">
            <v>6651067</v>
          </cell>
        </row>
        <row r="39">
          <cell r="AA39">
            <v>304850</v>
          </cell>
          <cell r="AB39">
            <v>315301</v>
          </cell>
          <cell r="AC39">
            <v>620151</v>
          </cell>
        </row>
        <row r="40">
          <cell r="AA40">
            <v>1086183</v>
          </cell>
          <cell r="AB40">
            <v>1129353</v>
          </cell>
          <cell r="AC40">
            <v>2215536</v>
          </cell>
        </row>
        <row r="41">
          <cell r="AA41">
            <v>21237910</v>
          </cell>
          <cell r="AB41">
            <v>20142803</v>
          </cell>
          <cell r="AC41">
            <v>41380713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UniNo"/>
      <sheetName val="1InsResponse"/>
      <sheetName val="2University-Specialisation"/>
      <sheetName val="3Collegerange"/>
      <sheetName val="4CollegeIndicator"/>
      <sheetName val="4aCollegeSpec"/>
      <sheetName val="5ManagementCollegeNo"/>
      <sheetName val="6TotalEnr"/>
      <sheetName val="6aTotalRegularEnr"/>
      <sheetName val="6bTotalDistanceEnr"/>
      <sheetName val="7UnivActwithConsUnit"/>
      <sheetName val="8CollegeAct"/>
      <sheetName val="9AllSAAct"/>
      <sheetName val="10CollegeEst"/>
      <sheetName val="11Programme"/>
      <sheetName val="11aProgrammeDistance "/>
      <sheetName val="12UGDisc "/>
      <sheetName val="13PGDisc"/>
      <sheetName val="14TotalEnrCategory"/>
      <sheetName val="16FS-countrylevel"/>
      <sheetName val="17FS-statelevel"/>
      <sheetName val="18FS-prog"/>
      <sheetName val="19GER"/>
      <sheetName val="ManagementCollegeNo (2)"/>
      <sheetName val="WomenCollege"/>
      <sheetName val="20GPI"/>
      <sheetName val="21TeacherCategory"/>
      <sheetName val="22TeacherPost"/>
      <sheetName val="22aTeacherPostUC"/>
      <sheetName val="22bTeacherPostU"/>
      <sheetName val="23StaffPost"/>
      <sheetName val="24StaffCategory"/>
      <sheetName val="25PTR"/>
      <sheetName val="26UnivEnrolinclConstituentU"/>
      <sheetName val="27TypeEnrolmentCategory-Est"/>
      <sheetName val="29TypeTeacherPostEstimated"/>
      <sheetName val="30TypeTeacherCategoryEstimated"/>
      <sheetName val="31Hostelstate "/>
      <sheetName val="32TypeHostel"/>
      <sheetName val="33OutTurnState"/>
      <sheetName val="34OutTurn Prog "/>
      <sheetName val="35UGDisc"/>
      <sheetName val="36 PGDisc "/>
      <sheetName val="37CollegeTypeNo"/>
      <sheetName val="38pop2019"/>
      <sheetName val="39TypeStateUnivwithConsUnit"/>
      <sheetName val="40NoUni"/>
      <sheetName val="41NoUniType"/>
      <sheetName val="42CollegeIndicator"/>
      <sheetName val="43ENRLT"/>
      <sheetName val="44ENRLR"/>
      <sheetName val="45EnrlCategory"/>
      <sheetName val="46EnrlMinority"/>
      <sheetName val="47GER "/>
      <sheetName val="48GPI"/>
      <sheetName val="49PTR"/>
      <sheetName val="50LevelEnrlUniType"/>
      <sheetName val="51PostTeacher"/>
      <sheetName val="52Pop"/>
      <sheetName val="4CollegeIndicator (2)"/>
      <sheetName val="RespondingTypeCollege"/>
      <sheetName val="Paste"/>
      <sheetName val="StandaloneMgt"/>
      <sheetName val="6aTotalDistanceEnr"/>
      <sheetName val="SAIEnr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B1" t="str">
            <v>Table 7.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 t="str">
            <v>Enrolment in Universities Teaching Departments and its Constituent Units/Off-campus Centres (Based on actual Response)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 t="str">
            <v>Enrolment in Universities Teaching Departments and its Constituent Units/Off-campus Centres (Based on actual Response)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B2" t="str">
            <v>State/UTs</v>
          </cell>
          <cell r="D2">
            <v>0</v>
          </cell>
          <cell r="E2" t="str">
            <v>Ph.D.</v>
          </cell>
          <cell r="F2">
            <v>0</v>
          </cell>
          <cell r="G2">
            <v>0</v>
          </cell>
          <cell r="H2" t="str">
            <v>M.Phil.</v>
          </cell>
          <cell r="I2">
            <v>0</v>
          </cell>
          <cell r="J2">
            <v>0</v>
          </cell>
          <cell r="K2" t="str">
            <v>Post Graduate</v>
          </cell>
          <cell r="L2">
            <v>0</v>
          </cell>
          <cell r="M2">
            <v>0</v>
          </cell>
          <cell r="N2" t="str">
            <v>Under Graduate</v>
          </cell>
          <cell r="O2">
            <v>0</v>
          </cell>
          <cell r="P2">
            <v>0</v>
          </cell>
          <cell r="Q2" t="str">
            <v>PG Diploma</v>
          </cell>
          <cell r="R2">
            <v>0</v>
          </cell>
          <cell r="S2">
            <v>0</v>
          </cell>
          <cell r="T2" t="str">
            <v>Diploma</v>
          </cell>
          <cell r="U2">
            <v>0</v>
          </cell>
          <cell r="V2">
            <v>0</v>
          </cell>
          <cell r="W2" t="str">
            <v>Certificate</v>
          </cell>
          <cell r="X2">
            <v>0</v>
          </cell>
          <cell r="Y2">
            <v>0</v>
          </cell>
          <cell r="Z2" t="str">
            <v>Integrated</v>
          </cell>
          <cell r="AA2">
            <v>0</v>
          </cell>
        </row>
        <row r="3">
          <cell r="B3">
            <v>0</v>
          </cell>
          <cell r="D3" t="str">
            <v>Responding</v>
          </cell>
          <cell r="E3" t="str">
            <v>Male</v>
          </cell>
          <cell r="F3" t="str">
            <v>Female</v>
          </cell>
          <cell r="G3" t="str">
            <v>Total</v>
          </cell>
          <cell r="H3" t="str">
            <v>Male</v>
          </cell>
          <cell r="I3" t="str">
            <v>Female</v>
          </cell>
          <cell r="J3" t="str">
            <v>Total</v>
          </cell>
          <cell r="K3" t="str">
            <v>Male</v>
          </cell>
          <cell r="L3" t="str">
            <v>Female</v>
          </cell>
          <cell r="M3" t="str">
            <v>Total</v>
          </cell>
          <cell r="N3" t="str">
            <v>Male</v>
          </cell>
          <cell r="O3" t="str">
            <v>Female</v>
          </cell>
          <cell r="P3" t="str">
            <v>Total</v>
          </cell>
          <cell r="Q3" t="str">
            <v>Male</v>
          </cell>
          <cell r="R3" t="str">
            <v>Female</v>
          </cell>
          <cell r="S3" t="str">
            <v>Total</v>
          </cell>
          <cell r="T3" t="str">
            <v>Male</v>
          </cell>
          <cell r="U3" t="str">
            <v>Female</v>
          </cell>
          <cell r="V3" t="str">
            <v>Total</v>
          </cell>
          <cell r="W3" t="str">
            <v>Male</v>
          </cell>
          <cell r="X3" t="str">
            <v>Female</v>
          </cell>
          <cell r="Y3" t="str">
            <v>Total</v>
          </cell>
          <cell r="Z3" t="str">
            <v>Male</v>
          </cell>
          <cell r="AA3" t="str">
            <v>Female</v>
          </cell>
        </row>
        <row r="4">
          <cell r="B4">
            <v>2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J4">
            <v>10</v>
          </cell>
          <cell r="K4">
            <v>11</v>
          </cell>
          <cell r="L4">
            <v>12</v>
          </cell>
          <cell r="M4">
            <v>13</v>
          </cell>
          <cell r="N4">
            <v>14</v>
          </cell>
          <cell r="O4">
            <v>15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</row>
        <row r="5">
          <cell r="B5" t="str">
            <v>Andaman and Nicobar Islands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502</v>
          </cell>
          <cell r="L5">
            <v>686</v>
          </cell>
          <cell r="M5">
            <v>1188</v>
          </cell>
          <cell r="N5">
            <v>1464</v>
          </cell>
          <cell r="O5">
            <v>1302</v>
          </cell>
          <cell r="P5">
            <v>2766</v>
          </cell>
          <cell r="Q5">
            <v>58</v>
          </cell>
          <cell r="R5">
            <v>40</v>
          </cell>
          <cell r="S5">
            <v>98</v>
          </cell>
          <cell r="T5">
            <v>17</v>
          </cell>
          <cell r="U5">
            <v>31</v>
          </cell>
          <cell r="V5">
            <v>48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</row>
        <row r="6">
          <cell r="B6" t="str">
            <v>Andhra Pradesh</v>
          </cell>
          <cell r="D6">
            <v>39</v>
          </cell>
          <cell r="E6">
            <v>2875</v>
          </cell>
          <cell r="F6">
            <v>2265</v>
          </cell>
          <cell r="G6">
            <v>5140</v>
          </cell>
          <cell r="H6">
            <v>73</v>
          </cell>
          <cell r="I6">
            <v>68</v>
          </cell>
          <cell r="J6">
            <v>141</v>
          </cell>
          <cell r="K6">
            <v>38271</v>
          </cell>
          <cell r="L6">
            <v>37614</v>
          </cell>
          <cell r="M6">
            <v>75885</v>
          </cell>
          <cell r="N6">
            <v>179720</v>
          </cell>
          <cell r="O6">
            <v>132311</v>
          </cell>
          <cell r="P6">
            <v>312031</v>
          </cell>
          <cell r="Q6">
            <v>688</v>
          </cell>
          <cell r="R6">
            <v>476</v>
          </cell>
          <cell r="S6">
            <v>1164</v>
          </cell>
          <cell r="T6">
            <v>591</v>
          </cell>
          <cell r="U6">
            <v>718</v>
          </cell>
          <cell r="V6">
            <v>1309</v>
          </cell>
          <cell r="W6">
            <v>2943</v>
          </cell>
          <cell r="X6">
            <v>4981</v>
          </cell>
          <cell r="Y6">
            <v>7924</v>
          </cell>
          <cell r="Z6">
            <v>2922</v>
          </cell>
          <cell r="AA6">
            <v>2038</v>
          </cell>
        </row>
        <row r="7">
          <cell r="B7" t="str">
            <v>Arunachal Pradesh</v>
          </cell>
          <cell r="D7">
            <v>10</v>
          </cell>
          <cell r="E7">
            <v>593</v>
          </cell>
          <cell r="F7">
            <v>459</v>
          </cell>
          <cell r="G7">
            <v>1052</v>
          </cell>
          <cell r="H7">
            <v>77</v>
          </cell>
          <cell r="I7">
            <v>113</v>
          </cell>
          <cell r="J7">
            <v>190</v>
          </cell>
          <cell r="K7">
            <v>4898</v>
          </cell>
          <cell r="L7">
            <v>5740</v>
          </cell>
          <cell r="M7">
            <v>10638</v>
          </cell>
          <cell r="N7">
            <v>10261</v>
          </cell>
          <cell r="O7">
            <v>8582</v>
          </cell>
          <cell r="P7">
            <v>18843</v>
          </cell>
          <cell r="Q7">
            <v>127</v>
          </cell>
          <cell r="R7">
            <v>144</v>
          </cell>
          <cell r="S7">
            <v>271</v>
          </cell>
          <cell r="T7">
            <v>739</v>
          </cell>
          <cell r="U7">
            <v>505</v>
          </cell>
          <cell r="V7">
            <v>1244</v>
          </cell>
          <cell r="W7">
            <v>299</v>
          </cell>
          <cell r="X7">
            <v>119</v>
          </cell>
          <cell r="Y7">
            <v>418</v>
          </cell>
          <cell r="Z7">
            <v>899</v>
          </cell>
          <cell r="AA7">
            <v>539</v>
          </cell>
        </row>
        <row r="8">
          <cell r="B8" t="str">
            <v>Assam</v>
          </cell>
          <cell r="D8">
            <v>26</v>
          </cell>
          <cell r="E8">
            <v>2935</v>
          </cell>
          <cell r="F8">
            <v>2146</v>
          </cell>
          <cell r="G8">
            <v>5081</v>
          </cell>
          <cell r="H8">
            <v>243</v>
          </cell>
          <cell r="I8">
            <v>345</v>
          </cell>
          <cell r="J8">
            <v>588</v>
          </cell>
          <cell r="K8">
            <v>23406</v>
          </cell>
          <cell r="L8">
            <v>33948</v>
          </cell>
          <cell r="M8">
            <v>57354</v>
          </cell>
          <cell r="N8">
            <v>44712</v>
          </cell>
          <cell r="O8">
            <v>28131</v>
          </cell>
          <cell r="P8">
            <v>72843</v>
          </cell>
          <cell r="Q8">
            <v>1279</v>
          </cell>
          <cell r="R8">
            <v>1064</v>
          </cell>
          <cell r="S8">
            <v>2343</v>
          </cell>
          <cell r="T8">
            <v>586</v>
          </cell>
          <cell r="U8">
            <v>826</v>
          </cell>
          <cell r="V8">
            <v>1412</v>
          </cell>
          <cell r="W8">
            <v>27</v>
          </cell>
          <cell r="X8">
            <v>29</v>
          </cell>
          <cell r="Y8">
            <v>56</v>
          </cell>
          <cell r="Z8">
            <v>1220</v>
          </cell>
          <cell r="AA8">
            <v>1032</v>
          </cell>
        </row>
        <row r="9">
          <cell r="B9" t="str">
            <v>Bihar</v>
          </cell>
          <cell r="D9">
            <v>35</v>
          </cell>
          <cell r="E9">
            <v>1635</v>
          </cell>
          <cell r="F9">
            <v>997</v>
          </cell>
          <cell r="G9">
            <v>2632</v>
          </cell>
          <cell r="H9">
            <v>55</v>
          </cell>
          <cell r="I9">
            <v>15</v>
          </cell>
          <cell r="J9">
            <v>70</v>
          </cell>
          <cell r="K9">
            <v>39522</v>
          </cell>
          <cell r="L9">
            <v>38672</v>
          </cell>
          <cell r="M9">
            <v>78194</v>
          </cell>
          <cell r="N9">
            <v>81226</v>
          </cell>
          <cell r="O9">
            <v>47700</v>
          </cell>
          <cell r="P9">
            <v>128926</v>
          </cell>
          <cell r="Q9">
            <v>1171</v>
          </cell>
          <cell r="R9">
            <v>496</v>
          </cell>
          <cell r="S9">
            <v>1667</v>
          </cell>
          <cell r="T9">
            <v>1548</v>
          </cell>
          <cell r="U9">
            <v>863</v>
          </cell>
          <cell r="V9">
            <v>2411</v>
          </cell>
          <cell r="W9">
            <v>470</v>
          </cell>
          <cell r="X9">
            <v>131</v>
          </cell>
          <cell r="Y9">
            <v>601</v>
          </cell>
          <cell r="Z9">
            <v>1212</v>
          </cell>
          <cell r="AA9">
            <v>657</v>
          </cell>
        </row>
        <row r="10">
          <cell r="B10" t="str">
            <v>Chandigarh</v>
          </cell>
          <cell r="D10">
            <v>3</v>
          </cell>
          <cell r="E10">
            <v>404</v>
          </cell>
          <cell r="F10">
            <v>491</v>
          </cell>
          <cell r="G10">
            <v>895</v>
          </cell>
          <cell r="H10">
            <v>140</v>
          </cell>
          <cell r="I10">
            <v>48</v>
          </cell>
          <cell r="J10">
            <v>188</v>
          </cell>
          <cell r="K10">
            <v>7131</v>
          </cell>
          <cell r="L10">
            <v>9284</v>
          </cell>
          <cell r="M10">
            <v>16415</v>
          </cell>
          <cell r="N10">
            <v>19364</v>
          </cell>
          <cell r="O10">
            <v>9704</v>
          </cell>
          <cell r="P10">
            <v>29068</v>
          </cell>
          <cell r="Q10">
            <v>838</v>
          </cell>
          <cell r="R10">
            <v>708</v>
          </cell>
          <cell r="S10">
            <v>1546</v>
          </cell>
          <cell r="T10">
            <v>370</v>
          </cell>
          <cell r="U10">
            <v>807</v>
          </cell>
          <cell r="V10">
            <v>1177</v>
          </cell>
          <cell r="W10">
            <v>419</v>
          </cell>
          <cell r="X10">
            <v>281</v>
          </cell>
          <cell r="Y10">
            <v>700</v>
          </cell>
          <cell r="Z10">
            <v>1081</v>
          </cell>
          <cell r="AA10">
            <v>1164</v>
          </cell>
        </row>
        <row r="11">
          <cell r="B11" t="str">
            <v>Chhattisgarh</v>
          </cell>
          <cell r="D11">
            <v>28</v>
          </cell>
          <cell r="E11">
            <v>651</v>
          </cell>
          <cell r="F11">
            <v>516</v>
          </cell>
          <cell r="G11">
            <v>1167</v>
          </cell>
          <cell r="H11">
            <v>109</v>
          </cell>
          <cell r="I11">
            <v>89</v>
          </cell>
          <cell r="J11">
            <v>198</v>
          </cell>
          <cell r="K11">
            <v>12638</v>
          </cell>
          <cell r="L11">
            <v>10869</v>
          </cell>
          <cell r="M11">
            <v>23507</v>
          </cell>
          <cell r="N11">
            <v>32223</v>
          </cell>
          <cell r="O11">
            <v>18333</v>
          </cell>
          <cell r="P11">
            <v>50556</v>
          </cell>
          <cell r="Q11">
            <v>9979</v>
          </cell>
          <cell r="R11">
            <v>9741</v>
          </cell>
          <cell r="S11">
            <v>19720</v>
          </cell>
          <cell r="T11">
            <v>18948</v>
          </cell>
          <cell r="U11">
            <v>13141</v>
          </cell>
          <cell r="V11">
            <v>32089</v>
          </cell>
          <cell r="W11">
            <v>47</v>
          </cell>
          <cell r="X11">
            <v>47</v>
          </cell>
          <cell r="Y11">
            <v>94</v>
          </cell>
          <cell r="Z11">
            <v>1485</v>
          </cell>
          <cell r="AA11">
            <v>1246</v>
          </cell>
        </row>
        <row r="12">
          <cell r="B12" t="str">
            <v>Dadra and Nagar Haveli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56</v>
          </cell>
          <cell r="L12">
            <v>62</v>
          </cell>
          <cell r="M12">
            <v>118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</row>
        <row r="13">
          <cell r="B13" t="str">
            <v>Daman and Diu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Delhi</v>
          </cell>
          <cell r="D14">
            <v>27</v>
          </cell>
          <cell r="E14">
            <v>8749</v>
          </cell>
          <cell r="F14">
            <v>7384</v>
          </cell>
          <cell r="G14">
            <v>16133</v>
          </cell>
          <cell r="H14">
            <v>650</v>
          </cell>
          <cell r="I14">
            <v>672</v>
          </cell>
          <cell r="J14">
            <v>1322</v>
          </cell>
          <cell r="K14">
            <v>60600</v>
          </cell>
          <cell r="L14">
            <v>91738</v>
          </cell>
          <cell r="M14">
            <v>152338</v>
          </cell>
          <cell r="N14">
            <v>338247</v>
          </cell>
          <cell r="O14">
            <v>287634</v>
          </cell>
          <cell r="P14">
            <v>625881</v>
          </cell>
          <cell r="Q14">
            <v>3908</v>
          </cell>
          <cell r="R14">
            <v>2868</v>
          </cell>
          <cell r="S14">
            <v>6776</v>
          </cell>
          <cell r="T14">
            <v>4441</v>
          </cell>
          <cell r="U14">
            <v>3074</v>
          </cell>
          <cell r="V14">
            <v>7515</v>
          </cell>
          <cell r="W14">
            <v>1694</v>
          </cell>
          <cell r="X14">
            <v>755</v>
          </cell>
          <cell r="Y14">
            <v>2449</v>
          </cell>
          <cell r="Z14">
            <v>2560</v>
          </cell>
          <cell r="AA14">
            <v>1136</v>
          </cell>
        </row>
        <row r="15">
          <cell r="B15" t="str">
            <v>Goa</v>
          </cell>
          <cell r="D15">
            <v>3</v>
          </cell>
          <cell r="E15">
            <v>150</v>
          </cell>
          <cell r="F15">
            <v>129</v>
          </cell>
          <cell r="G15">
            <v>279</v>
          </cell>
          <cell r="H15">
            <v>0</v>
          </cell>
          <cell r="I15">
            <v>2</v>
          </cell>
          <cell r="J15">
            <v>2</v>
          </cell>
          <cell r="K15">
            <v>1379</v>
          </cell>
          <cell r="L15">
            <v>2229</v>
          </cell>
          <cell r="M15">
            <v>3608</v>
          </cell>
          <cell r="N15">
            <v>2626</v>
          </cell>
          <cell r="O15">
            <v>1184</v>
          </cell>
          <cell r="P15">
            <v>3810</v>
          </cell>
          <cell r="Q15">
            <v>67</v>
          </cell>
          <cell r="R15">
            <v>68</v>
          </cell>
          <cell r="S15">
            <v>135</v>
          </cell>
          <cell r="T15">
            <v>27</v>
          </cell>
          <cell r="U15">
            <v>58</v>
          </cell>
          <cell r="V15">
            <v>85</v>
          </cell>
          <cell r="W15">
            <v>5</v>
          </cell>
          <cell r="X15">
            <v>4</v>
          </cell>
          <cell r="Y15">
            <v>9</v>
          </cell>
          <cell r="Z15">
            <v>82</v>
          </cell>
          <cell r="AA15">
            <v>50</v>
          </cell>
        </row>
        <row r="16">
          <cell r="B16" t="str">
            <v>Gujarat</v>
          </cell>
          <cell r="D16">
            <v>76</v>
          </cell>
          <cell r="E16">
            <v>3981</v>
          </cell>
          <cell r="F16">
            <v>2825</v>
          </cell>
          <cell r="G16">
            <v>6806</v>
          </cell>
          <cell r="H16">
            <v>305</v>
          </cell>
          <cell r="I16">
            <v>377</v>
          </cell>
          <cell r="J16">
            <v>682</v>
          </cell>
          <cell r="K16">
            <v>30934</v>
          </cell>
          <cell r="L16">
            <v>35180</v>
          </cell>
          <cell r="M16">
            <v>66114</v>
          </cell>
          <cell r="N16">
            <v>131699</v>
          </cell>
          <cell r="O16">
            <v>81926</v>
          </cell>
          <cell r="P16">
            <v>213625</v>
          </cell>
          <cell r="Q16">
            <v>2054</v>
          </cell>
          <cell r="R16">
            <v>1826</v>
          </cell>
          <cell r="S16">
            <v>3880</v>
          </cell>
          <cell r="T16">
            <v>10208</v>
          </cell>
          <cell r="U16">
            <v>4722</v>
          </cell>
          <cell r="V16">
            <v>14930</v>
          </cell>
          <cell r="W16">
            <v>2192</v>
          </cell>
          <cell r="X16">
            <v>3099</v>
          </cell>
          <cell r="Y16">
            <v>5291</v>
          </cell>
          <cell r="Z16">
            <v>5757</v>
          </cell>
          <cell r="AA16">
            <v>5383</v>
          </cell>
        </row>
        <row r="17">
          <cell r="B17" t="str">
            <v>Haryana</v>
          </cell>
          <cell r="D17">
            <v>51</v>
          </cell>
          <cell r="E17">
            <v>1644</v>
          </cell>
          <cell r="F17">
            <v>2071</v>
          </cell>
          <cell r="G17">
            <v>3715</v>
          </cell>
          <cell r="H17">
            <v>80</v>
          </cell>
          <cell r="I17">
            <v>219</v>
          </cell>
          <cell r="J17">
            <v>299</v>
          </cell>
          <cell r="K17">
            <v>27496</v>
          </cell>
          <cell r="L17">
            <v>36084</v>
          </cell>
          <cell r="M17">
            <v>63580</v>
          </cell>
          <cell r="N17">
            <v>124584</v>
          </cell>
          <cell r="O17">
            <v>62065</v>
          </cell>
          <cell r="P17">
            <v>186649</v>
          </cell>
          <cell r="Q17">
            <v>1231</v>
          </cell>
          <cell r="R17">
            <v>826</v>
          </cell>
          <cell r="S17">
            <v>2057</v>
          </cell>
          <cell r="T17">
            <v>2707</v>
          </cell>
          <cell r="U17">
            <v>773</v>
          </cell>
          <cell r="V17">
            <v>3480</v>
          </cell>
          <cell r="W17">
            <v>250</v>
          </cell>
          <cell r="X17">
            <v>162</v>
          </cell>
          <cell r="Y17">
            <v>412</v>
          </cell>
          <cell r="Z17">
            <v>6071</v>
          </cell>
          <cell r="AA17">
            <v>5251</v>
          </cell>
        </row>
        <row r="18">
          <cell r="B18" t="str">
            <v>Himachal Pradesh</v>
          </cell>
          <cell r="D18">
            <v>27</v>
          </cell>
          <cell r="E18">
            <v>1022</v>
          </cell>
          <cell r="F18">
            <v>895</v>
          </cell>
          <cell r="G18">
            <v>1917</v>
          </cell>
          <cell r="H18">
            <v>118</v>
          </cell>
          <cell r="I18">
            <v>214</v>
          </cell>
          <cell r="J18">
            <v>332</v>
          </cell>
          <cell r="K18">
            <v>10083</v>
          </cell>
          <cell r="L18">
            <v>10115</v>
          </cell>
          <cell r="M18">
            <v>20198</v>
          </cell>
          <cell r="N18">
            <v>36070</v>
          </cell>
          <cell r="O18">
            <v>25018</v>
          </cell>
          <cell r="P18">
            <v>61088</v>
          </cell>
          <cell r="Q18">
            <v>870</v>
          </cell>
          <cell r="R18">
            <v>843</v>
          </cell>
          <cell r="S18">
            <v>1713</v>
          </cell>
          <cell r="T18">
            <v>1400</v>
          </cell>
          <cell r="U18">
            <v>1020</v>
          </cell>
          <cell r="V18">
            <v>2420</v>
          </cell>
          <cell r="W18">
            <v>96</v>
          </cell>
          <cell r="X18">
            <v>74</v>
          </cell>
          <cell r="Y18">
            <v>170</v>
          </cell>
          <cell r="Z18">
            <v>933</v>
          </cell>
          <cell r="AA18">
            <v>466</v>
          </cell>
        </row>
        <row r="19">
          <cell r="B19" t="str">
            <v>Jammu and Kashmir</v>
          </cell>
          <cell r="D19">
            <v>15</v>
          </cell>
          <cell r="E19">
            <v>2018</v>
          </cell>
          <cell r="F19">
            <v>1822</v>
          </cell>
          <cell r="G19">
            <v>3840</v>
          </cell>
          <cell r="H19">
            <v>94</v>
          </cell>
          <cell r="I19">
            <v>149</v>
          </cell>
          <cell r="J19">
            <v>243</v>
          </cell>
          <cell r="K19">
            <v>26558</v>
          </cell>
          <cell r="L19">
            <v>32631</v>
          </cell>
          <cell r="M19">
            <v>59189</v>
          </cell>
          <cell r="N19">
            <v>50747</v>
          </cell>
          <cell r="O19">
            <v>32963</v>
          </cell>
          <cell r="P19">
            <v>83710</v>
          </cell>
          <cell r="Q19">
            <v>758</v>
          </cell>
          <cell r="R19">
            <v>510</v>
          </cell>
          <cell r="S19">
            <v>1268</v>
          </cell>
          <cell r="T19">
            <v>313</v>
          </cell>
          <cell r="U19">
            <v>370</v>
          </cell>
          <cell r="V19">
            <v>683</v>
          </cell>
          <cell r="W19">
            <v>58</v>
          </cell>
          <cell r="X19">
            <v>16</v>
          </cell>
          <cell r="Y19">
            <v>74</v>
          </cell>
          <cell r="Z19">
            <v>1146</v>
          </cell>
          <cell r="AA19">
            <v>1629</v>
          </cell>
        </row>
        <row r="20">
          <cell r="B20" t="str">
            <v>Jharkhand</v>
          </cell>
          <cell r="D20">
            <v>31</v>
          </cell>
          <cell r="E20">
            <v>2438</v>
          </cell>
          <cell r="F20">
            <v>1005</v>
          </cell>
          <cell r="G20">
            <v>3443</v>
          </cell>
          <cell r="H20">
            <v>8</v>
          </cell>
          <cell r="I20">
            <v>20</v>
          </cell>
          <cell r="J20">
            <v>28</v>
          </cell>
          <cell r="K20">
            <v>29945</v>
          </cell>
          <cell r="L20">
            <v>39137</v>
          </cell>
          <cell r="M20">
            <v>69082</v>
          </cell>
          <cell r="N20">
            <v>55139</v>
          </cell>
          <cell r="O20">
            <v>32305</v>
          </cell>
          <cell r="P20">
            <v>87444</v>
          </cell>
          <cell r="Q20">
            <v>1933</v>
          </cell>
          <cell r="R20">
            <v>943</v>
          </cell>
          <cell r="S20">
            <v>2876</v>
          </cell>
          <cell r="T20">
            <v>4354</v>
          </cell>
          <cell r="U20">
            <v>2546</v>
          </cell>
          <cell r="V20">
            <v>6900</v>
          </cell>
          <cell r="W20">
            <v>112</v>
          </cell>
          <cell r="X20">
            <v>106</v>
          </cell>
          <cell r="Y20">
            <v>218</v>
          </cell>
          <cell r="Z20">
            <v>1725</v>
          </cell>
          <cell r="AA20">
            <v>965</v>
          </cell>
        </row>
        <row r="21">
          <cell r="B21" t="str">
            <v>Karnataka</v>
          </cell>
          <cell r="D21">
            <v>69</v>
          </cell>
          <cell r="E21">
            <v>7501</v>
          </cell>
          <cell r="F21">
            <v>5943</v>
          </cell>
          <cell r="G21">
            <v>13444</v>
          </cell>
          <cell r="H21">
            <v>160</v>
          </cell>
          <cell r="I21">
            <v>368</v>
          </cell>
          <cell r="J21">
            <v>528</v>
          </cell>
          <cell r="K21">
            <v>53858</v>
          </cell>
          <cell r="L21">
            <v>65454</v>
          </cell>
          <cell r="M21">
            <v>119312</v>
          </cell>
          <cell r="N21">
            <v>115522</v>
          </cell>
          <cell r="O21">
            <v>89581</v>
          </cell>
          <cell r="P21">
            <v>205103</v>
          </cell>
          <cell r="Q21">
            <v>3173</v>
          </cell>
          <cell r="R21">
            <v>2128</v>
          </cell>
          <cell r="S21">
            <v>5301</v>
          </cell>
          <cell r="T21">
            <v>1198</v>
          </cell>
          <cell r="U21">
            <v>1124</v>
          </cell>
          <cell r="V21">
            <v>2322</v>
          </cell>
          <cell r="W21">
            <v>404</v>
          </cell>
          <cell r="X21">
            <v>364</v>
          </cell>
          <cell r="Y21">
            <v>768</v>
          </cell>
          <cell r="Z21">
            <v>3029</v>
          </cell>
          <cell r="AA21">
            <v>2252</v>
          </cell>
        </row>
        <row r="22">
          <cell r="B22" t="str">
            <v>Kerala</v>
          </cell>
          <cell r="D22">
            <v>23</v>
          </cell>
          <cell r="E22">
            <v>1842</v>
          </cell>
          <cell r="F22">
            <v>2666</v>
          </cell>
          <cell r="G22">
            <v>4508</v>
          </cell>
          <cell r="H22">
            <v>171</v>
          </cell>
          <cell r="I22">
            <v>553</v>
          </cell>
          <cell r="J22">
            <v>724</v>
          </cell>
          <cell r="K22">
            <v>24415</v>
          </cell>
          <cell r="L22">
            <v>38598</v>
          </cell>
          <cell r="M22">
            <v>63013</v>
          </cell>
          <cell r="N22">
            <v>124010</v>
          </cell>
          <cell r="O22">
            <v>113314</v>
          </cell>
          <cell r="P22">
            <v>237324</v>
          </cell>
          <cell r="Q22">
            <v>932</v>
          </cell>
          <cell r="R22">
            <v>812</v>
          </cell>
          <cell r="S22">
            <v>1744</v>
          </cell>
          <cell r="T22">
            <v>327</v>
          </cell>
          <cell r="U22">
            <v>555</v>
          </cell>
          <cell r="V22">
            <v>882</v>
          </cell>
          <cell r="W22">
            <v>960</v>
          </cell>
          <cell r="X22">
            <v>1990</v>
          </cell>
          <cell r="Y22">
            <v>2950</v>
          </cell>
          <cell r="Z22">
            <v>876</v>
          </cell>
          <cell r="AA22">
            <v>814</v>
          </cell>
        </row>
        <row r="23">
          <cell r="B23" t="str">
            <v>Ladakh</v>
          </cell>
          <cell r="D23">
            <v>1</v>
          </cell>
          <cell r="E23">
            <v>6</v>
          </cell>
          <cell r="F23">
            <v>2</v>
          </cell>
          <cell r="G23">
            <v>8</v>
          </cell>
          <cell r="H23">
            <v>0</v>
          </cell>
          <cell r="I23">
            <v>0</v>
          </cell>
          <cell r="J23">
            <v>0</v>
          </cell>
          <cell r="K23">
            <v>26</v>
          </cell>
          <cell r="L23">
            <v>28</v>
          </cell>
          <cell r="M23">
            <v>54</v>
          </cell>
          <cell r="N23">
            <v>77</v>
          </cell>
          <cell r="O23">
            <v>69</v>
          </cell>
          <cell r="P23">
            <v>146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57</v>
          </cell>
          <cell r="AA23">
            <v>98</v>
          </cell>
        </row>
        <row r="24">
          <cell r="B24" t="str">
            <v>Lakshadweep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26</v>
          </cell>
          <cell r="M24">
            <v>26</v>
          </cell>
          <cell r="N24">
            <v>133</v>
          </cell>
          <cell r="O24">
            <v>401</v>
          </cell>
          <cell r="P24">
            <v>534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Madhya Pradesh</v>
          </cell>
          <cell r="D25">
            <v>59</v>
          </cell>
          <cell r="E25">
            <v>2460</v>
          </cell>
          <cell r="F25">
            <v>1704</v>
          </cell>
          <cell r="G25">
            <v>4164</v>
          </cell>
          <cell r="H25">
            <v>365</v>
          </cell>
          <cell r="I25">
            <v>338</v>
          </cell>
          <cell r="J25">
            <v>703</v>
          </cell>
          <cell r="K25">
            <v>38474</v>
          </cell>
          <cell r="L25">
            <v>39614</v>
          </cell>
          <cell r="M25">
            <v>78088</v>
          </cell>
          <cell r="N25">
            <v>218008</v>
          </cell>
          <cell r="O25">
            <v>127514</v>
          </cell>
          <cell r="P25">
            <v>345522</v>
          </cell>
          <cell r="Q25">
            <v>13626</v>
          </cell>
          <cell r="R25">
            <v>16235</v>
          </cell>
          <cell r="S25">
            <v>29861</v>
          </cell>
          <cell r="T25">
            <v>36444</v>
          </cell>
          <cell r="U25">
            <v>19504</v>
          </cell>
          <cell r="V25">
            <v>55948</v>
          </cell>
          <cell r="W25">
            <v>1617</v>
          </cell>
          <cell r="X25">
            <v>457</v>
          </cell>
          <cell r="Y25">
            <v>2074</v>
          </cell>
          <cell r="Z25">
            <v>5732</v>
          </cell>
          <cell r="AA25">
            <v>3757</v>
          </cell>
        </row>
        <row r="26">
          <cell r="B26" t="str">
            <v>Maharashtra</v>
          </cell>
          <cell r="D26">
            <v>65</v>
          </cell>
          <cell r="E26">
            <v>5009</v>
          </cell>
          <cell r="F26">
            <v>3314</v>
          </cell>
          <cell r="G26">
            <v>8323</v>
          </cell>
          <cell r="H26">
            <v>604</v>
          </cell>
          <cell r="I26">
            <v>543</v>
          </cell>
          <cell r="J26">
            <v>1147</v>
          </cell>
          <cell r="K26">
            <v>105831</v>
          </cell>
          <cell r="L26">
            <v>103838</v>
          </cell>
          <cell r="M26">
            <v>209669</v>
          </cell>
          <cell r="N26">
            <v>444375</v>
          </cell>
          <cell r="O26">
            <v>247422</v>
          </cell>
          <cell r="P26">
            <v>691797</v>
          </cell>
          <cell r="Q26">
            <v>5823</v>
          </cell>
          <cell r="R26">
            <v>4747</v>
          </cell>
          <cell r="S26">
            <v>10570</v>
          </cell>
          <cell r="T26">
            <v>19373</v>
          </cell>
          <cell r="U26">
            <v>11936</v>
          </cell>
          <cell r="V26">
            <v>31309</v>
          </cell>
          <cell r="W26">
            <v>5256</v>
          </cell>
          <cell r="X26">
            <v>3351</v>
          </cell>
          <cell r="Y26">
            <v>8607</v>
          </cell>
          <cell r="Z26">
            <v>3341</v>
          </cell>
          <cell r="AA26">
            <v>2271</v>
          </cell>
        </row>
        <row r="27">
          <cell r="B27" t="str">
            <v>Manipur</v>
          </cell>
          <cell r="D27">
            <v>7</v>
          </cell>
          <cell r="E27">
            <v>538</v>
          </cell>
          <cell r="F27">
            <v>505</v>
          </cell>
          <cell r="G27">
            <v>1043</v>
          </cell>
          <cell r="H27">
            <v>0</v>
          </cell>
          <cell r="I27">
            <v>0</v>
          </cell>
          <cell r="J27">
            <v>0</v>
          </cell>
          <cell r="K27">
            <v>3935</v>
          </cell>
          <cell r="L27">
            <v>3771</v>
          </cell>
          <cell r="M27">
            <v>7706</v>
          </cell>
          <cell r="N27">
            <v>3582</v>
          </cell>
          <cell r="O27">
            <v>2589</v>
          </cell>
          <cell r="P27">
            <v>6171</v>
          </cell>
          <cell r="Q27">
            <v>105</v>
          </cell>
          <cell r="R27">
            <v>39</v>
          </cell>
          <cell r="S27">
            <v>144</v>
          </cell>
          <cell r="T27">
            <v>78</v>
          </cell>
          <cell r="U27">
            <v>69</v>
          </cell>
          <cell r="V27">
            <v>147</v>
          </cell>
          <cell r="W27">
            <v>44</v>
          </cell>
          <cell r="X27">
            <v>17</v>
          </cell>
          <cell r="Y27">
            <v>61</v>
          </cell>
          <cell r="Z27">
            <v>0</v>
          </cell>
          <cell r="AA27">
            <v>0</v>
          </cell>
        </row>
        <row r="28">
          <cell r="B28" t="str">
            <v>Meghalaya</v>
          </cell>
          <cell r="D28">
            <v>9</v>
          </cell>
          <cell r="E28">
            <v>492</v>
          </cell>
          <cell r="F28">
            <v>378</v>
          </cell>
          <cell r="G28">
            <v>870</v>
          </cell>
          <cell r="H28">
            <v>10</v>
          </cell>
          <cell r="I28">
            <v>23</v>
          </cell>
          <cell r="J28">
            <v>33</v>
          </cell>
          <cell r="K28">
            <v>4028</v>
          </cell>
          <cell r="L28">
            <v>5887</v>
          </cell>
          <cell r="M28">
            <v>9915</v>
          </cell>
          <cell r="N28">
            <v>5143</v>
          </cell>
          <cell r="O28">
            <v>4432</v>
          </cell>
          <cell r="P28">
            <v>9575</v>
          </cell>
          <cell r="Q28">
            <v>106</v>
          </cell>
          <cell r="R28">
            <v>58</v>
          </cell>
          <cell r="S28">
            <v>164</v>
          </cell>
          <cell r="T28">
            <v>153</v>
          </cell>
          <cell r="U28">
            <v>177</v>
          </cell>
          <cell r="V28">
            <v>330</v>
          </cell>
          <cell r="W28">
            <v>48</v>
          </cell>
          <cell r="X28">
            <v>48</v>
          </cell>
          <cell r="Y28">
            <v>96</v>
          </cell>
          <cell r="Z28">
            <v>70</v>
          </cell>
          <cell r="AA28">
            <v>52</v>
          </cell>
        </row>
        <row r="29">
          <cell r="B29" t="str">
            <v>Mizoram</v>
          </cell>
          <cell r="D29">
            <v>3</v>
          </cell>
          <cell r="E29">
            <v>474</v>
          </cell>
          <cell r="F29">
            <v>379</v>
          </cell>
          <cell r="G29">
            <v>853</v>
          </cell>
          <cell r="H29">
            <v>74</v>
          </cell>
          <cell r="I29">
            <v>74</v>
          </cell>
          <cell r="J29">
            <v>148</v>
          </cell>
          <cell r="K29">
            <v>1842</v>
          </cell>
          <cell r="L29">
            <v>2146</v>
          </cell>
          <cell r="M29">
            <v>3988</v>
          </cell>
          <cell r="N29">
            <v>3489</v>
          </cell>
          <cell r="O29">
            <v>2734</v>
          </cell>
          <cell r="P29">
            <v>6223</v>
          </cell>
          <cell r="Q29">
            <v>90</v>
          </cell>
          <cell r="R29">
            <v>113</v>
          </cell>
          <cell r="S29">
            <v>203</v>
          </cell>
          <cell r="T29">
            <v>27</v>
          </cell>
          <cell r="U29">
            <v>72</v>
          </cell>
          <cell r="V29">
            <v>99</v>
          </cell>
          <cell r="W29">
            <v>0</v>
          </cell>
          <cell r="X29">
            <v>0</v>
          </cell>
          <cell r="Y29">
            <v>0</v>
          </cell>
          <cell r="Z29">
            <v>47</v>
          </cell>
          <cell r="AA29">
            <v>26</v>
          </cell>
        </row>
        <row r="30">
          <cell r="B30" t="str">
            <v>Nagaland</v>
          </cell>
          <cell r="D30">
            <v>5</v>
          </cell>
          <cell r="E30">
            <v>265</v>
          </cell>
          <cell r="F30">
            <v>306</v>
          </cell>
          <cell r="G30">
            <v>571</v>
          </cell>
          <cell r="H30">
            <v>10</v>
          </cell>
          <cell r="I30">
            <v>28</v>
          </cell>
          <cell r="J30">
            <v>38</v>
          </cell>
          <cell r="K30">
            <v>1792</v>
          </cell>
          <cell r="L30">
            <v>3096</v>
          </cell>
          <cell r="M30">
            <v>4888</v>
          </cell>
          <cell r="N30">
            <v>2064</v>
          </cell>
          <cell r="O30">
            <v>1587</v>
          </cell>
          <cell r="P30">
            <v>3651</v>
          </cell>
          <cell r="Q30">
            <v>46</v>
          </cell>
          <cell r="R30">
            <v>89</v>
          </cell>
          <cell r="S30">
            <v>135</v>
          </cell>
          <cell r="T30">
            <v>15</v>
          </cell>
          <cell r="U30">
            <v>64</v>
          </cell>
          <cell r="V30">
            <v>79</v>
          </cell>
          <cell r="W30">
            <v>5</v>
          </cell>
          <cell r="X30">
            <v>3</v>
          </cell>
          <cell r="Y30">
            <v>8</v>
          </cell>
          <cell r="Z30">
            <v>6</v>
          </cell>
          <cell r="AA30">
            <v>0</v>
          </cell>
        </row>
        <row r="31">
          <cell r="B31" t="str">
            <v>Odisha</v>
          </cell>
          <cell r="D31">
            <v>32</v>
          </cell>
          <cell r="E31">
            <v>1871</v>
          </cell>
          <cell r="F31">
            <v>1321</v>
          </cell>
          <cell r="G31">
            <v>3192</v>
          </cell>
          <cell r="H31">
            <v>356</v>
          </cell>
          <cell r="I31">
            <v>521</v>
          </cell>
          <cell r="J31">
            <v>877</v>
          </cell>
          <cell r="K31">
            <v>25224</v>
          </cell>
          <cell r="L31">
            <v>31077</v>
          </cell>
          <cell r="M31">
            <v>56301</v>
          </cell>
          <cell r="N31">
            <v>50915</v>
          </cell>
          <cell r="O31">
            <v>43480</v>
          </cell>
          <cell r="P31">
            <v>94395</v>
          </cell>
          <cell r="Q31">
            <v>1149</v>
          </cell>
          <cell r="R31">
            <v>517</v>
          </cell>
          <cell r="S31">
            <v>1666</v>
          </cell>
          <cell r="T31">
            <v>1593</v>
          </cell>
          <cell r="U31">
            <v>563</v>
          </cell>
          <cell r="V31">
            <v>2156</v>
          </cell>
          <cell r="W31">
            <v>93</v>
          </cell>
          <cell r="X31">
            <v>137</v>
          </cell>
          <cell r="Y31">
            <v>230</v>
          </cell>
          <cell r="Z31">
            <v>2303</v>
          </cell>
          <cell r="AA31">
            <v>2058</v>
          </cell>
        </row>
        <row r="32">
          <cell r="B32" t="str">
            <v>Puducherry</v>
          </cell>
          <cell r="D32">
            <v>4</v>
          </cell>
          <cell r="E32">
            <v>245</v>
          </cell>
          <cell r="F32">
            <v>145</v>
          </cell>
          <cell r="G32">
            <v>390</v>
          </cell>
          <cell r="H32">
            <v>14</v>
          </cell>
          <cell r="I32">
            <v>6</v>
          </cell>
          <cell r="J32">
            <v>20</v>
          </cell>
          <cell r="K32">
            <v>10276</v>
          </cell>
          <cell r="L32">
            <v>9211</v>
          </cell>
          <cell r="M32">
            <v>19487</v>
          </cell>
          <cell r="N32">
            <v>4243</v>
          </cell>
          <cell r="O32">
            <v>4829</v>
          </cell>
          <cell r="P32">
            <v>9072</v>
          </cell>
          <cell r="Q32">
            <v>49</v>
          </cell>
          <cell r="R32">
            <v>46</v>
          </cell>
          <cell r="S32">
            <v>95</v>
          </cell>
          <cell r="T32">
            <v>1</v>
          </cell>
          <cell r="U32">
            <v>14</v>
          </cell>
          <cell r="V32">
            <v>15</v>
          </cell>
          <cell r="W32">
            <v>0</v>
          </cell>
          <cell r="X32">
            <v>0</v>
          </cell>
          <cell r="Y32">
            <v>0</v>
          </cell>
          <cell r="Z32">
            <v>530</v>
          </cell>
          <cell r="AA32">
            <v>487</v>
          </cell>
        </row>
        <row r="33">
          <cell r="B33" t="str">
            <v>Punjab</v>
          </cell>
          <cell r="D33">
            <v>32</v>
          </cell>
          <cell r="E33">
            <v>4107</v>
          </cell>
          <cell r="F33">
            <v>4888</v>
          </cell>
          <cell r="G33">
            <v>8995</v>
          </cell>
          <cell r="H33">
            <v>303</v>
          </cell>
          <cell r="I33">
            <v>293</v>
          </cell>
          <cell r="J33">
            <v>596</v>
          </cell>
          <cell r="K33">
            <v>23410</v>
          </cell>
          <cell r="L33">
            <v>27671</v>
          </cell>
          <cell r="M33">
            <v>51081</v>
          </cell>
          <cell r="N33">
            <v>99715</v>
          </cell>
          <cell r="O33">
            <v>53465</v>
          </cell>
          <cell r="P33">
            <v>153180</v>
          </cell>
          <cell r="Q33">
            <v>952</v>
          </cell>
          <cell r="R33">
            <v>877</v>
          </cell>
          <cell r="S33">
            <v>1829</v>
          </cell>
          <cell r="T33">
            <v>7606</v>
          </cell>
          <cell r="U33">
            <v>12709</v>
          </cell>
          <cell r="V33">
            <v>20315</v>
          </cell>
          <cell r="W33">
            <v>282</v>
          </cell>
          <cell r="X33">
            <v>257</v>
          </cell>
          <cell r="Y33">
            <v>539</v>
          </cell>
          <cell r="Z33">
            <v>3615</v>
          </cell>
          <cell r="AA33">
            <v>3666</v>
          </cell>
        </row>
        <row r="34">
          <cell r="B34" t="str">
            <v>Rajasthan</v>
          </cell>
          <cell r="D34">
            <v>85</v>
          </cell>
          <cell r="E34">
            <v>4989</v>
          </cell>
          <cell r="F34">
            <v>5093</v>
          </cell>
          <cell r="G34">
            <v>10082</v>
          </cell>
          <cell r="H34">
            <v>261</v>
          </cell>
          <cell r="I34">
            <v>203</v>
          </cell>
          <cell r="J34">
            <v>464</v>
          </cell>
          <cell r="K34">
            <v>71936</v>
          </cell>
          <cell r="L34">
            <v>45325</v>
          </cell>
          <cell r="M34">
            <v>117261</v>
          </cell>
          <cell r="N34">
            <v>168208</v>
          </cell>
          <cell r="O34">
            <v>85050</v>
          </cell>
          <cell r="P34">
            <v>253258</v>
          </cell>
          <cell r="Q34">
            <v>3566</v>
          </cell>
          <cell r="R34">
            <v>1905</v>
          </cell>
          <cell r="S34">
            <v>5471</v>
          </cell>
          <cell r="T34">
            <v>19816</v>
          </cell>
          <cell r="U34">
            <v>7517</v>
          </cell>
          <cell r="V34">
            <v>27333</v>
          </cell>
          <cell r="W34">
            <v>2427</v>
          </cell>
          <cell r="X34">
            <v>1572</v>
          </cell>
          <cell r="Y34">
            <v>3999</v>
          </cell>
          <cell r="Z34">
            <v>10163</v>
          </cell>
          <cell r="AA34">
            <v>6100</v>
          </cell>
        </row>
        <row r="35">
          <cell r="B35" t="str">
            <v>Sikkim</v>
          </cell>
          <cell r="D35">
            <v>7</v>
          </cell>
          <cell r="E35">
            <v>212</v>
          </cell>
          <cell r="F35">
            <v>191</v>
          </cell>
          <cell r="G35">
            <v>403</v>
          </cell>
          <cell r="H35">
            <v>43</v>
          </cell>
          <cell r="I35">
            <v>44</v>
          </cell>
          <cell r="J35">
            <v>87</v>
          </cell>
          <cell r="K35">
            <v>17312</v>
          </cell>
          <cell r="L35">
            <v>10545</v>
          </cell>
          <cell r="M35">
            <v>27857</v>
          </cell>
          <cell r="N35">
            <v>9249</v>
          </cell>
          <cell r="O35">
            <v>6183</v>
          </cell>
          <cell r="P35">
            <v>15432</v>
          </cell>
          <cell r="Q35">
            <v>23</v>
          </cell>
          <cell r="R35">
            <v>18</v>
          </cell>
          <cell r="S35">
            <v>41</v>
          </cell>
          <cell r="T35">
            <v>134</v>
          </cell>
          <cell r="U35">
            <v>459</v>
          </cell>
          <cell r="V35">
            <v>593</v>
          </cell>
          <cell r="W35">
            <v>0</v>
          </cell>
          <cell r="X35">
            <v>0</v>
          </cell>
          <cell r="Y35">
            <v>0</v>
          </cell>
          <cell r="Z35">
            <v>21</v>
          </cell>
          <cell r="AA35">
            <v>33</v>
          </cell>
        </row>
        <row r="36">
          <cell r="B36" t="str">
            <v>Tamil Nadu</v>
          </cell>
          <cell r="D36">
            <v>59</v>
          </cell>
          <cell r="E36">
            <v>12930</v>
          </cell>
          <cell r="F36">
            <v>10571</v>
          </cell>
          <cell r="G36">
            <v>23501</v>
          </cell>
          <cell r="H36">
            <v>675</v>
          </cell>
          <cell r="I36">
            <v>2713</v>
          </cell>
          <cell r="J36">
            <v>3388</v>
          </cell>
          <cell r="K36">
            <v>113084</v>
          </cell>
          <cell r="L36">
            <v>150077</v>
          </cell>
          <cell r="M36">
            <v>263161</v>
          </cell>
          <cell r="N36">
            <v>346695</v>
          </cell>
          <cell r="O36">
            <v>230905</v>
          </cell>
          <cell r="P36">
            <v>577600</v>
          </cell>
          <cell r="Q36">
            <v>7923</v>
          </cell>
          <cell r="R36">
            <v>5349</v>
          </cell>
          <cell r="S36">
            <v>13272</v>
          </cell>
          <cell r="T36">
            <v>7126</v>
          </cell>
          <cell r="U36">
            <v>9201</v>
          </cell>
          <cell r="V36">
            <v>16327</v>
          </cell>
          <cell r="W36">
            <v>6819</v>
          </cell>
          <cell r="X36">
            <v>6083</v>
          </cell>
          <cell r="Y36">
            <v>12902</v>
          </cell>
          <cell r="Z36">
            <v>8882</v>
          </cell>
          <cell r="AA36">
            <v>7457</v>
          </cell>
        </row>
        <row r="37">
          <cell r="B37" t="str">
            <v>Telangana</v>
          </cell>
          <cell r="D37">
            <v>24</v>
          </cell>
          <cell r="E37">
            <v>3488</v>
          </cell>
          <cell r="F37">
            <v>1962</v>
          </cell>
          <cell r="G37">
            <v>5450</v>
          </cell>
          <cell r="H37">
            <v>193</v>
          </cell>
          <cell r="I37">
            <v>130</v>
          </cell>
          <cell r="J37">
            <v>323</v>
          </cell>
          <cell r="K37">
            <v>28792</v>
          </cell>
          <cell r="L37">
            <v>31202</v>
          </cell>
          <cell r="M37">
            <v>59994</v>
          </cell>
          <cell r="N37">
            <v>23113</v>
          </cell>
          <cell r="O37">
            <v>17955</v>
          </cell>
          <cell r="P37">
            <v>41068</v>
          </cell>
          <cell r="Q37">
            <v>1816</v>
          </cell>
          <cell r="R37">
            <v>1149</v>
          </cell>
          <cell r="S37">
            <v>2965</v>
          </cell>
          <cell r="T37">
            <v>1699</v>
          </cell>
          <cell r="U37">
            <v>648</v>
          </cell>
          <cell r="V37">
            <v>2347</v>
          </cell>
          <cell r="W37">
            <v>771</v>
          </cell>
          <cell r="X37">
            <v>465</v>
          </cell>
          <cell r="Y37">
            <v>1236</v>
          </cell>
          <cell r="Z37">
            <v>2249</v>
          </cell>
          <cell r="AA37">
            <v>1535</v>
          </cell>
        </row>
        <row r="38">
          <cell r="B38" t="str">
            <v>Tripura</v>
          </cell>
          <cell r="D38">
            <v>4</v>
          </cell>
          <cell r="E38">
            <v>381</v>
          </cell>
          <cell r="F38">
            <v>223</v>
          </cell>
          <cell r="G38">
            <v>604</v>
          </cell>
          <cell r="H38">
            <v>0</v>
          </cell>
          <cell r="I38">
            <v>0</v>
          </cell>
          <cell r="J38">
            <v>0</v>
          </cell>
          <cell r="K38">
            <v>5812</v>
          </cell>
          <cell r="L38">
            <v>5716</v>
          </cell>
          <cell r="M38">
            <v>11528</v>
          </cell>
          <cell r="N38">
            <v>6887</v>
          </cell>
          <cell r="O38">
            <v>2735</v>
          </cell>
          <cell r="P38">
            <v>9622</v>
          </cell>
          <cell r="Q38">
            <v>67</v>
          </cell>
          <cell r="R38">
            <v>64</v>
          </cell>
          <cell r="S38">
            <v>131</v>
          </cell>
          <cell r="T38">
            <v>18</v>
          </cell>
          <cell r="U38">
            <v>17</v>
          </cell>
          <cell r="V38">
            <v>35</v>
          </cell>
          <cell r="W38">
            <v>0</v>
          </cell>
          <cell r="X38">
            <v>0</v>
          </cell>
          <cell r="Y38">
            <v>0</v>
          </cell>
          <cell r="Z38">
            <v>396</v>
          </cell>
          <cell r="AA38">
            <v>242</v>
          </cell>
        </row>
        <row r="39">
          <cell r="B39" t="str">
            <v>Uttar Pradesh</v>
          </cell>
          <cell r="D39">
            <v>77</v>
          </cell>
          <cell r="E39">
            <v>12829</v>
          </cell>
          <cell r="F39">
            <v>9383</v>
          </cell>
          <cell r="G39">
            <v>22212</v>
          </cell>
          <cell r="H39">
            <v>187</v>
          </cell>
          <cell r="I39">
            <v>303</v>
          </cell>
          <cell r="J39">
            <v>490</v>
          </cell>
          <cell r="K39">
            <v>70214</v>
          </cell>
          <cell r="L39">
            <v>58064</v>
          </cell>
          <cell r="M39">
            <v>128278</v>
          </cell>
          <cell r="N39">
            <v>224551</v>
          </cell>
          <cell r="O39">
            <v>117701</v>
          </cell>
          <cell r="P39">
            <v>342252</v>
          </cell>
          <cell r="Q39">
            <v>8379</v>
          </cell>
          <cell r="R39">
            <v>7089</v>
          </cell>
          <cell r="S39">
            <v>15468</v>
          </cell>
          <cell r="T39">
            <v>24836</v>
          </cell>
          <cell r="U39">
            <v>7712</v>
          </cell>
          <cell r="V39">
            <v>32548</v>
          </cell>
          <cell r="W39">
            <v>2455</v>
          </cell>
          <cell r="X39">
            <v>1972</v>
          </cell>
          <cell r="Y39">
            <v>4427</v>
          </cell>
          <cell r="Z39">
            <v>10696</v>
          </cell>
          <cell r="AA39">
            <v>6952</v>
          </cell>
        </row>
        <row r="40">
          <cell r="B40" t="str">
            <v>Uttarakhand</v>
          </cell>
          <cell r="D40">
            <v>36</v>
          </cell>
          <cell r="E40">
            <v>3006</v>
          </cell>
          <cell r="F40">
            <v>1497</v>
          </cell>
          <cell r="G40">
            <v>4503</v>
          </cell>
          <cell r="H40">
            <v>21</v>
          </cell>
          <cell r="I40">
            <v>13</v>
          </cell>
          <cell r="J40">
            <v>34</v>
          </cell>
          <cell r="K40">
            <v>21898</v>
          </cell>
          <cell r="L40">
            <v>25754</v>
          </cell>
          <cell r="M40">
            <v>47652</v>
          </cell>
          <cell r="N40">
            <v>85651</v>
          </cell>
          <cell r="O40">
            <v>66951</v>
          </cell>
          <cell r="P40">
            <v>152602</v>
          </cell>
          <cell r="Q40">
            <v>636</v>
          </cell>
          <cell r="R40">
            <v>374</v>
          </cell>
          <cell r="S40">
            <v>1010</v>
          </cell>
          <cell r="T40">
            <v>2959</v>
          </cell>
          <cell r="U40">
            <v>994</v>
          </cell>
          <cell r="V40">
            <v>3953</v>
          </cell>
          <cell r="W40">
            <v>61</v>
          </cell>
          <cell r="X40">
            <v>31</v>
          </cell>
          <cell r="Y40">
            <v>92</v>
          </cell>
          <cell r="Z40">
            <v>2809</v>
          </cell>
          <cell r="AA40">
            <v>2000</v>
          </cell>
        </row>
        <row r="41">
          <cell r="B41" t="str">
            <v>West Bengal</v>
          </cell>
          <cell r="D41">
            <v>47</v>
          </cell>
          <cell r="E41">
            <v>7919</v>
          </cell>
          <cell r="F41">
            <v>4741</v>
          </cell>
          <cell r="G41">
            <v>12660</v>
          </cell>
          <cell r="H41">
            <v>1062</v>
          </cell>
          <cell r="I41">
            <v>929</v>
          </cell>
          <cell r="J41">
            <v>1991</v>
          </cell>
          <cell r="K41">
            <v>47888</v>
          </cell>
          <cell r="L41">
            <v>71996</v>
          </cell>
          <cell r="M41">
            <v>119884</v>
          </cell>
          <cell r="N41">
            <v>116827</v>
          </cell>
          <cell r="O41">
            <v>73752</v>
          </cell>
          <cell r="P41">
            <v>190579</v>
          </cell>
          <cell r="Q41">
            <v>1210</v>
          </cell>
          <cell r="R41">
            <v>891</v>
          </cell>
          <cell r="S41">
            <v>2101</v>
          </cell>
          <cell r="T41">
            <v>2341</v>
          </cell>
          <cell r="U41">
            <v>1376</v>
          </cell>
          <cell r="V41">
            <v>3717</v>
          </cell>
          <cell r="W41">
            <v>2944</v>
          </cell>
          <cell r="X41">
            <v>1500</v>
          </cell>
          <cell r="Y41">
            <v>4444</v>
          </cell>
          <cell r="Z41">
            <v>5807</v>
          </cell>
          <cell r="AA41">
            <v>1951</v>
          </cell>
        </row>
        <row r="42">
          <cell r="B42">
            <v>0</v>
          </cell>
          <cell r="D42">
            <v>1019</v>
          </cell>
          <cell r="E42">
            <v>99659</v>
          </cell>
          <cell r="F42">
            <v>78217</v>
          </cell>
          <cell r="G42">
            <v>177876</v>
          </cell>
          <cell r="H42">
            <v>6461</v>
          </cell>
          <cell r="I42">
            <v>9413</v>
          </cell>
          <cell r="J42">
            <v>15874</v>
          </cell>
          <cell r="K42">
            <v>983466</v>
          </cell>
          <cell r="L42">
            <v>1113085</v>
          </cell>
          <cell r="M42">
            <v>2096551</v>
          </cell>
          <cell r="N42">
            <v>3160539</v>
          </cell>
          <cell r="O42">
            <v>2061807</v>
          </cell>
          <cell r="P42">
            <v>5222346</v>
          </cell>
          <cell r="Q42">
            <v>74632</v>
          </cell>
          <cell r="R42">
            <v>63053</v>
          </cell>
          <cell r="S42">
            <v>137685</v>
          </cell>
          <cell r="T42">
            <v>171993</v>
          </cell>
          <cell r="U42">
            <v>104165</v>
          </cell>
          <cell r="V42">
            <v>276158</v>
          </cell>
          <cell r="W42">
            <v>32798</v>
          </cell>
          <cell r="X42">
            <v>28051</v>
          </cell>
          <cell r="Y42">
            <v>60849</v>
          </cell>
          <cell r="Z42">
            <v>87722</v>
          </cell>
          <cell r="AA42">
            <v>63307</v>
          </cell>
        </row>
        <row r="43">
          <cell r="N43" t="str">
            <v>Note - Constituent Colleges of State/Central University not included.</v>
          </cell>
          <cell r="W43" t="str">
            <v>Note - Constituent Colleges of State/Central University not included.</v>
          </cell>
        </row>
      </sheetData>
      <sheetData sheetId="11">
        <row r="1">
          <cell r="B1" t="str">
            <v>Table 8.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 t="str">
            <v>Number of Colleges and Enrolment in responding Colleges at various levels 
(Based on actual Response)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</row>
        <row r="2">
          <cell r="B2" t="str">
            <v>State/UTs</v>
          </cell>
          <cell r="D2">
            <v>0</v>
          </cell>
          <cell r="E2" t="str">
            <v>Ph.D.</v>
          </cell>
          <cell r="F2">
            <v>0</v>
          </cell>
          <cell r="G2">
            <v>0</v>
          </cell>
          <cell r="H2" t="str">
            <v>M.Phil.</v>
          </cell>
          <cell r="I2">
            <v>0</v>
          </cell>
          <cell r="P2">
            <v>0</v>
          </cell>
          <cell r="Q2" t="str">
            <v>PG Diploma</v>
          </cell>
          <cell r="R2">
            <v>0</v>
          </cell>
          <cell r="S2">
            <v>0</v>
          </cell>
          <cell r="T2" t="str">
            <v>Diploma</v>
          </cell>
          <cell r="U2">
            <v>0</v>
          </cell>
          <cell r="V2">
            <v>0</v>
          </cell>
          <cell r="W2" t="str">
            <v>Certificate</v>
          </cell>
          <cell r="X2">
            <v>0</v>
          </cell>
          <cell r="Y2">
            <v>0</v>
          </cell>
          <cell r="Z2" t="str">
            <v>Integrated</v>
          </cell>
          <cell r="AA2">
            <v>0</v>
          </cell>
        </row>
        <row r="3">
          <cell r="B3">
            <v>0</v>
          </cell>
          <cell r="D3" t="str">
            <v>Responding</v>
          </cell>
          <cell r="E3" t="str">
            <v>Male</v>
          </cell>
          <cell r="F3" t="str">
            <v>Female</v>
          </cell>
          <cell r="G3" t="str">
            <v>Total</v>
          </cell>
          <cell r="H3" t="str">
            <v>Male</v>
          </cell>
          <cell r="I3" t="str">
            <v>Female</v>
          </cell>
          <cell r="P3" t="str">
            <v>Total</v>
          </cell>
          <cell r="Q3" t="str">
            <v>Male</v>
          </cell>
          <cell r="R3" t="str">
            <v>Female</v>
          </cell>
          <cell r="S3" t="str">
            <v>Total</v>
          </cell>
          <cell r="T3" t="str">
            <v>Male</v>
          </cell>
          <cell r="U3" t="str">
            <v>Female</v>
          </cell>
          <cell r="V3" t="str">
            <v>Total</v>
          </cell>
          <cell r="W3" t="str">
            <v>Male</v>
          </cell>
          <cell r="X3" t="str">
            <v>Female</v>
          </cell>
          <cell r="Y3" t="str">
            <v>Total</v>
          </cell>
          <cell r="Z3" t="str">
            <v>Male</v>
          </cell>
          <cell r="AA3" t="str">
            <v>Female</v>
          </cell>
        </row>
        <row r="4">
          <cell r="B4">
            <v>2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  <cell r="H4">
            <v>8</v>
          </cell>
          <cell r="I4">
            <v>9</v>
          </cell>
          <cell r="P4">
            <v>16</v>
          </cell>
          <cell r="Q4">
            <v>17</v>
          </cell>
          <cell r="R4">
            <v>18</v>
          </cell>
          <cell r="S4">
            <v>19</v>
          </cell>
          <cell r="T4">
            <v>20</v>
          </cell>
          <cell r="U4">
            <v>21</v>
          </cell>
          <cell r="V4">
            <v>22</v>
          </cell>
          <cell r="W4">
            <v>23</v>
          </cell>
          <cell r="X4">
            <v>24</v>
          </cell>
          <cell r="Y4">
            <v>25</v>
          </cell>
          <cell r="Z4">
            <v>26</v>
          </cell>
          <cell r="AA4">
            <v>27</v>
          </cell>
        </row>
        <row r="5">
          <cell r="B5" t="str">
            <v>Andaman and Nicobar Islands</v>
          </cell>
          <cell r="D5">
            <v>8</v>
          </cell>
          <cell r="E5">
            <v>5</v>
          </cell>
          <cell r="F5">
            <v>9</v>
          </cell>
          <cell r="G5">
            <v>14</v>
          </cell>
          <cell r="H5">
            <v>0</v>
          </cell>
          <cell r="I5">
            <v>0</v>
          </cell>
          <cell r="P5">
            <v>4690</v>
          </cell>
          <cell r="Q5">
            <v>0</v>
          </cell>
          <cell r="R5">
            <v>0</v>
          </cell>
          <cell r="S5">
            <v>0</v>
          </cell>
          <cell r="T5">
            <v>273</v>
          </cell>
          <cell r="U5">
            <v>128</v>
          </cell>
          <cell r="V5">
            <v>401</v>
          </cell>
          <cell r="W5">
            <v>46</v>
          </cell>
          <cell r="X5">
            <v>36</v>
          </cell>
          <cell r="Y5">
            <v>82</v>
          </cell>
          <cell r="Z5">
            <v>145</v>
          </cell>
          <cell r="AA5">
            <v>224</v>
          </cell>
        </row>
        <row r="6">
          <cell r="B6" t="str">
            <v>Andhra Pradesh</v>
          </cell>
          <cell r="D6">
            <v>2501</v>
          </cell>
          <cell r="E6">
            <v>962</v>
          </cell>
          <cell r="F6">
            <v>614</v>
          </cell>
          <cell r="G6">
            <v>1576</v>
          </cell>
          <cell r="H6">
            <v>102</v>
          </cell>
          <cell r="I6">
            <v>34</v>
          </cell>
          <cell r="P6">
            <v>1179687</v>
          </cell>
          <cell r="Q6">
            <v>266</v>
          </cell>
          <cell r="R6">
            <v>211</v>
          </cell>
          <cell r="S6">
            <v>477</v>
          </cell>
          <cell r="T6">
            <v>25687</v>
          </cell>
          <cell r="U6">
            <v>6912</v>
          </cell>
          <cell r="V6">
            <v>32599</v>
          </cell>
          <cell r="W6">
            <v>978</v>
          </cell>
          <cell r="X6">
            <v>1697</v>
          </cell>
          <cell r="Y6">
            <v>2675</v>
          </cell>
          <cell r="Z6">
            <v>5728</v>
          </cell>
          <cell r="AA6">
            <v>2324</v>
          </cell>
        </row>
        <row r="7">
          <cell r="B7" t="str">
            <v>Arunachal Pradesh</v>
          </cell>
          <cell r="D7">
            <v>38</v>
          </cell>
          <cell r="E7">
            <v>4</v>
          </cell>
          <cell r="F7">
            <v>10</v>
          </cell>
          <cell r="G7">
            <v>14</v>
          </cell>
          <cell r="H7">
            <v>0</v>
          </cell>
          <cell r="I7">
            <v>0</v>
          </cell>
          <cell r="P7">
            <v>20592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116</v>
          </cell>
          <cell r="AA7">
            <v>89</v>
          </cell>
        </row>
        <row r="8">
          <cell r="B8" t="str">
            <v>Assam</v>
          </cell>
          <cell r="D8">
            <v>533</v>
          </cell>
          <cell r="E8">
            <v>129</v>
          </cell>
          <cell r="F8">
            <v>87</v>
          </cell>
          <cell r="G8">
            <v>216</v>
          </cell>
          <cell r="H8">
            <v>2</v>
          </cell>
          <cell r="I8">
            <v>26</v>
          </cell>
          <cell r="P8">
            <v>448254</v>
          </cell>
          <cell r="Q8">
            <v>254</v>
          </cell>
          <cell r="R8">
            <v>352</v>
          </cell>
          <cell r="S8">
            <v>606</v>
          </cell>
          <cell r="T8">
            <v>996</v>
          </cell>
          <cell r="U8">
            <v>922</v>
          </cell>
          <cell r="V8">
            <v>1918</v>
          </cell>
          <cell r="W8">
            <v>708</v>
          </cell>
          <cell r="X8">
            <v>1038</v>
          </cell>
          <cell r="Y8">
            <v>1746</v>
          </cell>
          <cell r="Z8">
            <v>1226</v>
          </cell>
          <cell r="AA8">
            <v>1215</v>
          </cell>
        </row>
        <row r="9">
          <cell r="B9" t="str">
            <v>Bihar</v>
          </cell>
          <cell r="D9">
            <v>863</v>
          </cell>
          <cell r="E9">
            <v>29</v>
          </cell>
          <cell r="F9">
            <v>37</v>
          </cell>
          <cell r="G9">
            <v>66</v>
          </cell>
          <cell r="H9">
            <v>0</v>
          </cell>
          <cell r="I9">
            <v>0</v>
          </cell>
          <cell r="P9">
            <v>1402105</v>
          </cell>
          <cell r="Q9">
            <v>201</v>
          </cell>
          <cell r="R9">
            <v>110</v>
          </cell>
          <cell r="S9">
            <v>311</v>
          </cell>
          <cell r="T9">
            <v>8717</v>
          </cell>
          <cell r="U9">
            <v>8960</v>
          </cell>
          <cell r="V9">
            <v>17677</v>
          </cell>
          <cell r="W9">
            <v>3392</v>
          </cell>
          <cell r="X9">
            <v>2220</v>
          </cell>
          <cell r="Y9">
            <v>5612</v>
          </cell>
          <cell r="Z9">
            <v>1046</v>
          </cell>
          <cell r="AA9">
            <v>369</v>
          </cell>
        </row>
        <row r="10">
          <cell r="B10" t="str">
            <v>Chandigarh</v>
          </cell>
          <cell r="D10">
            <v>25</v>
          </cell>
          <cell r="E10">
            <v>5</v>
          </cell>
          <cell r="F10">
            <v>59</v>
          </cell>
          <cell r="G10">
            <v>64</v>
          </cell>
          <cell r="H10">
            <v>0</v>
          </cell>
          <cell r="I10">
            <v>0</v>
          </cell>
          <cell r="P10">
            <v>43496</v>
          </cell>
          <cell r="Q10">
            <v>227</v>
          </cell>
          <cell r="R10">
            <v>407</v>
          </cell>
          <cell r="S10">
            <v>634</v>
          </cell>
          <cell r="T10">
            <v>85</v>
          </cell>
          <cell r="U10">
            <v>94</v>
          </cell>
          <cell r="V10">
            <v>179</v>
          </cell>
          <cell r="W10">
            <v>0</v>
          </cell>
          <cell r="X10">
            <v>0</v>
          </cell>
          <cell r="Y10">
            <v>0</v>
          </cell>
          <cell r="Z10">
            <v>58</v>
          </cell>
          <cell r="AA10">
            <v>126</v>
          </cell>
        </row>
        <row r="11">
          <cell r="B11" t="str">
            <v>Chhattisgarh</v>
          </cell>
          <cell r="D11">
            <v>807</v>
          </cell>
          <cell r="E11">
            <v>173</v>
          </cell>
          <cell r="F11">
            <v>175</v>
          </cell>
          <cell r="G11">
            <v>348</v>
          </cell>
          <cell r="H11">
            <v>0</v>
          </cell>
          <cell r="I11">
            <v>0</v>
          </cell>
          <cell r="P11">
            <v>364566</v>
          </cell>
          <cell r="Q11">
            <v>3844</v>
          </cell>
          <cell r="R11">
            <v>4548</v>
          </cell>
          <cell r="S11">
            <v>8392</v>
          </cell>
          <cell r="T11">
            <v>17200</v>
          </cell>
          <cell r="U11">
            <v>10611</v>
          </cell>
          <cell r="V11">
            <v>27811</v>
          </cell>
          <cell r="W11">
            <v>158</v>
          </cell>
          <cell r="X11">
            <v>240</v>
          </cell>
          <cell r="Y11">
            <v>398</v>
          </cell>
          <cell r="Z11">
            <v>397</v>
          </cell>
          <cell r="AA11">
            <v>602</v>
          </cell>
        </row>
        <row r="12">
          <cell r="B12" t="str">
            <v>Dadra and Nagar Haveli</v>
          </cell>
          <cell r="D12">
            <v>8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P12">
            <v>5069</v>
          </cell>
          <cell r="Q12">
            <v>0</v>
          </cell>
          <cell r="R12">
            <v>0</v>
          </cell>
          <cell r="S12">
            <v>0</v>
          </cell>
          <cell r="T12">
            <v>596</v>
          </cell>
          <cell r="U12">
            <v>135</v>
          </cell>
          <cell r="V12">
            <v>731</v>
          </cell>
          <cell r="W12">
            <v>0</v>
          </cell>
          <cell r="X12">
            <v>0</v>
          </cell>
          <cell r="Y12">
            <v>0</v>
          </cell>
          <cell r="Z12">
            <v>11</v>
          </cell>
          <cell r="AA12">
            <v>26</v>
          </cell>
        </row>
        <row r="13">
          <cell r="B13" t="str">
            <v>Daman and Diu</v>
          </cell>
          <cell r="D13">
            <v>10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P13">
            <v>2345</v>
          </cell>
          <cell r="Q13">
            <v>0</v>
          </cell>
          <cell r="R13">
            <v>0</v>
          </cell>
          <cell r="S13">
            <v>0</v>
          </cell>
          <cell r="T13">
            <v>1089</v>
          </cell>
          <cell r="U13">
            <v>246</v>
          </cell>
          <cell r="V13">
            <v>1335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 t="str">
            <v>Delhi</v>
          </cell>
          <cell r="D14">
            <v>174</v>
          </cell>
          <cell r="E14">
            <v>60</v>
          </cell>
          <cell r="F14">
            <v>73</v>
          </cell>
          <cell r="G14">
            <v>133</v>
          </cell>
          <cell r="H14">
            <v>0</v>
          </cell>
          <cell r="I14">
            <v>0</v>
          </cell>
          <cell r="P14">
            <v>259536</v>
          </cell>
          <cell r="Q14">
            <v>777</v>
          </cell>
          <cell r="R14">
            <v>807</v>
          </cell>
          <cell r="S14">
            <v>1584</v>
          </cell>
          <cell r="T14">
            <v>1477</v>
          </cell>
          <cell r="U14">
            <v>3276</v>
          </cell>
          <cell r="V14">
            <v>4753</v>
          </cell>
          <cell r="W14">
            <v>405</v>
          </cell>
          <cell r="X14">
            <v>660</v>
          </cell>
          <cell r="Y14">
            <v>1065</v>
          </cell>
          <cell r="Z14">
            <v>439</v>
          </cell>
          <cell r="AA14">
            <v>361</v>
          </cell>
        </row>
        <row r="15">
          <cell r="B15" t="str">
            <v>Goa</v>
          </cell>
          <cell r="D15">
            <v>58</v>
          </cell>
          <cell r="E15">
            <v>67</v>
          </cell>
          <cell r="F15">
            <v>87</v>
          </cell>
          <cell r="G15">
            <v>154</v>
          </cell>
          <cell r="H15">
            <v>1</v>
          </cell>
          <cell r="I15">
            <v>2</v>
          </cell>
          <cell r="P15">
            <v>35488</v>
          </cell>
          <cell r="Q15">
            <v>38</v>
          </cell>
          <cell r="R15">
            <v>39</v>
          </cell>
          <cell r="S15">
            <v>77</v>
          </cell>
          <cell r="T15">
            <v>93</v>
          </cell>
          <cell r="U15">
            <v>217</v>
          </cell>
          <cell r="V15">
            <v>310</v>
          </cell>
          <cell r="W15">
            <v>15</v>
          </cell>
          <cell r="X15">
            <v>0</v>
          </cell>
          <cell r="Y15">
            <v>15</v>
          </cell>
          <cell r="Z15">
            <v>114</v>
          </cell>
          <cell r="AA15">
            <v>478</v>
          </cell>
        </row>
        <row r="16">
          <cell r="B16" t="str">
            <v>Gujarat</v>
          </cell>
          <cell r="D16">
            <v>2258</v>
          </cell>
          <cell r="E16">
            <v>365</v>
          </cell>
          <cell r="F16">
            <v>191</v>
          </cell>
          <cell r="G16">
            <v>556</v>
          </cell>
          <cell r="H16">
            <v>163</v>
          </cell>
          <cell r="I16">
            <v>92</v>
          </cell>
          <cell r="P16">
            <v>992098</v>
          </cell>
          <cell r="Q16">
            <v>771</v>
          </cell>
          <cell r="R16">
            <v>1028</v>
          </cell>
          <cell r="S16">
            <v>1799</v>
          </cell>
          <cell r="T16">
            <v>77058</v>
          </cell>
          <cell r="U16">
            <v>23804</v>
          </cell>
          <cell r="V16">
            <v>100862</v>
          </cell>
          <cell r="W16">
            <v>2405</v>
          </cell>
          <cell r="X16">
            <v>2007</v>
          </cell>
          <cell r="Y16">
            <v>4412</v>
          </cell>
          <cell r="Z16">
            <v>1878</v>
          </cell>
          <cell r="AA16">
            <v>1497</v>
          </cell>
        </row>
        <row r="17">
          <cell r="B17" t="str">
            <v>Haryana</v>
          </cell>
          <cell r="D17">
            <v>1034</v>
          </cell>
          <cell r="E17">
            <v>165</v>
          </cell>
          <cell r="F17">
            <v>283</v>
          </cell>
          <cell r="G17">
            <v>448</v>
          </cell>
          <cell r="H17">
            <v>0</v>
          </cell>
          <cell r="I17">
            <v>11</v>
          </cell>
          <cell r="P17">
            <v>533200</v>
          </cell>
          <cell r="Q17">
            <v>399</v>
          </cell>
          <cell r="R17">
            <v>721</v>
          </cell>
          <cell r="S17">
            <v>1120</v>
          </cell>
          <cell r="T17">
            <v>9993</v>
          </cell>
          <cell r="U17">
            <v>10386</v>
          </cell>
          <cell r="V17">
            <v>20379</v>
          </cell>
          <cell r="W17">
            <v>1100</v>
          </cell>
          <cell r="X17">
            <v>1602</v>
          </cell>
          <cell r="Y17">
            <v>2702</v>
          </cell>
          <cell r="Z17">
            <v>3232</v>
          </cell>
          <cell r="AA17">
            <v>1931</v>
          </cell>
        </row>
        <row r="18">
          <cell r="B18" t="str">
            <v>Himachal Pradesh</v>
          </cell>
          <cell r="D18">
            <v>344</v>
          </cell>
          <cell r="E18">
            <v>5</v>
          </cell>
          <cell r="F18">
            <v>2</v>
          </cell>
          <cell r="G18">
            <v>7</v>
          </cell>
          <cell r="H18">
            <v>0</v>
          </cell>
          <cell r="I18">
            <v>0</v>
          </cell>
          <cell r="P18">
            <v>174040</v>
          </cell>
          <cell r="Q18">
            <v>179</v>
          </cell>
          <cell r="R18">
            <v>397</v>
          </cell>
          <cell r="S18">
            <v>576</v>
          </cell>
          <cell r="T18">
            <v>687</v>
          </cell>
          <cell r="U18">
            <v>2112</v>
          </cell>
          <cell r="V18">
            <v>2799</v>
          </cell>
          <cell r="W18">
            <v>18</v>
          </cell>
          <cell r="X18">
            <v>51</v>
          </cell>
          <cell r="Y18">
            <v>69</v>
          </cell>
          <cell r="Z18">
            <v>57</v>
          </cell>
          <cell r="AA18">
            <v>57</v>
          </cell>
        </row>
        <row r="19">
          <cell r="B19" t="str">
            <v>Jammu and Kashmir</v>
          </cell>
          <cell r="D19">
            <v>313</v>
          </cell>
          <cell r="E19">
            <v>62</v>
          </cell>
          <cell r="F19">
            <v>87</v>
          </cell>
          <cell r="G19">
            <v>149</v>
          </cell>
          <cell r="H19">
            <v>0</v>
          </cell>
          <cell r="I19">
            <v>7</v>
          </cell>
          <cell r="P19">
            <v>216865</v>
          </cell>
          <cell r="Q19">
            <v>170</v>
          </cell>
          <cell r="R19">
            <v>98</v>
          </cell>
          <cell r="S19">
            <v>268</v>
          </cell>
          <cell r="T19">
            <v>232</v>
          </cell>
          <cell r="U19">
            <v>251</v>
          </cell>
          <cell r="V19">
            <v>483</v>
          </cell>
          <cell r="W19">
            <v>0</v>
          </cell>
          <cell r="X19">
            <v>0</v>
          </cell>
          <cell r="Y19">
            <v>0</v>
          </cell>
          <cell r="Z19">
            <v>1700</v>
          </cell>
          <cell r="AA19">
            <v>1911</v>
          </cell>
        </row>
        <row r="20">
          <cell r="B20" t="str">
            <v>Jharkhand</v>
          </cell>
          <cell r="D20">
            <v>317</v>
          </cell>
          <cell r="E20">
            <v>13</v>
          </cell>
          <cell r="F20">
            <v>8</v>
          </cell>
          <cell r="G20">
            <v>21</v>
          </cell>
          <cell r="H20">
            <v>25</v>
          </cell>
          <cell r="I20">
            <v>54</v>
          </cell>
          <cell r="P20">
            <v>571543</v>
          </cell>
          <cell r="Q20">
            <v>57</v>
          </cell>
          <cell r="R20">
            <v>63</v>
          </cell>
          <cell r="S20">
            <v>120</v>
          </cell>
          <cell r="T20">
            <v>2095</v>
          </cell>
          <cell r="U20">
            <v>2159</v>
          </cell>
          <cell r="V20">
            <v>4254</v>
          </cell>
          <cell r="W20">
            <v>369</v>
          </cell>
          <cell r="X20">
            <v>802</v>
          </cell>
          <cell r="Y20">
            <v>1171</v>
          </cell>
          <cell r="Z20">
            <v>370</v>
          </cell>
          <cell r="AA20">
            <v>257</v>
          </cell>
        </row>
        <row r="21">
          <cell r="B21" t="str">
            <v>Karnataka</v>
          </cell>
          <cell r="D21">
            <v>3971</v>
          </cell>
          <cell r="E21">
            <v>912</v>
          </cell>
          <cell r="F21">
            <v>620</v>
          </cell>
          <cell r="G21">
            <v>1532</v>
          </cell>
          <cell r="H21">
            <v>0</v>
          </cell>
          <cell r="I21">
            <v>0</v>
          </cell>
          <cell r="P21">
            <v>1506961</v>
          </cell>
          <cell r="Q21">
            <v>711</v>
          </cell>
          <cell r="R21">
            <v>1042</v>
          </cell>
          <cell r="S21">
            <v>1753</v>
          </cell>
          <cell r="T21">
            <v>5126</v>
          </cell>
          <cell r="U21">
            <v>5607</v>
          </cell>
          <cell r="V21">
            <v>10733</v>
          </cell>
          <cell r="W21">
            <v>676</v>
          </cell>
          <cell r="X21">
            <v>908</v>
          </cell>
          <cell r="Y21">
            <v>1584</v>
          </cell>
          <cell r="Z21">
            <v>3353</v>
          </cell>
          <cell r="AA21">
            <v>2822</v>
          </cell>
        </row>
        <row r="22">
          <cell r="B22" t="str">
            <v>Kerala</v>
          </cell>
          <cell r="D22">
            <v>1313</v>
          </cell>
          <cell r="E22">
            <v>975</v>
          </cell>
          <cell r="F22">
            <v>2021</v>
          </cell>
          <cell r="G22">
            <v>2996</v>
          </cell>
          <cell r="H22">
            <v>26</v>
          </cell>
          <cell r="I22">
            <v>123</v>
          </cell>
          <cell r="P22">
            <v>665021</v>
          </cell>
          <cell r="Q22">
            <v>94</v>
          </cell>
          <cell r="R22">
            <v>251</v>
          </cell>
          <cell r="S22">
            <v>345</v>
          </cell>
          <cell r="T22">
            <v>1855</v>
          </cell>
          <cell r="U22">
            <v>1913</v>
          </cell>
          <cell r="V22">
            <v>3768</v>
          </cell>
          <cell r="W22">
            <v>216</v>
          </cell>
          <cell r="X22">
            <v>885</v>
          </cell>
          <cell r="Y22">
            <v>1101</v>
          </cell>
          <cell r="Z22">
            <v>2825</v>
          </cell>
          <cell r="AA22">
            <v>3280</v>
          </cell>
        </row>
        <row r="23">
          <cell r="B23" t="str">
            <v>Ladakh</v>
          </cell>
          <cell r="D23">
            <v>5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P23">
            <v>2398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 t="str">
            <v>Lakshadweep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</row>
        <row r="25">
          <cell r="B25" t="str">
            <v>Madhya Pradesh</v>
          </cell>
          <cell r="D25">
            <v>1946</v>
          </cell>
          <cell r="E25">
            <v>543</v>
          </cell>
          <cell r="F25">
            <v>734</v>
          </cell>
          <cell r="G25">
            <v>1277</v>
          </cell>
          <cell r="H25">
            <v>60</v>
          </cell>
          <cell r="I25">
            <v>107</v>
          </cell>
          <cell r="P25">
            <v>1252518</v>
          </cell>
          <cell r="Q25">
            <v>3194</v>
          </cell>
          <cell r="R25">
            <v>3079</v>
          </cell>
          <cell r="S25">
            <v>6273</v>
          </cell>
          <cell r="T25">
            <v>26494</v>
          </cell>
          <cell r="U25">
            <v>12606</v>
          </cell>
          <cell r="V25">
            <v>39100</v>
          </cell>
          <cell r="W25">
            <v>249</v>
          </cell>
          <cell r="X25">
            <v>358</v>
          </cell>
          <cell r="Y25">
            <v>607</v>
          </cell>
          <cell r="Z25">
            <v>4759</v>
          </cell>
          <cell r="AA25">
            <v>4558</v>
          </cell>
        </row>
        <row r="26">
          <cell r="B26" t="str">
            <v>Maharashtra</v>
          </cell>
          <cell r="D26">
            <v>4494</v>
          </cell>
          <cell r="E26">
            <v>2102</v>
          </cell>
          <cell r="F26">
            <v>1534</v>
          </cell>
          <cell r="G26">
            <v>3636</v>
          </cell>
          <cell r="H26">
            <v>156</v>
          </cell>
          <cell r="I26">
            <v>173</v>
          </cell>
          <cell r="P26">
            <v>2695941</v>
          </cell>
          <cell r="Q26">
            <v>2572</v>
          </cell>
          <cell r="R26">
            <v>2580</v>
          </cell>
          <cell r="S26">
            <v>5152</v>
          </cell>
          <cell r="T26">
            <v>12617</v>
          </cell>
          <cell r="U26">
            <v>9511</v>
          </cell>
          <cell r="V26">
            <v>22128</v>
          </cell>
          <cell r="W26">
            <v>3660</v>
          </cell>
          <cell r="X26">
            <v>3780</v>
          </cell>
          <cell r="Y26">
            <v>7440</v>
          </cell>
          <cell r="Z26">
            <v>4744</v>
          </cell>
          <cell r="AA26">
            <v>5566</v>
          </cell>
        </row>
        <row r="27">
          <cell r="B27" t="str">
            <v>Manipur</v>
          </cell>
          <cell r="D27">
            <v>101</v>
          </cell>
          <cell r="E27">
            <v>0</v>
          </cell>
          <cell r="F27">
            <v>2</v>
          </cell>
          <cell r="G27">
            <v>2</v>
          </cell>
          <cell r="H27">
            <v>2</v>
          </cell>
          <cell r="I27">
            <v>10</v>
          </cell>
          <cell r="P27">
            <v>103089</v>
          </cell>
          <cell r="Q27">
            <v>38</v>
          </cell>
          <cell r="R27">
            <v>28</v>
          </cell>
          <cell r="S27">
            <v>66</v>
          </cell>
          <cell r="T27">
            <v>701</v>
          </cell>
          <cell r="U27">
            <v>708</v>
          </cell>
          <cell r="V27">
            <v>1409</v>
          </cell>
          <cell r="W27">
            <v>0</v>
          </cell>
          <cell r="X27">
            <v>50</v>
          </cell>
          <cell r="Y27">
            <v>50</v>
          </cell>
          <cell r="Z27">
            <v>0</v>
          </cell>
          <cell r="AA27">
            <v>0</v>
          </cell>
        </row>
        <row r="28">
          <cell r="B28" t="str">
            <v>Meghalaya</v>
          </cell>
          <cell r="D28">
            <v>57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P28">
            <v>62617</v>
          </cell>
          <cell r="Q28">
            <v>8</v>
          </cell>
          <cell r="R28">
            <v>12</v>
          </cell>
          <cell r="S28">
            <v>20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</row>
        <row r="29">
          <cell r="B29" t="str">
            <v>Mizoram</v>
          </cell>
          <cell r="D29">
            <v>35</v>
          </cell>
          <cell r="E29">
            <v>5</v>
          </cell>
          <cell r="F29">
            <v>9</v>
          </cell>
          <cell r="G29">
            <v>14</v>
          </cell>
          <cell r="H29">
            <v>1</v>
          </cell>
          <cell r="I29">
            <v>3</v>
          </cell>
          <cell r="P29">
            <v>18840</v>
          </cell>
          <cell r="Q29">
            <v>0</v>
          </cell>
          <cell r="R29">
            <v>0</v>
          </cell>
          <cell r="S29">
            <v>0</v>
          </cell>
          <cell r="T29">
            <v>79</v>
          </cell>
          <cell r="U29">
            <v>10</v>
          </cell>
          <cell r="V29">
            <v>89</v>
          </cell>
          <cell r="W29">
            <v>288</v>
          </cell>
          <cell r="X29">
            <v>112</v>
          </cell>
          <cell r="Y29">
            <v>400</v>
          </cell>
          <cell r="Z29">
            <v>0</v>
          </cell>
          <cell r="AA29">
            <v>0</v>
          </cell>
        </row>
        <row r="30">
          <cell r="B30" t="str">
            <v>Nagaland</v>
          </cell>
          <cell r="D30">
            <v>66</v>
          </cell>
          <cell r="E30">
            <v>5</v>
          </cell>
          <cell r="F30">
            <v>1</v>
          </cell>
          <cell r="G30">
            <v>6</v>
          </cell>
          <cell r="H30">
            <v>0</v>
          </cell>
          <cell r="I30">
            <v>0</v>
          </cell>
          <cell r="P30">
            <v>32583</v>
          </cell>
          <cell r="Q30">
            <v>0</v>
          </cell>
          <cell r="R30">
            <v>0</v>
          </cell>
          <cell r="S30">
            <v>0</v>
          </cell>
          <cell r="T30">
            <v>60</v>
          </cell>
          <cell r="U30">
            <v>107</v>
          </cell>
          <cell r="V30">
            <v>167</v>
          </cell>
          <cell r="W30">
            <v>12</v>
          </cell>
          <cell r="X30">
            <v>18</v>
          </cell>
          <cell r="Y30">
            <v>30</v>
          </cell>
          <cell r="Z30">
            <v>0</v>
          </cell>
          <cell r="AA30">
            <v>0</v>
          </cell>
        </row>
        <row r="31">
          <cell r="B31" t="str">
            <v>Odisha</v>
          </cell>
          <cell r="D31">
            <v>1077</v>
          </cell>
          <cell r="E31">
            <v>51</v>
          </cell>
          <cell r="F31">
            <v>98</v>
          </cell>
          <cell r="G31">
            <v>149</v>
          </cell>
          <cell r="H31">
            <v>63</v>
          </cell>
          <cell r="I31">
            <v>63</v>
          </cell>
          <cell r="P31">
            <v>650680</v>
          </cell>
          <cell r="Q31">
            <v>149</v>
          </cell>
          <cell r="R31">
            <v>225</v>
          </cell>
          <cell r="S31">
            <v>374</v>
          </cell>
          <cell r="T31">
            <v>7032</v>
          </cell>
          <cell r="U31">
            <v>1944</v>
          </cell>
          <cell r="V31">
            <v>8976</v>
          </cell>
          <cell r="W31">
            <v>1061</v>
          </cell>
          <cell r="X31">
            <v>1622</v>
          </cell>
          <cell r="Y31">
            <v>2683</v>
          </cell>
          <cell r="Z31">
            <v>2149</v>
          </cell>
          <cell r="AA31">
            <v>2400</v>
          </cell>
        </row>
        <row r="32">
          <cell r="B32" t="str">
            <v>Puducherry</v>
          </cell>
          <cell r="D32">
            <v>69</v>
          </cell>
          <cell r="E32">
            <v>46</v>
          </cell>
          <cell r="F32">
            <v>72</v>
          </cell>
          <cell r="G32">
            <v>118</v>
          </cell>
          <cell r="H32">
            <v>7</v>
          </cell>
          <cell r="I32">
            <v>40</v>
          </cell>
          <cell r="P32">
            <v>41959</v>
          </cell>
          <cell r="Q32">
            <v>3</v>
          </cell>
          <cell r="R32">
            <v>8</v>
          </cell>
          <cell r="S32">
            <v>11</v>
          </cell>
          <cell r="T32">
            <v>65</v>
          </cell>
          <cell r="U32">
            <v>91</v>
          </cell>
          <cell r="V32">
            <v>156</v>
          </cell>
          <cell r="W32">
            <v>0</v>
          </cell>
          <cell r="X32">
            <v>0</v>
          </cell>
          <cell r="Y32">
            <v>0</v>
          </cell>
          <cell r="Z32">
            <v>2</v>
          </cell>
          <cell r="AA32">
            <v>5</v>
          </cell>
        </row>
        <row r="33">
          <cell r="B33" t="str">
            <v>Punjab</v>
          </cell>
          <cell r="D33">
            <v>1006</v>
          </cell>
          <cell r="E33">
            <v>4</v>
          </cell>
          <cell r="F33">
            <v>0</v>
          </cell>
          <cell r="G33">
            <v>4</v>
          </cell>
          <cell r="H33">
            <v>4</v>
          </cell>
          <cell r="I33">
            <v>22</v>
          </cell>
          <cell r="P33">
            <v>437080</v>
          </cell>
          <cell r="Q33">
            <v>1758</v>
          </cell>
          <cell r="R33">
            <v>2810</v>
          </cell>
          <cell r="S33">
            <v>4568</v>
          </cell>
          <cell r="T33">
            <v>8527</v>
          </cell>
          <cell r="U33">
            <v>13600</v>
          </cell>
          <cell r="V33">
            <v>22127</v>
          </cell>
          <cell r="W33">
            <v>289</v>
          </cell>
          <cell r="X33">
            <v>596</v>
          </cell>
          <cell r="Y33">
            <v>885</v>
          </cell>
          <cell r="Z33">
            <v>2844</v>
          </cell>
          <cell r="AA33">
            <v>3359</v>
          </cell>
        </row>
        <row r="34">
          <cell r="B34" t="str">
            <v>Rajasthan</v>
          </cell>
          <cell r="D34">
            <v>3101</v>
          </cell>
          <cell r="E34">
            <v>489</v>
          </cell>
          <cell r="F34">
            <v>279</v>
          </cell>
          <cell r="G34">
            <v>768</v>
          </cell>
          <cell r="H34">
            <v>0</v>
          </cell>
          <cell r="I34">
            <v>0</v>
          </cell>
          <cell r="P34">
            <v>1412169</v>
          </cell>
          <cell r="Q34">
            <v>1307</v>
          </cell>
          <cell r="R34">
            <v>1563</v>
          </cell>
          <cell r="S34">
            <v>2870</v>
          </cell>
          <cell r="T34">
            <v>15483</v>
          </cell>
          <cell r="U34">
            <v>7601</v>
          </cell>
          <cell r="V34">
            <v>23084</v>
          </cell>
          <cell r="W34">
            <v>2860</v>
          </cell>
          <cell r="X34">
            <v>3398</v>
          </cell>
          <cell r="Y34">
            <v>6258</v>
          </cell>
          <cell r="Z34">
            <v>19755</v>
          </cell>
          <cell r="AA34">
            <v>18463</v>
          </cell>
        </row>
        <row r="35">
          <cell r="B35" t="str">
            <v>Sikkim</v>
          </cell>
          <cell r="D35">
            <v>19</v>
          </cell>
          <cell r="E35">
            <v>3</v>
          </cell>
          <cell r="F35">
            <v>4</v>
          </cell>
          <cell r="G35">
            <v>7</v>
          </cell>
          <cell r="H35">
            <v>0</v>
          </cell>
          <cell r="I35">
            <v>0</v>
          </cell>
          <cell r="P35">
            <v>11354</v>
          </cell>
          <cell r="Q35">
            <v>0</v>
          </cell>
          <cell r="R35">
            <v>0</v>
          </cell>
          <cell r="S35">
            <v>0</v>
          </cell>
          <cell r="T35">
            <v>92</v>
          </cell>
          <cell r="U35">
            <v>32</v>
          </cell>
          <cell r="V35">
            <v>124</v>
          </cell>
          <cell r="W35">
            <v>34</v>
          </cell>
          <cell r="X35">
            <v>6</v>
          </cell>
          <cell r="Y35">
            <v>40</v>
          </cell>
          <cell r="Z35">
            <v>99</v>
          </cell>
          <cell r="AA35">
            <v>165</v>
          </cell>
        </row>
        <row r="36">
          <cell r="B36" t="str">
            <v>Tamil Nadu</v>
          </cell>
          <cell r="D36">
            <v>2608</v>
          </cell>
          <cell r="E36">
            <v>2898</v>
          </cell>
          <cell r="F36">
            <v>4261</v>
          </cell>
          <cell r="G36">
            <v>7159</v>
          </cell>
          <cell r="H36">
            <v>1795</v>
          </cell>
          <cell r="I36">
            <v>4596</v>
          </cell>
          <cell r="P36">
            <v>2012327</v>
          </cell>
          <cell r="Q36">
            <v>687</v>
          </cell>
          <cell r="R36">
            <v>1223</v>
          </cell>
          <cell r="S36">
            <v>1910</v>
          </cell>
          <cell r="T36">
            <v>3454</v>
          </cell>
          <cell r="U36">
            <v>12395</v>
          </cell>
          <cell r="V36">
            <v>15849</v>
          </cell>
          <cell r="W36">
            <v>3085</v>
          </cell>
          <cell r="X36">
            <v>6303</v>
          </cell>
          <cell r="Y36">
            <v>9388</v>
          </cell>
          <cell r="Z36">
            <v>2612</v>
          </cell>
          <cell r="AA36">
            <v>3033</v>
          </cell>
        </row>
        <row r="37">
          <cell r="B37" t="str">
            <v>Telangana</v>
          </cell>
          <cell r="D37">
            <v>2042</v>
          </cell>
          <cell r="E37">
            <v>19</v>
          </cell>
          <cell r="F37">
            <v>39</v>
          </cell>
          <cell r="G37">
            <v>58</v>
          </cell>
          <cell r="H37">
            <v>10</v>
          </cell>
          <cell r="I37">
            <v>40</v>
          </cell>
          <cell r="P37">
            <v>983434</v>
          </cell>
          <cell r="Q37">
            <v>250</v>
          </cell>
          <cell r="R37">
            <v>213</v>
          </cell>
          <cell r="S37">
            <v>463</v>
          </cell>
          <cell r="T37">
            <v>9267</v>
          </cell>
          <cell r="U37">
            <v>3102</v>
          </cell>
          <cell r="V37">
            <v>12369</v>
          </cell>
          <cell r="W37">
            <v>32</v>
          </cell>
          <cell r="X37">
            <v>802</v>
          </cell>
          <cell r="Y37">
            <v>834</v>
          </cell>
          <cell r="Z37">
            <v>1380</v>
          </cell>
          <cell r="AA37">
            <v>1066</v>
          </cell>
        </row>
        <row r="38">
          <cell r="B38" t="str">
            <v>Tripura</v>
          </cell>
          <cell r="D38">
            <v>53</v>
          </cell>
          <cell r="E38">
            <v>7</v>
          </cell>
          <cell r="F38">
            <v>4</v>
          </cell>
          <cell r="G38">
            <v>11</v>
          </cell>
          <cell r="H38">
            <v>0</v>
          </cell>
          <cell r="I38">
            <v>0</v>
          </cell>
          <cell r="P38">
            <v>58653</v>
          </cell>
          <cell r="Q38">
            <v>0</v>
          </cell>
          <cell r="R38">
            <v>0</v>
          </cell>
          <cell r="S38">
            <v>0</v>
          </cell>
          <cell r="T38">
            <v>1891</v>
          </cell>
          <cell r="U38">
            <v>1412</v>
          </cell>
          <cell r="V38">
            <v>3303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</row>
        <row r="39">
          <cell r="B39" t="str">
            <v>Uttar Pradesh</v>
          </cell>
          <cell r="D39">
            <v>6888</v>
          </cell>
          <cell r="E39">
            <v>859</v>
          </cell>
          <cell r="F39">
            <v>687</v>
          </cell>
          <cell r="G39">
            <v>1546</v>
          </cell>
          <cell r="H39">
            <v>30</v>
          </cell>
          <cell r="I39">
            <v>17</v>
          </cell>
          <cell r="P39">
            <v>4259112</v>
          </cell>
          <cell r="Q39">
            <v>1863</v>
          </cell>
          <cell r="R39">
            <v>1928</v>
          </cell>
          <cell r="S39">
            <v>3791</v>
          </cell>
          <cell r="T39">
            <v>36160</v>
          </cell>
          <cell r="U39">
            <v>23819</v>
          </cell>
          <cell r="V39">
            <v>59979</v>
          </cell>
          <cell r="W39">
            <v>4435</v>
          </cell>
          <cell r="X39">
            <v>6891</v>
          </cell>
          <cell r="Y39">
            <v>11326</v>
          </cell>
          <cell r="Z39">
            <v>15808</v>
          </cell>
          <cell r="AA39">
            <v>8181</v>
          </cell>
        </row>
        <row r="40">
          <cell r="B40" t="str">
            <v>Uttarakhand</v>
          </cell>
          <cell r="D40">
            <v>404</v>
          </cell>
          <cell r="E40">
            <v>443</v>
          </cell>
          <cell r="F40">
            <v>522</v>
          </cell>
          <cell r="G40">
            <v>965</v>
          </cell>
          <cell r="H40">
            <v>0</v>
          </cell>
          <cell r="I40">
            <v>0</v>
          </cell>
          <cell r="P40">
            <v>215903</v>
          </cell>
          <cell r="Q40">
            <v>338</v>
          </cell>
          <cell r="R40">
            <v>275</v>
          </cell>
          <cell r="S40">
            <v>613</v>
          </cell>
          <cell r="T40">
            <v>3977</v>
          </cell>
          <cell r="U40">
            <v>1668</v>
          </cell>
          <cell r="V40">
            <v>5645</v>
          </cell>
          <cell r="W40">
            <v>10</v>
          </cell>
          <cell r="X40">
            <v>14</v>
          </cell>
          <cell r="Y40">
            <v>24</v>
          </cell>
          <cell r="Z40">
            <v>557</v>
          </cell>
          <cell r="AA40">
            <v>286</v>
          </cell>
        </row>
        <row r="41">
          <cell r="B41" t="str">
            <v>West Bengal</v>
          </cell>
          <cell r="D41">
            <v>1409</v>
          </cell>
          <cell r="E41">
            <v>141</v>
          </cell>
          <cell r="F41">
            <v>30</v>
          </cell>
          <cell r="G41">
            <v>171</v>
          </cell>
          <cell r="H41">
            <v>121</v>
          </cell>
          <cell r="I41">
            <v>40</v>
          </cell>
          <cell r="P41">
            <v>1577093</v>
          </cell>
          <cell r="Q41">
            <v>1091</v>
          </cell>
          <cell r="R41">
            <v>745</v>
          </cell>
          <cell r="S41">
            <v>1836</v>
          </cell>
          <cell r="T41">
            <v>20903</v>
          </cell>
          <cell r="U41">
            <v>19553</v>
          </cell>
          <cell r="V41">
            <v>40456</v>
          </cell>
          <cell r="W41">
            <v>1360</v>
          </cell>
          <cell r="X41">
            <v>1760</v>
          </cell>
          <cell r="Y41">
            <v>3120</v>
          </cell>
          <cell r="Z41">
            <v>3529</v>
          </cell>
          <cell r="AA41">
            <v>3644</v>
          </cell>
        </row>
        <row r="42">
          <cell r="B42">
            <v>0</v>
          </cell>
          <cell r="D42">
            <v>39955</v>
          </cell>
          <cell r="E42">
            <v>11546</v>
          </cell>
          <cell r="F42">
            <v>12639</v>
          </cell>
          <cell r="G42">
            <v>24185</v>
          </cell>
          <cell r="H42">
            <v>2568</v>
          </cell>
          <cell r="I42">
            <v>5460</v>
          </cell>
          <cell r="P42">
            <v>24253306</v>
          </cell>
          <cell r="Q42">
            <v>21246</v>
          </cell>
          <cell r="R42">
            <v>24763</v>
          </cell>
          <cell r="S42">
            <v>46009</v>
          </cell>
          <cell r="T42">
            <v>300061</v>
          </cell>
          <cell r="U42">
            <v>185892</v>
          </cell>
          <cell r="V42">
            <v>485953</v>
          </cell>
          <cell r="W42">
            <v>27861</v>
          </cell>
          <cell r="X42">
            <v>37856</v>
          </cell>
          <cell r="Y42">
            <v>65717</v>
          </cell>
          <cell r="Z42">
            <v>80933</v>
          </cell>
          <cell r="AA42">
            <v>68295</v>
          </cell>
        </row>
      </sheetData>
      <sheetData sheetId="12"/>
      <sheetData sheetId="13">
        <row r="1">
          <cell r="B1" t="str">
            <v>Table 10.</v>
          </cell>
          <cell r="C1" t="str">
            <v xml:space="preserve"> State-wise Estimated Enrolment in Colleges</v>
          </cell>
          <cell r="F1">
            <v>0</v>
          </cell>
        </row>
        <row r="2">
          <cell r="B2" t="str">
            <v>State/UTs</v>
          </cell>
          <cell r="C2" t="str">
            <v>Post Graduate</v>
          </cell>
          <cell r="D2">
            <v>0</v>
          </cell>
          <cell r="E2">
            <v>0</v>
          </cell>
          <cell r="F2" t="str">
            <v>Under Graduate</v>
          </cell>
          <cell r="G2">
            <v>0</v>
          </cell>
        </row>
        <row r="3">
          <cell r="B3">
            <v>0</v>
          </cell>
          <cell r="C3" t="str">
            <v>Male</v>
          </cell>
          <cell r="D3" t="str">
            <v>Female</v>
          </cell>
          <cell r="E3" t="str">
            <v>Total</v>
          </cell>
          <cell r="F3" t="str">
            <v>Male</v>
          </cell>
          <cell r="G3" t="str">
            <v>Female</v>
          </cell>
        </row>
        <row r="4">
          <cell r="B4">
            <v>2</v>
          </cell>
          <cell r="C4">
            <v>3</v>
          </cell>
          <cell r="D4">
            <v>4</v>
          </cell>
          <cell r="E4">
            <v>5</v>
          </cell>
          <cell r="F4">
            <v>6</v>
          </cell>
          <cell r="G4">
            <v>7</v>
          </cell>
        </row>
        <row r="5">
          <cell r="B5" t="str">
            <v>Andaman and Nicobar Islands</v>
          </cell>
          <cell r="C5">
            <v>69</v>
          </cell>
          <cell r="D5">
            <v>283</v>
          </cell>
          <cell r="E5">
            <v>352</v>
          </cell>
          <cell r="F5">
            <v>1933</v>
          </cell>
          <cell r="G5">
            <v>2757</v>
          </cell>
        </row>
        <row r="6">
          <cell r="B6" t="str">
            <v>Andhra Pradesh</v>
          </cell>
          <cell r="C6">
            <v>73624</v>
          </cell>
          <cell r="D6">
            <v>68039</v>
          </cell>
          <cell r="E6">
            <v>141663</v>
          </cell>
          <cell r="F6">
            <v>617882</v>
          </cell>
          <cell r="G6">
            <v>561805</v>
          </cell>
        </row>
        <row r="7">
          <cell r="B7" t="str">
            <v>Arunachal Pradesh</v>
          </cell>
          <cell r="C7">
            <v>62</v>
          </cell>
          <cell r="D7">
            <v>140</v>
          </cell>
          <cell r="E7">
            <v>202</v>
          </cell>
          <cell r="F7">
            <v>10157</v>
          </cell>
          <cell r="G7">
            <v>10435</v>
          </cell>
        </row>
        <row r="8">
          <cell r="B8" t="str">
            <v>Assam</v>
          </cell>
          <cell r="C8">
            <v>3582</v>
          </cell>
          <cell r="D8">
            <v>5592</v>
          </cell>
          <cell r="E8">
            <v>9174</v>
          </cell>
          <cell r="F8">
            <v>224775</v>
          </cell>
          <cell r="G8">
            <v>249458</v>
          </cell>
        </row>
        <row r="9">
          <cell r="B9" t="str">
            <v>Bihar</v>
          </cell>
          <cell r="C9">
            <v>21709</v>
          </cell>
          <cell r="D9">
            <v>20838</v>
          </cell>
          <cell r="E9">
            <v>42547</v>
          </cell>
          <cell r="F9">
            <v>773344</v>
          </cell>
          <cell r="G9">
            <v>628761</v>
          </cell>
        </row>
        <row r="10">
          <cell r="B10" t="str">
            <v>Chandigarh</v>
          </cell>
          <cell r="C10">
            <v>1429</v>
          </cell>
          <cell r="D10">
            <v>4570</v>
          </cell>
          <cell r="E10">
            <v>5999</v>
          </cell>
          <cell r="F10">
            <v>18984</v>
          </cell>
          <cell r="G10">
            <v>24512</v>
          </cell>
        </row>
        <row r="11">
          <cell r="B11" t="str">
            <v>Chhattisgarh</v>
          </cell>
          <cell r="C11">
            <v>17475</v>
          </cell>
          <cell r="D11">
            <v>29527</v>
          </cell>
          <cell r="E11">
            <v>47002</v>
          </cell>
          <cell r="F11">
            <v>155048</v>
          </cell>
          <cell r="G11">
            <v>209518</v>
          </cell>
        </row>
        <row r="12">
          <cell r="B12" t="str">
            <v>Dadra and Nagar Haveli</v>
          </cell>
          <cell r="C12">
            <v>66</v>
          </cell>
          <cell r="D12">
            <v>185</v>
          </cell>
          <cell r="E12">
            <v>251</v>
          </cell>
          <cell r="F12">
            <v>2247</v>
          </cell>
          <cell r="G12">
            <v>2822</v>
          </cell>
        </row>
        <row r="13">
          <cell r="B13" t="str">
            <v>Daman and Diu</v>
          </cell>
          <cell r="C13">
            <v>66</v>
          </cell>
          <cell r="D13">
            <v>186</v>
          </cell>
          <cell r="E13">
            <v>252</v>
          </cell>
          <cell r="F13">
            <v>1035</v>
          </cell>
          <cell r="G13">
            <v>1310</v>
          </cell>
        </row>
        <row r="14">
          <cell r="B14" t="str">
            <v>Delhi</v>
          </cell>
          <cell r="C14">
            <v>5865</v>
          </cell>
          <cell r="D14">
            <v>8161</v>
          </cell>
          <cell r="E14">
            <v>14026</v>
          </cell>
          <cell r="F14">
            <v>128305</v>
          </cell>
          <cell r="G14">
            <v>131231</v>
          </cell>
        </row>
        <row r="15">
          <cell r="B15" t="str">
            <v>Goa</v>
          </cell>
          <cell r="C15">
            <v>639</v>
          </cell>
          <cell r="D15">
            <v>1601</v>
          </cell>
          <cell r="E15">
            <v>2240</v>
          </cell>
          <cell r="F15">
            <v>14917</v>
          </cell>
          <cell r="G15">
            <v>20571</v>
          </cell>
        </row>
        <row r="16">
          <cell r="B16" t="str">
            <v>Gujarat</v>
          </cell>
          <cell r="C16">
            <v>36247</v>
          </cell>
          <cell r="D16">
            <v>51915</v>
          </cell>
          <cell r="E16">
            <v>88162</v>
          </cell>
          <cell r="F16">
            <v>548523</v>
          </cell>
          <cell r="G16">
            <v>443575</v>
          </cell>
        </row>
        <row r="17">
          <cell r="B17" t="str">
            <v>Haryana</v>
          </cell>
          <cell r="C17">
            <v>13731</v>
          </cell>
          <cell r="D17">
            <v>33619</v>
          </cell>
          <cell r="E17">
            <v>47350</v>
          </cell>
          <cell r="F17">
            <v>228093</v>
          </cell>
          <cell r="G17">
            <v>305107</v>
          </cell>
        </row>
        <row r="18">
          <cell r="B18" t="str">
            <v>Himachal Pradesh</v>
          </cell>
          <cell r="C18">
            <v>2405</v>
          </cell>
          <cell r="D18">
            <v>5950</v>
          </cell>
          <cell r="E18">
            <v>8355</v>
          </cell>
          <cell r="F18">
            <v>70514</v>
          </cell>
          <cell r="G18">
            <v>103526</v>
          </cell>
        </row>
        <row r="19">
          <cell r="B19" t="str">
            <v>Jammu and Kashmir</v>
          </cell>
          <cell r="C19">
            <v>2089</v>
          </cell>
          <cell r="D19">
            <v>2299</v>
          </cell>
          <cell r="E19">
            <v>4388</v>
          </cell>
          <cell r="F19">
            <v>103100</v>
          </cell>
          <cell r="G19">
            <v>113765</v>
          </cell>
        </row>
        <row r="20">
          <cell r="B20" t="str">
            <v>Jharkhand</v>
          </cell>
          <cell r="C20">
            <v>12746</v>
          </cell>
          <cell r="D20">
            <v>23820</v>
          </cell>
          <cell r="E20">
            <v>36566</v>
          </cell>
          <cell r="F20">
            <v>275455</v>
          </cell>
          <cell r="G20">
            <v>296088</v>
          </cell>
        </row>
        <row r="21">
          <cell r="B21" t="str">
            <v>Karnataka</v>
          </cell>
          <cell r="C21">
            <v>49567</v>
          </cell>
          <cell r="D21">
            <v>67984</v>
          </cell>
          <cell r="E21">
            <v>117551</v>
          </cell>
          <cell r="F21">
            <v>732827</v>
          </cell>
          <cell r="G21">
            <v>774134</v>
          </cell>
        </row>
        <row r="22">
          <cell r="B22" t="str">
            <v>Kerala</v>
          </cell>
          <cell r="C22">
            <v>16291</v>
          </cell>
          <cell r="D22">
            <v>58848</v>
          </cell>
          <cell r="E22">
            <v>75139</v>
          </cell>
          <cell r="F22">
            <v>269037</v>
          </cell>
          <cell r="G22">
            <v>395984</v>
          </cell>
        </row>
        <row r="23">
          <cell r="B23" t="str">
            <v>Ladakh</v>
          </cell>
          <cell r="C23">
            <v>0</v>
          </cell>
          <cell r="D23">
            <v>0</v>
          </cell>
          <cell r="E23">
            <v>0</v>
          </cell>
          <cell r="F23">
            <v>721</v>
          </cell>
          <cell r="G23">
            <v>1677</v>
          </cell>
        </row>
        <row r="24">
          <cell r="B24" t="str">
            <v>Lakshadweep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</row>
        <row r="25">
          <cell r="B25" t="str">
            <v>Madhya Pradesh</v>
          </cell>
          <cell r="C25">
            <v>86655</v>
          </cell>
          <cell r="D25">
            <v>119478</v>
          </cell>
          <cell r="E25">
            <v>206133</v>
          </cell>
          <cell r="F25">
            <v>689439</v>
          </cell>
          <cell r="G25">
            <v>672246</v>
          </cell>
        </row>
        <row r="26">
          <cell r="B26" t="str">
            <v>Maharashtra</v>
          </cell>
          <cell r="C26">
            <v>116886</v>
          </cell>
          <cell r="D26">
            <v>147597</v>
          </cell>
          <cell r="E26">
            <v>264483</v>
          </cell>
          <cell r="F26">
            <v>1418866</v>
          </cell>
          <cell r="G26">
            <v>1277075</v>
          </cell>
        </row>
        <row r="27">
          <cell r="B27" t="str">
            <v>Manipur</v>
          </cell>
          <cell r="C27">
            <v>754</v>
          </cell>
          <cell r="D27">
            <v>1316</v>
          </cell>
          <cell r="E27">
            <v>2070</v>
          </cell>
          <cell r="F27">
            <v>50455</v>
          </cell>
          <cell r="G27">
            <v>52634</v>
          </cell>
        </row>
        <row r="28">
          <cell r="B28" t="str">
            <v>Meghalaya</v>
          </cell>
          <cell r="C28">
            <v>118</v>
          </cell>
          <cell r="D28">
            <v>252</v>
          </cell>
          <cell r="E28">
            <v>370</v>
          </cell>
          <cell r="F28">
            <v>28316</v>
          </cell>
          <cell r="G28">
            <v>34301</v>
          </cell>
        </row>
        <row r="29">
          <cell r="B29" t="str">
            <v>Mizoram</v>
          </cell>
          <cell r="C29">
            <v>140</v>
          </cell>
          <cell r="D29">
            <v>93</v>
          </cell>
          <cell r="E29">
            <v>233</v>
          </cell>
          <cell r="F29">
            <v>9913</v>
          </cell>
          <cell r="G29">
            <v>8927</v>
          </cell>
        </row>
        <row r="30">
          <cell r="B30" t="str">
            <v>Nagaland</v>
          </cell>
          <cell r="C30">
            <v>271</v>
          </cell>
          <cell r="D30">
            <v>407</v>
          </cell>
          <cell r="E30">
            <v>678</v>
          </cell>
          <cell r="F30">
            <v>14918</v>
          </cell>
          <cell r="G30">
            <v>17665</v>
          </cell>
        </row>
        <row r="31">
          <cell r="B31" t="str">
            <v>Odisha</v>
          </cell>
          <cell r="C31">
            <v>22393</v>
          </cell>
          <cell r="D31">
            <v>19433</v>
          </cell>
          <cell r="E31">
            <v>41826</v>
          </cell>
          <cell r="F31">
            <v>328227</v>
          </cell>
          <cell r="G31">
            <v>322453</v>
          </cell>
        </row>
        <row r="32">
          <cell r="B32" t="str">
            <v>Puducherry</v>
          </cell>
          <cell r="C32">
            <v>1255</v>
          </cell>
          <cell r="D32">
            <v>2517</v>
          </cell>
          <cell r="E32">
            <v>3772</v>
          </cell>
          <cell r="F32">
            <v>18500</v>
          </cell>
          <cell r="G32">
            <v>23459</v>
          </cell>
        </row>
        <row r="33">
          <cell r="B33" t="str">
            <v>Punjab</v>
          </cell>
          <cell r="C33">
            <v>16531</v>
          </cell>
          <cell r="D33">
            <v>40400</v>
          </cell>
          <cell r="E33">
            <v>56931</v>
          </cell>
          <cell r="F33">
            <v>208365</v>
          </cell>
          <cell r="G33">
            <v>257685</v>
          </cell>
        </row>
        <row r="34">
          <cell r="B34" t="str">
            <v>Rajasthan</v>
          </cell>
          <cell r="C34">
            <v>43901</v>
          </cell>
          <cell r="D34">
            <v>84897</v>
          </cell>
          <cell r="E34">
            <v>128798</v>
          </cell>
          <cell r="F34">
            <v>738803</v>
          </cell>
          <cell r="G34">
            <v>768007</v>
          </cell>
        </row>
        <row r="35">
          <cell r="B35" t="str">
            <v>Sikkim</v>
          </cell>
          <cell r="C35">
            <v>133</v>
          </cell>
          <cell r="D35">
            <v>122</v>
          </cell>
          <cell r="E35">
            <v>255</v>
          </cell>
          <cell r="F35">
            <v>4829</v>
          </cell>
          <cell r="G35">
            <v>6525</v>
          </cell>
        </row>
        <row r="36">
          <cell r="B36" t="str">
            <v>Tamil Nadu</v>
          </cell>
          <cell r="C36">
            <v>71082</v>
          </cell>
          <cell r="D36">
            <v>145539</v>
          </cell>
          <cell r="E36">
            <v>216621</v>
          </cell>
          <cell r="F36">
            <v>912430</v>
          </cell>
          <cell r="G36">
            <v>1099897</v>
          </cell>
        </row>
        <row r="37">
          <cell r="B37" t="str">
            <v>Telangana</v>
          </cell>
          <cell r="C37">
            <v>51887</v>
          </cell>
          <cell r="D37">
            <v>71935</v>
          </cell>
          <cell r="E37">
            <v>123822</v>
          </cell>
          <cell r="F37">
            <v>495795</v>
          </cell>
          <cell r="G37">
            <v>540726</v>
          </cell>
        </row>
        <row r="38">
          <cell r="B38" t="str">
            <v>Tripura</v>
          </cell>
          <cell r="C38">
            <v>129</v>
          </cell>
          <cell r="D38">
            <v>161</v>
          </cell>
          <cell r="E38">
            <v>290</v>
          </cell>
          <cell r="F38">
            <v>30929</v>
          </cell>
          <cell r="G38">
            <v>27724</v>
          </cell>
        </row>
        <row r="39">
          <cell r="B39" t="str">
            <v>Uttar Pradesh</v>
          </cell>
          <cell r="C39">
            <v>165281</v>
          </cell>
          <cell r="D39">
            <v>272886</v>
          </cell>
          <cell r="E39">
            <v>438167</v>
          </cell>
          <cell r="F39">
            <v>2407756</v>
          </cell>
          <cell r="G39">
            <v>2641746</v>
          </cell>
        </row>
        <row r="40">
          <cell r="B40" t="str">
            <v>Uttarakhand</v>
          </cell>
          <cell r="C40">
            <v>12112</v>
          </cell>
          <cell r="D40">
            <v>19993</v>
          </cell>
          <cell r="E40">
            <v>32105</v>
          </cell>
          <cell r="F40">
            <v>98269</v>
          </cell>
          <cell r="G40">
            <v>117634</v>
          </cell>
        </row>
        <row r="41">
          <cell r="B41" t="str">
            <v>West Bengal</v>
          </cell>
          <cell r="C41">
            <v>13971</v>
          </cell>
          <cell r="D41">
            <v>17747</v>
          </cell>
          <cell r="E41">
            <v>31718</v>
          </cell>
          <cell r="F41">
            <v>735726</v>
          </cell>
          <cell r="G41">
            <v>841367</v>
          </cell>
        </row>
        <row r="42">
          <cell r="B42">
            <v>0</v>
          </cell>
          <cell r="C42">
            <v>861161</v>
          </cell>
          <cell r="D42">
            <v>1328330</v>
          </cell>
          <cell r="E42">
            <v>2189491</v>
          </cell>
          <cell r="F42">
            <v>12368433</v>
          </cell>
          <cell r="G42">
            <v>12987107</v>
          </cell>
        </row>
      </sheetData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3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6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R43"/>
  <sheetViews>
    <sheetView showZeros="0" view="pageBreakPreview" zoomScaleSheetLayoutView="100" workbookViewId="0">
      <pane ySplit="3" topLeftCell="A10" activePane="bottomLeft" state="frozen"/>
      <selection activeCell="G48" sqref="G48"/>
      <selection pane="bottomLeft" activeCell="C43" sqref="C43"/>
    </sheetView>
  </sheetViews>
  <sheetFormatPr defaultColWidth="9.1796875" defaultRowHeight="14"/>
  <cols>
    <col min="1" max="1" width="6.453125" style="87" bestFit="1" customWidth="1"/>
    <col min="2" max="2" width="19.1796875" style="87" bestFit="1" customWidth="1"/>
    <col min="3" max="3" width="6" style="87" customWidth="1"/>
    <col min="4" max="7" width="5.81640625" style="87" customWidth="1"/>
    <col min="8" max="10" width="6.1796875" style="87" customWidth="1"/>
    <col min="11" max="12" width="5.81640625" style="87" customWidth="1"/>
    <col min="13" max="13" width="5.54296875" style="87" customWidth="1"/>
    <col min="14" max="14" width="7.54296875" style="87" customWidth="1"/>
    <col min="15" max="15" width="10.54296875" style="87" bestFit="1" customWidth="1"/>
    <col min="16" max="18" width="9.1796875" style="87"/>
    <col min="19" max="19" width="40.1796875" style="87" customWidth="1"/>
    <col min="20" max="16384" width="9.1796875" style="87"/>
  </cols>
  <sheetData>
    <row r="1" spans="1:18" s="184" customFormat="1" ht="23.25" customHeight="1">
      <c r="A1" s="87"/>
      <c r="B1" s="606" t="s">
        <v>53</v>
      </c>
      <c r="C1" s="607" t="s">
        <v>147</v>
      </c>
      <c r="D1" s="608"/>
      <c r="E1" s="608"/>
      <c r="F1" s="608"/>
      <c r="G1" s="608"/>
      <c r="H1" s="608"/>
      <c r="I1" s="608"/>
      <c r="J1" s="608"/>
      <c r="K1" s="87"/>
      <c r="L1" s="87"/>
      <c r="M1" s="87"/>
      <c r="N1" s="87"/>
    </row>
    <row r="2" spans="1:18" s="611" customFormat="1" ht="116.25" customHeight="1">
      <c r="A2" s="569" t="s">
        <v>280</v>
      </c>
      <c r="B2" s="569" t="s">
        <v>2</v>
      </c>
      <c r="C2" s="509" t="s">
        <v>125</v>
      </c>
      <c r="D2" s="509" t="s">
        <v>126</v>
      </c>
      <c r="E2" s="509" t="s">
        <v>127</v>
      </c>
      <c r="F2" s="509" t="s">
        <v>128</v>
      </c>
      <c r="G2" s="509" t="s">
        <v>131</v>
      </c>
      <c r="H2" s="509" t="s">
        <v>129</v>
      </c>
      <c r="I2" s="509" t="s">
        <v>130</v>
      </c>
      <c r="J2" s="509" t="s">
        <v>145</v>
      </c>
      <c r="K2" s="509" t="s">
        <v>132</v>
      </c>
      <c r="L2" s="509" t="s">
        <v>133</v>
      </c>
      <c r="M2" s="509" t="s">
        <v>134</v>
      </c>
      <c r="N2" s="510" t="s">
        <v>60</v>
      </c>
      <c r="O2" s="88"/>
      <c r="P2" s="611" t="s">
        <v>1064</v>
      </c>
      <c r="Q2" s="611" t="s">
        <v>1065</v>
      </c>
      <c r="R2" s="611" t="s">
        <v>78</v>
      </c>
    </row>
    <row r="3" spans="1:18" s="613" customFormat="1" ht="14.25" customHeight="1">
      <c r="A3" s="609">
        <v>1</v>
      </c>
      <c r="B3" s="609">
        <v>2</v>
      </c>
      <c r="C3" s="609">
        <v>3</v>
      </c>
      <c r="D3" s="609">
        <v>4</v>
      </c>
      <c r="E3" s="609">
        <v>5</v>
      </c>
      <c r="F3" s="609">
        <v>6</v>
      </c>
      <c r="G3" s="609">
        <v>7</v>
      </c>
      <c r="H3" s="609">
        <v>8</v>
      </c>
      <c r="I3" s="609">
        <v>9</v>
      </c>
      <c r="J3" s="609">
        <v>10</v>
      </c>
      <c r="K3" s="609">
        <v>11</v>
      </c>
      <c r="L3" s="609">
        <v>12</v>
      </c>
      <c r="M3" s="609">
        <v>13</v>
      </c>
      <c r="N3" s="609">
        <v>14</v>
      </c>
      <c r="O3" s="612"/>
    </row>
    <row r="4" spans="1:18" ht="18.75" customHeight="1">
      <c r="A4" s="68">
        <v>1</v>
      </c>
      <c r="B4" s="68" t="s">
        <v>15</v>
      </c>
      <c r="C4" s="84">
        <v>2</v>
      </c>
      <c r="D4" s="84">
        <v>0</v>
      </c>
      <c r="E4" s="84">
        <v>10</v>
      </c>
      <c r="F4" s="84">
        <v>23</v>
      </c>
      <c r="G4" s="84">
        <v>1</v>
      </c>
      <c r="H4" s="84">
        <v>0</v>
      </c>
      <c r="I4" s="84">
        <v>5</v>
      </c>
      <c r="J4" s="84">
        <v>0</v>
      </c>
      <c r="K4" s="84">
        <v>0</v>
      </c>
      <c r="L4" s="84">
        <v>0</v>
      </c>
      <c r="M4" s="84">
        <v>4</v>
      </c>
      <c r="N4" s="84">
        <v>45</v>
      </c>
      <c r="O4" s="88"/>
    </row>
    <row r="5" spans="1:18" ht="18.75" customHeight="1">
      <c r="A5" s="68">
        <v>2</v>
      </c>
      <c r="B5" s="68" t="s">
        <v>16</v>
      </c>
      <c r="C5" s="84">
        <v>1</v>
      </c>
      <c r="D5" s="84">
        <v>0</v>
      </c>
      <c r="E5" s="84">
        <v>1</v>
      </c>
      <c r="F5" s="84">
        <v>0</v>
      </c>
      <c r="G5" s="84">
        <v>0</v>
      </c>
      <c r="H5" s="84">
        <v>0</v>
      </c>
      <c r="I5" s="84">
        <v>6</v>
      </c>
      <c r="J5" s="84">
        <v>1</v>
      </c>
      <c r="K5" s="84">
        <v>1</v>
      </c>
      <c r="L5" s="84">
        <v>0</v>
      </c>
      <c r="M5" s="84">
        <v>0</v>
      </c>
      <c r="N5" s="84">
        <v>10</v>
      </c>
      <c r="O5" s="88"/>
    </row>
    <row r="6" spans="1:18" ht="18.75" customHeight="1">
      <c r="A6" s="68">
        <v>3</v>
      </c>
      <c r="B6" s="68" t="s">
        <v>17</v>
      </c>
      <c r="C6" s="84">
        <v>2</v>
      </c>
      <c r="D6" s="84">
        <v>0</v>
      </c>
      <c r="E6" s="84">
        <v>5</v>
      </c>
      <c r="F6" s="84">
        <v>13</v>
      </c>
      <c r="G6" s="84">
        <v>0</v>
      </c>
      <c r="H6" s="84">
        <v>1</v>
      </c>
      <c r="I6" s="84">
        <v>6</v>
      </c>
      <c r="J6" s="84">
        <v>0</v>
      </c>
      <c r="K6" s="84">
        <v>1</v>
      </c>
      <c r="L6" s="84">
        <v>0</v>
      </c>
      <c r="M6" s="84">
        <v>0</v>
      </c>
      <c r="N6" s="84">
        <v>28</v>
      </c>
      <c r="O6" s="88"/>
    </row>
    <row r="7" spans="1:18" ht="18.75" customHeight="1">
      <c r="A7" s="68">
        <v>4</v>
      </c>
      <c r="B7" s="68" t="s">
        <v>18</v>
      </c>
      <c r="C7" s="84">
        <v>4</v>
      </c>
      <c r="D7" s="84">
        <v>0</v>
      </c>
      <c r="E7" s="84">
        <v>6</v>
      </c>
      <c r="F7" s="84">
        <v>17</v>
      </c>
      <c r="G7" s="84">
        <v>1</v>
      </c>
      <c r="H7" s="84">
        <v>1</v>
      </c>
      <c r="I7" s="84">
        <v>7</v>
      </c>
      <c r="J7" s="84">
        <v>0</v>
      </c>
      <c r="K7" s="84">
        <v>1</v>
      </c>
      <c r="L7" s="84">
        <v>0</v>
      </c>
      <c r="M7" s="84">
        <v>0</v>
      </c>
      <c r="N7" s="84">
        <v>37</v>
      </c>
      <c r="O7" s="88"/>
    </row>
    <row r="8" spans="1:18" ht="18.75" customHeight="1">
      <c r="A8" s="68">
        <v>5</v>
      </c>
      <c r="B8" s="68" t="s">
        <v>19</v>
      </c>
      <c r="C8" s="84">
        <v>0</v>
      </c>
      <c r="D8" s="84">
        <v>0</v>
      </c>
      <c r="E8" s="84">
        <v>1</v>
      </c>
      <c r="F8" s="84">
        <v>1</v>
      </c>
      <c r="G8" s="84">
        <v>0</v>
      </c>
      <c r="H8" s="84">
        <v>0</v>
      </c>
      <c r="I8" s="84">
        <v>0</v>
      </c>
      <c r="J8" s="84">
        <v>0</v>
      </c>
      <c r="K8" s="84">
        <v>1</v>
      </c>
      <c r="L8" s="84">
        <v>0</v>
      </c>
      <c r="M8" s="84">
        <v>0</v>
      </c>
      <c r="N8" s="84">
        <v>3</v>
      </c>
      <c r="O8" s="88"/>
    </row>
    <row r="9" spans="1:18" ht="18.75" customHeight="1">
      <c r="A9" s="68">
        <v>6</v>
      </c>
      <c r="B9" s="511" t="s">
        <v>20</v>
      </c>
      <c r="C9" s="84">
        <v>1</v>
      </c>
      <c r="D9" s="84">
        <v>0</v>
      </c>
      <c r="E9" s="84">
        <v>4</v>
      </c>
      <c r="F9" s="84">
        <v>14</v>
      </c>
      <c r="G9" s="84">
        <v>0</v>
      </c>
      <c r="H9" s="84">
        <v>1</v>
      </c>
      <c r="I9" s="84">
        <v>12</v>
      </c>
      <c r="J9" s="84">
        <v>0</v>
      </c>
      <c r="K9" s="84">
        <v>0</v>
      </c>
      <c r="L9" s="84">
        <v>0</v>
      </c>
      <c r="M9" s="84">
        <v>0</v>
      </c>
      <c r="N9" s="84">
        <v>32</v>
      </c>
      <c r="O9" s="88"/>
    </row>
    <row r="10" spans="1:18" ht="18.75" customHeight="1">
      <c r="A10" s="68">
        <v>7</v>
      </c>
      <c r="B10" s="68" t="s">
        <v>23</v>
      </c>
      <c r="C10" s="84">
        <v>6</v>
      </c>
      <c r="D10" s="84">
        <v>1</v>
      </c>
      <c r="E10" s="84">
        <v>5</v>
      </c>
      <c r="F10" s="84">
        <v>8</v>
      </c>
      <c r="G10" s="84">
        <v>0</v>
      </c>
      <c r="H10" s="84">
        <v>0</v>
      </c>
      <c r="I10" s="84">
        <v>0</v>
      </c>
      <c r="J10" s="84">
        <v>0</v>
      </c>
      <c r="K10" s="84">
        <v>6</v>
      </c>
      <c r="L10" s="84">
        <v>1</v>
      </c>
      <c r="M10" s="84">
        <v>1</v>
      </c>
      <c r="N10" s="84">
        <v>28</v>
      </c>
      <c r="O10" s="88"/>
    </row>
    <row r="11" spans="1:18" ht="18.75" customHeight="1">
      <c r="A11" s="68">
        <v>8</v>
      </c>
      <c r="B11" s="68" t="s">
        <v>24</v>
      </c>
      <c r="C11" s="84">
        <v>0</v>
      </c>
      <c r="D11" s="84">
        <v>0</v>
      </c>
      <c r="E11" s="84">
        <v>2</v>
      </c>
      <c r="F11" s="84">
        <v>1</v>
      </c>
      <c r="G11" s="84">
        <v>0</v>
      </c>
      <c r="H11" s="84">
        <v>0</v>
      </c>
      <c r="I11" s="84">
        <v>0</v>
      </c>
      <c r="J11" s="84">
        <v>0</v>
      </c>
      <c r="K11" s="84">
        <v>0</v>
      </c>
      <c r="L11" s="84">
        <v>0</v>
      </c>
      <c r="M11" s="84">
        <v>0</v>
      </c>
      <c r="N11" s="84">
        <v>3</v>
      </c>
      <c r="O11" s="88"/>
    </row>
    <row r="12" spans="1:18" ht="18.75" customHeight="1">
      <c r="A12" s="68">
        <v>9</v>
      </c>
      <c r="B12" s="68" t="s">
        <v>25</v>
      </c>
      <c r="C12" s="84">
        <v>1</v>
      </c>
      <c r="D12" s="84">
        <v>0</v>
      </c>
      <c r="E12" s="84">
        <v>9</v>
      </c>
      <c r="F12" s="84">
        <v>25</v>
      </c>
      <c r="G12" s="84">
        <v>0</v>
      </c>
      <c r="H12" s="84">
        <v>1</v>
      </c>
      <c r="I12" s="84">
        <v>44</v>
      </c>
      <c r="J12" s="84">
        <v>0</v>
      </c>
      <c r="K12" s="84">
        <v>1</v>
      </c>
      <c r="L12" s="84">
        <v>1</v>
      </c>
      <c r="M12" s="84">
        <v>1</v>
      </c>
      <c r="N12" s="84">
        <v>83</v>
      </c>
      <c r="O12" s="88"/>
    </row>
    <row r="13" spans="1:18" ht="18.75" customHeight="1">
      <c r="A13" s="68">
        <v>10</v>
      </c>
      <c r="B13" s="68" t="s">
        <v>26</v>
      </c>
      <c r="C13" s="84">
        <v>1</v>
      </c>
      <c r="D13" s="84">
        <v>0</v>
      </c>
      <c r="E13" s="84">
        <v>5</v>
      </c>
      <c r="F13" s="84">
        <v>20</v>
      </c>
      <c r="G13" s="84">
        <v>0</v>
      </c>
      <c r="H13" s="84">
        <v>0</v>
      </c>
      <c r="I13" s="84">
        <v>24</v>
      </c>
      <c r="J13" s="84">
        <v>0</v>
      </c>
      <c r="K13" s="84">
        <v>3</v>
      </c>
      <c r="L13" s="84">
        <v>0</v>
      </c>
      <c r="M13" s="84">
        <v>3</v>
      </c>
      <c r="N13" s="84">
        <v>56</v>
      </c>
      <c r="O13" s="88"/>
    </row>
    <row r="14" spans="1:18" ht="18.75" customHeight="1">
      <c r="A14" s="68">
        <v>11</v>
      </c>
      <c r="B14" s="68" t="s">
        <v>27</v>
      </c>
      <c r="C14" s="84">
        <v>1</v>
      </c>
      <c r="D14" s="84">
        <v>0</v>
      </c>
      <c r="E14" s="84">
        <v>4</v>
      </c>
      <c r="F14" s="84">
        <v>7</v>
      </c>
      <c r="G14" s="84">
        <v>0</v>
      </c>
      <c r="H14" s="84">
        <v>0</v>
      </c>
      <c r="I14" s="84">
        <v>17</v>
      </c>
      <c r="J14" s="84">
        <v>0</v>
      </c>
      <c r="K14" s="84">
        <v>0</v>
      </c>
      <c r="L14" s="84">
        <v>0</v>
      </c>
      <c r="M14" s="84">
        <v>0</v>
      </c>
      <c r="N14" s="84">
        <v>29</v>
      </c>
      <c r="O14" s="88"/>
    </row>
    <row r="15" spans="1:18" ht="18.75" customHeight="1">
      <c r="A15" s="68">
        <v>12</v>
      </c>
      <c r="B15" s="511" t="s">
        <v>57</v>
      </c>
      <c r="C15" s="84">
        <v>2</v>
      </c>
      <c r="D15" s="84">
        <v>0</v>
      </c>
      <c r="E15" s="84">
        <v>3</v>
      </c>
      <c r="F15" s="84">
        <v>9</v>
      </c>
      <c r="G15" s="84">
        <v>1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15</v>
      </c>
      <c r="O15" s="88"/>
    </row>
    <row r="16" spans="1:18" ht="18.75" customHeight="1">
      <c r="A16" s="68">
        <v>13</v>
      </c>
      <c r="B16" s="68" t="s">
        <v>29</v>
      </c>
      <c r="C16" s="84">
        <v>1</v>
      </c>
      <c r="D16" s="84">
        <v>0</v>
      </c>
      <c r="E16" s="84">
        <v>5</v>
      </c>
      <c r="F16" s="84">
        <v>11</v>
      </c>
      <c r="G16" s="84">
        <v>0</v>
      </c>
      <c r="H16" s="84">
        <v>0</v>
      </c>
      <c r="I16" s="84">
        <v>14</v>
      </c>
      <c r="J16" s="84">
        <v>0</v>
      </c>
      <c r="K16" s="84">
        <v>0</v>
      </c>
      <c r="L16" s="84">
        <v>0</v>
      </c>
      <c r="M16" s="84">
        <v>1</v>
      </c>
      <c r="N16" s="84">
        <v>32</v>
      </c>
      <c r="O16" s="88"/>
    </row>
    <row r="17" spans="1:15" ht="18.75" customHeight="1">
      <c r="A17" s="68">
        <v>14</v>
      </c>
      <c r="B17" s="68" t="s">
        <v>30</v>
      </c>
      <c r="C17" s="84">
        <v>1</v>
      </c>
      <c r="D17" s="84">
        <v>0</v>
      </c>
      <c r="E17" s="84">
        <v>6</v>
      </c>
      <c r="F17" s="84">
        <v>32</v>
      </c>
      <c r="G17" s="84">
        <v>0</v>
      </c>
      <c r="H17" s="84">
        <v>1</v>
      </c>
      <c r="I17" s="84">
        <v>18</v>
      </c>
      <c r="J17" s="84">
        <v>0</v>
      </c>
      <c r="K17" s="84">
        <v>3</v>
      </c>
      <c r="L17" s="84">
        <v>0</v>
      </c>
      <c r="M17" s="84">
        <v>11</v>
      </c>
      <c r="N17" s="84">
        <v>72</v>
      </c>
      <c r="O17" s="88"/>
    </row>
    <row r="18" spans="1:15" ht="18.75" customHeight="1">
      <c r="A18" s="68">
        <v>15</v>
      </c>
      <c r="B18" s="68" t="s">
        <v>31</v>
      </c>
      <c r="C18" s="84">
        <v>1</v>
      </c>
      <c r="D18" s="84">
        <v>0</v>
      </c>
      <c r="E18" s="84">
        <v>6</v>
      </c>
      <c r="F18" s="84">
        <v>13</v>
      </c>
      <c r="G18" s="84">
        <v>0</v>
      </c>
      <c r="H18" s="84">
        <v>0</v>
      </c>
      <c r="I18" s="84">
        <v>0</v>
      </c>
      <c r="J18" s="84">
        <v>0</v>
      </c>
      <c r="K18" s="84">
        <v>2</v>
      </c>
      <c r="L18" s="84">
        <v>0</v>
      </c>
      <c r="M18" s="84">
        <v>1</v>
      </c>
      <c r="N18" s="84">
        <v>23</v>
      </c>
      <c r="O18" s="88"/>
    </row>
    <row r="19" spans="1:15" ht="18.75" customHeight="1">
      <c r="A19" s="68">
        <v>16</v>
      </c>
      <c r="B19" s="68" t="s">
        <v>172</v>
      </c>
      <c r="C19" s="84">
        <v>0</v>
      </c>
      <c r="D19" s="84">
        <v>0</v>
      </c>
      <c r="E19" s="84">
        <v>0</v>
      </c>
      <c r="F19" s="84">
        <v>1</v>
      </c>
      <c r="G19" s="84">
        <v>0</v>
      </c>
      <c r="H19" s="84">
        <v>0</v>
      </c>
      <c r="I19" s="84">
        <v>0</v>
      </c>
      <c r="J19" s="84">
        <v>0</v>
      </c>
      <c r="K19" s="84">
        <v>1</v>
      </c>
      <c r="L19" s="84">
        <v>0</v>
      </c>
      <c r="M19" s="84">
        <v>0</v>
      </c>
      <c r="N19" s="84">
        <v>2</v>
      </c>
      <c r="O19" s="88"/>
    </row>
    <row r="20" spans="1:15" ht="18.75" customHeight="1">
      <c r="A20" s="68">
        <v>17</v>
      </c>
      <c r="B20" s="68" t="s">
        <v>33</v>
      </c>
      <c r="C20" s="84">
        <v>2</v>
      </c>
      <c r="D20" s="84">
        <v>0</v>
      </c>
      <c r="E20" s="84">
        <v>9</v>
      </c>
      <c r="F20" s="84">
        <v>22</v>
      </c>
      <c r="G20" s="84">
        <v>0</v>
      </c>
      <c r="H20" s="84">
        <v>1</v>
      </c>
      <c r="I20" s="84">
        <v>39</v>
      </c>
      <c r="J20" s="84">
        <v>0</v>
      </c>
      <c r="K20" s="84">
        <v>1</v>
      </c>
      <c r="L20" s="84">
        <v>0</v>
      </c>
      <c r="M20" s="84">
        <v>0</v>
      </c>
      <c r="N20" s="84">
        <v>74</v>
      </c>
      <c r="O20" s="88"/>
    </row>
    <row r="21" spans="1:15" ht="18.75" customHeight="1">
      <c r="A21" s="68">
        <v>18</v>
      </c>
      <c r="B21" s="68" t="s">
        <v>34</v>
      </c>
      <c r="C21" s="84">
        <v>1</v>
      </c>
      <c r="D21" s="84">
        <v>0</v>
      </c>
      <c r="E21" s="84">
        <v>7</v>
      </c>
      <c r="F21" s="84">
        <v>23</v>
      </c>
      <c r="G21" s="84">
        <v>0</v>
      </c>
      <c r="H21" s="84">
        <v>1</v>
      </c>
      <c r="I21" s="84">
        <v>18</v>
      </c>
      <c r="J21" s="84">
        <v>0</v>
      </c>
      <c r="K21" s="84">
        <v>7</v>
      </c>
      <c r="L21" s="84">
        <v>2</v>
      </c>
      <c r="M21" s="84">
        <v>12</v>
      </c>
      <c r="N21" s="84">
        <v>71</v>
      </c>
      <c r="O21" s="88"/>
    </row>
    <row r="22" spans="1:15" ht="18.75" customHeight="1">
      <c r="A22" s="68">
        <v>19</v>
      </c>
      <c r="B22" s="68" t="s">
        <v>35</v>
      </c>
      <c r="C22" s="84">
        <v>3</v>
      </c>
      <c r="D22" s="84">
        <v>0</v>
      </c>
      <c r="E22" s="84">
        <v>2</v>
      </c>
      <c r="F22" s="84">
        <v>3</v>
      </c>
      <c r="G22" s="84">
        <v>0</v>
      </c>
      <c r="H22" s="84">
        <v>0</v>
      </c>
      <c r="I22" s="84">
        <v>1</v>
      </c>
      <c r="J22" s="84">
        <v>0</v>
      </c>
      <c r="K22" s="84">
        <v>0</v>
      </c>
      <c r="L22" s="84">
        <v>0</v>
      </c>
      <c r="M22" s="84">
        <v>0</v>
      </c>
      <c r="N22" s="84">
        <v>9</v>
      </c>
      <c r="O22" s="88"/>
    </row>
    <row r="23" spans="1:15" ht="18.75" customHeight="1">
      <c r="A23" s="68">
        <v>20</v>
      </c>
      <c r="B23" s="68" t="s">
        <v>36</v>
      </c>
      <c r="C23" s="84">
        <v>1</v>
      </c>
      <c r="D23" s="84">
        <v>0</v>
      </c>
      <c r="E23" s="84">
        <v>2</v>
      </c>
      <c r="F23" s="84">
        <v>0</v>
      </c>
      <c r="G23" s="84">
        <v>0</v>
      </c>
      <c r="H23" s="84">
        <v>0</v>
      </c>
      <c r="I23" s="84">
        <v>8</v>
      </c>
      <c r="J23" s="84">
        <v>0</v>
      </c>
      <c r="K23" s="84">
        <v>0</v>
      </c>
      <c r="L23" s="84">
        <v>0</v>
      </c>
      <c r="M23" s="84">
        <v>0</v>
      </c>
      <c r="N23" s="84">
        <v>11</v>
      </c>
      <c r="O23" s="88"/>
    </row>
    <row r="24" spans="1:15" ht="18.75" customHeight="1">
      <c r="A24" s="68">
        <v>21</v>
      </c>
      <c r="B24" s="68" t="s">
        <v>37</v>
      </c>
      <c r="C24" s="84">
        <v>1</v>
      </c>
      <c r="D24" s="84">
        <v>0</v>
      </c>
      <c r="E24" s="84">
        <v>1</v>
      </c>
      <c r="F24" s="84">
        <v>0</v>
      </c>
      <c r="G24" s="84">
        <v>0</v>
      </c>
      <c r="H24" s="84">
        <v>0</v>
      </c>
      <c r="I24" s="84">
        <v>1</v>
      </c>
      <c r="J24" s="84">
        <v>0</v>
      </c>
      <c r="K24" s="84">
        <v>0</v>
      </c>
      <c r="L24" s="84">
        <v>0</v>
      </c>
      <c r="M24" s="84">
        <v>0</v>
      </c>
      <c r="N24" s="84">
        <v>3</v>
      </c>
      <c r="O24" s="88"/>
    </row>
    <row r="25" spans="1:15" ht="18.75" customHeight="1">
      <c r="A25" s="68">
        <v>22</v>
      </c>
      <c r="B25" s="68" t="s">
        <v>38</v>
      </c>
      <c r="C25" s="84">
        <v>1</v>
      </c>
      <c r="D25" s="84">
        <v>0</v>
      </c>
      <c r="E25" s="84">
        <v>1</v>
      </c>
      <c r="F25" s="84">
        <v>0</v>
      </c>
      <c r="G25" s="84">
        <v>0</v>
      </c>
      <c r="H25" s="84">
        <v>0</v>
      </c>
      <c r="I25" s="84">
        <v>3</v>
      </c>
      <c r="J25" s="84">
        <v>0</v>
      </c>
      <c r="K25" s="84">
        <v>0</v>
      </c>
      <c r="L25" s="84">
        <v>0</v>
      </c>
      <c r="M25" s="84">
        <v>0</v>
      </c>
      <c r="N25" s="84">
        <v>5</v>
      </c>
      <c r="O25" s="88"/>
    </row>
    <row r="26" spans="1:15" ht="18.75" customHeight="1">
      <c r="A26" s="68">
        <v>23</v>
      </c>
      <c r="B26" s="68" t="s">
        <v>39</v>
      </c>
      <c r="C26" s="84">
        <v>1</v>
      </c>
      <c r="D26" s="84">
        <v>0</v>
      </c>
      <c r="E26" s="84">
        <v>5</v>
      </c>
      <c r="F26" s="84">
        <v>18</v>
      </c>
      <c r="G26" s="84">
        <v>0</v>
      </c>
      <c r="H26" s="84">
        <v>1</v>
      </c>
      <c r="I26" s="84">
        <v>8</v>
      </c>
      <c r="J26" s="84">
        <v>0</v>
      </c>
      <c r="K26" s="84">
        <v>0</v>
      </c>
      <c r="L26" s="84">
        <v>0</v>
      </c>
      <c r="M26" s="84">
        <v>3</v>
      </c>
      <c r="N26" s="84">
        <v>36</v>
      </c>
      <c r="O26" s="88"/>
    </row>
    <row r="27" spans="1:15" ht="18.75" customHeight="1">
      <c r="A27" s="68">
        <v>24</v>
      </c>
      <c r="B27" s="68" t="s">
        <v>40</v>
      </c>
      <c r="C27" s="84">
        <v>1</v>
      </c>
      <c r="D27" s="84">
        <v>0</v>
      </c>
      <c r="E27" s="84">
        <v>2</v>
      </c>
      <c r="F27" s="84">
        <v>0</v>
      </c>
      <c r="G27" s="84">
        <v>0</v>
      </c>
      <c r="H27" s="84">
        <v>0</v>
      </c>
      <c r="I27" s="84">
        <v>0</v>
      </c>
      <c r="J27" s="84">
        <v>0</v>
      </c>
      <c r="K27" s="84">
        <v>0</v>
      </c>
      <c r="L27" s="84">
        <v>0</v>
      </c>
      <c r="M27" s="84">
        <v>1</v>
      </c>
      <c r="N27" s="84">
        <v>4</v>
      </c>
      <c r="O27" s="88"/>
    </row>
    <row r="28" spans="1:15" ht="18.75" customHeight="1">
      <c r="A28" s="68">
        <v>25</v>
      </c>
      <c r="B28" s="68" t="s">
        <v>41</v>
      </c>
      <c r="C28" s="84">
        <v>1</v>
      </c>
      <c r="D28" s="84">
        <v>0</v>
      </c>
      <c r="E28" s="84">
        <v>6</v>
      </c>
      <c r="F28" s="84">
        <v>10</v>
      </c>
      <c r="G28" s="84">
        <v>0</v>
      </c>
      <c r="H28" s="84">
        <v>0</v>
      </c>
      <c r="I28" s="84">
        <v>15</v>
      </c>
      <c r="J28" s="84">
        <v>0</v>
      </c>
      <c r="K28" s="84">
        <v>1</v>
      </c>
      <c r="L28" s="84">
        <v>0</v>
      </c>
      <c r="M28" s="84">
        <v>1</v>
      </c>
      <c r="N28" s="84">
        <v>34</v>
      </c>
      <c r="O28" s="88"/>
    </row>
    <row r="29" spans="1:15" ht="18.75" customHeight="1">
      <c r="A29" s="68">
        <v>26</v>
      </c>
      <c r="B29" s="68" t="s">
        <v>42</v>
      </c>
      <c r="C29" s="84">
        <v>1</v>
      </c>
      <c r="D29" s="84">
        <v>0</v>
      </c>
      <c r="E29" s="84">
        <v>5</v>
      </c>
      <c r="F29" s="84">
        <v>26</v>
      </c>
      <c r="G29" s="84">
        <v>0</v>
      </c>
      <c r="H29" s="84">
        <v>1</v>
      </c>
      <c r="I29" s="84">
        <v>52</v>
      </c>
      <c r="J29" s="84">
        <v>0</v>
      </c>
      <c r="K29" s="84">
        <v>0</v>
      </c>
      <c r="L29" s="84">
        <v>0</v>
      </c>
      <c r="M29" s="84">
        <v>7</v>
      </c>
      <c r="N29" s="84">
        <v>92</v>
      </c>
      <c r="O29" s="88"/>
    </row>
    <row r="30" spans="1:15" ht="18.75" customHeight="1">
      <c r="A30" s="68">
        <v>27</v>
      </c>
      <c r="B30" s="68" t="s">
        <v>43</v>
      </c>
      <c r="C30" s="84">
        <v>1</v>
      </c>
      <c r="D30" s="84">
        <v>0</v>
      </c>
      <c r="E30" s="84">
        <v>1</v>
      </c>
      <c r="F30" s="84">
        <v>1</v>
      </c>
      <c r="G30" s="84">
        <v>0</v>
      </c>
      <c r="H30" s="84">
        <v>0</v>
      </c>
      <c r="I30" s="84">
        <v>5</v>
      </c>
      <c r="J30" s="84">
        <v>0</v>
      </c>
      <c r="K30" s="84">
        <v>0</v>
      </c>
      <c r="L30" s="84">
        <v>0</v>
      </c>
      <c r="M30" s="84">
        <v>0</v>
      </c>
      <c r="N30" s="84">
        <v>8</v>
      </c>
      <c r="O30" s="88"/>
    </row>
    <row r="31" spans="1:15" ht="18.75" customHeight="1">
      <c r="A31" s="68">
        <v>28</v>
      </c>
      <c r="B31" s="68" t="s">
        <v>44</v>
      </c>
      <c r="C31" s="84">
        <v>2</v>
      </c>
      <c r="D31" s="84">
        <v>0</v>
      </c>
      <c r="E31" s="84">
        <v>7</v>
      </c>
      <c r="F31" s="84">
        <v>21</v>
      </c>
      <c r="G31" s="84">
        <v>0</v>
      </c>
      <c r="H31" s="84">
        <v>1</v>
      </c>
      <c r="I31" s="84">
        <v>0</v>
      </c>
      <c r="J31" s="84">
        <v>0</v>
      </c>
      <c r="K31" s="84">
        <v>0</v>
      </c>
      <c r="L31" s="84">
        <v>2</v>
      </c>
      <c r="M31" s="84">
        <v>26</v>
      </c>
      <c r="N31" s="84">
        <v>59</v>
      </c>
      <c r="O31" s="88"/>
    </row>
    <row r="32" spans="1:15" ht="18.75" customHeight="1">
      <c r="A32" s="68">
        <v>29</v>
      </c>
      <c r="B32" s="68" t="s">
        <v>142</v>
      </c>
      <c r="C32" s="84">
        <v>3</v>
      </c>
      <c r="D32" s="84">
        <v>0</v>
      </c>
      <c r="E32" s="84">
        <v>4</v>
      </c>
      <c r="F32" s="84">
        <v>15</v>
      </c>
      <c r="G32" s="84">
        <v>1</v>
      </c>
      <c r="H32" s="84">
        <v>1</v>
      </c>
      <c r="I32" s="84">
        <v>4</v>
      </c>
      <c r="J32" s="84">
        <v>0</v>
      </c>
      <c r="K32" s="84">
        <v>1</v>
      </c>
      <c r="L32" s="84">
        <v>0</v>
      </c>
      <c r="M32" s="84">
        <v>2</v>
      </c>
      <c r="N32" s="84">
        <v>31</v>
      </c>
      <c r="O32" s="88"/>
    </row>
    <row r="33" spans="1:16" ht="18.75" customHeight="1">
      <c r="A33" s="68">
        <v>30</v>
      </c>
      <c r="B33" s="68" t="s">
        <v>45</v>
      </c>
      <c r="C33" s="84">
        <v>1</v>
      </c>
      <c r="D33" s="84">
        <v>0</v>
      </c>
      <c r="E33" s="84">
        <v>2</v>
      </c>
      <c r="F33" s="84">
        <v>1</v>
      </c>
      <c r="G33" s="84">
        <v>0</v>
      </c>
      <c r="H33" s="84">
        <v>0</v>
      </c>
      <c r="I33" s="84">
        <v>1</v>
      </c>
      <c r="J33" s="84">
        <v>0</v>
      </c>
      <c r="K33" s="84">
        <v>0</v>
      </c>
      <c r="L33" s="84">
        <v>0</v>
      </c>
      <c r="M33" s="84">
        <v>0</v>
      </c>
      <c r="N33" s="84">
        <v>5</v>
      </c>
      <c r="O33" s="88"/>
    </row>
    <row r="34" spans="1:16" ht="18.75" customHeight="1">
      <c r="A34" s="68">
        <v>31</v>
      </c>
      <c r="B34" s="68" t="s">
        <v>47</v>
      </c>
      <c r="C34" s="84">
        <v>5</v>
      </c>
      <c r="D34" s="84">
        <v>0</v>
      </c>
      <c r="E34" s="84">
        <v>11</v>
      </c>
      <c r="F34" s="84">
        <v>28</v>
      </c>
      <c r="G34" s="84">
        <v>1</v>
      </c>
      <c r="H34" s="84">
        <v>1</v>
      </c>
      <c r="I34" s="84">
        <v>29</v>
      </c>
      <c r="J34" s="84">
        <v>0</v>
      </c>
      <c r="K34" s="84">
        <v>2</v>
      </c>
      <c r="L34" s="84">
        <v>3</v>
      </c>
      <c r="M34" s="84">
        <v>4</v>
      </c>
      <c r="N34" s="84">
        <v>84</v>
      </c>
      <c r="O34" s="88"/>
    </row>
    <row r="35" spans="1:16" ht="18.75" customHeight="1">
      <c r="A35" s="68">
        <v>32</v>
      </c>
      <c r="B35" s="800" t="s">
        <v>46</v>
      </c>
      <c r="C35" s="84">
        <v>1</v>
      </c>
      <c r="D35" s="84">
        <v>0</v>
      </c>
      <c r="E35" s="84">
        <v>4</v>
      </c>
      <c r="F35" s="84">
        <v>11</v>
      </c>
      <c r="G35" s="84">
        <v>0</v>
      </c>
      <c r="H35" s="84">
        <v>1</v>
      </c>
      <c r="I35" s="84">
        <v>17</v>
      </c>
      <c r="J35" s="84">
        <v>0</v>
      </c>
      <c r="K35" s="84">
        <v>1</v>
      </c>
      <c r="L35" s="84">
        <v>1</v>
      </c>
      <c r="M35" s="84">
        <v>1</v>
      </c>
      <c r="N35" s="84">
        <v>37</v>
      </c>
      <c r="O35" s="88"/>
    </row>
    <row r="36" spans="1:16" ht="18.75" customHeight="1">
      <c r="A36" s="68">
        <v>33</v>
      </c>
      <c r="B36" s="68" t="s">
        <v>48</v>
      </c>
      <c r="C36" s="84">
        <v>1</v>
      </c>
      <c r="D36" s="84">
        <v>0</v>
      </c>
      <c r="E36" s="84">
        <v>8</v>
      </c>
      <c r="F36" s="84">
        <v>29</v>
      </c>
      <c r="G36" s="84">
        <v>0</v>
      </c>
      <c r="H36" s="84">
        <v>1</v>
      </c>
      <c r="I36" s="84">
        <v>11</v>
      </c>
      <c r="J36" s="84">
        <v>0</v>
      </c>
      <c r="K36" s="84">
        <v>1</v>
      </c>
      <c r="L36" s="84">
        <v>0</v>
      </c>
      <c r="M36" s="84">
        <v>1</v>
      </c>
      <c r="N36" s="84">
        <v>52</v>
      </c>
      <c r="O36" s="88"/>
    </row>
    <row r="37" spans="1:16" ht="18.75" customHeight="1">
      <c r="A37" s="912" t="s">
        <v>49</v>
      </c>
      <c r="B37" s="912"/>
      <c r="C37" s="84">
        <v>51</v>
      </c>
      <c r="D37" s="84">
        <v>1</v>
      </c>
      <c r="E37" s="84">
        <v>149</v>
      </c>
      <c r="F37" s="84">
        <v>403</v>
      </c>
      <c r="G37" s="84">
        <v>5</v>
      </c>
      <c r="H37" s="84">
        <v>14</v>
      </c>
      <c r="I37" s="84">
        <v>365</v>
      </c>
      <c r="J37" s="84">
        <v>1</v>
      </c>
      <c r="K37" s="84">
        <v>34</v>
      </c>
      <c r="L37" s="84">
        <v>10</v>
      </c>
      <c r="M37" s="84">
        <v>80</v>
      </c>
      <c r="N37" s="84">
        <v>1113</v>
      </c>
      <c r="O37" s="88"/>
      <c r="P37" s="87">
        <f>I37+J37+M37</f>
        <v>446</v>
      </c>
    </row>
    <row r="38" spans="1:16" ht="28.5" customHeight="1">
      <c r="B38" s="910" t="s">
        <v>148</v>
      </c>
      <c r="C38" s="910"/>
      <c r="D38" s="910"/>
      <c r="E38" s="910"/>
      <c r="F38" s="911"/>
      <c r="G38" s="911"/>
      <c r="H38" s="911"/>
      <c r="I38" s="911"/>
      <c r="J38" s="911"/>
      <c r="K38" s="911"/>
      <c r="L38" s="911"/>
      <c r="M38" s="911"/>
      <c r="N38" s="911"/>
      <c r="O38" s="88"/>
    </row>
    <row r="41" spans="1:16">
      <c r="B41" s="87" t="s">
        <v>64</v>
      </c>
      <c r="C41" s="87">
        <f>N37-C42-C43</f>
        <v>657</v>
      </c>
    </row>
    <row r="42" spans="1:16">
      <c r="B42" s="87" t="s">
        <v>78</v>
      </c>
      <c r="C42" s="87">
        <v>10</v>
      </c>
    </row>
    <row r="43" spans="1:16">
      <c r="B43" s="87" t="s">
        <v>1057</v>
      </c>
      <c r="C43" s="87">
        <v>446</v>
      </c>
    </row>
  </sheetData>
  <mergeCells count="2">
    <mergeCell ref="B38:N38"/>
    <mergeCell ref="A37:B37"/>
  </mergeCells>
  <pageMargins left="0.70866141732283505" right="0.35433070866141703" top="0.39370078740157499" bottom="0.39370078740157499" header="0.31496062992126" footer="0.196850393700787"/>
  <pageSetup paperSize="9" scale="92" orientation="portrait" r:id="rId1"/>
  <headerFooter>
    <oddFooter>&amp;L&amp;"Arial,Italic"&amp;9AISHE 2020-21&amp;CT-1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P44"/>
  <sheetViews>
    <sheetView view="pageBreakPreview" topLeftCell="A31" zoomScaleSheetLayoutView="100" workbookViewId="0">
      <selection activeCell="B6" sqref="B6"/>
    </sheetView>
  </sheetViews>
  <sheetFormatPr defaultColWidth="8.81640625" defaultRowHeight="12.5"/>
  <cols>
    <col min="1" max="1" width="4.453125" style="58" customWidth="1"/>
    <col min="2" max="2" width="21.26953125" style="58" customWidth="1"/>
    <col min="3" max="3" width="11.453125" style="58" customWidth="1"/>
    <col min="4" max="4" width="11.81640625" style="58" customWidth="1"/>
    <col min="5" max="5" width="10.7265625" style="58" bestFit="1" customWidth="1"/>
    <col min="6" max="6" width="11.81640625" style="58" customWidth="1"/>
    <col min="7" max="7" width="12.26953125" style="58" customWidth="1"/>
    <col min="8" max="8" width="10.7265625" style="58" bestFit="1" customWidth="1"/>
    <col min="9" max="9" width="11.81640625" style="58" customWidth="1"/>
    <col min="10" max="10" width="12.26953125" style="58" customWidth="1"/>
    <col min="11" max="11" width="11" style="58" customWidth="1"/>
    <col min="12" max="12" width="11.54296875" style="58" customWidth="1"/>
    <col min="13" max="13" width="12.1796875" style="58" customWidth="1"/>
    <col min="14" max="14" width="10.7265625" style="58" bestFit="1" customWidth="1"/>
    <col min="15" max="16384" width="8.81640625" style="58"/>
  </cols>
  <sheetData>
    <row r="1" spans="1:16" ht="22.9" customHeight="1">
      <c r="A1" s="512"/>
      <c r="B1" s="610" t="s">
        <v>1016</v>
      </c>
      <c r="C1" s="513" t="s">
        <v>1081</v>
      </c>
      <c r="D1" s="513"/>
      <c r="E1" s="513"/>
      <c r="F1" s="513"/>
      <c r="G1" s="513"/>
      <c r="H1" s="513"/>
      <c r="I1" s="513"/>
      <c r="J1" s="513"/>
      <c r="K1" s="513"/>
      <c r="L1" s="513"/>
      <c r="M1" s="513"/>
      <c r="N1" s="513"/>
    </row>
    <row r="2" spans="1:16" ht="23.25" customHeight="1">
      <c r="A2" s="915" t="s">
        <v>235</v>
      </c>
      <c r="B2" s="915" t="s">
        <v>236</v>
      </c>
      <c r="C2" s="916" t="s">
        <v>237</v>
      </c>
      <c r="D2" s="916"/>
      <c r="E2" s="916"/>
      <c r="F2" s="916" t="s">
        <v>238</v>
      </c>
      <c r="G2" s="916"/>
      <c r="H2" s="916"/>
      <c r="I2" s="916" t="s">
        <v>1044</v>
      </c>
      <c r="J2" s="916"/>
      <c r="K2" s="916"/>
      <c r="L2" s="916" t="s">
        <v>12</v>
      </c>
      <c r="M2" s="916"/>
      <c r="N2" s="916"/>
    </row>
    <row r="3" spans="1:16" ht="28">
      <c r="A3" s="915"/>
      <c r="B3" s="915"/>
      <c r="C3" s="575" t="s">
        <v>239</v>
      </c>
      <c r="D3" s="575" t="s">
        <v>240</v>
      </c>
      <c r="E3" s="575" t="s">
        <v>241</v>
      </c>
      <c r="F3" s="575" t="s">
        <v>239</v>
      </c>
      <c r="G3" s="575" t="s">
        <v>240</v>
      </c>
      <c r="H3" s="575" t="s">
        <v>241</v>
      </c>
      <c r="I3" s="575" t="s">
        <v>239</v>
      </c>
      <c r="J3" s="575" t="s">
        <v>240</v>
      </c>
      <c r="K3" s="575" t="s">
        <v>241</v>
      </c>
      <c r="L3" s="575" t="s">
        <v>239</v>
      </c>
      <c r="M3" s="575" t="s">
        <v>240</v>
      </c>
      <c r="N3" s="575" t="s">
        <v>241</v>
      </c>
      <c r="O3" s="254" t="s">
        <v>993</v>
      </c>
    </row>
    <row r="4" spans="1:16" s="484" customFormat="1" ht="15" customHeight="1">
      <c r="A4" s="514">
        <v>1</v>
      </c>
      <c r="B4" s="514">
        <v>2</v>
      </c>
      <c r="C4" s="514">
        <v>3</v>
      </c>
      <c r="D4" s="514">
        <v>4</v>
      </c>
      <c r="E4" s="514">
        <v>5</v>
      </c>
      <c r="F4" s="514">
        <v>6</v>
      </c>
      <c r="G4" s="514">
        <v>7</v>
      </c>
      <c r="H4" s="514">
        <v>8</v>
      </c>
      <c r="I4" s="514">
        <v>9</v>
      </c>
      <c r="J4" s="514">
        <v>10</v>
      </c>
      <c r="K4" s="514">
        <v>11</v>
      </c>
      <c r="L4" s="514">
        <v>12</v>
      </c>
      <c r="M4" s="514">
        <v>13</v>
      </c>
      <c r="N4" s="514">
        <v>14</v>
      </c>
    </row>
    <row r="5" spans="1:16" ht="31.5" customHeight="1">
      <c r="A5" s="82">
        <v>1</v>
      </c>
      <c r="B5" s="83" t="s">
        <v>171</v>
      </c>
      <c r="C5" s="515">
        <v>0</v>
      </c>
      <c r="D5" s="515">
        <v>0</v>
      </c>
      <c r="E5" s="903"/>
      <c r="F5" s="515">
        <v>9</v>
      </c>
      <c r="G5" s="515">
        <f>'8CollegeAct'!D5</f>
        <v>9</v>
      </c>
      <c r="H5" s="904">
        <v>100</v>
      </c>
      <c r="I5" s="515">
        <v>1</v>
      </c>
      <c r="J5" s="515">
        <v>1</v>
      </c>
      <c r="K5" s="904">
        <v>100</v>
      </c>
      <c r="L5" s="515">
        <f>C5+F5+I5</f>
        <v>10</v>
      </c>
      <c r="M5" s="515">
        <f>D5+G5+J5</f>
        <v>10</v>
      </c>
      <c r="N5" s="904">
        <v>100</v>
      </c>
      <c r="O5" s="58">
        <v>0</v>
      </c>
      <c r="P5" s="253"/>
    </row>
    <row r="6" spans="1:16" ht="30.75" customHeight="1">
      <c r="A6" s="82">
        <v>2</v>
      </c>
      <c r="B6" s="83" t="s">
        <v>15</v>
      </c>
      <c r="C6" s="515">
        <v>45</v>
      </c>
      <c r="D6" s="515">
        <v>45</v>
      </c>
      <c r="E6" s="904">
        <v>100</v>
      </c>
      <c r="F6" s="515">
        <v>2601</v>
      </c>
      <c r="G6" s="515">
        <f>'8CollegeAct'!D6</f>
        <v>2554</v>
      </c>
      <c r="H6" s="904">
        <v>98</v>
      </c>
      <c r="I6" s="515">
        <v>698</v>
      </c>
      <c r="J6" s="515">
        <v>654</v>
      </c>
      <c r="K6" s="904">
        <v>94</v>
      </c>
      <c r="L6" s="515">
        <f t="shared" ref="L6:L40" si="0">C6+F6+I6</f>
        <v>3344</v>
      </c>
      <c r="M6" s="515">
        <f t="shared" ref="M6:M40" si="1">D6+G6+J6</f>
        <v>3253</v>
      </c>
      <c r="N6" s="904">
        <v>97</v>
      </c>
      <c r="O6" s="58">
        <v>2</v>
      </c>
      <c r="P6" s="253"/>
    </row>
    <row r="7" spans="1:16" ht="30.75" customHeight="1">
      <c r="A7" s="82">
        <v>3</v>
      </c>
      <c r="B7" s="83" t="s">
        <v>16</v>
      </c>
      <c r="C7" s="515">
        <v>10</v>
      </c>
      <c r="D7" s="515">
        <v>10</v>
      </c>
      <c r="E7" s="904">
        <v>100</v>
      </c>
      <c r="F7" s="515">
        <v>42</v>
      </c>
      <c r="G7" s="515">
        <f>'8CollegeAct'!D7</f>
        <v>41</v>
      </c>
      <c r="H7" s="904">
        <v>100</v>
      </c>
      <c r="I7" s="515">
        <v>14</v>
      </c>
      <c r="J7" s="515">
        <v>14</v>
      </c>
      <c r="K7" s="904">
        <v>100</v>
      </c>
      <c r="L7" s="515">
        <f t="shared" si="0"/>
        <v>66</v>
      </c>
      <c r="M7" s="515">
        <f t="shared" si="1"/>
        <v>65</v>
      </c>
      <c r="N7" s="904">
        <v>100</v>
      </c>
      <c r="O7" s="58">
        <v>1</v>
      </c>
      <c r="P7" s="253"/>
    </row>
    <row r="8" spans="1:16" ht="30.75" customHeight="1">
      <c r="A8" s="82">
        <v>4</v>
      </c>
      <c r="B8" s="83" t="s">
        <v>17</v>
      </c>
      <c r="C8" s="515">
        <v>28</v>
      </c>
      <c r="D8" s="515">
        <v>28</v>
      </c>
      <c r="E8" s="904">
        <v>100</v>
      </c>
      <c r="F8" s="515">
        <v>595</v>
      </c>
      <c r="G8" s="515">
        <f>'8CollegeAct'!D8</f>
        <v>560</v>
      </c>
      <c r="H8" s="904">
        <v>94</v>
      </c>
      <c r="I8" s="515">
        <v>93</v>
      </c>
      <c r="J8" s="515">
        <v>83</v>
      </c>
      <c r="K8" s="904">
        <v>89</v>
      </c>
      <c r="L8" s="515">
        <f t="shared" si="0"/>
        <v>716</v>
      </c>
      <c r="M8" s="515">
        <f t="shared" si="1"/>
        <v>671</v>
      </c>
      <c r="N8" s="904">
        <v>94</v>
      </c>
      <c r="O8" s="58">
        <v>1</v>
      </c>
      <c r="P8" s="253"/>
    </row>
    <row r="9" spans="1:16" ht="30.75" customHeight="1">
      <c r="A9" s="82">
        <v>5</v>
      </c>
      <c r="B9" s="83" t="s">
        <v>18</v>
      </c>
      <c r="C9" s="515">
        <v>37</v>
      </c>
      <c r="D9" s="515">
        <v>37</v>
      </c>
      <c r="E9" s="904">
        <v>100</v>
      </c>
      <c r="F9" s="515">
        <v>1035</v>
      </c>
      <c r="G9" s="515">
        <f>'8CollegeAct'!D9</f>
        <v>1032</v>
      </c>
      <c r="H9" s="904">
        <v>100</v>
      </c>
      <c r="I9" s="515">
        <v>283</v>
      </c>
      <c r="J9" s="515">
        <v>264</v>
      </c>
      <c r="K9" s="904">
        <v>93</v>
      </c>
      <c r="L9" s="515">
        <f t="shared" si="0"/>
        <v>1355</v>
      </c>
      <c r="M9" s="515">
        <f t="shared" si="1"/>
        <v>1333</v>
      </c>
      <c r="N9" s="904">
        <v>99</v>
      </c>
      <c r="O9" s="58">
        <v>3</v>
      </c>
      <c r="P9" s="253"/>
    </row>
    <row r="10" spans="1:16" ht="30.75" customHeight="1">
      <c r="A10" s="82">
        <v>6</v>
      </c>
      <c r="B10" s="83" t="s">
        <v>19</v>
      </c>
      <c r="C10" s="515">
        <v>3</v>
      </c>
      <c r="D10" s="515">
        <v>3</v>
      </c>
      <c r="E10" s="904">
        <v>100</v>
      </c>
      <c r="F10" s="515">
        <v>26</v>
      </c>
      <c r="G10" s="515">
        <f>'8CollegeAct'!D10</f>
        <v>26</v>
      </c>
      <c r="H10" s="904">
        <v>100</v>
      </c>
      <c r="I10" s="515">
        <v>10</v>
      </c>
      <c r="J10" s="515">
        <v>10</v>
      </c>
      <c r="K10" s="904">
        <v>100</v>
      </c>
      <c r="L10" s="515">
        <f t="shared" si="0"/>
        <v>39</v>
      </c>
      <c r="M10" s="515">
        <f t="shared" si="1"/>
        <v>39</v>
      </c>
      <c r="N10" s="904">
        <v>100</v>
      </c>
      <c r="O10" s="58">
        <v>0</v>
      </c>
      <c r="P10" s="253"/>
    </row>
    <row r="11" spans="1:16" ht="30.75" customHeight="1">
      <c r="A11" s="82">
        <v>7</v>
      </c>
      <c r="B11" s="83" t="s">
        <v>20</v>
      </c>
      <c r="C11" s="515">
        <v>32</v>
      </c>
      <c r="D11" s="515">
        <v>32</v>
      </c>
      <c r="E11" s="904">
        <v>100</v>
      </c>
      <c r="F11" s="515">
        <v>870</v>
      </c>
      <c r="G11" s="515">
        <f>'8CollegeAct'!D11</f>
        <v>849</v>
      </c>
      <c r="H11" s="904">
        <v>99</v>
      </c>
      <c r="I11" s="515">
        <v>79</v>
      </c>
      <c r="J11" s="515">
        <v>70</v>
      </c>
      <c r="K11" s="904">
        <v>89</v>
      </c>
      <c r="L11" s="515">
        <f t="shared" si="0"/>
        <v>981</v>
      </c>
      <c r="M11" s="515">
        <f t="shared" si="1"/>
        <v>951</v>
      </c>
      <c r="N11" s="904">
        <v>98</v>
      </c>
      <c r="O11" s="58">
        <v>14</v>
      </c>
      <c r="P11" s="253"/>
    </row>
    <row r="12" spans="1:16" ht="30.75" customHeight="1">
      <c r="A12" s="82">
        <v>8</v>
      </c>
      <c r="B12" s="83" t="s">
        <v>23</v>
      </c>
      <c r="C12" s="515">
        <v>28</v>
      </c>
      <c r="D12" s="515">
        <v>27</v>
      </c>
      <c r="E12" s="904">
        <v>96</v>
      </c>
      <c r="F12" s="515">
        <v>180</v>
      </c>
      <c r="G12" s="515">
        <f>'8CollegeAct'!D12</f>
        <v>173</v>
      </c>
      <c r="H12" s="904">
        <v>96</v>
      </c>
      <c r="I12" s="515">
        <v>97</v>
      </c>
      <c r="J12" s="515">
        <v>85</v>
      </c>
      <c r="K12" s="904">
        <v>89</v>
      </c>
      <c r="L12" s="515">
        <f t="shared" si="0"/>
        <v>305</v>
      </c>
      <c r="M12" s="515">
        <f t="shared" si="1"/>
        <v>285</v>
      </c>
      <c r="N12" s="904">
        <v>94</v>
      </c>
      <c r="O12" s="58">
        <v>0</v>
      </c>
      <c r="P12" s="253"/>
    </row>
    <row r="13" spans="1:16" ht="30.75" customHeight="1">
      <c r="A13" s="82">
        <v>9</v>
      </c>
      <c r="B13" s="83" t="s">
        <v>24</v>
      </c>
      <c r="C13" s="515">
        <v>3</v>
      </c>
      <c r="D13" s="515">
        <v>3</v>
      </c>
      <c r="E13" s="904">
        <v>100</v>
      </c>
      <c r="F13" s="515">
        <v>61</v>
      </c>
      <c r="G13" s="515">
        <f>'8CollegeAct'!D13</f>
        <v>61</v>
      </c>
      <c r="H13" s="904">
        <v>100</v>
      </c>
      <c r="I13" s="515">
        <v>17</v>
      </c>
      <c r="J13" s="515">
        <v>17</v>
      </c>
      <c r="K13" s="904">
        <v>100</v>
      </c>
      <c r="L13" s="515">
        <f t="shared" si="0"/>
        <v>81</v>
      </c>
      <c r="M13" s="515">
        <f t="shared" si="1"/>
        <v>81</v>
      </c>
      <c r="N13" s="904">
        <v>100</v>
      </c>
      <c r="O13" s="58">
        <v>0</v>
      </c>
      <c r="P13" s="253"/>
    </row>
    <row r="14" spans="1:16" ht="30.75" customHeight="1">
      <c r="A14" s="82">
        <v>10</v>
      </c>
      <c r="B14" s="83" t="s">
        <v>25</v>
      </c>
      <c r="C14" s="515">
        <v>83</v>
      </c>
      <c r="D14" s="515">
        <v>83</v>
      </c>
      <c r="E14" s="904">
        <v>100</v>
      </c>
      <c r="F14" s="515">
        <v>2267</v>
      </c>
      <c r="G14" s="515">
        <f>'8CollegeAct'!D14</f>
        <v>2248</v>
      </c>
      <c r="H14" s="904">
        <v>100</v>
      </c>
      <c r="I14" s="515">
        <v>301</v>
      </c>
      <c r="J14" s="515">
        <v>301</v>
      </c>
      <c r="K14" s="904">
        <v>100</v>
      </c>
      <c r="L14" s="515">
        <f t="shared" si="0"/>
        <v>2651</v>
      </c>
      <c r="M14" s="515">
        <f t="shared" si="1"/>
        <v>2632</v>
      </c>
      <c r="N14" s="904">
        <v>100</v>
      </c>
      <c r="O14" s="58">
        <v>22</v>
      </c>
      <c r="P14" s="253"/>
    </row>
    <row r="15" spans="1:16" ht="30.75" customHeight="1">
      <c r="A15" s="82">
        <v>11</v>
      </c>
      <c r="B15" s="83" t="s">
        <v>26</v>
      </c>
      <c r="C15" s="515">
        <v>56</v>
      </c>
      <c r="D15" s="515">
        <v>56</v>
      </c>
      <c r="E15" s="904">
        <v>100</v>
      </c>
      <c r="F15" s="515">
        <v>1083</v>
      </c>
      <c r="G15" s="515">
        <v>1081</v>
      </c>
      <c r="H15" s="904">
        <v>100</v>
      </c>
      <c r="I15" s="515">
        <v>228</v>
      </c>
      <c r="J15" s="515">
        <v>221</v>
      </c>
      <c r="K15" s="904">
        <v>97</v>
      </c>
      <c r="L15" s="515">
        <f t="shared" si="0"/>
        <v>1367</v>
      </c>
      <c r="M15" s="515">
        <f t="shared" si="1"/>
        <v>1358</v>
      </c>
      <c r="N15" s="904">
        <v>99</v>
      </c>
      <c r="O15" s="58">
        <v>2</v>
      </c>
      <c r="P15" s="253"/>
    </row>
    <row r="16" spans="1:16" ht="30.75" customHeight="1">
      <c r="A16" s="82">
        <v>12</v>
      </c>
      <c r="B16" s="83" t="s">
        <v>27</v>
      </c>
      <c r="C16" s="515">
        <v>29</v>
      </c>
      <c r="D16" s="515">
        <v>28</v>
      </c>
      <c r="E16" s="904">
        <v>97</v>
      </c>
      <c r="F16" s="515">
        <v>348</v>
      </c>
      <c r="G16" s="515">
        <f>'8CollegeAct'!D16</f>
        <v>348</v>
      </c>
      <c r="H16" s="904">
        <v>100</v>
      </c>
      <c r="I16" s="515">
        <v>83</v>
      </c>
      <c r="J16" s="515">
        <v>79</v>
      </c>
      <c r="K16" s="904">
        <v>95</v>
      </c>
      <c r="L16" s="515">
        <f t="shared" si="0"/>
        <v>460</v>
      </c>
      <c r="M16" s="515">
        <f t="shared" si="1"/>
        <v>455</v>
      </c>
      <c r="N16" s="904">
        <v>99</v>
      </c>
      <c r="O16" s="58">
        <v>0</v>
      </c>
      <c r="P16" s="253"/>
    </row>
    <row r="17" spans="1:16" ht="30.75" customHeight="1">
      <c r="A17" s="82">
        <v>13</v>
      </c>
      <c r="B17" s="83" t="s">
        <v>57</v>
      </c>
      <c r="C17" s="515">
        <v>15</v>
      </c>
      <c r="D17" s="515">
        <v>15</v>
      </c>
      <c r="E17" s="904">
        <v>100</v>
      </c>
      <c r="F17" s="515">
        <v>348</v>
      </c>
      <c r="G17" s="515">
        <f>'8CollegeAct'!D17</f>
        <v>342</v>
      </c>
      <c r="H17" s="904">
        <v>99</v>
      </c>
      <c r="I17" s="515">
        <v>154</v>
      </c>
      <c r="J17" s="515">
        <v>134</v>
      </c>
      <c r="K17" s="904">
        <v>87</v>
      </c>
      <c r="L17" s="515">
        <f t="shared" si="0"/>
        <v>517</v>
      </c>
      <c r="M17" s="515">
        <f t="shared" si="1"/>
        <v>491</v>
      </c>
      <c r="N17" s="904">
        <v>96</v>
      </c>
      <c r="O17" s="58">
        <v>3</v>
      </c>
      <c r="P17" s="253"/>
    </row>
    <row r="18" spans="1:16" ht="30.75" customHeight="1">
      <c r="A18" s="82">
        <v>14</v>
      </c>
      <c r="B18" s="83" t="s">
        <v>29</v>
      </c>
      <c r="C18" s="515">
        <v>32</v>
      </c>
      <c r="D18" s="515">
        <v>32</v>
      </c>
      <c r="E18" s="904">
        <v>100</v>
      </c>
      <c r="F18" s="515">
        <v>336</v>
      </c>
      <c r="G18" s="515">
        <f>'8CollegeAct'!D18</f>
        <v>336</v>
      </c>
      <c r="H18" s="904">
        <v>100</v>
      </c>
      <c r="I18" s="515">
        <v>109</v>
      </c>
      <c r="J18" s="515">
        <v>96</v>
      </c>
      <c r="K18" s="904">
        <v>88</v>
      </c>
      <c r="L18" s="515">
        <f t="shared" si="0"/>
        <v>477</v>
      </c>
      <c r="M18" s="515">
        <f t="shared" si="1"/>
        <v>464</v>
      </c>
      <c r="N18" s="904">
        <v>97</v>
      </c>
      <c r="O18" s="58">
        <v>0</v>
      </c>
      <c r="P18" s="253"/>
    </row>
    <row r="19" spans="1:16" ht="30.75" customHeight="1">
      <c r="A19" s="82">
        <v>15</v>
      </c>
      <c r="B19" s="83" t="s">
        <v>30</v>
      </c>
      <c r="C19" s="515">
        <v>72</v>
      </c>
      <c r="D19" s="515">
        <v>72</v>
      </c>
      <c r="E19" s="904">
        <v>100</v>
      </c>
      <c r="F19" s="515">
        <v>4233</v>
      </c>
      <c r="G19" s="515">
        <f>'8CollegeAct'!D19</f>
        <v>4109</v>
      </c>
      <c r="H19" s="904">
        <v>97</v>
      </c>
      <c r="I19" s="515">
        <v>1592</v>
      </c>
      <c r="J19" s="515">
        <v>1230</v>
      </c>
      <c r="K19" s="904">
        <v>77</v>
      </c>
      <c r="L19" s="515">
        <f t="shared" si="0"/>
        <v>5897</v>
      </c>
      <c r="M19" s="515">
        <f t="shared" si="1"/>
        <v>5411</v>
      </c>
      <c r="N19" s="904">
        <v>92</v>
      </c>
      <c r="O19" s="58">
        <v>15</v>
      </c>
      <c r="P19" s="253"/>
    </row>
    <row r="20" spans="1:16" ht="30.75" customHeight="1">
      <c r="A20" s="82">
        <v>16</v>
      </c>
      <c r="B20" s="83" t="s">
        <v>31</v>
      </c>
      <c r="C20" s="515">
        <v>23</v>
      </c>
      <c r="D20" s="515">
        <v>23</v>
      </c>
      <c r="E20" s="904">
        <v>100</v>
      </c>
      <c r="F20" s="515">
        <v>1448</v>
      </c>
      <c r="G20" s="515">
        <f>'8CollegeAct'!D20</f>
        <v>1328</v>
      </c>
      <c r="H20" s="904">
        <v>92</v>
      </c>
      <c r="I20" s="515">
        <v>376</v>
      </c>
      <c r="J20" s="515">
        <v>369</v>
      </c>
      <c r="K20" s="904">
        <v>98</v>
      </c>
      <c r="L20" s="515">
        <f t="shared" si="0"/>
        <v>1847</v>
      </c>
      <c r="M20" s="515">
        <f t="shared" si="1"/>
        <v>1720</v>
      </c>
      <c r="N20" s="904">
        <v>94</v>
      </c>
      <c r="O20" s="58">
        <v>10</v>
      </c>
      <c r="P20" s="253"/>
    </row>
    <row r="21" spans="1:16" ht="30.75" customHeight="1">
      <c r="A21" s="82">
        <v>17</v>
      </c>
      <c r="B21" s="83" t="s">
        <v>172</v>
      </c>
      <c r="C21" s="515">
        <v>2</v>
      </c>
      <c r="D21" s="515">
        <v>1</v>
      </c>
      <c r="E21" s="904">
        <v>50</v>
      </c>
      <c r="F21" s="515">
        <v>3</v>
      </c>
      <c r="G21" s="515">
        <f>'8CollegeAct'!D21</f>
        <v>3</v>
      </c>
      <c r="H21" s="904">
        <v>100</v>
      </c>
      <c r="I21" s="515">
        <v>5</v>
      </c>
      <c r="J21" s="515">
        <v>3</v>
      </c>
      <c r="K21" s="904">
        <v>60</v>
      </c>
      <c r="L21" s="515">
        <f t="shared" si="0"/>
        <v>10</v>
      </c>
      <c r="M21" s="515">
        <f t="shared" si="1"/>
        <v>7</v>
      </c>
      <c r="N21" s="904">
        <v>70</v>
      </c>
      <c r="O21" s="58">
        <v>0</v>
      </c>
      <c r="P21" s="253"/>
    </row>
    <row r="22" spans="1:16" ht="30.75" customHeight="1">
      <c r="A22" s="82">
        <v>18</v>
      </c>
      <c r="B22" s="83" t="s">
        <v>242</v>
      </c>
      <c r="C22" s="515"/>
      <c r="D22" s="515">
        <v>0</v>
      </c>
      <c r="E22" s="903"/>
      <c r="F22" s="515">
        <v>0</v>
      </c>
      <c r="G22" s="515">
        <f>'8CollegeAct'!D22</f>
        <v>0</v>
      </c>
      <c r="H22" s="903"/>
      <c r="I22" s="515">
        <v>0</v>
      </c>
      <c r="J22" s="515">
        <v>0</v>
      </c>
      <c r="K22" s="903"/>
      <c r="L22" s="515">
        <f t="shared" si="0"/>
        <v>0</v>
      </c>
      <c r="M22" s="515">
        <f t="shared" si="1"/>
        <v>0</v>
      </c>
      <c r="N22" s="903"/>
      <c r="O22" s="58">
        <v>0</v>
      </c>
      <c r="P22" s="253"/>
    </row>
    <row r="23" spans="1:16" ht="30.75" customHeight="1">
      <c r="A23" s="82">
        <v>19</v>
      </c>
      <c r="B23" s="83" t="s">
        <v>33</v>
      </c>
      <c r="C23" s="515">
        <v>74</v>
      </c>
      <c r="D23" s="515">
        <v>74</v>
      </c>
      <c r="E23" s="904">
        <v>100</v>
      </c>
      <c r="F23" s="515">
        <v>2610</v>
      </c>
      <c r="G23" s="515">
        <f>'8CollegeAct'!D23</f>
        <v>2319</v>
      </c>
      <c r="H23" s="904">
        <v>90</v>
      </c>
      <c r="I23" s="515">
        <v>335</v>
      </c>
      <c r="J23" s="515">
        <v>250</v>
      </c>
      <c r="K23" s="904">
        <v>75</v>
      </c>
      <c r="L23" s="515">
        <f t="shared" si="0"/>
        <v>3019</v>
      </c>
      <c r="M23" s="515">
        <f t="shared" si="1"/>
        <v>2643</v>
      </c>
      <c r="N23" s="904">
        <v>88</v>
      </c>
      <c r="O23" s="58">
        <v>21</v>
      </c>
      <c r="P23" s="253"/>
    </row>
    <row r="24" spans="1:16" ht="30.75" customHeight="1">
      <c r="A24" s="82">
        <v>20</v>
      </c>
      <c r="B24" s="83" t="s">
        <v>34</v>
      </c>
      <c r="C24" s="515">
        <v>71</v>
      </c>
      <c r="D24" s="515">
        <v>71</v>
      </c>
      <c r="E24" s="904">
        <v>100</v>
      </c>
      <c r="F24" s="515">
        <v>4532</v>
      </c>
      <c r="G24" s="515">
        <f>'8CollegeAct'!D24</f>
        <v>4531</v>
      </c>
      <c r="H24" s="904">
        <v>100</v>
      </c>
      <c r="I24" s="515">
        <v>2153</v>
      </c>
      <c r="J24" s="515">
        <v>2110</v>
      </c>
      <c r="K24" s="904">
        <v>98</v>
      </c>
      <c r="L24" s="515">
        <f t="shared" si="0"/>
        <v>6756</v>
      </c>
      <c r="M24" s="515">
        <f t="shared" si="1"/>
        <v>6712</v>
      </c>
      <c r="N24" s="904">
        <v>99</v>
      </c>
      <c r="O24" s="58">
        <v>2</v>
      </c>
      <c r="P24" s="253"/>
    </row>
    <row r="25" spans="1:16" ht="30.75" customHeight="1">
      <c r="A25" s="82">
        <v>21</v>
      </c>
      <c r="B25" s="83" t="s">
        <v>35</v>
      </c>
      <c r="C25" s="515">
        <v>9</v>
      </c>
      <c r="D25" s="515">
        <v>8</v>
      </c>
      <c r="E25" s="904">
        <v>89</v>
      </c>
      <c r="F25" s="515">
        <v>105</v>
      </c>
      <c r="G25" s="515">
        <f>'8CollegeAct'!D25</f>
        <v>103</v>
      </c>
      <c r="H25" s="904">
        <v>98</v>
      </c>
      <c r="I25" s="515">
        <v>34</v>
      </c>
      <c r="J25" s="515">
        <v>30</v>
      </c>
      <c r="K25" s="904">
        <v>88</v>
      </c>
      <c r="L25" s="515">
        <f t="shared" si="0"/>
        <v>148</v>
      </c>
      <c r="M25" s="515">
        <f t="shared" si="1"/>
        <v>141</v>
      </c>
      <c r="N25" s="904">
        <v>95</v>
      </c>
      <c r="O25" s="58">
        <v>0</v>
      </c>
      <c r="P25" s="253"/>
    </row>
    <row r="26" spans="1:16" ht="30.75" customHeight="1">
      <c r="A26" s="82">
        <v>22</v>
      </c>
      <c r="B26" s="83" t="s">
        <v>36</v>
      </c>
      <c r="C26" s="515">
        <v>11</v>
      </c>
      <c r="D26" s="515">
        <v>10</v>
      </c>
      <c r="E26" s="904">
        <v>91</v>
      </c>
      <c r="F26" s="515">
        <v>75</v>
      </c>
      <c r="G26" s="515">
        <f>'8CollegeAct'!D26</f>
        <v>62</v>
      </c>
      <c r="H26" s="904">
        <v>84</v>
      </c>
      <c r="I26" s="515">
        <v>22</v>
      </c>
      <c r="J26" s="515">
        <v>21</v>
      </c>
      <c r="K26" s="904">
        <v>95</v>
      </c>
      <c r="L26" s="515">
        <f t="shared" si="0"/>
        <v>108</v>
      </c>
      <c r="M26" s="515">
        <f t="shared" si="1"/>
        <v>93</v>
      </c>
      <c r="N26" s="904">
        <v>87</v>
      </c>
      <c r="O26" s="58">
        <v>1</v>
      </c>
      <c r="P26" s="253"/>
    </row>
    <row r="27" spans="1:16" ht="30.75" customHeight="1">
      <c r="A27" s="82">
        <v>23</v>
      </c>
      <c r="B27" s="83" t="s">
        <v>37</v>
      </c>
      <c r="C27" s="515">
        <v>3</v>
      </c>
      <c r="D27" s="515">
        <v>3</v>
      </c>
      <c r="E27" s="904">
        <v>100</v>
      </c>
      <c r="F27" s="515">
        <v>39</v>
      </c>
      <c r="G27" s="515">
        <f>'8CollegeAct'!D27</f>
        <v>39</v>
      </c>
      <c r="H27" s="904">
        <v>100</v>
      </c>
      <c r="I27" s="515">
        <v>19</v>
      </c>
      <c r="J27" s="515">
        <v>19</v>
      </c>
      <c r="K27" s="904">
        <v>100</v>
      </c>
      <c r="L27" s="515">
        <f t="shared" si="0"/>
        <v>61</v>
      </c>
      <c r="M27" s="515">
        <f t="shared" si="1"/>
        <v>61</v>
      </c>
      <c r="N27" s="904">
        <v>100</v>
      </c>
      <c r="O27" s="58">
        <v>0</v>
      </c>
      <c r="P27" s="253"/>
    </row>
    <row r="28" spans="1:16" ht="30.75" customHeight="1">
      <c r="A28" s="82">
        <v>24</v>
      </c>
      <c r="B28" s="83" t="s">
        <v>38</v>
      </c>
      <c r="C28" s="515">
        <v>5</v>
      </c>
      <c r="D28" s="515">
        <v>5</v>
      </c>
      <c r="E28" s="904">
        <v>100</v>
      </c>
      <c r="F28" s="515">
        <v>68</v>
      </c>
      <c r="G28" s="515">
        <f>'8CollegeAct'!D28</f>
        <v>67</v>
      </c>
      <c r="H28" s="904">
        <v>100</v>
      </c>
      <c r="I28" s="515">
        <v>20</v>
      </c>
      <c r="J28" s="515">
        <v>20</v>
      </c>
      <c r="K28" s="904">
        <v>100</v>
      </c>
      <c r="L28" s="515">
        <f t="shared" si="0"/>
        <v>93</v>
      </c>
      <c r="M28" s="515">
        <f t="shared" si="1"/>
        <v>92</v>
      </c>
      <c r="N28" s="904">
        <v>100</v>
      </c>
      <c r="O28" s="58">
        <v>1</v>
      </c>
      <c r="P28" s="253"/>
    </row>
    <row r="29" spans="1:16" ht="30.75" customHeight="1">
      <c r="A29" s="82">
        <v>25</v>
      </c>
      <c r="B29" s="83" t="s">
        <v>39</v>
      </c>
      <c r="C29" s="515">
        <v>36</v>
      </c>
      <c r="D29" s="515">
        <v>36</v>
      </c>
      <c r="E29" s="904">
        <v>100</v>
      </c>
      <c r="F29" s="515">
        <v>1206</v>
      </c>
      <c r="G29" s="515">
        <f>'8CollegeAct'!D29</f>
        <v>1195</v>
      </c>
      <c r="H29" s="904">
        <v>100</v>
      </c>
      <c r="I29" s="515">
        <v>481</v>
      </c>
      <c r="J29" s="515">
        <v>481</v>
      </c>
      <c r="K29" s="904">
        <v>100</v>
      </c>
      <c r="L29" s="515">
        <f t="shared" si="0"/>
        <v>1723</v>
      </c>
      <c r="M29" s="515">
        <f t="shared" si="1"/>
        <v>1712</v>
      </c>
      <c r="N29" s="904">
        <v>100</v>
      </c>
      <c r="O29" s="58">
        <v>11</v>
      </c>
      <c r="P29" s="253"/>
    </row>
    <row r="30" spans="1:16" ht="30.75" customHeight="1">
      <c r="A30" s="82">
        <v>26</v>
      </c>
      <c r="B30" s="83" t="s">
        <v>40</v>
      </c>
      <c r="C30" s="515">
        <v>4</v>
      </c>
      <c r="D30" s="515">
        <v>4</v>
      </c>
      <c r="E30" s="904">
        <v>100</v>
      </c>
      <c r="F30" s="515">
        <v>81</v>
      </c>
      <c r="G30" s="515">
        <f>'8CollegeAct'!D30</f>
        <v>70</v>
      </c>
      <c r="H30" s="904">
        <v>86</v>
      </c>
      <c r="I30" s="515">
        <v>12</v>
      </c>
      <c r="J30" s="515">
        <v>12</v>
      </c>
      <c r="K30" s="904">
        <v>100</v>
      </c>
      <c r="L30" s="515">
        <f t="shared" si="0"/>
        <v>97</v>
      </c>
      <c r="M30" s="515">
        <f t="shared" si="1"/>
        <v>86</v>
      </c>
      <c r="N30" s="904">
        <v>89</v>
      </c>
      <c r="O30" s="58">
        <v>0</v>
      </c>
      <c r="P30" s="253"/>
    </row>
    <row r="31" spans="1:16" ht="30.75" customHeight="1">
      <c r="A31" s="82">
        <v>27</v>
      </c>
      <c r="B31" s="83" t="s">
        <v>41</v>
      </c>
      <c r="C31" s="515">
        <v>34</v>
      </c>
      <c r="D31" s="515">
        <v>34</v>
      </c>
      <c r="E31" s="904">
        <v>100</v>
      </c>
      <c r="F31" s="515">
        <v>1039</v>
      </c>
      <c r="G31" s="515">
        <f>'8CollegeAct'!D31</f>
        <v>1030</v>
      </c>
      <c r="H31" s="904">
        <v>100</v>
      </c>
      <c r="I31" s="515">
        <v>362</v>
      </c>
      <c r="J31" s="515">
        <v>351</v>
      </c>
      <c r="K31" s="904">
        <v>97</v>
      </c>
      <c r="L31" s="515">
        <f t="shared" si="0"/>
        <v>1435</v>
      </c>
      <c r="M31" s="515">
        <f t="shared" si="1"/>
        <v>1415</v>
      </c>
      <c r="N31" s="904">
        <v>99</v>
      </c>
      <c r="O31" s="58">
        <v>8</v>
      </c>
      <c r="P31" s="253"/>
    </row>
    <row r="32" spans="1:16" ht="30.75" customHeight="1">
      <c r="A32" s="82">
        <v>28</v>
      </c>
      <c r="B32" s="83" t="s">
        <v>42</v>
      </c>
      <c r="C32" s="515">
        <v>92</v>
      </c>
      <c r="D32" s="515">
        <v>88</v>
      </c>
      <c r="E32" s="904">
        <v>96</v>
      </c>
      <c r="F32" s="515">
        <v>3694</v>
      </c>
      <c r="G32" s="515">
        <f>'8CollegeAct'!D32</f>
        <v>3339</v>
      </c>
      <c r="H32" s="904">
        <v>91</v>
      </c>
      <c r="I32" s="515">
        <v>514</v>
      </c>
      <c r="J32" s="515">
        <v>430</v>
      </c>
      <c r="K32" s="904">
        <v>84</v>
      </c>
      <c r="L32" s="515">
        <f t="shared" si="0"/>
        <v>4300</v>
      </c>
      <c r="M32" s="515">
        <f t="shared" si="1"/>
        <v>3857</v>
      </c>
      <c r="N32" s="904">
        <v>90</v>
      </c>
      <c r="O32" s="58">
        <v>20</v>
      </c>
      <c r="P32" s="253"/>
    </row>
    <row r="33" spans="1:16" ht="30.75" customHeight="1">
      <c r="A33" s="82">
        <v>29</v>
      </c>
      <c r="B33" s="83" t="s">
        <v>43</v>
      </c>
      <c r="C33" s="515">
        <v>8</v>
      </c>
      <c r="D33" s="515">
        <v>7</v>
      </c>
      <c r="E33" s="904">
        <v>88</v>
      </c>
      <c r="F33" s="515">
        <v>23</v>
      </c>
      <c r="G33" s="515">
        <f>'8CollegeAct'!D33</f>
        <v>19</v>
      </c>
      <c r="H33" s="904">
        <v>87</v>
      </c>
      <c r="I33" s="515">
        <v>8</v>
      </c>
      <c r="J33" s="515">
        <v>8</v>
      </c>
      <c r="K33" s="904">
        <v>100</v>
      </c>
      <c r="L33" s="515">
        <f t="shared" si="0"/>
        <v>39</v>
      </c>
      <c r="M33" s="515">
        <f t="shared" si="1"/>
        <v>34</v>
      </c>
      <c r="N33" s="904">
        <v>90</v>
      </c>
      <c r="O33" s="58">
        <v>1</v>
      </c>
      <c r="P33" s="253"/>
    </row>
    <row r="34" spans="1:16" ht="30.75" customHeight="1">
      <c r="A34" s="82">
        <v>30</v>
      </c>
      <c r="B34" s="83" t="s">
        <v>44</v>
      </c>
      <c r="C34" s="515">
        <v>59</v>
      </c>
      <c r="D34" s="515">
        <v>59</v>
      </c>
      <c r="E34" s="904">
        <v>100</v>
      </c>
      <c r="F34" s="515">
        <v>2667</v>
      </c>
      <c r="G34" s="515">
        <f>'8CollegeAct'!D34</f>
        <v>2657</v>
      </c>
      <c r="H34" s="904">
        <v>100</v>
      </c>
      <c r="I34" s="515">
        <v>895</v>
      </c>
      <c r="J34" s="515">
        <v>891</v>
      </c>
      <c r="K34" s="904">
        <v>100</v>
      </c>
      <c r="L34" s="515">
        <f t="shared" si="0"/>
        <v>3621</v>
      </c>
      <c r="M34" s="515">
        <f t="shared" si="1"/>
        <v>3607</v>
      </c>
      <c r="N34" s="904">
        <v>100</v>
      </c>
      <c r="O34" s="58">
        <v>4</v>
      </c>
      <c r="P34" s="253"/>
    </row>
    <row r="35" spans="1:16" ht="30.75" customHeight="1">
      <c r="A35" s="82">
        <v>31</v>
      </c>
      <c r="B35" s="83" t="s">
        <v>142</v>
      </c>
      <c r="C35" s="515">
        <v>31</v>
      </c>
      <c r="D35" s="515">
        <v>30</v>
      </c>
      <c r="E35" s="904">
        <v>97</v>
      </c>
      <c r="F35" s="515">
        <v>2062</v>
      </c>
      <c r="G35" s="515">
        <f>'8CollegeAct'!D35</f>
        <v>2025</v>
      </c>
      <c r="H35" s="904">
        <v>99</v>
      </c>
      <c r="I35" s="515">
        <v>458</v>
      </c>
      <c r="J35" s="515">
        <v>448</v>
      </c>
      <c r="K35" s="904">
        <v>98</v>
      </c>
      <c r="L35" s="515">
        <f t="shared" si="0"/>
        <v>2551</v>
      </c>
      <c r="M35" s="515">
        <f t="shared" si="1"/>
        <v>2503</v>
      </c>
      <c r="N35" s="904">
        <v>98</v>
      </c>
      <c r="O35" s="58">
        <v>9</v>
      </c>
      <c r="P35" s="253"/>
    </row>
    <row r="36" spans="1:16" ht="49.5" customHeight="1">
      <c r="A36" s="82">
        <v>32</v>
      </c>
      <c r="B36" s="83" t="s">
        <v>173</v>
      </c>
      <c r="C36" s="515"/>
      <c r="D36" s="515">
        <v>0</v>
      </c>
      <c r="E36" s="903"/>
      <c r="F36" s="515">
        <v>19</v>
      </c>
      <c r="G36" s="515">
        <f>'8CollegeAct'!D36</f>
        <v>19</v>
      </c>
      <c r="H36" s="904">
        <v>100</v>
      </c>
      <c r="I36" s="515">
        <v>1</v>
      </c>
      <c r="J36" s="515">
        <v>1</v>
      </c>
      <c r="K36" s="904">
        <v>100</v>
      </c>
      <c r="L36" s="515">
        <f t="shared" si="0"/>
        <v>20</v>
      </c>
      <c r="M36" s="515">
        <f t="shared" si="1"/>
        <v>20</v>
      </c>
      <c r="N36" s="904">
        <v>100</v>
      </c>
      <c r="O36" s="58">
        <v>0</v>
      </c>
      <c r="P36" s="253"/>
    </row>
    <row r="37" spans="1:16" ht="30.75" customHeight="1">
      <c r="A37" s="82">
        <v>33</v>
      </c>
      <c r="B37" s="83" t="s">
        <v>45</v>
      </c>
      <c r="C37" s="515">
        <v>5</v>
      </c>
      <c r="D37" s="515">
        <v>5</v>
      </c>
      <c r="E37" s="904">
        <v>100</v>
      </c>
      <c r="F37" s="515">
        <v>54</v>
      </c>
      <c r="G37" s="515">
        <f>'8CollegeAct'!D37</f>
        <v>53</v>
      </c>
      <c r="H37" s="904">
        <v>98</v>
      </c>
      <c r="I37" s="515">
        <v>14</v>
      </c>
      <c r="J37" s="515">
        <v>12</v>
      </c>
      <c r="K37" s="904">
        <v>86</v>
      </c>
      <c r="L37" s="515">
        <f t="shared" si="0"/>
        <v>73</v>
      </c>
      <c r="M37" s="515">
        <f t="shared" si="1"/>
        <v>70</v>
      </c>
      <c r="N37" s="904">
        <v>96</v>
      </c>
      <c r="O37" s="58">
        <v>0</v>
      </c>
      <c r="P37" s="253"/>
    </row>
    <row r="38" spans="1:16" ht="30.75" customHeight="1">
      <c r="A38" s="82">
        <v>34</v>
      </c>
      <c r="B38" s="83" t="s">
        <v>47</v>
      </c>
      <c r="C38" s="515">
        <v>84</v>
      </c>
      <c r="D38" s="515">
        <v>81</v>
      </c>
      <c r="E38" s="904">
        <v>96</v>
      </c>
      <c r="F38" s="515">
        <v>8114</v>
      </c>
      <c r="G38" s="515">
        <f>'8CollegeAct'!D38</f>
        <v>7127</v>
      </c>
      <c r="H38" s="904">
        <v>88</v>
      </c>
      <c r="I38" s="515">
        <v>1148</v>
      </c>
      <c r="J38" s="515">
        <v>917</v>
      </c>
      <c r="K38" s="904">
        <v>80</v>
      </c>
      <c r="L38" s="515">
        <f t="shared" si="0"/>
        <v>9346</v>
      </c>
      <c r="M38" s="515">
        <f t="shared" si="1"/>
        <v>8125</v>
      </c>
      <c r="N38" s="904">
        <v>87</v>
      </c>
      <c r="O38" s="58">
        <v>17</v>
      </c>
      <c r="P38" s="253"/>
    </row>
    <row r="39" spans="1:16" ht="30.75" customHeight="1">
      <c r="A39" s="82">
        <v>35</v>
      </c>
      <c r="B39" s="83" t="s">
        <v>46</v>
      </c>
      <c r="C39" s="515">
        <v>37</v>
      </c>
      <c r="D39" s="515">
        <v>37</v>
      </c>
      <c r="E39" s="904">
        <v>100</v>
      </c>
      <c r="F39" s="515">
        <v>477</v>
      </c>
      <c r="G39" s="515">
        <f>'8CollegeAct'!D39</f>
        <v>403</v>
      </c>
      <c r="H39" s="904">
        <v>85</v>
      </c>
      <c r="I39" s="515">
        <v>153</v>
      </c>
      <c r="J39" s="515">
        <v>149</v>
      </c>
      <c r="K39" s="904">
        <v>97</v>
      </c>
      <c r="L39" s="515">
        <f t="shared" si="0"/>
        <v>667</v>
      </c>
      <c r="M39" s="515">
        <f t="shared" si="1"/>
        <v>589</v>
      </c>
      <c r="N39" s="904">
        <v>88</v>
      </c>
      <c r="O39" s="58">
        <v>1</v>
      </c>
      <c r="P39" s="253"/>
    </row>
    <row r="40" spans="1:16" ht="30.75" customHeight="1">
      <c r="A40" s="82">
        <v>36</v>
      </c>
      <c r="B40" s="83" t="s">
        <v>48</v>
      </c>
      <c r="C40" s="515">
        <v>52</v>
      </c>
      <c r="D40" s="515">
        <v>52</v>
      </c>
      <c r="E40" s="904">
        <v>100</v>
      </c>
      <c r="F40" s="515">
        <v>1446</v>
      </c>
      <c r="G40" s="515">
        <f>'8CollegeAct'!D40</f>
        <v>1442</v>
      </c>
      <c r="H40" s="904">
        <v>100</v>
      </c>
      <c r="I40" s="515">
        <v>527</v>
      </c>
      <c r="J40" s="515">
        <v>526</v>
      </c>
      <c r="K40" s="904">
        <v>100</v>
      </c>
      <c r="L40" s="515">
        <f t="shared" si="0"/>
        <v>2025</v>
      </c>
      <c r="M40" s="515">
        <f t="shared" si="1"/>
        <v>2020</v>
      </c>
      <c r="N40" s="904">
        <v>100</v>
      </c>
      <c r="O40" s="58">
        <v>3</v>
      </c>
      <c r="P40" s="253"/>
    </row>
    <row r="41" spans="1:16" ht="27.75" customHeight="1">
      <c r="A41" s="913" t="s">
        <v>49</v>
      </c>
      <c r="B41" s="913"/>
      <c r="C41" s="557">
        <f>SUM(C5:C40)</f>
        <v>1113</v>
      </c>
      <c r="D41" s="557">
        <f>SUM(D5:D40)</f>
        <v>1099</v>
      </c>
      <c r="E41" s="904">
        <v>99</v>
      </c>
      <c r="F41" s="557">
        <f>SUM(F5:F40)</f>
        <v>43796</v>
      </c>
      <c r="G41" s="557">
        <f>SUM(G5:G40)</f>
        <v>41600</v>
      </c>
      <c r="H41" s="904">
        <v>95</v>
      </c>
      <c r="I41" s="557">
        <f>SUM(I5:I40)</f>
        <v>11296</v>
      </c>
      <c r="J41" s="557">
        <f>SUM(J5:J40)</f>
        <v>10307</v>
      </c>
      <c r="K41" s="904">
        <v>91</v>
      </c>
      <c r="L41" s="557">
        <f>SUM(L5:L40)</f>
        <v>56205</v>
      </c>
      <c r="M41" s="557">
        <f>SUM(M5:M40)</f>
        <v>53006</v>
      </c>
      <c r="N41" s="904">
        <v>95</v>
      </c>
      <c r="O41" s="58">
        <v>172</v>
      </c>
    </row>
    <row r="42" spans="1:16" ht="30" customHeight="1">
      <c r="A42" s="914" t="s">
        <v>243</v>
      </c>
      <c r="B42" s="914"/>
      <c r="C42" s="914"/>
      <c r="D42" s="914"/>
      <c r="E42" s="914"/>
      <c r="F42" s="914"/>
      <c r="G42" s="914"/>
      <c r="H42" s="914"/>
      <c r="I42" s="914"/>
      <c r="J42" s="914"/>
      <c r="K42" s="914"/>
      <c r="L42" s="914"/>
      <c r="M42" s="914"/>
      <c r="N42" s="914"/>
    </row>
    <row r="43" spans="1:16" ht="17.5">
      <c r="C43" s="878"/>
      <c r="D43" s="878"/>
      <c r="E43" s="878"/>
      <c r="F43" s="878"/>
      <c r="G43" s="878"/>
      <c r="H43" s="878"/>
      <c r="I43" s="878"/>
      <c r="J43" s="878"/>
      <c r="K43" s="878"/>
      <c r="L43" s="878"/>
      <c r="M43" s="878"/>
      <c r="N43" s="878"/>
    </row>
    <row r="44" spans="1:16" ht="17.5">
      <c r="C44" s="878"/>
      <c r="D44" s="878"/>
      <c r="E44" s="879"/>
      <c r="F44" s="878"/>
      <c r="G44" s="878"/>
      <c r="H44" s="879"/>
      <c r="I44" s="878"/>
      <c r="J44" s="878"/>
      <c r="K44" s="879"/>
      <c r="L44" s="878"/>
      <c r="M44" s="878"/>
      <c r="N44" s="879"/>
    </row>
  </sheetData>
  <mergeCells count="8">
    <mergeCell ref="A41:B41"/>
    <mergeCell ref="A42:N42"/>
    <mergeCell ref="A2:A3"/>
    <mergeCell ref="B2:B3"/>
    <mergeCell ref="C2:E2"/>
    <mergeCell ref="F2:H2"/>
    <mergeCell ref="I2:K2"/>
    <mergeCell ref="L2:N2"/>
  </mergeCells>
  <pageMargins left="0.91181102362204725" right="0.51181102362204722" top="0.51181102362204722" bottom="0.51181102362204722" header="0.31496062992125984" footer="0.31496062992125984"/>
  <pageSetup scale="56" orientation="portrait" r:id="rId1"/>
  <headerFooter>
    <oddFooter>&amp;LAISHE 2020-21&amp;CT-1a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B050"/>
  </sheetPr>
  <dimension ref="A1:Y37"/>
  <sheetViews>
    <sheetView showZeros="0" view="pageBreakPreview" zoomScale="85" zoomScaleSheetLayoutView="85" workbookViewId="0">
      <selection activeCell="A15" sqref="A15"/>
    </sheetView>
  </sheetViews>
  <sheetFormatPr defaultColWidth="9.1796875" defaultRowHeight="15.5"/>
  <cols>
    <col min="1" max="1" width="5.1796875" style="60" customWidth="1"/>
    <col min="2" max="2" width="22.81640625" style="70" customWidth="1"/>
    <col min="3" max="8" width="8.54296875" style="70" customWidth="1"/>
    <col min="9" max="9" width="9.54296875" style="70" customWidth="1"/>
    <col min="10" max="10" width="9.1796875" style="70" customWidth="1"/>
    <col min="11" max="12" width="8.54296875" style="70" customWidth="1"/>
    <col min="13" max="13" width="7.7265625" style="70" customWidth="1"/>
    <col min="14" max="18" width="8.54296875" style="70" customWidth="1"/>
    <col min="19" max="19" width="9" style="70" customWidth="1"/>
    <col min="20" max="24" width="8.54296875" style="70" customWidth="1"/>
    <col min="25" max="16384" width="9.1796875" style="70"/>
  </cols>
  <sheetData>
    <row r="1" spans="1:25" s="62" customFormat="1" ht="35.25" customHeight="1">
      <c r="A1" s="60"/>
      <c r="B1" s="61" t="s">
        <v>244</v>
      </c>
      <c r="C1" s="917" t="s">
        <v>1075</v>
      </c>
      <c r="D1" s="917"/>
      <c r="E1" s="917"/>
      <c r="F1" s="917"/>
      <c r="G1" s="917"/>
      <c r="H1" s="917"/>
      <c r="I1" s="917"/>
      <c r="J1" s="917"/>
      <c r="K1" s="917"/>
      <c r="L1" s="917"/>
      <c r="M1" s="917" t="str">
        <f>C1</f>
        <v>State &amp; Specialisation-wise Number of Universities
(Based on Actual Response)</v>
      </c>
      <c r="N1" s="917"/>
      <c r="O1" s="917"/>
      <c r="P1" s="917"/>
      <c r="Q1" s="917"/>
      <c r="R1" s="917"/>
      <c r="S1" s="917"/>
      <c r="T1" s="917"/>
      <c r="U1" s="917"/>
      <c r="V1" s="917"/>
      <c r="W1" s="917"/>
    </row>
    <row r="2" spans="1:25" s="66" customFormat="1" ht="107.25" customHeight="1">
      <c r="A2" s="63" t="s">
        <v>235</v>
      </c>
      <c r="B2" s="64" t="s">
        <v>236</v>
      </c>
      <c r="C2" s="65" t="s">
        <v>5</v>
      </c>
      <c r="D2" s="65" t="s">
        <v>6</v>
      </c>
      <c r="E2" s="65" t="s">
        <v>245</v>
      </c>
      <c r="F2" s="65" t="s">
        <v>274</v>
      </c>
      <c r="G2" s="65" t="s">
        <v>999</v>
      </c>
      <c r="H2" s="65" t="s">
        <v>246</v>
      </c>
      <c r="I2" s="65" t="s">
        <v>247</v>
      </c>
      <c r="J2" s="65" t="s">
        <v>276</v>
      </c>
      <c r="K2" s="65" t="s">
        <v>248</v>
      </c>
      <c r="L2" s="65" t="s">
        <v>249</v>
      </c>
      <c r="M2" s="65" t="s">
        <v>8</v>
      </c>
      <c r="N2" s="65" t="s">
        <v>250</v>
      </c>
      <c r="O2" s="65" t="s">
        <v>7</v>
      </c>
      <c r="P2" s="65" t="s">
        <v>251</v>
      </c>
      <c r="Q2" s="65" t="s">
        <v>252</v>
      </c>
      <c r="R2" s="65" t="s">
        <v>253</v>
      </c>
      <c r="S2" s="65" t="s">
        <v>254</v>
      </c>
      <c r="T2" s="65" t="s">
        <v>277</v>
      </c>
      <c r="U2" s="65" t="s">
        <v>271</v>
      </c>
      <c r="V2" s="65" t="s">
        <v>9</v>
      </c>
      <c r="W2" s="65" t="s">
        <v>10</v>
      </c>
      <c r="X2" s="65" t="s">
        <v>278</v>
      </c>
      <c r="Y2" s="65" t="s">
        <v>60</v>
      </c>
    </row>
    <row r="3" spans="1:25" s="486" customFormat="1" ht="15" customHeight="1">
      <c r="A3" s="485">
        <v>1</v>
      </c>
      <c r="B3" s="485">
        <v>2</v>
      </c>
      <c r="C3" s="485">
        <v>3</v>
      </c>
      <c r="D3" s="485">
        <v>4</v>
      </c>
      <c r="E3" s="485">
        <v>5</v>
      </c>
      <c r="F3" s="485">
        <v>6</v>
      </c>
      <c r="G3" s="485">
        <v>7</v>
      </c>
      <c r="H3" s="485">
        <v>8</v>
      </c>
      <c r="I3" s="485">
        <v>9</v>
      </c>
      <c r="J3" s="485">
        <v>10</v>
      </c>
      <c r="K3" s="485">
        <v>11</v>
      </c>
      <c r="L3" s="485">
        <v>12</v>
      </c>
      <c r="M3" s="485">
        <v>13</v>
      </c>
      <c r="N3" s="485">
        <v>14</v>
      </c>
      <c r="O3" s="485">
        <v>15</v>
      </c>
      <c r="P3" s="485">
        <v>16</v>
      </c>
      <c r="Q3" s="485">
        <v>17</v>
      </c>
      <c r="R3" s="485">
        <v>18</v>
      </c>
      <c r="S3" s="485">
        <v>19</v>
      </c>
      <c r="T3" s="485">
        <v>20</v>
      </c>
      <c r="U3" s="485">
        <v>21</v>
      </c>
      <c r="V3" s="485">
        <v>22</v>
      </c>
      <c r="W3" s="485">
        <v>23</v>
      </c>
      <c r="X3" s="485">
        <v>24</v>
      </c>
      <c r="Y3" s="485">
        <v>25</v>
      </c>
    </row>
    <row r="4" spans="1:25" ht="26.25" customHeight="1">
      <c r="A4" s="59">
        <v>1</v>
      </c>
      <c r="B4" s="67" t="s">
        <v>15</v>
      </c>
      <c r="C4" s="68">
        <v>19</v>
      </c>
      <c r="D4" s="68">
        <v>2</v>
      </c>
      <c r="E4" s="68"/>
      <c r="F4" s="68"/>
      <c r="G4" s="68"/>
      <c r="H4" s="68">
        <v>1</v>
      </c>
      <c r="I4" s="68"/>
      <c r="J4" s="68"/>
      <c r="K4" s="68"/>
      <c r="L4" s="68">
        <v>1</v>
      </c>
      <c r="M4" s="68">
        <v>1</v>
      </c>
      <c r="N4" s="68">
        <v>1</v>
      </c>
      <c r="O4" s="68">
        <v>3</v>
      </c>
      <c r="P4" s="68"/>
      <c r="Q4" s="68"/>
      <c r="R4" s="68">
        <v>2</v>
      </c>
      <c r="S4" s="68">
        <v>2</v>
      </c>
      <c r="T4" s="68"/>
      <c r="U4" s="68"/>
      <c r="V4" s="68">
        <v>12</v>
      </c>
      <c r="W4" s="89">
        <v>1</v>
      </c>
      <c r="X4" s="90"/>
      <c r="Y4" s="91">
        <v>45</v>
      </c>
    </row>
    <row r="5" spans="1:25" ht="30.75" customHeight="1">
      <c r="A5" s="59">
        <v>2</v>
      </c>
      <c r="B5" s="67" t="s">
        <v>16</v>
      </c>
      <c r="C5" s="68">
        <v>7</v>
      </c>
      <c r="D5" s="68"/>
      <c r="E5" s="68"/>
      <c r="F5" s="68"/>
      <c r="G5" s="68"/>
      <c r="H5" s="68"/>
      <c r="I5" s="68"/>
      <c r="J5" s="68"/>
      <c r="K5" s="68"/>
      <c r="L5" s="68"/>
      <c r="M5" s="68"/>
      <c r="N5" s="68"/>
      <c r="O5" s="68">
        <v>1</v>
      </c>
      <c r="P5" s="68"/>
      <c r="Q5" s="68"/>
      <c r="R5" s="68"/>
      <c r="S5" s="68"/>
      <c r="T5" s="68"/>
      <c r="U5" s="68"/>
      <c r="V5" s="68">
        <v>2</v>
      </c>
      <c r="W5" s="89"/>
      <c r="X5" s="90"/>
      <c r="Y5" s="91">
        <v>10</v>
      </c>
    </row>
    <row r="6" spans="1:25" ht="26.25" customHeight="1">
      <c r="A6" s="59">
        <v>3</v>
      </c>
      <c r="B6" s="67" t="s">
        <v>17</v>
      </c>
      <c r="C6" s="68">
        <v>16</v>
      </c>
      <c r="D6" s="68">
        <v>1</v>
      </c>
      <c r="E6" s="68"/>
      <c r="F6" s="68"/>
      <c r="G6" s="68"/>
      <c r="H6" s="68"/>
      <c r="I6" s="68"/>
      <c r="J6" s="68"/>
      <c r="K6" s="68"/>
      <c r="L6" s="68"/>
      <c r="M6" s="68">
        <v>1</v>
      </c>
      <c r="N6" s="68"/>
      <c r="O6" s="68">
        <v>2</v>
      </c>
      <c r="P6" s="68"/>
      <c r="Q6" s="68"/>
      <c r="R6" s="68">
        <v>1</v>
      </c>
      <c r="S6" s="68"/>
      <c r="T6" s="68"/>
      <c r="U6" s="68"/>
      <c r="V6" s="68">
        <v>7</v>
      </c>
      <c r="W6" s="89"/>
      <c r="X6" s="90"/>
      <c r="Y6" s="91">
        <v>28</v>
      </c>
    </row>
    <row r="7" spans="1:25" ht="26.25" customHeight="1">
      <c r="A7" s="59">
        <v>4</v>
      </c>
      <c r="B7" s="771" t="s">
        <v>18</v>
      </c>
      <c r="C7" s="68">
        <v>25</v>
      </c>
      <c r="D7" s="68">
        <v>2</v>
      </c>
      <c r="E7" s="68"/>
      <c r="F7" s="68"/>
      <c r="G7" s="68"/>
      <c r="H7" s="68"/>
      <c r="I7" s="68"/>
      <c r="J7" s="68"/>
      <c r="K7" s="68"/>
      <c r="L7" s="68"/>
      <c r="M7" s="68"/>
      <c r="N7" s="68">
        <v>1</v>
      </c>
      <c r="O7" s="68">
        <v>3</v>
      </c>
      <c r="P7" s="68">
        <v>1</v>
      </c>
      <c r="Q7" s="68"/>
      <c r="R7" s="68">
        <v>1</v>
      </c>
      <c r="S7" s="68"/>
      <c r="T7" s="68"/>
      <c r="U7" s="68"/>
      <c r="V7" s="68">
        <v>3</v>
      </c>
      <c r="W7" s="89">
        <v>1</v>
      </c>
      <c r="X7" s="90"/>
      <c r="Y7" s="91">
        <v>37</v>
      </c>
    </row>
    <row r="8" spans="1:25" ht="26.25" customHeight="1">
      <c r="A8" s="59">
        <v>5</v>
      </c>
      <c r="B8" s="67" t="s">
        <v>19</v>
      </c>
      <c r="C8" s="68">
        <v>1</v>
      </c>
      <c r="D8" s="68"/>
      <c r="E8" s="68"/>
      <c r="F8" s="68"/>
      <c r="G8" s="68"/>
      <c r="H8" s="68"/>
      <c r="I8" s="68"/>
      <c r="J8" s="68"/>
      <c r="K8" s="68"/>
      <c r="L8" s="68"/>
      <c r="M8" s="68"/>
      <c r="N8" s="68"/>
      <c r="O8" s="68">
        <v>1</v>
      </c>
      <c r="P8" s="68"/>
      <c r="Q8" s="68"/>
      <c r="R8" s="68"/>
      <c r="S8" s="68"/>
      <c r="T8" s="68"/>
      <c r="U8" s="68"/>
      <c r="V8" s="68">
        <v>1</v>
      </c>
      <c r="W8" s="89"/>
      <c r="X8" s="90"/>
      <c r="Y8" s="91">
        <v>3</v>
      </c>
    </row>
    <row r="9" spans="1:25" ht="26.25" customHeight="1">
      <c r="A9" s="59">
        <v>6</v>
      </c>
      <c r="B9" s="67" t="s">
        <v>20</v>
      </c>
      <c r="C9" s="68">
        <v>21</v>
      </c>
      <c r="D9" s="68"/>
      <c r="E9" s="68">
        <v>1</v>
      </c>
      <c r="F9" s="68"/>
      <c r="G9" s="68"/>
      <c r="H9" s="68"/>
      <c r="I9" s="68"/>
      <c r="J9" s="68"/>
      <c r="K9" s="68">
        <v>1</v>
      </c>
      <c r="L9" s="68"/>
      <c r="M9" s="68">
        <v>1</v>
      </c>
      <c r="N9" s="68">
        <v>2</v>
      </c>
      <c r="O9" s="68">
        <v>2</v>
      </c>
      <c r="P9" s="68"/>
      <c r="Q9" s="68"/>
      <c r="R9" s="68"/>
      <c r="S9" s="68"/>
      <c r="T9" s="68"/>
      <c r="U9" s="68"/>
      <c r="V9" s="68">
        <v>4</v>
      </c>
      <c r="W9" s="89"/>
      <c r="X9" s="90"/>
      <c r="Y9" s="91">
        <v>32</v>
      </c>
    </row>
    <row r="10" spans="1:25" ht="26.25" customHeight="1">
      <c r="A10" s="59">
        <v>7</v>
      </c>
      <c r="B10" s="67" t="s">
        <v>23</v>
      </c>
      <c r="C10" s="68">
        <v>9</v>
      </c>
      <c r="D10" s="68">
        <v>1</v>
      </c>
      <c r="E10" s="68">
        <v>1</v>
      </c>
      <c r="F10" s="68"/>
      <c r="G10" s="68"/>
      <c r="H10" s="68"/>
      <c r="I10" s="68"/>
      <c r="J10" s="68"/>
      <c r="K10" s="68"/>
      <c r="L10" s="68"/>
      <c r="M10" s="68">
        <v>2</v>
      </c>
      <c r="N10" s="68"/>
      <c r="O10" s="68">
        <v>3</v>
      </c>
      <c r="P10" s="68"/>
      <c r="Q10" s="68"/>
      <c r="R10" s="68">
        <v>2</v>
      </c>
      <c r="S10" s="68"/>
      <c r="T10" s="68"/>
      <c r="U10" s="68"/>
      <c r="V10" s="68">
        <v>8</v>
      </c>
      <c r="W10" s="89"/>
      <c r="X10" s="90">
        <v>1</v>
      </c>
      <c r="Y10" s="91">
        <v>27</v>
      </c>
    </row>
    <row r="11" spans="1:25" ht="26.25" customHeight="1">
      <c r="A11" s="59">
        <v>8</v>
      </c>
      <c r="B11" s="67" t="s">
        <v>24</v>
      </c>
      <c r="C11" s="68">
        <v>1</v>
      </c>
      <c r="D11" s="68"/>
      <c r="E11" s="68"/>
      <c r="F11" s="68"/>
      <c r="G11" s="68"/>
      <c r="H11" s="68"/>
      <c r="I11" s="68"/>
      <c r="J11" s="68"/>
      <c r="K11" s="68"/>
      <c r="L11" s="68"/>
      <c r="M11" s="68"/>
      <c r="N11" s="68"/>
      <c r="O11" s="68"/>
      <c r="P11" s="68"/>
      <c r="Q11" s="68"/>
      <c r="R11" s="68"/>
      <c r="S11" s="68"/>
      <c r="T11" s="68"/>
      <c r="U11" s="68"/>
      <c r="V11" s="68">
        <v>2</v>
      </c>
      <c r="W11" s="89"/>
      <c r="X11" s="90"/>
      <c r="Y11" s="91">
        <v>3</v>
      </c>
    </row>
    <row r="12" spans="1:25" ht="26.25" customHeight="1">
      <c r="A12" s="59">
        <v>9</v>
      </c>
      <c r="B12" s="67" t="s">
        <v>25</v>
      </c>
      <c r="C12" s="68">
        <v>50</v>
      </c>
      <c r="D12" s="68">
        <v>4</v>
      </c>
      <c r="E12" s="68">
        <v>1</v>
      </c>
      <c r="F12" s="68"/>
      <c r="G12" s="68"/>
      <c r="H12" s="68"/>
      <c r="I12" s="68"/>
      <c r="J12" s="68"/>
      <c r="K12" s="68"/>
      <c r="L12" s="68"/>
      <c r="M12" s="68">
        <v>1</v>
      </c>
      <c r="N12" s="68">
        <v>2</v>
      </c>
      <c r="O12" s="68">
        <v>4</v>
      </c>
      <c r="P12" s="68"/>
      <c r="Q12" s="68"/>
      <c r="R12" s="68">
        <v>1</v>
      </c>
      <c r="S12" s="68">
        <v>2</v>
      </c>
      <c r="T12" s="68"/>
      <c r="U12" s="68">
        <v>2</v>
      </c>
      <c r="V12" s="68">
        <v>15</v>
      </c>
      <c r="W12" s="89"/>
      <c r="X12" s="90">
        <v>1</v>
      </c>
      <c r="Y12" s="91">
        <v>83</v>
      </c>
    </row>
    <row r="13" spans="1:25" ht="26.25" customHeight="1">
      <c r="A13" s="59">
        <v>10</v>
      </c>
      <c r="B13" s="67" t="s">
        <v>26</v>
      </c>
      <c r="C13" s="68">
        <v>34</v>
      </c>
      <c r="D13" s="68">
        <v>3</v>
      </c>
      <c r="E13" s="68"/>
      <c r="F13" s="68"/>
      <c r="G13" s="68"/>
      <c r="H13" s="68"/>
      <c r="I13" s="68"/>
      <c r="J13" s="68"/>
      <c r="K13" s="68"/>
      <c r="L13" s="68"/>
      <c r="M13" s="68">
        <v>1</v>
      </c>
      <c r="N13" s="68">
        <v>1</v>
      </c>
      <c r="O13" s="68">
        <v>3</v>
      </c>
      <c r="P13" s="68"/>
      <c r="Q13" s="68"/>
      <c r="R13" s="68">
        <v>1</v>
      </c>
      <c r="S13" s="68">
        <v>3</v>
      </c>
      <c r="T13" s="68">
        <v>1</v>
      </c>
      <c r="U13" s="68"/>
      <c r="V13" s="68">
        <v>8</v>
      </c>
      <c r="W13" s="89">
        <v>1</v>
      </c>
      <c r="X13" s="90"/>
      <c r="Y13" s="91">
        <v>56</v>
      </c>
    </row>
    <row r="14" spans="1:25" ht="26.25" customHeight="1">
      <c r="A14" s="59">
        <v>11</v>
      </c>
      <c r="B14" s="67" t="s">
        <v>27</v>
      </c>
      <c r="C14" s="68">
        <v>16</v>
      </c>
      <c r="D14" s="68">
        <v>2</v>
      </c>
      <c r="E14" s="68"/>
      <c r="F14" s="68">
        <v>1</v>
      </c>
      <c r="G14" s="68"/>
      <c r="H14" s="68"/>
      <c r="I14" s="68"/>
      <c r="J14" s="68"/>
      <c r="K14" s="68"/>
      <c r="L14" s="68"/>
      <c r="M14" s="68">
        <v>1</v>
      </c>
      <c r="N14" s="68">
        <v>1</v>
      </c>
      <c r="O14" s="68"/>
      <c r="P14" s="68"/>
      <c r="Q14" s="68"/>
      <c r="R14" s="68"/>
      <c r="S14" s="68"/>
      <c r="T14" s="68"/>
      <c r="U14" s="68"/>
      <c r="V14" s="68">
        <v>7</v>
      </c>
      <c r="W14" s="89"/>
      <c r="X14" s="90"/>
      <c r="Y14" s="91">
        <v>28</v>
      </c>
    </row>
    <row r="15" spans="1:25" ht="30.75" customHeight="1">
      <c r="A15" s="59">
        <v>12</v>
      </c>
      <c r="B15" s="67" t="s">
        <v>57</v>
      </c>
      <c r="C15" s="68">
        <v>8</v>
      </c>
      <c r="D15" s="68">
        <v>2</v>
      </c>
      <c r="E15" s="68"/>
      <c r="F15" s="68"/>
      <c r="G15" s="68"/>
      <c r="H15" s="68"/>
      <c r="I15" s="68"/>
      <c r="J15" s="68"/>
      <c r="K15" s="68"/>
      <c r="L15" s="68"/>
      <c r="M15" s="68"/>
      <c r="N15" s="68">
        <v>1</v>
      </c>
      <c r="O15" s="68">
        <v>1</v>
      </c>
      <c r="P15" s="68"/>
      <c r="Q15" s="68"/>
      <c r="R15" s="68"/>
      <c r="S15" s="68">
        <v>1</v>
      </c>
      <c r="T15" s="68"/>
      <c r="U15" s="68"/>
      <c r="V15" s="68">
        <v>2</v>
      </c>
      <c r="W15" s="89"/>
      <c r="X15" s="90"/>
      <c r="Y15" s="91">
        <v>15</v>
      </c>
    </row>
    <row r="16" spans="1:25" ht="26.25" customHeight="1">
      <c r="A16" s="59">
        <v>13</v>
      </c>
      <c r="B16" s="67" t="s">
        <v>29</v>
      </c>
      <c r="C16" s="68">
        <v>20</v>
      </c>
      <c r="D16" s="68">
        <v>1</v>
      </c>
      <c r="E16" s="68"/>
      <c r="F16" s="68">
        <v>1</v>
      </c>
      <c r="G16" s="68"/>
      <c r="H16" s="68"/>
      <c r="I16" s="68"/>
      <c r="J16" s="68"/>
      <c r="K16" s="68"/>
      <c r="L16" s="68"/>
      <c r="M16" s="68">
        <v>1</v>
      </c>
      <c r="N16" s="68">
        <v>1</v>
      </c>
      <c r="O16" s="68">
        <v>1</v>
      </c>
      <c r="P16" s="68"/>
      <c r="Q16" s="68"/>
      <c r="R16" s="68"/>
      <c r="S16" s="68"/>
      <c r="T16" s="68"/>
      <c r="U16" s="68"/>
      <c r="V16" s="68">
        <v>6</v>
      </c>
      <c r="W16" s="89"/>
      <c r="X16" s="90">
        <v>1</v>
      </c>
      <c r="Y16" s="91">
        <v>32</v>
      </c>
    </row>
    <row r="17" spans="1:25" ht="26.25" customHeight="1">
      <c r="A17" s="59">
        <v>14</v>
      </c>
      <c r="B17" s="67" t="s">
        <v>30</v>
      </c>
      <c r="C17" s="68">
        <v>41</v>
      </c>
      <c r="D17" s="68">
        <v>5</v>
      </c>
      <c r="E17" s="68"/>
      <c r="F17" s="68"/>
      <c r="G17" s="68"/>
      <c r="H17" s="68">
        <v>1</v>
      </c>
      <c r="I17" s="68"/>
      <c r="J17" s="68"/>
      <c r="K17" s="68"/>
      <c r="L17" s="68"/>
      <c r="M17" s="68">
        <v>2</v>
      </c>
      <c r="N17" s="68">
        <v>1</v>
      </c>
      <c r="O17" s="68">
        <v>5</v>
      </c>
      <c r="P17" s="68"/>
      <c r="Q17" s="68">
        <v>1</v>
      </c>
      <c r="R17" s="68">
        <v>1</v>
      </c>
      <c r="S17" s="68">
        <v>4</v>
      </c>
      <c r="T17" s="68">
        <v>2</v>
      </c>
      <c r="U17" s="68">
        <v>1</v>
      </c>
      <c r="V17" s="68">
        <v>7</v>
      </c>
      <c r="W17" s="89">
        <v>1</v>
      </c>
      <c r="X17" s="90"/>
      <c r="Y17" s="91">
        <v>72</v>
      </c>
    </row>
    <row r="18" spans="1:25" ht="26.25" customHeight="1">
      <c r="A18" s="59">
        <v>15</v>
      </c>
      <c r="B18" s="67" t="s">
        <v>31</v>
      </c>
      <c r="C18" s="68">
        <v>6</v>
      </c>
      <c r="D18" s="68">
        <v>1</v>
      </c>
      <c r="E18" s="68"/>
      <c r="F18" s="68"/>
      <c r="G18" s="68"/>
      <c r="H18" s="68"/>
      <c r="I18" s="68">
        <v>1</v>
      </c>
      <c r="J18" s="68"/>
      <c r="K18" s="68"/>
      <c r="L18" s="68">
        <v>1</v>
      </c>
      <c r="M18" s="68">
        <v>1</v>
      </c>
      <c r="N18" s="68">
        <v>1</v>
      </c>
      <c r="O18" s="68">
        <v>2</v>
      </c>
      <c r="P18" s="68"/>
      <c r="Q18" s="68"/>
      <c r="R18" s="68">
        <v>1</v>
      </c>
      <c r="S18" s="68">
        <v>2</v>
      </c>
      <c r="T18" s="68"/>
      <c r="U18" s="68"/>
      <c r="V18" s="68">
        <v>5</v>
      </c>
      <c r="W18" s="89">
        <v>1</v>
      </c>
      <c r="X18" s="90">
        <v>1</v>
      </c>
      <c r="Y18" s="91">
        <v>23</v>
      </c>
    </row>
    <row r="19" spans="1:25" ht="26.25" customHeight="1">
      <c r="A19" s="59">
        <v>16</v>
      </c>
      <c r="B19" s="69" t="s">
        <v>172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>
        <v>1</v>
      </c>
      <c r="Q19" s="68"/>
      <c r="R19" s="68"/>
      <c r="S19" s="68"/>
      <c r="T19" s="68"/>
      <c r="U19" s="68"/>
      <c r="V19" s="68"/>
      <c r="W19" s="89"/>
      <c r="X19" s="90"/>
      <c r="Y19" s="91">
        <v>1</v>
      </c>
    </row>
    <row r="20" spans="1:25" ht="26.25" customHeight="1">
      <c r="A20" s="59">
        <v>17</v>
      </c>
      <c r="B20" s="67" t="s">
        <v>33</v>
      </c>
      <c r="C20" s="68">
        <v>47</v>
      </c>
      <c r="D20" s="68">
        <v>2</v>
      </c>
      <c r="E20" s="68"/>
      <c r="F20" s="68"/>
      <c r="G20" s="68"/>
      <c r="H20" s="68">
        <v>1</v>
      </c>
      <c r="I20" s="68"/>
      <c r="J20" s="68">
        <v>1</v>
      </c>
      <c r="K20" s="68">
        <v>1</v>
      </c>
      <c r="L20" s="68">
        <v>1</v>
      </c>
      <c r="M20" s="68">
        <v>2</v>
      </c>
      <c r="N20" s="68">
        <v>1</v>
      </c>
      <c r="O20" s="68">
        <v>3</v>
      </c>
      <c r="P20" s="68"/>
      <c r="Q20" s="68"/>
      <c r="R20" s="68">
        <v>2</v>
      </c>
      <c r="S20" s="68">
        <v>3</v>
      </c>
      <c r="T20" s="68"/>
      <c r="U20" s="68">
        <v>1</v>
      </c>
      <c r="V20" s="68">
        <v>9</v>
      </c>
      <c r="W20" s="89"/>
      <c r="X20" s="90"/>
      <c r="Y20" s="91">
        <v>74</v>
      </c>
    </row>
    <row r="21" spans="1:25" ht="26.25" customHeight="1">
      <c r="A21" s="59">
        <v>18</v>
      </c>
      <c r="B21" s="67" t="s">
        <v>34</v>
      </c>
      <c r="C21" s="68">
        <v>35</v>
      </c>
      <c r="D21" s="68">
        <v>4</v>
      </c>
      <c r="E21" s="68"/>
      <c r="F21" s="68"/>
      <c r="G21" s="68"/>
      <c r="H21" s="68">
        <v>1</v>
      </c>
      <c r="I21" s="68">
        <v>1</v>
      </c>
      <c r="J21" s="68"/>
      <c r="K21" s="68"/>
      <c r="L21" s="68">
        <v>1</v>
      </c>
      <c r="M21" s="68">
        <v>3</v>
      </c>
      <c r="N21" s="68">
        <v>2</v>
      </c>
      <c r="O21" s="68">
        <v>7</v>
      </c>
      <c r="P21" s="68"/>
      <c r="Q21" s="68"/>
      <c r="R21" s="68">
        <v>1</v>
      </c>
      <c r="S21" s="68">
        <v>4</v>
      </c>
      <c r="T21" s="68">
        <v>3</v>
      </c>
      <c r="U21" s="68"/>
      <c r="V21" s="68">
        <v>8</v>
      </c>
      <c r="W21" s="89">
        <v>1</v>
      </c>
      <c r="X21" s="90"/>
      <c r="Y21" s="91">
        <v>71</v>
      </c>
    </row>
    <row r="22" spans="1:25" ht="26.25" customHeight="1">
      <c r="A22" s="59">
        <v>19</v>
      </c>
      <c r="B22" s="67" t="s">
        <v>35</v>
      </c>
      <c r="C22" s="68">
        <v>2</v>
      </c>
      <c r="D22" s="68">
        <v>1</v>
      </c>
      <c r="E22" s="68"/>
      <c r="F22" s="68"/>
      <c r="G22" s="68">
        <v>1</v>
      </c>
      <c r="H22" s="68"/>
      <c r="I22" s="68"/>
      <c r="J22" s="68"/>
      <c r="K22" s="68"/>
      <c r="L22" s="68"/>
      <c r="M22" s="68"/>
      <c r="N22" s="68"/>
      <c r="O22" s="68"/>
      <c r="P22" s="68"/>
      <c r="Q22" s="68"/>
      <c r="R22" s="68"/>
      <c r="S22" s="68"/>
      <c r="T22" s="68"/>
      <c r="U22" s="68">
        <v>1</v>
      </c>
      <c r="V22" s="68">
        <v>3</v>
      </c>
      <c r="W22" s="89"/>
      <c r="X22" s="90"/>
      <c r="Y22" s="91">
        <v>8</v>
      </c>
    </row>
    <row r="23" spans="1:25" ht="26.25" customHeight="1">
      <c r="A23" s="59">
        <v>20</v>
      </c>
      <c r="B23" s="67" t="s">
        <v>36</v>
      </c>
      <c r="C23" s="68">
        <v>5</v>
      </c>
      <c r="D23" s="68"/>
      <c r="E23" s="68"/>
      <c r="F23" s="68">
        <v>1</v>
      </c>
      <c r="G23" s="68"/>
      <c r="H23" s="68"/>
      <c r="I23" s="68"/>
      <c r="J23" s="68"/>
      <c r="K23" s="68"/>
      <c r="L23" s="68"/>
      <c r="M23" s="68"/>
      <c r="N23" s="68">
        <v>1</v>
      </c>
      <c r="O23" s="68"/>
      <c r="P23" s="68"/>
      <c r="Q23" s="68"/>
      <c r="R23" s="68"/>
      <c r="S23" s="68">
        <v>1</v>
      </c>
      <c r="T23" s="68"/>
      <c r="U23" s="68"/>
      <c r="V23" s="68">
        <v>2</v>
      </c>
      <c r="W23" s="89"/>
      <c r="X23" s="90"/>
      <c r="Y23" s="91">
        <v>10</v>
      </c>
    </row>
    <row r="24" spans="1:25" ht="26.25" customHeight="1">
      <c r="A24" s="59">
        <v>21</v>
      </c>
      <c r="B24" s="67" t="s">
        <v>37</v>
      </c>
      <c r="C24" s="68">
        <v>1</v>
      </c>
      <c r="D24" s="68"/>
      <c r="E24" s="68"/>
      <c r="F24" s="68">
        <v>1</v>
      </c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  <c r="V24" s="68">
        <v>1</v>
      </c>
      <c r="W24" s="89"/>
      <c r="X24" s="90"/>
      <c r="Y24" s="91">
        <v>3</v>
      </c>
    </row>
    <row r="25" spans="1:25" ht="26.25" customHeight="1">
      <c r="A25" s="59">
        <v>22</v>
      </c>
      <c r="B25" s="67" t="s">
        <v>38</v>
      </c>
      <c r="C25" s="68">
        <v>3</v>
      </c>
      <c r="D25" s="68"/>
      <c r="E25" s="68"/>
      <c r="F25" s="68">
        <v>1</v>
      </c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8"/>
      <c r="R25" s="68"/>
      <c r="S25" s="68"/>
      <c r="T25" s="68"/>
      <c r="U25" s="68"/>
      <c r="V25" s="68">
        <v>1</v>
      </c>
      <c r="W25" s="89"/>
      <c r="X25" s="90"/>
      <c r="Y25" s="91">
        <v>5</v>
      </c>
    </row>
    <row r="26" spans="1:25" ht="26.25" customHeight="1">
      <c r="A26" s="59">
        <v>23</v>
      </c>
      <c r="B26" s="67" t="s">
        <v>39</v>
      </c>
      <c r="C26" s="68">
        <v>19</v>
      </c>
      <c r="D26" s="68">
        <v>1</v>
      </c>
      <c r="E26" s="68"/>
      <c r="F26" s="68"/>
      <c r="G26" s="68">
        <v>1</v>
      </c>
      <c r="H26" s="68"/>
      <c r="I26" s="68"/>
      <c r="J26" s="68"/>
      <c r="K26" s="68"/>
      <c r="L26" s="68"/>
      <c r="M26" s="68">
        <v>1</v>
      </c>
      <c r="N26" s="68">
        <v>1</v>
      </c>
      <c r="O26" s="68">
        <v>2</v>
      </c>
      <c r="P26" s="68"/>
      <c r="Q26" s="68"/>
      <c r="R26" s="68">
        <v>1</v>
      </c>
      <c r="S26" s="68">
        <v>1</v>
      </c>
      <c r="T26" s="68">
        <v>1</v>
      </c>
      <c r="U26" s="68"/>
      <c r="V26" s="68">
        <v>8</v>
      </c>
      <c r="W26" s="89"/>
      <c r="X26" s="90"/>
      <c r="Y26" s="91">
        <v>36</v>
      </c>
    </row>
    <row r="27" spans="1:25" ht="26.25" customHeight="1">
      <c r="A27" s="59">
        <v>24</v>
      </c>
      <c r="B27" s="67" t="s">
        <v>40</v>
      </c>
      <c r="C27" s="68">
        <v>2</v>
      </c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>
        <v>1</v>
      </c>
      <c r="P27" s="68"/>
      <c r="Q27" s="68"/>
      <c r="R27" s="68"/>
      <c r="S27" s="68"/>
      <c r="T27" s="68"/>
      <c r="U27" s="68"/>
      <c r="V27" s="68">
        <v>1</v>
      </c>
      <c r="W27" s="89"/>
      <c r="X27" s="90"/>
      <c r="Y27" s="91">
        <v>4</v>
      </c>
    </row>
    <row r="28" spans="1:25" ht="26.25" customHeight="1">
      <c r="A28" s="59">
        <v>25</v>
      </c>
      <c r="B28" s="67" t="s">
        <v>41</v>
      </c>
      <c r="C28" s="68">
        <v>18</v>
      </c>
      <c r="D28" s="68">
        <v>1</v>
      </c>
      <c r="E28" s="68"/>
      <c r="F28" s="68"/>
      <c r="G28" s="68"/>
      <c r="H28" s="68"/>
      <c r="I28" s="68"/>
      <c r="J28" s="68"/>
      <c r="K28" s="68"/>
      <c r="L28" s="68"/>
      <c r="M28" s="68">
        <v>1</v>
      </c>
      <c r="N28" s="68">
        <v>1</v>
      </c>
      <c r="O28" s="68">
        <v>4</v>
      </c>
      <c r="P28" s="68"/>
      <c r="Q28" s="68"/>
      <c r="R28" s="68"/>
      <c r="S28" s="68">
        <v>1</v>
      </c>
      <c r="T28" s="68"/>
      <c r="U28" s="68">
        <v>1</v>
      </c>
      <c r="V28" s="68">
        <v>6</v>
      </c>
      <c r="W28" s="89">
        <v>1</v>
      </c>
      <c r="X28" s="90"/>
      <c r="Y28" s="91">
        <v>34</v>
      </c>
    </row>
    <row r="29" spans="1:25" ht="26.25" customHeight="1">
      <c r="A29" s="59">
        <v>26</v>
      </c>
      <c r="B29" s="67" t="s">
        <v>42</v>
      </c>
      <c r="C29" s="68">
        <v>56</v>
      </c>
      <c r="D29" s="68">
        <v>5</v>
      </c>
      <c r="E29" s="68"/>
      <c r="F29" s="68"/>
      <c r="G29" s="68"/>
      <c r="H29" s="68"/>
      <c r="I29" s="68"/>
      <c r="J29" s="68"/>
      <c r="K29" s="68">
        <v>1</v>
      </c>
      <c r="L29" s="68"/>
      <c r="M29" s="68">
        <v>2</v>
      </c>
      <c r="N29" s="68">
        <v>1</v>
      </c>
      <c r="O29" s="68">
        <v>7</v>
      </c>
      <c r="P29" s="68"/>
      <c r="Q29" s="68"/>
      <c r="R29" s="68">
        <v>2</v>
      </c>
      <c r="S29" s="68">
        <v>1</v>
      </c>
      <c r="T29" s="68"/>
      <c r="U29" s="68">
        <v>1</v>
      </c>
      <c r="V29" s="68">
        <v>11</v>
      </c>
      <c r="W29" s="89">
        <v>1</v>
      </c>
      <c r="X29" s="90"/>
      <c r="Y29" s="91">
        <v>88</v>
      </c>
    </row>
    <row r="30" spans="1:25" ht="26.25" customHeight="1">
      <c r="A30" s="59">
        <v>27</v>
      </c>
      <c r="B30" s="67" t="s">
        <v>43</v>
      </c>
      <c r="C30" s="68">
        <v>5</v>
      </c>
      <c r="D30" s="68"/>
      <c r="E30" s="68"/>
      <c r="F30" s="68">
        <v>1</v>
      </c>
      <c r="G30" s="68"/>
      <c r="H30" s="68"/>
      <c r="I30" s="68"/>
      <c r="J30" s="68"/>
      <c r="K30" s="68"/>
      <c r="L30" s="68"/>
      <c r="M30" s="68"/>
      <c r="N30" s="68"/>
      <c r="O30" s="68"/>
      <c r="P30" s="68"/>
      <c r="Q30" s="68"/>
      <c r="R30" s="68"/>
      <c r="S30" s="68"/>
      <c r="T30" s="68"/>
      <c r="U30" s="68"/>
      <c r="V30" s="68">
        <v>1</v>
      </c>
      <c r="W30" s="89"/>
      <c r="X30" s="90"/>
      <c r="Y30" s="91">
        <v>7</v>
      </c>
    </row>
    <row r="31" spans="1:25" ht="26.25" customHeight="1">
      <c r="A31" s="59">
        <v>28</v>
      </c>
      <c r="B31" s="67" t="s">
        <v>44</v>
      </c>
      <c r="C31" s="68">
        <v>25</v>
      </c>
      <c r="D31" s="68">
        <v>1</v>
      </c>
      <c r="E31" s="68"/>
      <c r="F31" s="68"/>
      <c r="G31" s="68"/>
      <c r="H31" s="68">
        <v>1</v>
      </c>
      <c r="I31" s="68">
        <v>1</v>
      </c>
      <c r="J31" s="68"/>
      <c r="K31" s="68"/>
      <c r="L31" s="68">
        <v>1</v>
      </c>
      <c r="M31" s="68">
        <v>2</v>
      </c>
      <c r="N31" s="68">
        <v>1</v>
      </c>
      <c r="O31" s="68">
        <v>3</v>
      </c>
      <c r="P31" s="68"/>
      <c r="Q31" s="68">
        <v>1</v>
      </c>
      <c r="R31" s="68"/>
      <c r="S31" s="68">
        <v>2</v>
      </c>
      <c r="T31" s="68"/>
      <c r="U31" s="68">
        <v>3</v>
      </c>
      <c r="V31" s="68">
        <v>17</v>
      </c>
      <c r="W31" s="89">
        <v>1</v>
      </c>
      <c r="X31" s="90"/>
      <c r="Y31" s="91">
        <v>59</v>
      </c>
    </row>
    <row r="32" spans="1:25" ht="26.25" customHeight="1">
      <c r="A32" s="59">
        <v>29</v>
      </c>
      <c r="B32" s="67" t="s">
        <v>142</v>
      </c>
      <c r="C32" s="68">
        <v>15</v>
      </c>
      <c r="D32" s="68">
        <v>2</v>
      </c>
      <c r="E32" s="68"/>
      <c r="F32" s="68"/>
      <c r="G32" s="68"/>
      <c r="H32" s="68">
        <v>1</v>
      </c>
      <c r="I32" s="68"/>
      <c r="J32" s="68"/>
      <c r="K32" s="68"/>
      <c r="L32" s="68">
        <v>1</v>
      </c>
      <c r="M32" s="68">
        <v>1</v>
      </c>
      <c r="N32" s="68"/>
      <c r="O32" s="68">
        <v>3</v>
      </c>
      <c r="P32" s="68">
        <v>1</v>
      </c>
      <c r="Q32" s="68"/>
      <c r="R32" s="68"/>
      <c r="S32" s="68"/>
      <c r="T32" s="68"/>
      <c r="U32" s="68"/>
      <c r="V32" s="68">
        <v>5</v>
      </c>
      <c r="W32" s="89">
        <v>1</v>
      </c>
      <c r="X32" s="90"/>
      <c r="Y32" s="91">
        <v>30</v>
      </c>
    </row>
    <row r="33" spans="1:25" ht="26.25" customHeight="1">
      <c r="A33" s="59">
        <v>30</v>
      </c>
      <c r="B33" s="67" t="s">
        <v>45</v>
      </c>
      <c r="C33" s="68">
        <v>2</v>
      </c>
      <c r="D33" s="68"/>
      <c r="E33" s="68"/>
      <c r="F33" s="68">
        <v>1</v>
      </c>
      <c r="G33" s="68"/>
      <c r="H33" s="68"/>
      <c r="I33" s="68"/>
      <c r="J33" s="68"/>
      <c r="K33" s="68"/>
      <c r="L33" s="68"/>
      <c r="M33" s="68"/>
      <c r="N33" s="68"/>
      <c r="O33" s="68"/>
      <c r="P33" s="68"/>
      <c r="Q33" s="68"/>
      <c r="R33" s="68"/>
      <c r="S33" s="68"/>
      <c r="T33" s="68"/>
      <c r="U33" s="68"/>
      <c r="V33" s="68">
        <v>2</v>
      </c>
      <c r="W33" s="89"/>
      <c r="X33" s="90"/>
      <c r="Y33" s="91">
        <v>5</v>
      </c>
    </row>
    <row r="34" spans="1:25" ht="26.25" customHeight="1">
      <c r="A34" s="59">
        <v>31</v>
      </c>
      <c r="B34" s="877" t="s">
        <v>47</v>
      </c>
      <c r="C34" s="68">
        <v>48</v>
      </c>
      <c r="D34" s="68">
        <v>5</v>
      </c>
      <c r="E34" s="68">
        <v>1</v>
      </c>
      <c r="F34" s="68"/>
      <c r="G34" s="68"/>
      <c r="H34" s="68"/>
      <c r="I34" s="68"/>
      <c r="J34" s="68">
        <v>1</v>
      </c>
      <c r="K34" s="68"/>
      <c r="L34" s="68">
        <v>1</v>
      </c>
      <c r="M34" s="68">
        <v>1</v>
      </c>
      <c r="N34" s="68">
        <v>1</v>
      </c>
      <c r="O34" s="68">
        <v>5</v>
      </c>
      <c r="P34" s="68"/>
      <c r="Q34" s="68"/>
      <c r="R34" s="68">
        <v>1</v>
      </c>
      <c r="S34" s="68"/>
      <c r="T34" s="68"/>
      <c r="U34" s="68"/>
      <c r="V34" s="68">
        <v>14</v>
      </c>
      <c r="W34" s="89">
        <v>2</v>
      </c>
      <c r="X34" s="90">
        <v>1</v>
      </c>
      <c r="Y34" s="91">
        <v>81</v>
      </c>
    </row>
    <row r="35" spans="1:25" ht="26.25" customHeight="1">
      <c r="A35" s="59">
        <v>32</v>
      </c>
      <c r="B35" s="877" t="s">
        <v>46</v>
      </c>
      <c r="C35" s="68">
        <v>24</v>
      </c>
      <c r="D35" s="68">
        <v>3</v>
      </c>
      <c r="E35" s="68"/>
      <c r="F35" s="68"/>
      <c r="G35" s="68"/>
      <c r="H35" s="68"/>
      <c r="I35" s="68"/>
      <c r="J35" s="68"/>
      <c r="K35" s="68"/>
      <c r="L35" s="68"/>
      <c r="M35" s="68"/>
      <c r="N35" s="68">
        <v>1</v>
      </c>
      <c r="O35" s="68">
        <v>3</v>
      </c>
      <c r="P35" s="68"/>
      <c r="Q35" s="68"/>
      <c r="R35" s="68">
        <v>2</v>
      </c>
      <c r="S35" s="68"/>
      <c r="T35" s="68"/>
      <c r="U35" s="68"/>
      <c r="V35" s="68">
        <v>4</v>
      </c>
      <c r="W35" s="89"/>
      <c r="X35" s="90"/>
      <c r="Y35" s="91">
        <v>37</v>
      </c>
    </row>
    <row r="36" spans="1:25" ht="26.25" customHeight="1">
      <c r="A36" s="59">
        <v>33</v>
      </c>
      <c r="B36" s="877" t="s">
        <v>48</v>
      </c>
      <c r="C36" s="68">
        <v>34</v>
      </c>
      <c r="D36" s="68">
        <v>2</v>
      </c>
      <c r="E36" s="68">
        <v>1</v>
      </c>
      <c r="F36" s="68"/>
      <c r="G36" s="68"/>
      <c r="H36" s="68"/>
      <c r="I36" s="68">
        <v>1</v>
      </c>
      <c r="J36" s="68"/>
      <c r="K36" s="68"/>
      <c r="L36" s="68">
        <v>1</v>
      </c>
      <c r="M36" s="68">
        <v>1</v>
      </c>
      <c r="N36" s="68">
        <v>1</v>
      </c>
      <c r="O36" s="68">
        <v>2</v>
      </c>
      <c r="P36" s="68"/>
      <c r="Q36" s="68"/>
      <c r="R36" s="68"/>
      <c r="S36" s="68">
        <v>3</v>
      </c>
      <c r="T36" s="68"/>
      <c r="U36" s="68"/>
      <c r="V36" s="68">
        <v>6</v>
      </c>
      <c r="W36" s="89"/>
      <c r="X36" s="90"/>
      <c r="Y36" s="91">
        <v>52</v>
      </c>
    </row>
    <row r="37" spans="1:25" ht="26.5" customHeight="1">
      <c r="A37" s="918" t="s">
        <v>49</v>
      </c>
      <c r="B37" s="918"/>
      <c r="C37" s="71">
        <v>615</v>
      </c>
      <c r="D37" s="71">
        <v>51</v>
      </c>
      <c r="E37" s="71">
        <v>5</v>
      </c>
      <c r="F37" s="71">
        <v>7</v>
      </c>
      <c r="G37" s="71">
        <v>2</v>
      </c>
      <c r="H37" s="71">
        <v>6</v>
      </c>
      <c r="I37" s="71">
        <v>4</v>
      </c>
      <c r="J37" s="71">
        <v>2</v>
      </c>
      <c r="K37" s="71">
        <v>3</v>
      </c>
      <c r="L37" s="71">
        <v>8</v>
      </c>
      <c r="M37" s="71">
        <v>26</v>
      </c>
      <c r="N37" s="71">
        <v>23</v>
      </c>
      <c r="O37" s="71">
        <v>71</v>
      </c>
      <c r="P37" s="71">
        <v>3</v>
      </c>
      <c r="Q37" s="71">
        <v>2</v>
      </c>
      <c r="R37" s="71">
        <v>19</v>
      </c>
      <c r="S37" s="71">
        <v>30</v>
      </c>
      <c r="T37" s="71">
        <v>7</v>
      </c>
      <c r="U37" s="71">
        <v>10</v>
      </c>
      <c r="V37" s="71">
        <v>188</v>
      </c>
      <c r="W37" s="71">
        <v>12</v>
      </c>
      <c r="X37" s="71">
        <v>5</v>
      </c>
      <c r="Y37" s="71">
        <v>1099</v>
      </c>
    </row>
  </sheetData>
  <mergeCells count="3">
    <mergeCell ref="C1:L1"/>
    <mergeCell ref="M1:W1"/>
    <mergeCell ref="A37:B37"/>
  </mergeCells>
  <printOptions horizontalCentered="1"/>
  <pageMargins left="0.51181102362204722" right="0.51181102362204722" top="0.51181102362204722" bottom="0.51181102362204722" header="0.27559055118110237" footer="0.23622047244094491"/>
  <pageSetup paperSize="9" scale="67" firstPageNumber="2" fitToWidth="0" fitToHeight="0" pageOrder="overThenDown" orientation="portrait" useFirstPageNumber="1" r:id="rId1"/>
  <headerFooter alignWithMargins="0">
    <oddFooter>&amp;LAISHE 2020-21&amp;CT-2</oddFooter>
  </headerFooter>
  <colBreaks count="1" manualBreakCount="1">
    <brk id="12" max="3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50"/>
  </sheetPr>
  <dimension ref="A1:L41"/>
  <sheetViews>
    <sheetView view="pageBreakPreview" topLeftCell="A8" zoomScaleSheetLayoutView="100" workbookViewId="0">
      <selection activeCell="A40" sqref="A40"/>
    </sheetView>
  </sheetViews>
  <sheetFormatPr defaultColWidth="9.1796875" defaultRowHeight="12.5"/>
  <cols>
    <col min="1" max="1" width="20" style="769" customWidth="1"/>
    <col min="2" max="2" width="9.1796875" style="769"/>
    <col min="3" max="3" width="8.7265625" style="769" customWidth="1"/>
    <col min="4" max="5" width="8.1796875" style="769" customWidth="1"/>
    <col min="6" max="9" width="9.1796875" style="769"/>
    <col min="10" max="10" width="10.54296875" style="769" customWidth="1"/>
    <col min="11" max="11" width="12.54296875" style="769" customWidth="1"/>
    <col min="12" max="16384" width="9.1796875" style="769"/>
  </cols>
  <sheetData>
    <row r="1" spans="1:12" ht="19.5" customHeight="1">
      <c r="A1" s="921" t="s">
        <v>156</v>
      </c>
      <c r="B1" s="921"/>
      <c r="C1" s="921"/>
      <c r="D1" s="921"/>
      <c r="E1" s="921"/>
      <c r="F1" s="921"/>
      <c r="G1" s="921"/>
      <c r="H1" s="921"/>
      <c r="I1" s="921"/>
      <c r="J1" s="921"/>
      <c r="K1" s="921"/>
    </row>
    <row r="2" spans="1:12" ht="14">
      <c r="A2" s="919" t="s">
        <v>2</v>
      </c>
      <c r="B2" s="920" t="s">
        <v>157</v>
      </c>
      <c r="C2" s="920"/>
      <c r="D2" s="920"/>
      <c r="E2" s="920"/>
      <c r="F2" s="920"/>
      <c r="G2" s="920"/>
      <c r="H2" s="920"/>
      <c r="I2" s="920"/>
      <c r="J2" s="920"/>
      <c r="K2" s="920"/>
    </row>
    <row r="3" spans="1:12" ht="28">
      <c r="A3" s="919"/>
      <c r="B3" s="573" t="s">
        <v>158</v>
      </c>
      <c r="C3" s="571" t="s">
        <v>159</v>
      </c>
      <c r="D3" s="571" t="s">
        <v>160</v>
      </c>
      <c r="E3" s="571" t="s">
        <v>161</v>
      </c>
      <c r="F3" s="571" t="s">
        <v>162</v>
      </c>
      <c r="G3" s="571" t="s">
        <v>163</v>
      </c>
      <c r="H3" s="571" t="s">
        <v>164</v>
      </c>
      <c r="I3" s="571" t="s">
        <v>165</v>
      </c>
      <c r="J3" s="571" t="s">
        <v>166</v>
      </c>
      <c r="K3" s="573" t="s">
        <v>167</v>
      </c>
    </row>
    <row r="4" spans="1:12" s="770" customFormat="1" ht="10">
      <c r="A4" s="516">
        <v>1</v>
      </c>
      <c r="B4" s="516">
        <v>2</v>
      </c>
      <c r="C4" s="516">
        <v>3</v>
      </c>
      <c r="D4" s="516">
        <v>4</v>
      </c>
      <c r="E4" s="516">
        <v>5</v>
      </c>
      <c r="F4" s="516">
        <v>6</v>
      </c>
      <c r="G4" s="516">
        <v>7</v>
      </c>
      <c r="H4" s="516">
        <v>8</v>
      </c>
      <c r="I4" s="516">
        <v>9</v>
      </c>
      <c r="J4" s="516">
        <v>10</v>
      </c>
      <c r="K4" s="516">
        <v>11</v>
      </c>
    </row>
    <row r="5" spans="1:12" ht="37.5" customHeight="1">
      <c r="A5" s="517" t="s">
        <v>171</v>
      </c>
      <c r="B5" s="518">
        <v>3</v>
      </c>
      <c r="C5" s="518">
        <v>0</v>
      </c>
      <c r="D5" s="518">
        <v>0</v>
      </c>
      <c r="E5" s="518">
        <v>0</v>
      </c>
      <c r="F5" s="518">
        <v>0</v>
      </c>
      <c r="G5" s="518">
        <v>0</v>
      </c>
      <c r="H5" s="518">
        <v>0</v>
      </c>
      <c r="I5" s="518">
        <v>0</v>
      </c>
      <c r="J5" s="518">
        <v>0</v>
      </c>
      <c r="K5" s="518">
        <v>0</v>
      </c>
      <c r="L5" s="769">
        <v>3</v>
      </c>
    </row>
    <row r="6" spans="1:12" ht="22.5" customHeight="1">
      <c r="A6" s="346" t="s">
        <v>15</v>
      </c>
      <c r="B6" s="518">
        <v>0</v>
      </c>
      <c r="C6" s="518">
        <v>0</v>
      </c>
      <c r="D6" s="518">
        <v>0</v>
      </c>
      <c r="E6" s="518">
        <v>0</v>
      </c>
      <c r="F6" s="518">
        <v>7</v>
      </c>
      <c r="G6" s="518">
        <v>6</v>
      </c>
      <c r="H6" s="518">
        <v>0</v>
      </c>
      <c r="I6" s="518">
        <v>0</v>
      </c>
      <c r="J6" s="518">
        <v>0</v>
      </c>
      <c r="K6" s="518">
        <v>0</v>
      </c>
      <c r="L6" s="769">
        <v>13</v>
      </c>
    </row>
    <row r="7" spans="1:12" ht="22.5" customHeight="1">
      <c r="A7" s="346" t="s">
        <v>16</v>
      </c>
      <c r="B7" s="518">
        <v>15</v>
      </c>
      <c r="C7" s="518">
        <v>1</v>
      </c>
      <c r="D7" s="518">
        <v>0</v>
      </c>
      <c r="E7" s="518">
        <v>0</v>
      </c>
      <c r="F7" s="518">
        <v>0</v>
      </c>
      <c r="G7" s="518">
        <v>0</v>
      </c>
      <c r="H7" s="518">
        <v>0</v>
      </c>
      <c r="I7" s="518">
        <v>0</v>
      </c>
      <c r="J7" s="518">
        <v>0</v>
      </c>
      <c r="K7" s="518">
        <v>0</v>
      </c>
      <c r="L7" s="769">
        <v>16</v>
      </c>
    </row>
    <row r="8" spans="1:12" ht="22.5" customHeight="1">
      <c r="A8" s="517" t="s">
        <v>17</v>
      </c>
      <c r="B8" s="518">
        <v>7</v>
      </c>
      <c r="C8" s="518">
        <v>13</v>
      </c>
      <c r="D8" s="518">
        <v>10</v>
      </c>
      <c r="E8" s="518">
        <v>1</v>
      </c>
      <c r="F8" s="518">
        <v>0</v>
      </c>
      <c r="G8" s="518">
        <v>0</v>
      </c>
      <c r="H8" s="518">
        <v>0</v>
      </c>
      <c r="I8" s="518">
        <v>0</v>
      </c>
      <c r="J8" s="518">
        <v>0</v>
      </c>
      <c r="K8" s="518">
        <v>0</v>
      </c>
      <c r="L8" s="769">
        <v>31</v>
      </c>
    </row>
    <row r="9" spans="1:12" ht="22.5" customHeight="1">
      <c r="A9" s="517" t="s">
        <v>18</v>
      </c>
      <c r="B9" s="518">
        <v>6</v>
      </c>
      <c r="C9" s="518">
        <v>12</v>
      </c>
      <c r="D9" s="518">
        <v>15</v>
      </c>
      <c r="E9" s="518">
        <v>4</v>
      </c>
      <c r="F9" s="518">
        <v>1</v>
      </c>
      <c r="G9" s="518">
        <v>0</v>
      </c>
      <c r="H9" s="518">
        <v>0</v>
      </c>
      <c r="I9" s="518">
        <v>0</v>
      </c>
      <c r="J9" s="518">
        <v>0</v>
      </c>
      <c r="K9" s="518">
        <v>0</v>
      </c>
      <c r="L9" s="769">
        <v>38</v>
      </c>
    </row>
    <row r="10" spans="1:12" ht="22.5" customHeight="1">
      <c r="A10" s="346" t="s">
        <v>19</v>
      </c>
      <c r="B10" s="518">
        <v>0</v>
      </c>
      <c r="C10" s="518">
        <v>0</v>
      </c>
      <c r="D10" s="518">
        <v>1</v>
      </c>
      <c r="E10" s="518">
        <v>0</v>
      </c>
      <c r="F10" s="518">
        <v>0</v>
      </c>
      <c r="G10" s="518">
        <v>0</v>
      </c>
      <c r="H10" s="518">
        <v>0</v>
      </c>
      <c r="I10" s="518">
        <v>0</v>
      </c>
      <c r="J10" s="518">
        <v>0</v>
      </c>
      <c r="K10" s="518">
        <v>0</v>
      </c>
      <c r="L10" s="769">
        <v>1</v>
      </c>
    </row>
    <row r="11" spans="1:12" ht="22.5" customHeight="1">
      <c r="A11" s="346" t="s">
        <v>20</v>
      </c>
      <c r="B11" s="518">
        <v>7</v>
      </c>
      <c r="C11" s="518">
        <v>6</v>
      </c>
      <c r="D11" s="518">
        <v>9</v>
      </c>
      <c r="E11" s="518">
        <v>2</v>
      </c>
      <c r="F11" s="518">
        <v>3</v>
      </c>
      <c r="G11" s="518">
        <v>0</v>
      </c>
      <c r="H11" s="518">
        <v>0</v>
      </c>
      <c r="I11" s="518">
        <v>0</v>
      </c>
      <c r="J11" s="518">
        <v>0</v>
      </c>
      <c r="K11" s="518">
        <v>0</v>
      </c>
      <c r="L11" s="769">
        <v>27</v>
      </c>
    </row>
    <row r="12" spans="1:12" ht="22.5" customHeight="1">
      <c r="A12" s="346" t="s">
        <v>23</v>
      </c>
      <c r="B12" s="518">
        <v>2</v>
      </c>
      <c r="C12" s="518">
        <v>4</v>
      </c>
      <c r="D12" s="518">
        <v>4</v>
      </c>
      <c r="E12" s="518">
        <v>0</v>
      </c>
      <c r="F12" s="518">
        <v>0</v>
      </c>
      <c r="G12" s="518">
        <v>0</v>
      </c>
      <c r="H12" s="518">
        <v>0</v>
      </c>
      <c r="I12" s="518">
        <v>0</v>
      </c>
      <c r="J12" s="518">
        <v>0</v>
      </c>
      <c r="K12" s="518">
        <v>0</v>
      </c>
      <c r="L12" s="769">
        <v>10</v>
      </c>
    </row>
    <row r="13" spans="1:12" ht="22.5" customHeight="1">
      <c r="A13" s="346" t="s">
        <v>24</v>
      </c>
      <c r="B13" s="518">
        <v>0</v>
      </c>
      <c r="C13" s="518">
        <v>0</v>
      </c>
      <c r="D13" s="518">
        <v>2</v>
      </c>
      <c r="E13" s="518">
        <v>0</v>
      </c>
      <c r="F13" s="518">
        <v>0</v>
      </c>
      <c r="G13" s="518">
        <v>0</v>
      </c>
      <c r="H13" s="518">
        <v>0</v>
      </c>
      <c r="I13" s="518">
        <v>0</v>
      </c>
      <c r="J13" s="518">
        <v>0</v>
      </c>
      <c r="K13" s="518">
        <v>0</v>
      </c>
      <c r="L13" s="769">
        <v>2</v>
      </c>
    </row>
    <row r="14" spans="1:12" ht="22.5" customHeight="1">
      <c r="A14" s="346" t="s">
        <v>25</v>
      </c>
      <c r="B14" s="518">
        <v>1</v>
      </c>
      <c r="C14" s="518">
        <v>4</v>
      </c>
      <c r="D14" s="518">
        <v>12</v>
      </c>
      <c r="E14" s="518">
        <v>8</v>
      </c>
      <c r="F14" s="518">
        <v>7</v>
      </c>
      <c r="G14" s="518">
        <v>1</v>
      </c>
      <c r="H14" s="518">
        <v>0</v>
      </c>
      <c r="I14" s="518">
        <v>0</v>
      </c>
      <c r="J14" s="518">
        <v>0</v>
      </c>
      <c r="K14" s="518">
        <v>0</v>
      </c>
      <c r="L14" s="769">
        <v>33</v>
      </c>
    </row>
    <row r="15" spans="1:12" ht="22.5" customHeight="1">
      <c r="A15" s="346" t="s">
        <v>26</v>
      </c>
      <c r="B15" s="518">
        <v>1</v>
      </c>
      <c r="C15" s="518">
        <v>1</v>
      </c>
      <c r="D15" s="518">
        <v>11</v>
      </c>
      <c r="E15" s="518">
        <v>9</v>
      </c>
      <c r="F15" s="518">
        <v>0</v>
      </c>
      <c r="G15" s="518">
        <v>0</v>
      </c>
      <c r="H15" s="518">
        <v>0</v>
      </c>
      <c r="I15" s="518">
        <v>0</v>
      </c>
      <c r="J15" s="518">
        <v>0</v>
      </c>
      <c r="K15" s="518">
        <v>0</v>
      </c>
      <c r="L15" s="769">
        <v>22</v>
      </c>
    </row>
    <row r="16" spans="1:12" ht="22.5" customHeight="1">
      <c r="A16" s="346" t="s">
        <v>27</v>
      </c>
      <c r="B16" s="518">
        <v>2</v>
      </c>
      <c r="C16" s="518">
        <v>3</v>
      </c>
      <c r="D16" s="518">
        <v>5</v>
      </c>
      <c r="E16" s="518">
        <v>2</v>
      </c>
      <c r="F16" s="518">
        <v>0</v>
      </c>
      <c r="G16" s="518">
        <v>0</v>
      </c>
      <c r="H16" s="518">
        <v>0</v>
      </c>
      <c r="I16" s="518">
        <v>0</v>
      </c>
      <c r="J16" s="518">
        <v>0</v>
      </c>
      <c r="K16" s="518">
        <v>0</v>
      </c>
      <c r="L16" s="769">
        <v>12</v>
      </c>
    </row>
    <row r="17" spans="1:12" ht="22.5" customHeight="1">
      <c r="A17" s="346" t="s">
        <v>57</v>
      </c>
      <c r="B17" s="518">
        <v>8</v>
      </c>
      <c r="C17" s="518">
        <v>6</v>
      </c>
      <c r="D17" s="518">
        <v>5</v>
      </c>
      <c r="E17" s="518">
        <v>1</v>
      </c>
      <c r="F17" s="518">
        <v>0</v>
      </c>
      <c r="G17" s="518">
        <v>0</v>
      </c>
      <c r="H17" s="518">
        <v>0</v>
      </c>
      <c r="I17" s="518">
        <v>0</v>
      </c>
      <c r="J17" s="518">
        <v>0</v>
      </c>
      <c r="K17" s="518">
        <v>0</v>
      </c>
      <c r="L17" s="769">
        <v>20</v>
      </c>
    </row>
    <row r="18" spans="1:12" ht="22.5" customHeight="1">
      <c r="A18" s="346" t="s">
        <v>29</v>
      </c>
      <c r="B18" s="518">
        <v>11</v>
      </c>
      <c r="C18" s="518">
        <v>8</v>
      </c>
      <c r="D18" s="518">
        <v>4</v>
      </c>
      <c r="E18" s="518">
        <v>1</v>
      </c>
      <c r="F18" s="518">
        <v>0</v>
      </c>
      <c r="G18" s="518">
        <v>0</v>
      </c>
      <c r="H18" s="518">
        <v>0</v>
      </c>
      <c r="I18" s="518">
        <v>0</v>
      </c>
      <c r="J18" s="518">
        <v>0</v>
      </c>
      <c r="K18" s="518">
        <v>0</v>
      </c>
      <c r="L18" s="769">
        <v>24</v>
      </c>
    </row>
    <row r="19" spans="1:12" ht="22.5" customHeight="1">
      <c r="A19" s="346" t="s">
        <v>30</v>
      </c>
      <c r="B19" s="518">
        <v>0</v>
      </c>
      <c r="C19" s="518">
        <v>0</v>
      </c>
      <c r="D19" s="518">
        <v>4</v>
      </c>
      <c r="E19" s="518">
        <v>13</v>
      </c>
      <c r="F19" s="518">
        <v>9</v>
      </c>
      <c r="G19" s="518">
        <v>3</v>
      </c>
      <c r="H19" s="518">
        <v>0</v>
      </c>
      <c r="I19" s="518">
        <v>0</v>
      </c>
      <c r="J19" s="518">
        <v>0</v>
      </c>
      <c r="K19" s="518">
        <v>1</v>
      </c>
      <c r="L19" s="769">
        <v>30</v>
      </c>
    </row>
    <row r="20" spans="1:12" ht="22.5" customHeight="1">
      <c r="A20" s="346" t="s">
        <v>31</v>
      </c>
      <c r="B20" s="518">
        <v>0</v>
      </c>
      <c r="C20" s="518">
        <v>0</v>
      </c>
      <c r="D20" s="518">
        <v>2</v>
      </c>
      <c r="E20" s="518">
        <v>5</v>
      </c>
      <c r="F20" s="518">
        <v>7</v>
      </c>
      <c r="G20" s="518">
        <v>0</v>
      </c>
      <c r="H20" s="518">
        <v>0</v>
      </c>
      <c r="I20" s="518">
        <v>0</v>
      </c>
      <c r="J20" s="518">
        <v>0</v>
      </c>
      <c r="K20" s="518">
        <v>0</v>
      </c>
      <c r="L20" s="769">
        <v>14</v>
      </c>
    </row>
    <row r="21" spans="1:12" ht="22.5" customHeight="1">
      <c r="A21" s="346" t="s">
        <v>172</v>
      </c>
      <c r="B21" s="518">
        <v>2</v>
      </c>
      <c r="C21" s="518">
        <v>0</v>
      </c>
      <c r="D21" s="518">
        <v>0</v>
      </c>
      <c r="E21" s="518">
        <v>0</v>
      </c>
      <c r="F21" s="518">
        <v>0</v>
      </c>
      <c r="G21" s="518">
        <v>0</v>
      </c>
      <c r="H21" s="518">
        <v>0</v>
      </c>
      <c r="I21" s="518">
        <v>0</v>
      </c>
      <c r="J21" s="518">
        <v>0</v>
      </c>
      <c r="K21" s="518">
        <v>0</v>
      </c>
      <c r="L21" s="769">
        <v>2</v>
      </c>
    </row>
    <row r="22" spans="1:12" ht="22.5" customHeight="1">
      <c r="A22" s="346" t="s">
        <v>32</v>
      </c>
      <c r="B22" s="518">
        <v>0</v>
      </c>
      <c r="C22" s="518">
        <v>0</v>
      </c>
      <c r="D22" s="518">
        <v>0</v>
      </c>
      <c r="E22" s="518">
        <v>0</v>
      </c>
      <c r="F22" s="518">
        <v>0</v>
      </c>
      <c r="G22" s="518">
        <v>0</v>
      </c>
      <c r="H22" s="518">
        <v>0</v>
      </c>
      <c r="I22" s="518">
        <v>0</v>
      </c>
      <c r="J22" s="518">
        <v>0</v>
      </c>
      <c r="K22" s="518">
        <v>0</v>
      </c>
      <c r="L22" s="769">
        <v>0</v>
      </c>
    </row>
    <row r="23" spans="1:12" ht="22.5" customHeight="1">
      <c r="A23" s="346" t="s">
        <v>33</v>
      </c>
      <c r="B23" s="518">
        <v>4</v>
      </c>
      <c r="C23" s="518">
        <v>10</v>
      </c>
      <c r="D23" s="518">
        <v>26</v>
      </c>
      <c r="E23" s="518">
        <v>7</v>
      </c>
      <c r="F23" s="518">
        <v>2</v>
      </c>
      <c r="G23" s="518">
        <v>2</v>
      </c>
      <c r="H23" s="518">
        <v>1</v>
      </c>
      <c r="I23" s="518">
        <v>0</v>
      </c>
      <c r="J23" s="518">
        <v>0</v>
      </c>
      <c r="K23" s="518">
        <v>0</v>
      </c>
      <c r="L23" s="769">
        <v>52</v>
      </c>
    </row>
    <row r="24" spans="1:12" ht="22.5" customHeight="1">
      <c r="A24" s="346" t="s">
        <v>34</v>
      </c>
      <c r="B24" s="518">
        <v>0</v>
      </c>
      <c r="C24" s="518">
        <v>0</v>
      </c>
      <c r="D24" s="518">
        <v>3</v>
      </c>
      <c r="E24" s="518">
        <v>14</v>
      </c>
      <c r="F24" s="518">
        <v>12</v>
      </c>
      <c r="G24" s="518">
        <v>5</v>
      </c>
      <c r="H24" s="518">
        <v>1</v>
      </c>
      <c r="I24" s="518">
        <v>1</v>
      </c>
      <c r="J24" s="518">
        <v>0</v>
      </c>
      <c r="K24" s="518">
        <v>0</v>
      </c>
      <c r="L24" s="769">
        <v>36</v>
      </c>
    </row>
    <row r="25" spans="1:12" ht="22.5" customHeight="1">
      <c r="A25" s="346" t="s">
        <v>35</v>
      </c>
      <c r="B25" s="518">
        <v>7</v>
      </c>
      <c r="C25" s="518">
        <v>3</v>
      </c>
      <c r="D25" s="518">
        <v>2</v>
      </c>
      <c r="E25" s="518">
        <v>0</v>
      </c>
      <c r="F25" s="518">
        <v>0</v>
      </c>
      <c r="G25" s="518">
        <v>0</v>
      </c>
      <c r="H25" s="518">
        <v>0</v>
      </c>
      <c r="I25" s="518">
        <v>0</v>
      </c>
      <c r="J25" s="518">
        <v>0</v>
      </c>
      <c r="K25" s="518">
        <v>0</v>
      </c>
      <c r="L25" s="769">
        <v>12</v>
      </c>
    </row>
    <row r="26" spans="1:12" ht="22.5" customHeight="1">
      <c r="A26" s="346" t="s">
        <v>36</v>
      </c>
      <c r="B26" s="518">
        <v>6</v>
      </c>
      <c r="C26" s="518">
        <v>1</v>
      </c>
      <c r="D26" s="518">
        <v>1</v>
      </c>
      <c r="E26" s="518">
        <v>0</v>
      </c>
      <c r="F26" s="518">
        <v>0</v>
      </c>
      <c r="G26" s="518">
        <v>0</v>
      </c>
      <c r="H26" s="518">
        <v>0</v>
      </c>
      <c r="I26" s="518">
        <v>0</v>
      </c>
      <c r="J26" s="518">
        <v>0</v>
      </c>
      <c r="K26" s="518">
        <v>0</v>
      </c>
      <c r="L26" s="769">
        <v>8</v>
      </c>
    </row>
    <row r="27" spans="1:12" ht="22.5" customHeight="1">
      <c r="A27" s="346" t="s">
        <v>37</v>
      </c>
      <c r="B27" s="518">
        <v>7</v>
      </c>
      <c r="C27" s="518">
        <v>0</v>
      </c>
      <c r="D27" s="518">
        <v>1</v>
      </c>
      <c r="E27" s="518">
        <v>0</v>
      </c>
      <c r="F27" s="518">
        <v>0</v>
      </c>
      <c r="G27" s="518">
        <v>0</v>
      </c>
      <c r="H27" s="518">
        <v>0</v>
      </c>
      <c r="I27" s="518">
        <v>0</v>
      </c>
      <c r="J27" s="518">
        <v>0</v>
      </c>
      <c r="K27" s="518">
        <v>0</v>
      </c>
      <c r="L27" s="769">
        <v>8</v>
      </c>
    </row>
    <row r="28" spans="1:12" ht="22.5" customHeight="1">
      <c r="A28" s="346" t="s">
        <v>38</v>
      </c>
      <c r="B28" s="518">
        <v>9</v>
      </c>
      <c r="C28" s="518">
        <v>0</v>
      </c>
      <c r="D28" s="518">
        <v>2</v>
      </c>
      <c r="E28" s="518">
        <v>0</v>
      </c>
      <c r="F28" s="518">
        <v>0</v>
      </c>
      <c r="G28" s="518">
        <v>0</v>
      </c>
      <c r="H28" s="518">
        <v>0</v>
      </c>
      <c r="I28" s="518">
        <v>0</v>
      </c>
      <c r="J28" s="518">
        <v>0</v>
      </c>
      <c r="K28" s="518">
        <v>0</v>
      </c>
      <c r="L28" s="769">
        <v>11</v>
      </c>
    </row>
    <row r="29" spans="1:12" ht="22.5" customHeight="1">
      <c r="A29" s="346" t="s">
        <v>39</v>
      </c>
      <c r="B29" s="518">
        <v>5</v>
      </c>
      <c r="C29" s="518">
        <v>3</v>
      </c>
      <c r="D29" s="518">
        <v>16</v>
      </c>
      <c r="E29" s="518">
        <v>5</v>
      </c>
      <c r="F29" s="518">
        <v>0</v>
      </c>
      <c r="G29" s="518">
        <v>1</v>
      </c>
      <c r="H29" s="518">
        <v>0</v>
      </c>
      <c r="I29" s="518">
        <v>0</v>
      </c>
      <c r="J29" s="518">
        <v>0</v>
      </c>
      <c r="K29" s="518">
        <v>0</v>
      </c>
      <c r="L29" s="769">
        <v>30</v>
      </c>
    </row>
    <row r="30" spans="1:12" ht="22.5" customHeight="1">
      <c r="A30" s="346" t="s">
        <v>40</v>
      </c>
      <c r="B30" s="518">
        <v>2</v>
      </c>
      <c r="C30" s="518">
        <v>1</v>
      </c>
      <c r="D30" s="518">
        <v>0</v>
      </c>
      <c r="E30" s="518">
        <v>1</v>
      </c>
      <c r="F30" s="518">
        <v>0</v>
      </c>
      <c r="G30" s="518">
        <v>0</v>
      </c>
      <c r="H30" s="518">
        <v>0</v>
      </c>
      <c r="I30" s="518">
        <v>0</v>
      </c>
      <c r="J30" s="518">
        <v>0</v>
      </c>
      <c r="K30" s="518">
        <v>0</v>
      </c>
      <c r="L30" s="769">
        <v>4</v>
      </c>
    </row>
    <row r="31" spans="1:12" ht="22.5" customHeight="1">
      <c r="A31" s="346" t="s">
        <v>41</v>
      </c>
      <c r="B31" s="518">
        <v>1</v>
      </c>
      <c r="C31" s="518">
        <v>2</v>
      </c>
      <c r="D31" s="518">
        <v>10</v>
      </c>
      <c r="E31" s="518">
        <v>8</v>
      </c>
      <c r="F31" s="518">
        <v>1</v>
      </c>
      <c r="G31" s="518">
        <v>0</v>
      </c>
      <c r="H31" s="518">
        <v>0</v>
      </c>
      <c r="I31" s="518">
        <v>0</v>
      </c>
      <c r="J31" s="518">
        <v>0</v>
      </c>
      <c r="K31" s="518">
        <v>0</v>
      </c>
      <c r="L31" s="769">
        <v>22</v>
      </c>
    </row>
    <row r="32" spans="1:12" ht="22.5" customHeight="1">
      <c r="A32" s="517" t="s">
        <v>42</v>
      </c>
      <c r="B32" s="518">
        <v>0</v>
      </c>
      <c r="C32" s="518">
        <v>2</v>
      </c>
      <c r="D32" s="518">
        <v>8</v>
      </c>
      <c r="E32" s="518">
        <v>11</v>
      </c>
      <c r="F32" s="518">
        <v>8</v>
      </c>
      <c r="G32" s="518">
        <v>2</v>
      </c>
      <c r="H32" s="518">
        <v>1</v>
      </c>
      <c r="I32" s="518">
        <v>0</v>
      </c>
      <c r="J32" s="518">
        <v>1</v>
      </c>
      <c r="K32" s="518">
        <v>0</v>
      </c>
      <c r="L32" s="769">
        <v>33</v>
      </c>
    </row>
    <row r="33" spans="1:12" ht="22.5" customHeight="1">
      <c r="A33" s="519" t="s">
        <v>43</v>
      </c>
      <c r="B33" s="518">
        <v>2</v>
      </c>
      <c r="C33" s="518">
        <v>1</v>
      </c>
      <c r="D33" s="518">
        <v>0</v>
      </c>
      <c r="E33" s="518">
        <v>0</v>
      </c>
      <c r="F33" s="518">
        <v>0</v>
      </c>
      <c r="G33" s="518">
        <v>0</v>
      </c>
      <c r="H33" s="518">
        <v>0</v>
      </c>
      <c r="I33" s="518">
        <v>0</v>
      </c>
      <c r="J33" s="518">
        <v>0</v>
      </c>
      <c r="K33" s="518">
        <v>0</v>
      </c>
      <c r="L33" s="769">
        <v>3</v>
      </c>
    </row>
    <row r="34" spans="1:12" ht="22.5" customHeight="1">
      <c r="A34" s="517" t="s">
        <v>44</v>
      </c>
      <c r="B34" s="518">
        <v>3</v>
      </c>
      <c r="C34" s="518">
        <v>0</v>
      </c>
      <c r="D34" s="518">
        <v>8</v>
      </c>
      <c r="E34" s="518">
        <v>13</v>
      </c>
      <c r="F34" s="518">
        <v>8</v>
      </c>
      <c r="G34" s="518">
        <v>2</v>
      </c>
      <c r="H34" s="518">
        <v>0</v>
      </c>
      <c r="I34" s="518">
        <v>0</v>
      </c>
      <c r="J34" s="518">
        <v>0</v>
      </c>
      <c r="K34" s="518">
        <v>0</v>
      </c>
      <c r="L34" s="769">
        <v>34</v>
      </c>
    </row>
    <row r="35" spans="1:12" ht="22.5" customHeight="1">
      <c r="A35" s="517" t="s">
        <v>142</v>
      </c>
      <c r="B35" s="518">
        <v>18</v>
      </c>
      <c r="C35" s="518">
        <v>3</v>
      </c>
      <c r="D35" s="518">
        <v>1</v>
      </c>
      <c r="E35" s="518">
        <v>2</v>
      </c>
      <c r="F35" s="518">
        <v>6</v>
      </c>
      <c r="G35" s="518">
        <v>0</v>
      </c>
      <c r="H35" s="518">
        <v>1</v>
      </c>
      <c r="I35" s="518">
        <v>1</v>
      </c>
      <c r="J35" s="518">
        <v>0</v>
      </c>
      <c r="K35" s="518">
        <v>0</v>
      </c>
      <c r="L35" s="769">
        <v>32</v>
      </c>
    </row>
    <row r="36" spans="1:12" ht="42">
      <c r="A36" s="517" t="s">
        <v>173</v>
      </c>
      <c r="B36" s="518">
        <v>3</v>
      </c>
      <c r="C36" s="518">
        <v>0</v>
      </c>
      <c r="D36" s="518">
        <v>0</v>
      </c>
      <c r="E36" s="518">
        <v>0</v>
      </c>
      <c r="F36" s="518">
        <v>0</v>
      </c>
      <c r="G36" s="518">
        <v>0</v>
      </c>
      <c r="H36" s="518">
        <v>0</v>
      </c>
      <c r="I36" s="518">
        <v>0</v>
      </c>
      <c r="J36" s="518">
        <v>0</v>
      </c>
      <c r="K36" s="518">
        <v>0</v>
      </c>
      <c r="L36" s="769">
        <v>3</v>
      </c>
    </row>
    <row r="37" spans="1:12" ht="23.25" customHeight="1">
      <c r="A37" s="517" t="s">
        <v>45</v>
      </c>
      <c r="B37" s="518">
        <v>5</v>
      </c>
      <c r="C37" s="518">
        <v>0</v>
      </c>
      <c r="D37" s="518">
        <v>1</v>
      </c>
      <c r="E37" s="518">
        <v>0</v>
      </c>
      <c r="F37" s="518">
        <v>0</v>
      </c>
      <c r="G37" s="518">
        <v>0</v>
      </c>
      <c r="H37" s="518">
        <v>0</v>
      </c>
      <c r="I37" s="518">
        <v>0</v>
      </c>
      <c r="J37" s="518">
        <v>0</v>
      </c>
      <c r="K37" s="518">
        <v>0</v>
      </c>
      <c r="L37" s="769">
        <v>6</v>
      </c>
    </row>
    <row r="38" spans="1:12" ht="23.25" customHeight="1">
      <c r="A38" s="346" t="s">
        <v>47</v>
      </c>
      <c r="B38" s="518">
        <v>0</v>
      </c>
      <c r="C38" s="518">
        <v>3</v>
      </c>
      <c r="D38" s="518">
        <v>14</v>
      </c>
      <c r="E38" s="518">
        <v>28</v>
      </c>
      <c r="F38" s="518">
        <v>21</v>
      </c>
      <c r="G38" s="518">
        <v>7</v>
      </c>
      <c r="H38" s="518">
        <v>2</v>
      </c>
      <c r="I38" s="518">
        <v>0</v>
      </c>
      <c r="J38" s="518">
        <v>0</v>
      </c>
      <c r="K38" s="518">
        <v>0</v>
      </c>
      <c r="L38" s="769">
        <v>75</v>
      </c>
    </row>
    <row r="39" spans="1:12" ht="23.25" customHeight="1">
      <c r="A39" s="346" t="s">
        <v>46</v>
      </c>
      <c r="B39" s="518">
        <v>2</v>
      </c>
      <c r="C39" s="518">
        <v>5</v>
      </c>
      <c r="D39" s="518">
        <v>3</v>
      </c>
      <c r="E39" s="518">
        <v>1</v>
      </c>
      <c r="F39" s="518">
        <v>2</v>
      </c>
      <c r="G39" s="518">
        <v>0</v>
      </c>
      <c r="H39" s="518">
        <v>0</v>
      </c>
      <c r="I39" s="518">
        <v>0</v>
      </c>
      <c r="J39" s="518">
        <v>0</v>
      </c>
      <c r="K39" s="518">
        <v>0</v>
      </c>
      <c r="L39" s="769">
        <v>13</v>
      </c>
    </row>
    <row r="40" spans="1:12" ht="23.25" customHeight="1">
      <c r="A40" s="346" t="s">
        <v>48</v>
      </c>
      <c r="B40" s="518">
        <v>2</v>
      </c>
      <c r="C40" s="518">
        <v>1</v>
      </c>
      <c r="D40" s="518">
        <v>7</v>
      </c>
      <c r="E40" s="518">
        <v>8</v>
      </c>
      <c r="F40" s="518">
        <v>4</v>
      </c>
      <c r="G40" s="518">
        <v>0</v>
      </c>
      <c r="H40" s="518">
        <v>0</v>
      </c>
      <c r="I40" s="518">
        <v>0</v>
      </c>
      <c r="J40" s="518">
        <v>0</v>
      </c>
      <c r="K40" s="518">
        <v>0</v>
      </c>
      <c r="L40" s="769">
        <v>22</v>
      </c>
    </row>
    <row r="41" spans="1:12" ht="23.25" customHeight="1">
      <c r="A41" s="875" t="s">
        <v>49</v>
      </c>
      <c r="B41" s="876">
        <v>141</v>
      </c>
      <c r="C41" s="876">
        <v>93</v>
      </c>
      <c r="D41" s="876">
        <v>187</v>
      </c>
      <c r="E41" s="876">
        <v>144</v>
      </c>
      <c r="F41" s="876">
        <v>98</v>
      </c>
      <c r="G41" s="876">
        <v>29</v>
      </c>
      <c r="H41" s="876">
        <v>6</v>
      </c>
      <c r="I41" s="876">
        <v>2</v>
      </c>
      <c r="J41" s="876">
        <v>1</v>
      </c>
      <c r="K41" s="876">
        <v>1</v>
      </c>
      <c r="L41" s="876">
        <v>702</v>
      </c>
    </row>
  </sheetData>
  <mergeCells count="3">
    <mergeCell ref="A2:A3"/>
    <mergeCell ref="B2:K2"/>
    <mergeCell ref="A1:K1"/>
  </mergeCells>
  <pageMargins left="0.70866141732283472" right="0.70866141732283472" top="0.74803149606299213" bottom="0.74803149606299213" header="0.31496062992125984" footer="0.31496062992125984"/>
  <pageSetup paperSize="9" scale="75" orientation="portrait" r:id="rId1"/>
  <headerFooter>
    <oddFooter>&amp;LAISHE 2020-21&amp;CT-3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B050"/>
  </sheetPr>
  <dimension ref="A1:H43"/>
  <sheetViews>
    <sheetView view="pageBreakPreview" topLeftCell="A22" zoomScaleSheetLayoutView="100" workbookViewId="0">
      <selection activeCell="B40" sqref="B40"/>
    </sheetView>
  </sheetViews>
  <sheetFormatPr defaultColWidth="9.1796875" defaultRowHeight="12.5"/>
  <cols>
    <col min="1" max="1" width="5.453125" style="47" customWidth="1"/>
    <col min="2" max="2" width="29.81640625" style="47" customWidth="1"/>
    <col min="3" max="3" width="15.54296875" style="47" customWidth="1"/>
    <col min="4" max="4" width="14.81640625" style="47" customWidth="1"/>
    <col min="5" max="5" width="20.1796875" style="47" customWidth="1"/>
    <col min="6" max="6" width="15.26953125" style="47" customWidth="1"/>
    <col min="7" max="7" width="14.1796875" style="47" customWidth="1"/>
    <col min="8" max="8" width="11" style="47" customWidth="1"/>
    <col min="9" max="16384" width="9.1796875" style="47"/>
  </cols>
  <sheetData>
    <row r="1" spans="1:8" ht="33" customHeight="1">
      <c r="A1" s="924" t="s">
        <v>82</v>
      </c>
      <c r="B1" s="924"/>
      <c r="C1" s="924"/>
      <c r="D1" s="924"/>
      <c r="E1" s="924"/>
      <c r="F1" s="924"/>
      <c r="G1" s="924"/>
      <c r="H1" s="924"/>
    </row>
    <row r="2" spans="1:8" ht="21.65" customHeight="1">
      <c r="A2" s="925" t="s">
        <v>80</v>
      </c>
      <c r="B2" s="925" t="s">
        <v>153</v>
      </c>
      <c r="C2" s="925" t="s">
        <v>83</v>
      </c>
      <c r="D2" s="925" t="s">
        <v>1000</v>
      </c>
      <c r="E2" s="925" t="s">
        <v>1053</v>
      </c>
      <c r="F2" s="925"/>
      <c r="G2" s="925"/>
      <c r="H2" s="925"/>
    </row>
    <row r="3" spans="1:8" ht="45.65" customHeight="1">
      <c r="A3" s="925"/>
      <c r="B3" s="925"/>
      <c r="C3" s="925"/>
      <c r="D3" s="925"/>
      <c r="E3" s="572" t="s">
        <v>1054</v>
      </c>
      <c r="F3" s="572" t="s">
        <v>1055</v>
      </c>
      <c r="G3" s="572" t="s">
        <v>1045</v>
      </c>
      <c r="H3" s="572" t="s">
        <v>1056</v>
      </c>
    </row>
    <row r="4" spans="1:8" s="487" customFormat="1" ht="10">
      <c r="A4" s="520">
        <v>1</v>
      </c>
      <c r="B4" s="521">
        <v>2</v>
      </c>
      <c r="C4" s="520">
        <v>3</v>
      </c>
      <c r="D4" s="521">
        <v>4</v>
      </c>
      <c r="E4" s="520">
        <v>5</v>
      </c>
      <c r="F4" s="521">
        <v>6</v>
      </c>
      <c r="G4" s="521">
        <v>7</v>
      </c>
      <c r="H4" s="521">
        <v>8</v>
      </c>
    </row>
    <row r="5" spans="1:8" ht="22.5" customHeight="1">
      <c r="A5" s="525">
        <v>1</v>
      </c>
      <c r="B5" s="517" t="s">
        <v>171</v>
      </c>
      <c r="C5" s="526">
        <v>9</v>
      </c>
      <c r="D5" s="524">
        <v>17.319016279875303</v>
      </c>
      <c r="E5" s="524">
        <v>845.33333333333337</v>
      </c>
      <c r="F5" s="523">
        <f>'5ManagementCollegeNo'!K5/'5ManagementCollegeNo'!F5</f>
        <v>845.33333333333337</v>
      </c>
      <c r="G5" s="255"/>
      <c r="H5" s="255"/>
    </row>
    <row r="6" spans="1:8" ht="23.25" customHeight="1">
      <c r="A6" s="525">
        <v>2</v>
      </c>
      <c r="B6" s="517" t="s">
        <v>15</v>
      </c>
      <c r="C6" s="526">
        <v>2601</v>
      </c>
      <c r="D6" s="524">
        <v>48.758394935875494</v>
      </c>
      <c r="E6" s="524">
        <v>540.55478662053054</v>
      </c>
      <c r="F6" s="523">
        <f>'5ManagementCollegeNo'!K6/'5ManagementCollegeNo'!F6</f>
        <v>603.50333333333333</v>
      </c>
      <c r="G6" s="523">
        <f>'5ManagementCollegeNo'!H6/'5ManagementCollegeNo'!C6</f>
        <v>519.44524151123869</v>
      </c>
      <c r="H6" s="523">
        <f>'5ManagementCollegeNo'!I6/'5ManagementCollegeNo'!D6</f>
        <v>851.36196319018404</v>
      </c>
    </row>
    <row r="7" spans="1:8" ht="23.25" customHeight="1">
      <c r="A7" s="525">
        <v>3</v>
      </c>
      <c r="B7" s="517" t="s">
        <v>16</v>
      </c>
      <c r="C7" s="526">
        <v>42</v>
      </c>
      <c r="D7" s="524">
        <v>26.809138086210528</v>
      </c>
      <c r="E7" s="524">
        <v>547.11904761904759</v>
      </c>
      <c r="F7" s="523">
        <f>'5ManagementCollegeNo'!K7/'5ManagementCollegeNo'!F7</f>
        <v>727.08695652173913</v>
      </c>
      <c r="G7" s="523">
        <f>'5ManagementCollegeNo'!H7/'5ManagementCollegeNo'!C7</f>
        <v>358.14285714285717</v>
      </c>
      <c r="H7" s="523">
        <f>'5ManagementCollegeNo'!I7/'5ManagementCollegeNo'!D7</f>
        <v>310.5</v>
      </c>
    </row>
    <row r="8" spans="1:8" ht="23.25" customHeight="1">
      <c r="A8" s="525">
        <v>4</v>
      </c>
      <c r="B8" s="517" t="s">
        <v>17</v>
      </c>
      <c r="C8" s="526">
        <v>595</v>
      </c>
      <c r="D8" s="524">
        <v>15.762361864091353</v>
      </c>
      <c r="E8" s="524">
        <v>795.42857142857144</v>
      </c>
      <c r="F8" s="523">
        <f>'5ManagementCollegeNo'!K8/'5ManagementCollegeNo'!F8</f>
        <v>980.1659292035398</v>
      </c>
      <c r="G8" s="523">
        <f>'5ManagementCollegeNo'!H8/'5ManagementCollegeNo'!C8</f>
        <v>302.34939759036143</v>
      </c>
      <c r="H8" s="523">
        <f>'5ManagementCollegeNo'!I8/'5ManagementCollegeNo'!D8</f>
        <v>206</v>
      </c>
    </row>
    <row r="9" spans="1:8" ht="23.25" customHeight="1">
      <c r="A9" s="525">
        <v>5</v>
      </c>
      <c r="B9" s="517" t="s">
        <v>18</v>
      </c>
      <c r="C9" s="526">
        <v>1035</v>
      </c>
      <c r="D9" s="524">
        <v>8.4588457132694845</v>
      </c>
      <c r="E9" s="524">
        <v>1880.6299516908211</v>
      </c>
      <c r="F9" s="523">
        <f>'5ManagementCollegeNo'!K9/'5ManagementCollegeNo'!F9</f>
        <v>2804.7449541284404</v>
      </c>
      <c r="G9" s="523">
        <f>'5ManagementCollegeNo'!H9/'5ManagementCollegeNo'!C9</f>
        <v>439.22492401215806</v>
      </c>
      <c r="H9" s="523">
        <f>'5ManagementCollegeNo'!I9/'5ManagementCollegeNo'!D9</f>
        <v>1730.132911392405</v>
      </c>
    </row>
    <row r="10" spans="1:8" ht="23.25" customHeight="1">
      <c r="A10" s="525">
        <v>6</v>
      </c>
      <c r="B10" s="517" t="s">
        <v>19</v>
      </c>
      <c r="C10" s="526">
        <v>26</v>
      </c>
      <c r="D10" s="524">
        <v>12.153678591295161</v>
      </c>
      <c r="E10" s="524">
        <v>1890.2307692307693</v>
      </c>
      <c r="F10" s="523">
        <f>'5ManagementCollegeNo'!K10/'5ManagementCollegeNo'!F10</f>
        <v>1312.8666666666666</v>
      </c>
      <c r="G10" s="523">
        <f>'5ManagementCollegeNo'!H10/'5ManagementCollegeNo'!C10</f>
        <v>129.75</v>
      </c>
      <c r="H10" s="523">
        <f>'5ManagementCollegeNo'!I10/'5ManagementCollegeNo'!D10</f>
        <v>4133.4285714285716</v>
      </c>
    </row>
    <row r="11" spans="1:8" ht="23.25" customHeight="1">
      <c r="A11" s="525">
        <v>7</v>
      </c>
      <c r="B11" s="517" t="s">
        <v>20</v>
      </c>
      <c r="C11" s="526">
        <v>870</v>
      </c>
      <c r="D11" s="524">
        <v>27.264547908354768</v>
      </c>
      <c r="E11" s="524">
        <v>545.62643678160919</v>
      </c>
      <c r="F11" s="523">
        <f>'5ManagementCollegeNo'!K11/'5ManagementCollegeNo'!F11</f>
        <v>793.04303797468356</v>
      </c>
      <c r="G11" s="523">
        <f>'5ManagementCollegeNo'!H11/'5ManagementCollegeNo'!C11</f>
        <v>326.81521739130437</v>
      </c>
      <c r="H11" s="523">
        <f>'5ManagementCollegeNo'!I11/'5ManagementCollegeNo'!D11</f>
        <v>478.77906976744185</v>
      </c>
    </row>
    <row r="12" spans="1:8" ht="23.25" customHeight="1">
      <c r="A12" s="525">
        <v>8</v>
      </c>
      <c r="B12" s="517" t="s">
        <v>23</v>
      </c>
      <c r="C12" s="526">
        <v>180</v>
      </c>
      <c r="D12" s="524">
        <v>7.5316580694184552</v>
      </c>
      <c r="E12" s="524">
        <v>1566.5722222222223</v>
      </c>
      <c r="F12" s="523">
        <f>'5ManagementCollegeNo'!K12/'5ManagementCollegeNo'!F12</f>
        <v>2047.3265306122448</v>
      </c>
      <c r="G12" s="523">
        <f>'5ManagementCollegeNo'!H12/'5ManagementCollegeNo'!C12</f>
        <v>959.640625</v>
      </c>
      <c r="H12" s="523">
        <f>'5ManagementCollegeNo'!I12/'5ManagementCollegeNo'!D12</f>
        <v>1811.6363636363637</v>
      </c>
    </row>
    <row r="13" spans="1:8" ht="23.25" customHeight="1">
      <c r="A13" s="525">
        <v>9</v>
      </c>
      <c r="B13" s="517" t="s">
        <v>24</v>
      </c>
      <c r="C13" s="526">
        <v>61</v>
      </c>
      <c r="D13" s="524">
        <v>32.055829694208406</v>
      </c>
      <c r="E13" s="524">
        <v>684.01639344262298</v>
      </c>
      <c r="F13" s="523">
        <f>'5ManagementCollegeNo'!K13/'5ManagementCollegeNo'!F13</f>
        <v>684.47619047619048</v>
      </c>
      <c r="G13" s="523">
        <f>'5ManagementCollegeNo'!H13/'5ManagementCollegeNo'!C13</f>
        <v>362.85714285714283</v>
      </c>
      <c r="H13" s="523">
        <f>'5ManagementCollegeNo'!I13/'5ManagementCollegeNo'!D13</f>
        <v>856.57692307692309</v>
      </c>
    </row>
    <row r="14" spans="1:8" ht="23.25" customHeight="1">
      <c r="A14" s="525">
        <v>10</v>
      </c>
      <c r="B14" s="517" t="s">
        <v>25</v>
      </c>
      <c r="C14" s="526">
        <v>2267</v>
      </c>
      <c r="D14" s="524">
        <v>31.228992406960469</v>
      </c>
      <c r="E14" s="524">
        <v>526.00485222761358</v>
      </c>
      <c r="F14" s="523">
        <f>'5ManagementCollegeNo'!K14/'5ManagementCollegeNo'!F14</f>
        <v>724.2605459057072</v>
      </c>
      <c r="G14" s="523">
        <f>'5ManagementCollegeNo'!H14/'5ManagementCollegeNo'!C14</f>
        <v>343.09700948212981</v>
      </c>
      <c r="H14" s="523">
        <f>'5ManagementCollegeNo'!I14/'5ManagementCollegeNo'!D14</f>
        <v>907.57383966244731</v>
      </c>
    </row>
    <row r="15" spans="1:8" ht="23.25" customHeight="1">
      <c r="A15" s="525">
        <v>11</v>
      </c>
      <c r="B15" s="517" t="s">
        <v>26</v>
      </c>
      <c r="C15" s="526">
        <v>1083</v>
      </c>
      <c r="D15" s="524">
        <v>34.050928618815107</v>
      </c>
      <c r="E15" s="524">
        <v>584.2853185595568</v>
      </c>
      <c r="F15" s="523">
        <f>'5ManagementCollegeNo'!K15/'5ManagementCollegeNo'!F15</f>
        <v>987.10465116279067</v>
      </c>
      <c r="G15" s="523">
        <f>'5ManagementCollegeNo'!H15/'5ManagementCollegeNo'!C15</f>
        <v>316.47591240875914</v>
      </c>
      <c r="H15" s="523">
        <f>'5ManagementCollegeNo'!I15/'5ManagementCollegeNo'!D15</f>
        <v>1169</v>
      </c>
    </row>
    <row r="16" spans="1:8" ht="23.25" customHeight="1">
      <c r="A16" s="525">
        <v>12</v>
      </c>
      <c r="B16" s="517" t="s">
        <v>27</v>
      </c>
      <c r="C16" s="526">
        <v>348</v>
      </c>
      <c r="D16" s="524">
        <v>49.725722630490729</v>
      </c>
      <c r="E16" s="524">
        <v>510.20689655172413</v>
      </c>
      <c r="F16" s="523">
        <f>'5ManagementCollegeNo'!K16/'5ManagementCollegeNo'!F16</f>
        <v>823.09146341463418</v>
      </c>
      <c r="G16" s="523">
        <f>'5ManagementCollegeNo'!H16/'5ManagementCollegeNo'!C16</f>
        <v>189.25730994152048</v>
      </c>
      <c r="H16" s="523">
        <f>'5ManagementCollegeNo'!I16/'5ManagementCollegeNo'!D16</f>
        <v>784.76923076923072</v>
      </c>
    </row>
    <row r="17" spans="1:8" ht="23.25" customHeight="1">
      <c r="A17" s="525">
        <v>13</v>
      </c>
      <c r="B17" s="517" t="s">
        <v>57</v>
      </c>
      <c r="C17" s="526">
        <v>348</v>
      </c>
      <c r="D17" s="524">
        <v>29.00954897653811</v>
      </c>
      <c r="E17" s="524">
        <v>593.72413793103453</v>
      </c>
      <c r="F17" s="523">
        <f>'5ManagementCollegeNo'!K17/'5ManagementCollegeNo'!F17</f>
        <v>952.27807486631013</v>
      </c>
      <c r="G17" s="523">
        <f>'5ManagementCollegeNo'!H17/'5ManagementCollegeNo'!C17</f>
        <v>182.75572519083968</v>
      </c>
      <c r="H17" s="523">
        <f>'5ManagementCollegeNo'!I17/'5ManagementCollegeNo'!D17</f>
        <v>191.625</v>
      </c>
    </row>
    <row r="18" spans="1:8" ht="23.25" customHeight="1">
      <c r="A18" s="525">
        <v>14</v>
      </c>
      <c r="B18" s="517" t="s">
        <v>29</v>
      </c>
      <c r="C18" s="526">
        <v>336</v>
      </c>
      <c r="D18" s="524">
        <v>8.5087093984519715</v>
      </c>
      <c r="E18" s="524">
        <v>1761.0863095238096</v>
      </c>
      <c r="F18" s="523">
        <f>'5ManagementCollegeNo'!K18/'5ManagementCollegeNo'!F18</f>
        <v>2906.1698113207549</v>
      </c>
      <c r="G18" s="523">
        <f>'5ManagementCollegeNo'!H18/'5ManagementCollegeNo'!C18</f>
        <v>383.46853146853147</v>
      </c>
      <c r="H18" s="523">
        <f>'5ManagementCollegeNo'!I18/'5ManagementCollegeNo'!D18</f>
        <v>2200.2352941176468</v>
      </c>
    </row>
    <row r="19" spans="1:8" ht="23.25" customHeight="1">
      <c r="A19" s="525">
        <v>15</v>
      </c>
      <c r="B19" s="517" t="s">
        <v>30</v>
      </c>
      <c r="C19" s="526">
        <v>4233</v>
      </c>
      <c r="D19" s="524">
        <v>62.498440491902443</v>
      </c>
      <c r="E19" s="524">
        <v>392.45239782660053</v>
      </c>
      <c r="F19" s="523">
        <f>'5ManagementCollegeNo'!K19/'5ManagementCollegeNo'!F19</f>
        <v>688.09489051094886</v>
      </c>
      <c r="G19" s="523">
        <f>'5ManagementCollegeNo'!H19/'5ManagementCollegeNo'!C19</f>
        <v>291.42896174863387</v>
      </c>
      <c r="H19" s="523">
        <f>'5ManagementCollegeNo'!I19/'5ManagementCollegeNo'!D19</f>
        <v>678.63306451612902</v>
      </c>
    </row>
    <row r="20" spans="1:8" ht="23.25" customHeight="1">
      <c r="A20" s="525">
        <v>16</v>
      </c>
      <c r="B20" s="517" t="s">
        <v>31</v>
      </c>
      <c r="C20" s="526">
        <v>1448</v>
      </c>
      <c r="D20" s="524">
        <v>49.860044095837338</v>
      </c>
      <c r="E20" s="524">
        <v>530.83149171270713</v>
      </c>
      <c r="F20" s="523">
        <f>'5ManagementCollegeNo'!K20/'5ManagementCollegeNo'!F20</f>
        <v>510.38970588235293</v>
      </c>
      <c r="G20" s="523">
        <f>'5ManagementCollegeNo'!H20/'5ManagementCollegeNo'!C20</f>
        <v>422.01925391095068</v>
      </c>
      <c r="H20" s="523">
        <f>'5ManagementCollegeNo'!I20/'5ManagementCollegeNo'!D20</f>
        <v>1240.5333333333333</v>
      </c>
    </row>
    <row r="21" spans="1:8" ht="23.25" customHeight="1">
      <c r="A21" s="525">
        <v>17</v>
      </c>
      <c r="B21" s="68" t="s">
        <v>172</v>
      </c>
      <c r="C21" s="526">
        <v>3</v>
      </c>
      <c r="D21" s="524">
        <v>8.3363436796621002</v>
      </c>
      <c r="E21" s="524">
        <v>777.33333333333337</v>
      </c>
      <c r="F21" s="523">
        <f>'5ManagementCollegeNo'!K21/'5ManagementCollegeNo'!F21</f>
        <v>777.33333333333337</v>
      </c>
      <c r="G21" s="255"/>
      <c r="H21" s="255"/>
    </row>
    <row r="22" spans="1:8" ht="23.25" customHeight="1">
      <c r="A22" s="525">
        <v>18</v>
      </c>
      <c r="B22" s="517" t="s">
        <v>32</v>
      </c>
      <c r="C22" s="526">
        <v>0</v>
      </c>
      <c r="D22" s="524">
        <v>0</v>
      </c>
      <c r="E22" s="524"/>
      <c r="F22" s="523"/>
      <c r="G22" s="255"/>
      <c r="H22" s="255"/>
    </row>
    <row r="23" spans="1:8" ht="23.25" customHeight="1">
      <c r="A23" s="525">
        <v>19</v>
      </c>
      <c r="B23" s="517" t="s">
        <v>33</v>
      </c>
      <c r="C23" s="526">
        <v>2610</v>
      </c>
      <c r="D23" s="524">
        <v>28.751013032580847</v>
      </c>
      <c r="E23" s="524">
        <v>665.77969348659008</v>
      </c>
      <c r="F23" s="523">
        <f>'5ManagementCollegeNo'!K22/'5ManagementCollegeNo'!F22</f>
        <v>1391.7046979865772</v>
      </c>
      <c r="G23" s="523">
        <f>'5ManagementCollegeNo'!H22/'5ManagementCollegeNo'!C22</f>
        <v>420.93996960486322</v>
      </c>
      <c r="H23" s="523">
        <f>'5ManagementCollegeNo'!I22/'5ManagementCollegeNo'!D22</f>
        <v>569.41085271317831</v>
      </c>
    </row>
    <row r="24" spans="1:8" ht="23.25" customHeight="1">
      <c r="A24" s="525">
        <v>20</v>
      </c>
      <c r="B24" s="517" t="s">
        <v>34</v>
      </c>
      <c r="C24" s="526">
        <v>4532</v>
      </c>
      <c r="D24" s="524">
        <v>34.456326757892299</v>
      </c>
      <c r="E24" s="524">
        <v>671.52140335392767</v>
      </c>
      <c r="F24" s="523">
        <f>'5ManagementCollegeNo'!K23/'5ManagementCollegeNo'!F23</f>
        <v>570.19850187265922</v>
      </c>
      <c r="G24" s="523">
        <f>'5ManagementCollegeNo'!H23/'5ManagementCollegeNo'!C23</f>
        <v>436.22151675485009</v>
      </c>
      <c r="H24" s="523">
        <f>'5ManagementCollegeNo'!I23/'5ManagementCollegeNo'!D23</f>
        <v>1292.7375215146299</v>
      </c>
    </row>
    <row r="25" spans="1:8" ht="23.25" customHeight="1">
      <c r="A25" s="525">
        <v>21</v>
      </c>
      <c r="B25" s="517" t="s">
        <v>35</v>
      </c>
      <c r="C25" s="526">
        <v>105</v>
      </c>
      <c r="D25" s="524">
        <v>32.537355983464828</v>
      </c>
      <c r="E25" s="524">
        <v>1089.5904761904762</v>
      </c>
      <c r="F25" s="523">
        <f>'5ManagementCollegeNo'!K24/'5ManagementCollegeNo'!F24</f>
        <v>1551.8644067796611</v>
      </c>
      <c r="G25" s="523">
        <f>'5ManagementCollegeNo'!H24/'5ManagementCollegeNo'!C24</f>
        <v>258.78571428571428</v>
      </c>
      <c r="H25" s="523">
        <f>'5ManagementCollegeNo'!I24/'5ManagementCollegeNo'!D24</f>
        <v>975.0625</v>
      </c>
    </row>
    <row r="26" spans="1:8" ht="23.25" customHeight="1">
      <c r="A26" s="525">
        <v>22</v>
      </c>
      <c r="B26" s="517" t="s">
        <v>36</v>
      </c>
      <c r="C26" s="526">
        <v>75</v>
      </c>
      <c r="D26" s="524">
        <v>22.528475993655981</v>
      </c>
      <c r="E26" s="524">
        <v>817.02666666666664</v>
      </c>
      <c r="F26" s="523">
        <f>'5ManagementCollegeNo'!K25/'5ManagementCollegeNo'!F25</f>
        <v>1279.0740740740741</v>
      </c>
      <c r="G26" s="523">
        <f>'5ManagementCollegeNo'!H25/'5ManagementCollegeNo'!C25</f>
        <v>502.05882352941177</v>
      </c>
      <c r="H26" s="523">
        <f>'5ManagementCollegeNo'!I25/'5ManagementCollegeNo'!D25</f>
        <v>1011.5</v>
      </c>
    </row>
    <row r="27" spans="1:8" ht="23.25" customHeight="1">
      <c r="A27" s="525">
        <v>23</v>
      </c>
      <c r="B27" s="517" t="s">
        <v>37</v>
      </c>
      <c r="C27" s="526">
        <v>39</v>
      </c>
      <c r="D27" s="524">
        <v>30.897941721728383</v>
      </c>
      <c r="E27" s="524">
        <v>650.46153846153845</v>
      </c>
      <c r="F27" s="523">
        <f>'5ManagementCollegeNo'!K26/'5ManagementCollegeNo'!F26</f>
        <v>778.41935483870964</v>
      </c>
      <c r="G27" s="523">
        <f>'5ManagementCollegeNo'!H26/'5ManagementCollegeNo'!C26</f>
        <v>172.85714285714286</v>
      </c>
      <c r="H27" s="523">
        <f>'5ManagementCollegeNo'!I26/'5ManagementCollegeNo'!D26</f>
        <v>27</v>
      </c>
    </row>
    <row r="28" spans="1:8" ht="23.25" customHeight="1">
      <c r="A28" s="525">
        <v>24</v>
      </c>
      <c r="B28" s="517" t="s">
        <v>38</v>
      </c>
      <c r="C28" s="526">
        <v>68</v>
      </c>
      <c r="D28" s="524">
        <v>28.410515233049786</v>
      </c>
      <c r="E28" s="524">
        <v>489.64705882352939</v>
      </c>
      <c r="F28" s="523">
        <f>'5ManagementCollegeNo'!K27/'5ManagementCollegeNo'!F27</f>
        <v>554.04999999999995</v>
      </c>
      <c r="G28" s="523">
        <f>'5ManagementCollegeNo'!H27/'5ManagementCollegeNo'!C27</f>
        <v>311.91666666666669</v>
      </c>
      <c r="H28" s="523">
        <f>'5ManagementCollegeNo'!I27/'5ManagementCollegeNo'!D27</f>
        <v>527.7714285714286</v>
      </c>
    </row>
    <row r="29" spans="1:8" ht="23.25" customHeight="1">
      <c r="A29" s="525">
        <v>25</v>
      </c>
      <c r="B29" s="517" t="s">
        <v>39</v>
      </c>
      <c r="C29" s="526">
        <v>1206</v>
      </c>
      <c r="D29" s="524">
        <v>26.372253764934438</v>
      </c>
      <c r="E29" s="524">
        <v>573.31343283582089</v>
      </c>
      <c r="F29" s="523">
        <f>'5ManagementCollegeNo'!K28/'5ManagementCollegeNo'!F28</f>
        <v>689.30458221024264</v>
      </c>
      <c r="G29" s="523">
        <f>'5ManagementCollegeNo'!H28/'5ManagementCollegeNo'!C28</f>
        <v>397.07591623036649</v>
      </c>
      <c r="H29" s="523">
        <f>'5ManagementCollegeNo'!I28/'5ManagementCollegeNo'!D28</f>
        <v>642.53619909502265</v>
      </c>
    </row>
    <row r="30" spans="1:8" ht="23.25" customHeight="1">
      <c r="A30" s="525">
        <v>26</v>
      </c>
      <c r="B30" s="517" t="s">
        <v>40</v>
      </c>
      <c r="C30" s="526">
        <v>81</v>
      </c>
      <c r="D30" s="524">
        <v>45.066096942181865</v>
      </c>
      <c r="E30" s="524">
        <v>610.65432098765427</v>
      </c>
      <c r="F30" s="523">
        <f>'5ManagementCollegeNo'!K29/'5ManagementCollegeNo'!F29</f>
        <v>1022.64</v>
      </c>
      <c r="G30" s="523">
        <f>'5ManagementCollegeNo'!H29/'5ManagementCollegeNo'!C29</f>
        <v>541.2045454545455</v>
      </c>
      <c r="H30" s="523">
        <f>'5ManagementCollegeNo'!I29/'5ManagementCollegeNo'!D29</f>
        <v>84</v>
      </c>
    </row>
    <row r="31" spans="1:8" ht="23.25" customHeight="1">
      <c r="A31" s="525">
        <v>27</v>
      </c>
      <c r="B31" s="517" t="s">
        <v>41</v>
      </c>
      <c r="C31" s="526">
        <v>1039</v>
      </c>
      <c r="D31" s="524">
        <v>34.213093900947989</v>
      </c>
      <c r="E31" s="524">
        <v>484.42925890279116</v>
      </c>
      <c r="F31" s="523">
        <f>'5ManagementCollegeNo'!K30/'5ManagementCollegeNo'!F30</f>
        <v>722.56281407035181</v>
      </c>
      <c r="G31" s="523">
        <f>'5ManagementCollegeNo'!H30/'5ManagementCollegeNo'!C30</f>
        <v>310.56615384615384</v>
      </c>
      <c r="H31" s="523">
        <f>'5ManagementCollegeNo'!I30/'5ManagementCollegeNo'!D30</f>
        <v>871.07182320441984</v>
      </c>
    </row>
    <row r="32" spans="1:8" ht="23.25" customHeight="1">
      <c r="A32" s="525">
        <v>28</v>
      </c>
      <c r="B32" s="517" t="s">
        <v>42</v>
      </c>
      <c r="C32" s="526">
        <v>3694</v>
      </c>
      <c r="D32" s="524">
        <v>39.849620004638695</v>
      </c>
      <c r="E32" s="524">
        <v>466.7715213860314</v>
      </c>
      <c r="F32" s="523">
        <f>'5ManagementCollegeNo'!K31/'5ManagementCollegeNo'!F31</f>
        <v>986.8379501385042</v>
      </c>
      <c r="G32" s="523">
        <f>'5ManagementCollegeNo'!H31/'5ManagementCollegeNo'!C31</f>
        <v>387.44411389715259</v>
      </c>
      <c r="H32" s="523">
        <f>'5ManagementCollegeNo'!I31/'5ManagementCollegeNo'!D31</f>
        <v>379.17045454545456</v>
      </c>
    </row>
    <row r="33" spans="1:8" ht="23.25" customHeight="1">
      <c r="A33" s="525">
        <v>29</v>
      </c>
      <c r="B33" s="517" t="s">
        <v>43</v>
      </c>
      <c r="C33" s="526">
        <v>23</v>
      </c>
      <c r="D33" s="524">
        <v>30.247636081484501</v>
      </c>
      <c r="E33" s="524">
        <v>577.86956521739125</v>
      </c>
      <c r="F33" s="523">
        <f>'5ManagementCollegeNo'!K32/'5ManagementCollegeNo'!F32</f>
        <v>811.13333333333333</v>
      </c>
      <c r="G33" s="255">
        <f>'5ManagementCollegeNo'!H32/'5ManagementCollegeNo'!C32</f>
        <v>281</v>
      </c>
      <c r="H33" s="255"/>
    </row>
    <row r="34" spans="1:8" ht="23.25" customHeight="1">
      <c r="A34" s="525">
        <v>30</v>
      </c>
      <c r="B34" s="517" t="s">
        <v>44</v>
      </c>
      <c r="C34" s="526">
        <v>2667</v>
      </c>
      <c r="D34" s="524">
        <v>39.549993148820086</v>
      </c>
      <c r="E34" s="524">
        <v>838.15598050243716</v>
      </c>
      <c r="F34" s="523">
        <f>'5ManagementCollegeNo'!K33/'5ManagementCollegeNo'!F33</f>
        <v>1250.3978494623657</v>
      </c>
      <c r="G34" s="523">
        <f>'5ManagementCollegeNo'!H33/'5ManagementCollegeNo'!C33</f>
        <v>633.57128712871292</v>
      </c>
      <c r="H34" s="523">
        <f>'5ManagementCollegeNo'!I33/'5ManagementCollegeNo'!D33</f>
        <v>1850.566037735849</v>
      </c>
    </row>
    <row r="35" spans="1:8" ht="23.25" customHeight="1">
      <c r="A35" s="525">
        <v>31</v>
      </c>
      <c r="B35" s="517" t="s">
        <v>142</v>
      </c>
      <c r="C35" s="526">
        <v>2062</v>
      </c>
      <c r="D35" s="524">
        <v>53.372690731658835</v>
      </c>
      <c r="E35" s="524">
        <v>555.6028128031038</v>
      </c>
      <c r="F35" s="523">
        <f>'5ManagementCollegeNo'!K34/'5ManagementCollegeNo'!F34</f>
        <v>684.66428571428571</v>
      </c>
      <c r="G35" s="523">
        <f>'5ManagementCollegeNo'!H34/'5ManagementCollegeNo'!C34</f>
        <v>539.78759975445064</v>
      </c>
      <c r="H35" s="523">
        <f>'5ManagementCollegeNo'!I34/'5ManagementCollegeNo'!D34</f>
        <v>643.38793103448279</v>
      </c>
    </row>
    <row r="36" spans="1:8" ht="36" customHeight="1">
      <c r="A36" s="525">
        <v>32</v>
      </c>
      <c r="B36" s="517" t="s">
        <v>173</v>
      </c>
      <c r="C36" s="526">
        <v>19</v>
      </c>
      <c r="D36" s="524">
        <v>13.798111837327523</v>
      </c>
      <c r="E36" s="524">
        <v>589</v>
      </c>
      <c r="F36" s="523">
        <f>'5ManagementCollegeNo'!K35/'5ManagementCollegeNo'!F35</f>
        <v>713.2</v>
      </c>
      <c r="G36" s="523">
        <f>'5ManagementCollegeNo'!H35/'5ManagementCollegeNo'!C35</f>
        <v>507.375</v>
      </c>
      <c r="H36" s="523"/>
    </row>
    <row r="37" spans="1:8" ht="23.25" customHeight="1">
      <c r="A37" s="525">
        <v>33</v>
      </c>
      <c r="B37" s="517" t="s">
        <v>45</v>
      </c>
      <c r="C37" s="526">
        <v>54</v>
      </c>
      <c r="D37" s="524">
        <v>12.735849056603774</v>
      </c>
      <c r="E37" s="524">
        <v>1197.5</v>
      </c>
      <c r="F37" s="523">
        <f>'5ManagementCollegeNo'!K36/'5ManagementCollegeNo'!F36</f>
        <v>1358.6279069767443</v>
      </c>
      <c r="G37" s="523">
        <f>'5ManagementCollegeNo'!H36/'5ManagementCollegeNo'!C36</f>
        <v>542.83333333333337</v>
      </c>
      <c r="H37" s="523">
        <f>'5ManagementCollegeNo'!I36/'5ManagementCollegeNo'!D36</f>
        <v>746.75</v>
      </c>
    </row>
    <row r="38" spans="1:8" ht="23.25" customHeight="1">
      <c r="A38" s="525">
        <v>34</v>
      </c>
      <c r="B38" s="517" t="s">
        <v>47</v>
      </c>
      <c r="C38" s="526">
        <v>8114</v>
      </c>
      <c r="D38" s="524">
        <v>31.840085388249697</v>
      </c>
      <c r="E38" s="524">
        <v>613.866526990387</v>
      </c>
      <c r="F38" s="523">
        <f>'5ManagementCollegeNo'!K37/'5ManagementCollegeNo'!F37</f>
        <v>720.18226600985224</v>
      </c>
      <c r="G38" s="523">
        <f>'5ManagementCollegeNo'!H37/'5ManagementCollegeNo'!C37</f>
        <v>620.85422222222223</v>
      </c>
      <c r="H38" s="523">
        <f>'5ManagementCollegeNo'!I37/'5ManagementCollegeNo'!D37</f>
        <v>1309.8840579710145</v>
      </c>
    </row>
    <row r="39" spans="1:8" ht="23.25" customHeight="1">
      <c r="A39" s="525">
        <v>35</v>
      </c>
      <c r="B39" s="517" t="s">
        <v>46</v>
      </c>
      <c r="C39" s="526">
        <v>477</v>
      </c>
      <c r="D39" s="524">
        <v>40.387140802103858</v>
      </c>
      <c r="E39" s="524">
        <v>545.55136268343813</v>
      </c>
      <c r="F39" s="523">
        <f>'5ManagementCollegeNo'!K38/'5ManagementCollegeNo'!F38</f>
        <v>889.18471337579615</v>
      </c>
      <c r="G39" s="523">
        <f>'5ManagementCollegeNo'!H38/'5ManagementCollegeNo'!C38</f>
        <v>410.82741116751271</v>
      </c>
      <c r="H39" s="523">
        <f>'5ManagementCollegeNo'!I38/'5ManagementCollegeNo'!D38</f>
        <v>810.0612244897959</v>
      </c>
    </row>
    <row r="40" spans="1:8" ht="23.25" customHeight="1">
      <c r="A40" s="525">
        <v>36</v>
      </c>
      <c r="B40" s="517" t="s">
        <v>48</v>
      </c>
      <c r="C40" s="526">
        <v>1446</v>
      </c>
      <c r="D40" s="524">
        <v>13.37394103312862</v>
      </c>
      <c r="E40" s="524">
        <v>1161.2918395573997</v>
      </c>
      <c r="F40" s="523">
        <f>'5ManagementCollegeNo'!K39/'5ManagementCollegeNo'!F39</f>
        <v>2052.2560975609758</v>
      </c>
      <c r="G40" s="523">
        <f>'5ManagementCollegeNo'!H39/'5ManagementCollegeNo'!C39</f>
        <v>401.68924889543445</v>
      </c>
      <c r="H40" s="523">
        <f>'5ManagementCollegeNo'!I39/'5ManagementCollegeNo'!D39</f>
        <v>1464.09963099631</v>
      </c>
    </row>
    <row r="41" spans="1:8" ht="23.25" customHeight="1">
      <c r="A41" s="922" t="s">
        <v>49</v>
      </c>
      <c r="B41" s="923"/>
      <c r="C41" s="870">
        <v>43796</v>
      </c>
      <c r="D41" s="871">
        <v>30.716759551035381</v>
      </c>
      <c r="E41" s="871">
        <v>646.44166133893509</v>
      </c>
      <c r="F41" s="872">
        <f>'5ManagementCollegeNo'!K40/'5ManagementCollegeNo'!F40</f>
        <v>1097.1615185892397</v>
      </c>
      <c r="G41" s="872">
        <f>'5ManagementCollegeNo'!H40/'5ManagementCollegeNo'!C40</f>
        <v>464.67413735715076</v>
      </c>
      <c r="H41" s="872">
        <f>'5ManagementCollegeNo'!I40/'5ManagementCollegeNo'!D40</f>
        <v>1056.7702368328032</v>
      </c>
    </row>
    <row r="42" spans="1:8">
      <c r="D42" s="873">
        <v>62.498440491902443</v>
      </c>
      <c r="F42" s="874"/>
    </row>
    <row r="43" spans="1:8">
      <c r="D43" s="873">
        <v>0</v>
      </c>
    </row>
  </sheetData>
  <mergeCells count="7">
    <mergeCell ref="A41:B41"/>
    <mergeCell ref="A1:H1"/>
    <mergeCell ref="A2:A3"/>
    <mergeCell ref="B2:B3"/>
    <mergeCell ref="C2:C3"/>
    <mergeCell ref="D2:D3"/>
    <mergeCell ref="E2:H2"/>
  </mergeCells>
  <pageMargins left="0.70866141732283472" right="0.15748031496062992" top="0.6692913385826772" bottom="0.74803149606299213" header="0.31496062992125984" footer="0.31496062992125984"/>
  <pageSetup paperSize="9" scale="73" firstPageNumber="2" orientation="portrait" useFirstPageNumber="1" r:id="rId1"/>
  <headerFooter>
    <oddFooter>&amp;L&amp;"Arial,Italic"&amp;9AISHE 2020-21&amp;CT-4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B050"/>
  </sheetPr>
  <dimension ref="A1:AL40"/>
  <sheetViews>
    <sheetView view="pageBreakPreview" zoomScale="70" zoomScaleSheetLayoutView="70" workbookViewId="0">
      <selection activeCell="G8" sqref="G8"/>
    </sheetView>
  </sheetViews>
  <sheetFormatPr defaultColWidth="9.1796875" defaultRowHeight="14"/>
  <cols>
    <col min="1" max="1" width="5.26953125" style="72" customWidth="1"/>
    <col min="2" max="2" width="30.453125" style="72" customWidth="1"/>
    <col min="3" max="23" width="10.1796875" style="72" customWidth="1"/>
    <col min="24" max="34" width="8" style="72" customWidth="1"/>
    <col min="35" max="16384" width="9.1796875" style="72"/>
  </cols>
  <sheetData>
    <row r="1" spans="1:38" ht="30.75" customHeight="1">
      <c r="A1" s="926" t="s">
        <v>1001</v>
      </c>
      <c r="B1" s="926"/>
      <c r="C1" s="927" t="s">
        <v>1020</v>
      </c>
      <c r="D1" s="927"/>
      <c r="E1" s="927"/>
      <c r="F1" s="927"/>
      <c r="G1" s="927"/>
      <c r="H1" s="927"/>
      <c r="I1" s="927"/>
      <c r="J1" s="927"/>
      <c r="K1" s="927"/>
      <c r="L1" s="927"/>
      <c r="M1" s="927"/>
      <c r="N1" s="928" t="s">
        <v>1082</v>
      </c>
      <c r="O1" s="928"/>
      <c r="P1" s="928"/>
      <c r="Q1" s="928"/>
      <c r="R1" s="928"/>
      <c r="S1" s="928"/>
      <c r="T1" s="928"/>
      <c r="U1" s="928"/>
      <c r="V1" s="928"/>
      <c r="W1" s="928"/>
      <c r="X1" s="928" t="s">
        <v>1082</v>
      </c>
      <c r="Y1" s="928"/>
      <c r="Z1" s="928"/>
      <c r="AA1" s="928"/>
      <c r="AB1" s="928"/>
      <c r="AC1" s="928"/>
      <c r="AD1" s="928"/>
      <c r="AE1" s="928"/>
      <c r="AF1" s="928"/>
      <c r="AG1" s="928"/>
      <c r="AH1" s="928"/>
    </row>
    <row r="2" spans="1:38" s="75" customFormat="1" ht="97.5" customHeight="1">
      <c r="A2" s="73" t="s">
        <v>235</v>
      </c>
      <c r="B2" s="73" t="s">
        <v>236</v>
      </c>
      <c r="C2" s="74" t="s">
        <v>5</v>
      </c>
      <c r="D2" s="74" t="s">
        <v>6</v>
      </c>
      <c r="E2" s="74" t="s">
        <v>255</v>
      </c>
      <c r="F2" s="74" t="s">
        <v>256</v>
      </c>
      <c r="G2" s="74" t="s">
        <v>257</v>
      </c>
      <c r="H2" s="74" t="s">
        <v>258</v>
      </c>
      <c r="I2" s="74" t="s">
        <v>275</v>
      </c>
      <c r="J2" s="74" t="s">
        <v>259</v>
      </c>
      <c r="K2" s="74" t="s">
        <v>260</v>
      </c>
      <c r="L2" s="74" t="s">
        <v>246</v>
      </c>
      <c r="M2" s="74" t="s">
        <v>247</v>
      </c>
      <c r="N2" s="74" t="s">
        <v>279</v>
      </c>
      <c r="O2" s="74" t="s">
        <v>261</v>
      </c>
      <c r="P2" s="74" t="s">
        <v>248</v>
      </c>
      <c r="Q2" s="74" t="s">
        <v>8</v>
      </c>
      <c r="R2" s="74" t="s">
        <v>250</v>
      </c>
      <c r="S2" s="74" t="s">
        <v>262</v>
      </c>
      <c r="T2" s="74" t="s">
        <v>263</v>
      </c>
      <c r="U2" s="74" t="s">
        <v>264</v>
      </c>
      <c r="V2" s="74" t="s">
        <v>265</v>
      </c>
      <c r="W2" s="74" t="s">
        <v>266</v>
      </c>
      <c r="X2" s="74" t="s">
        <v>76</v>
      </c>
      <c r="Y2" s="74" t="s">
        <v>251</v>
      </c>
      <c r="Z2" s="74" t="s">
        <v>11</v>
      </c>
      <c r="AA2" s="74" t="s">
        <v>267</v>
      </c>
      <c r="AB2" s="74" t="s">
        <v>189</v>
      </c>
      <c r="AC2" s="74" t="s">
        <v>268</v>
      </c>
      <c r="AD2" s="74" t="s">
        <v>269</v>
      </c>
      <c r="AE2" s="74" t="s">
        <v>253</v>
      </c>
      <c r="AF2" s="74" t="s">
        <v>254</v>
      </c>
      <c r="AG2" s="74" t="s">
        <v>270</v>
      </c>
      <c r="AH2" s="74" t="s">
        <v>271</v>
      </c>
      <c r="AI2" s="74" t="s">
        <v>10</v>
      </c>
      <c r="AJ2" s="74" t="s">
        <v>60</v>
      </c>
    </row>
    <row r="3" spans="1:38" s="489" customFormat="1" ht="15" customHeight="1">
      <c r="A3" s="488">
        <v>1</v>
      </c>
      <c r="B3" s="488">
        <v>2</v>
      </c>
      <c r="C3" s="488">
        <v>3</v>
      </c>
      <c r="D3" s="488">
        <v>4</v>
      </c>
      <c r="E3" s="488">
        <v>5</v>
      </c>
      <c r="F3" s="488">
        <v>6</v>
      </c>
      <c r="G3" s="488">
        <v>7</v>
      </c>
      <c r="H3" s="488">
        <v>8</v>
      </c>
      <c r="I3" s="488">
        <v>9</v>
      </c>
      <c r="J3" s="488">
        <v>10</v>
      </c>
      <c r="K3" s="488">
        <v>11</v>
      </c>
      <c r="L3" s="488">
        <v>12</v>
      </c>
      <c r="M3" s="488">
        <v>13</v>
      </c>
      <c r="N3" s="488">
        <v>14</v>
      </c>
      <c r="O3" s="488">
        <v>15</v>
      </c>
      <c r="P3" s="488">
        <v>16</v>
      </c>
      <c r="Q3" s="488">
        <v>17</v>
      </c>
      <c r="R3" s="488">
        <v>18</v>
      </c>
      <c r="S3" s="488">
        <v>19</v>
      </c>
      <c r="T3" s="488">
        <v>20</v>
      </c>
      <c r="U3" s="488">
        <v>21</v>
      </c>
      <c r="V3" s="488">
        <v>22</v>
      </c>
      <c r="W3" s="488">
        <v>23</v>
      </c>
      <c r="X3" s="488">
        <v>24</v>
      </c>
      <c r="Y3" s="488">
        <v>25</v>
      </c>
      <c r="Z3" s="488">
        <v>26</v>
      </c>
      <c r="AA3" s="488">
        <v>27</v>
      </c>
      <c r="AB3" s="488">
        <v>28</v>
      </c>
      <c r="AC3" s="488">
        <v>29</v>
      </c>
      <c r="AD3" s="488">
        <v>30</v>
      </c>
      <c r="AE3" s="488">
        <v>31</v>
      </c>
      <c r="AF3" s="488">
        <v>32</v>
      </c>
      <c r="AG3" s="488">
        <v>33</v>
      </c>
      <c r="AH3" s="488">
        <v>34</v>
      </c>
      <c r="AI3" s="488">
        <v>35</v>
      </c>
      <c r="AJ3" s="488">
        <v>36</v>
      </c>
    </row>
    <row r="4" spans="1:38" ht="27.75" customHeight="1">
      <c r="A4" s="76">
        <v>1</v>
      </c>
      <c r="B4" s="77" t="s">
        <v>171</v>
      </c>
      <c r="C4" s="78">
        <v>3</v>
      </c>
      <c r="D4" s="78">
        <v>0</v>
      </c>
      <c r="E4" s="78">
        <v>0</v>
      </c>
      <c r="F4" s="78">
        <v>0</v>
      </c>
      <c r="G4" s="78">
        <v>0</v>
      </c>
      <c r="H4" s="78">
        <v>0</v>
      </c>
      <c r="I4" s="78">
        <v>0</v>
      </c>
      <c r="J4" s="78">
        <v>1</v>
      </c>
      <c r="K4" s="78">
        <v>0</v>
      </c>
      <c r="L4" s="78">
        <v>0</v>
      </c>
      <c r="M4" s="78">
        <v>0</v>
      </c>
      <c r="N4" s="78">
        <v>0</v>
      </c>
      <c r="O4" s="78">
        <v>0</v>
      </c>
      <c r="P4" s="78">
        <v>0</v>
      </c>
      <c r="Q4" s="78">
        <v>1</v>
      </c>
      <c r="R4" s="78">
        <v>0</v>
      </c>
      <c r="S4" s="78">
        <v>0</v>
      </c>
      <c r="T4" s="78">
        <v>0</v>
      </c>
      <c r="U4" s="78">
        <v>0</v>
      </c>
      <c r="V4" s="78">
        <v>0</v>
      </c>
      <c r="W4" s="78">
        <v>0</v>
      </c>
      <c r="X4" s="78">
        <v>3</v>
      </c>
      <c r="Y4" s="78">
        <v>0</v>
      </c>
      <c r="Z4" s="78">
        <v>0</v>
      </c>
      <c r="AA4" s="78">
        <v>0</v>
      </c>
      <c r="AB4" s="78">
        <v>0</v>
      </c>
      <c r="AC4" s="78">
        <v>0</v>
      </c>
      <c r="AD4" s="78">
        <v>0</v>
      </c>
      <c r="AE4" s="78">
        <v>0</v>
      </c>
      <c r="AF4" s="78">
        <v>1</v>
      </c>
      <c r="AG4" s="78">
        <v>0</v>
      </c>
      <c r="AH4" s="78">
        <v>0</v>
      </c>
      <c r="AI4" s="93">
        <v>0</v>
      </c>
      <c r="AJ4" s="79">
        <v>9</v>
      </c>
      <c r="AK4" s="72">
        <v>9</v>
      </c>
      <c r="AL4" s="92">
        <f>AJ4-AK4</f>
        <v>0</v>
      </c>
    </row>
    <row r="5" spans="1:38" ht="27.75" customHeight="1">
      <c r="A5" s="76">
        <v>2</v>
      </c>
      <c r="B5" s="77" t="s">
        <v>15</v>
      </c>
      <c r="C5" s="78">
        <v>1819</v>
      </c>
      <c r="D5" s="78">
        <v>27</v>
      </c>
      <c r="E5" s="78">
        <v>4</v>
      </c>
      <c r="F5" s="78">
        <v>6</v>
      </c>
      <c r="G5" s="78">
        <v>4</v>
      </c>
      <c r="H5" s="78">
        <v>10</v>
      </c>
      <c r="I5" s="78">
        <v>0</v>
      </c>
      <c r="J5" s="78">
        <v>84</v>
      </c>
      <c r="K5" s="78">
        <v>255</v>
      </c>
      <c r="L5" s="78">
        <v>0</v>
      </c>
      <c r="M5" s="78">
        <v>1</v>
      </c>
      <c r="N5" s="78">
        <v>1</v>
      </c>
      <c r="O5" s="78">
        <v>7</v>
      </c>
      <c r="P5" s="78">
        <v>0</v>
      </c>
      <c r="Q5" s="78">
        <v>16</v>
      </c>
      <c r="R5" s="78">
        <v>36</v>
      </c>
      <c r="S5" s="78">
        <v>15</v>
      </c>
      <c r="T5" s="78">
        <v>2</v>
      </c>
      <c r="U5" s="78">
        <v>11</v>
      </c>
      <c r="V5" s="78">
        <v>2</v>
      </c>
      <c r="W5" s="78">
        <v>16</v>
      </c>
      <c r="X5" s="78">
        <v>95</v>
      </c>
      <c r="Y5" s="78">
        <v>2</v>
      </c>
      <c r="Z5" s="78">
        <v>18</v>
      </c>
      <c r="AA5" s="78">
        <v>6</v>
      </c>
      <c r="AB5" s="78">
        <v>1</v>
      </c>
      <c r="AC5" s="78">
        <v>77</v>
      </c>
      <c r="AD5" s="78">
        <v>17</v>
      </c>
      <c r="AE5" s="78">
        <v>5</v>
      </c>
      <c r="AF5" s="78">
        <v>5</v>
      </c>
      <c r="AG5" s="78">
        <v>0</v>
      </c>
      <c r="AH5" s="78">
        <v>9</v>
      </c>
      <c r="AI5" s="93">
        <v>3</v>
      </c>
      <c r="AJ5" s="79">
        <v>2554</v>
      </c>
      <c r="AK5" s="72">
        <v>2554</v>
      </c>
      <c r="AL5" s="92">
        <f t="shared" ref="AL5:AL40" si="0">AJ5-AK5</f>
        <v>0</v>
      </c>
    </row>
    <row r="6" spans="1:38" ht="27.75" customHeight="1">
      <c r="A6" s="76">
        <v>3</v>
      </c>
      <c r="B6" s="77" t="s">
        <v>16</v>
      </c>
      <c r="C6" s="78">
        <v>28</v>
      </c>
      <c r="D6" s="78">
        <v>1</v>
      </c>
      <c r="E6" s="78">
        <v>0</v>
      </c>
      <c r="F6" s="78">
        <v>0</v>
      </c>
      <c r="G6" s="78">
        <v>0</v>
      </c>
      <c r="H6" s="78">
        <v>0</v>
      </c>
      <c r="I6" s="78">
        <v>0</v>
      </c>
      <c r="J6" s="78">
        <v>7</v>
      </c>
      <c r="K6" s="78">
        <v>0</v>
      </c>
      <c r="L6" s="78">
        <v>0</v>
      </c>
      <c r="M6" s="78">
        <v>0</v>
      </c>
      <c r="N6" s="78">
        <v>0</v>
      </c>
      <c r="O6" s="78">
        <v>0</v>
      </c>
      <c r="P6" s="78">
        <v>0</v>
      </c>
      <c r="Q6" s="78">
        <v>1</v>
      </c>
      <c r="R6" s="78">
        <v>0</v>
      </c>
      <c r="S6" s="78">
        <v>1</v>
      </c>
      <c r="T6" s="78">
        <v>0</v>
      </c>
      <c r="U6" s="78">
        <v>0</v>
      </c>
      <c r="V6" s="78">
        <v>1</v>
      </c>
      <c r="W6" s="78">
        <v>0</v>
      </c>
      <c r="X6" s="78">
        <v>2</v>
      </c>
      <c r="Y6" s="78">
        <v>0</v>
      </c>
      <c r="Z6" s="78">
        <v>0</v>
      </c>
      <c r="AA6" s="78">
        <v>0</v>
      </c>
      <c r="AB6" s="78">
        <v>0</v>
      </c>
      <c r="AC6" s="78">
        <v>0</v>
      </c>
      <c r="AD6" s="78">
        <v>0</v>
      </c>
      <c r="AE6" s="78">
        <v>0</v>
      </c>
      <c r="AF6" s="78">
        <v>0</v>
      </c>
      <c r="AG6" s="78">
        <v>0</v>
      </c>
      <c r="AH6" s="78">
        <v>0</v>
      </c>
      <c r="AI6" s="93">
        <v>0</v>
      </c>
      <c r="AJ6" s="79">
        <v>41</v>
      </c>
      <c r="AK6" s="72">
        <v>41</v>
      </c>
      <c r="AL6" s="92">
        <f t="shared" si="0"/>
        <v>0</v>
      </c>
    </row>
    <row r="7" spans="1:38" ht="27.75" customHeight="1">
      <c r="A7" s="76">
        <v>4</v>
      </c>
      <c r="B7" s="767" t="s">
        <v>17</v>
      </c>
      <c r="C7" s="78">
        <v>249</v>
      </c>
      <c r="D7" s="78">
        <v>3</v>
      </c>
      <c r="E7" s="78">
        <v>1</v>
      </c>
      <c r="F7" s="78">
        <v>24</v>
      </c>
      <c r="G7" s="78">
        <v>8</v>
      </c>
      <c r="H7" s="78">
        <v>0</v>
      </c>
      <c r="I7" s="78">
        <v>0</v>
      </c>
      <c r="J7" s="78">
        <v>44</v>
      </c>
      <c r="K7" s="78">
        <v>154</v>
      </c>
      <c r="L7" s="78">
        <v>0</v>
      </c>
      <c r="M7" s="78">
        <v>1</v>
      </c>
      <c r="N7" s="78">
        <v>0</v>
      </c>
      <c r="O7" s="78">
        <v>0</v>
      </c>
      <c r="P7" s="78">
        <v>0</v>
      </c>
      <c r="Q7" s="78">
        <v>18</v>
      </c>
      <c r="R7" s="78">
        <v>3</v>
      </c>
      <c r="S7" s="78">
        <v>2</v>
      </c>
      <c r="T7" s="78">
        <v>1</v>
      </c>
      <c r="U7" s="78">
        <v>0</v>
      </c>
      <c r="V7" s="78">
        <v>1</v>
      </c>
      <c r="W7" s="78">
        <v>1</v>
      </c>
      <c r="X7" s="78">
        <v>8</v>
      </c>
      <c r="Y7" s="78">
        <v>0</v>
      </c>
      <c r="Z7" s="78">
        <v>4</v>
      </c>
      <c r="AA7" s="78">
        <v>6</v>
      </c>
      <c r="AB7" s="78">
        <v>0</v>
      </c>
      <c r="AC7" s="78">
        <v>14</v>
      </c>
      <c r="AD7" s="78">
        <v>1</v>
      </c>
      <c r="AE7" s="78">
        <v>1</v>
      </c>
      <c r="AF7" s="78">
        <v>3</v>
      </c>
      <c r="AG7" s="78">
        <v>0</v>
      </c>
      <c r="AH7" s="78">
        <v>0</v>
      </c>
      <c r="AI7" s="93">
        <v>13</v>
      </c>
      <c r="AJ7" s="79">
        <v>560</v>
      </c>
      <c r="AK7" s="72">
        <v>560</v>
      </c>
      <c r="AL7" s="92">
        <f t="shared" si="0"/>
        <v>0</v>
      </c>
    </row>
    <row r="8" spans="1:38" ht="27.75" customHeight="1">
      <c r="A8" s="76">
        <v>5</v>
      </c>
      <c r="B8" s="77" t="s">
        <v>18</v>
      </c>
      <c r="C8" s="78">
        <v>538</v>
      </c>
      <c r="D8" s="78">
        <v>1</v>
      </c>
      <c r="E8" s="78">
        <v>0</v>
      </c>
      <c r="F8" s="78">
        <v>3</v>
      </c>
      <c r="G8" s="78">
        <v>1</v>
      </c>
      <c r="H8" s="78">
        <v>10</v>
      </c>
      <c r="I8" s="78">
        <v>0</v>
      </c>
      <c r="J8" s="78">
        <v>198</v>
      </c>
      <c r="K8" s="78">
        <v>126</v>
      </c>
      <c r="L8" s="78">
        <v>1</v>
      </c>
      <c r="M8" s="78">
        <v>0</v>
      </c>
      <c r="N8" s="78">
        <v>0</v>
      </c>
      <c r="O8" s="78">
        <v>1</v>
      </c>
      <c r="P8" s="78">
        <v>0</v>
      </c>
      <c r="Q8" s="78">
        <v>21</v>
      </c>
      <c r="R8" s="78">
        <v>6</v>
      </c>
      <c r="S8" s="78">
        <v>9</v>
      </c>
      <c r="T8" s="78">
        <v>3</v>
      </c>
      <c r="U8" s="78">
        <v>1</v>
      </c>
      <c r="V8" s="78">
        <v>6</v>
      </c>
      <c r="W8" s="78">
        <v>10</v>
      </c>
      <c r="X8" s="78">
        <v>28</v>
      </c>
      <c r="Y8" s="78">
        <v>0</v>
      </c>
      <c r="Z8" s="78">
        <v>7</v>
      </c>
      <c r="AA8" s="78">
        <v>3</v>
      </c>
      <c r="AB8" s="78">
        <v>1</v>
      </c>
      <c r="AC8" s="78">
        <v>16</v>
      </c>
      <c r="AD8" s="78">
        <v>3</v>
      </c>
      <c r="AE8" s="78">
        <v>37</v>
      </c>
      <c r="AF8" s="78">
        <v>0</v>
      </c>
      <c r="AG8" s="78">
        <v>1</v>
      </c>
      <c r="AH8" s="78">
        <v>0</v>
      </c>
      <c r="AI8" s="93">
        <v>1</v>
      </c>
      <c r="AJ8" s="79">
        <v>1032</v>
      </c>
      <c r="AK8" s="72">
        <v>1032</v>
      </c>
      <c r="AL8" s="92">
        <f t="shared" si="0"/>
        <v>0</v>
      </c>
    </row>
    <row r="9" spans="1:38" ht="27.75" customHeight="1">
      <c r="A9" s="76">
        <v>6</v>
      </c>
      <c r="B9" s="77" t="s">
        <v>19</v>
      </c>
      <c r="C9" s="78">
        <v>9</v>
      </c>
      <c r="D9" s="78">
        <v>0</v>
      </c>
      <c r="E9" s="78">
        <v>1</v>
      </c>
      <c r="F9" s="78">
        <v>0</v>
      </c>
      <c r="G9" s="78">
        <v>1</v>
      </c>
      <c r="H9" s="78">
        <v>0</v>
      </c>
      <c r="I9" s="78">
        <v>0</v>
      </c>
      <c r="J9" s="78">
        <v>5</v>
      </c>
      <c r="K9" s="78">
        <v>2</v>
      </c>
      <c r="L9" s="78">
        <v>1</v>
      </c>
      <c r="M9" s="78">
        <v>0</v>
      </c>
      <c r="N9" s="78">
        <v>1</v>
      </c>
      <c r="O9" s="78">
        <v>0</v>
      </c>
      <c r="P9" s="78">
        <v>0</v>
      </c>
      <c r="Q9" s="78">
        <v>0</v>
      </c>
      <c r="R9" s="78">
        <v>1</v>
      </c>
      <c r="S9" s="78">
        <v>0</v>
      </c>
      <c r="T9" s="78">
        <v>1</v>
      </c>
      <c r="U9" s="78">
        <v>0</v>
      </c>
      <c r="V9" s="78">
        <v>1</v>
      </c>
      <c r="W9" s="78">
        <v>1</v>
      </c>
      <c r="X9" s="78">
        <v>0</v>
      </c>
      <c r="Y9" s="78">
        <v>0</v>
      </c>
      <c r="Z9" s="78">
        <v>0</v>
      </c>
      <c r="AA9" s="78">
        <v>0</v>
      </c>
      <c r="AB9" s="78">
        <v>0</v>
      </c>
      <c r="AC9" s="78">
        <v>0</v>
      </c>
      <c r="AD9" s="78">
        <v>0</v>
      </c>
      <c r="AE9" s="78">
        <v>0</v>
      </c>
      <c r="AF9" s="78">
        <v>0</v>
      </c>
      <c r="AG9" s="78">
        <v>0</v>
      </c>
      <c r="AH9" s="78">
        <v>1</v>
      </c>
      <c r="AI9" s="93">
        <v>1</v>
      </c>
      <c r="AJ9" s="79">
        <v>26</v>
      </c>
      <c r="AK9" s="72">
        <v>26</v>
      </c>
      <c r="AL9" s="92">
        <f t="shared" si="0"/>
        <v>0</v>
      </c>
    </row>
    <row r="10" spans="1:38" ht="27.75" customHeight="1">
      <c r="A10" s="76">
        <v>7</v>
      </c>
      <c r="B10" s="77" t="s">
        <v>20</v>
      </c>
      <c r="C10" s="78">
        <v>454</v>
      </c>
      <c r="D10" s="78">
        <v>23</v>
      </c>
      <c r="E10" s="78">
        <v>1</v>
      </c>
      <c r="F10" s="78">
        <v>5</v>
      </c>
      <c r="G10" s="78">
        <v>2</v>
      </c>
      <c r="H10" s="78">
        <v>9</v>
      </c>
      <c r="I10" s="78">
        <v>0</v>
      </c>
      <c r="J10" s="78">
        <v>50</v>
      </c>
      <c r="K10" s="78">
        <v>57</v>
      </c>
      <c r="L10" s="78">
        <v>3</v>
      </c>
      <c r="M10" s="78">
        <v>1</v>
      </c>
      <c r="N10" s="78">
        <v>0</v>
      </c>
      <c r="O10" s="78">
        <v>0</v>
      </c>
      <c r="P10" s="78">
        <v>1</v>
      </c>
      <c r="Q10" s="78">
        <v>17</v>
      </c>
      <c r="R10" s="78">
        <v>1</v>
      </c>
      <c r="S10" s="78">
        <v>4</v>
      </c>
      <c r="T10" s="78">
        <v>5</v>
      </c>
      <c r="U10" s="78">
        <v>6</v>
      </c>
      <c r="V10" s="78">
        <v>3</v>
      </c>
      <c r="W10" s="78">
        <v>4</v>
      </c>
      <c r="X10" s="78">
        <v>91</v>
      </c>
      <c r="Y10" s="78">
        <v>0</v>
      </c>
      <c r="Z10" s="78">
        <v>3</v>
      </c>
      <c r="AA10" s="78">
        <v>6</v>
      </c>
      <c r="AB10" s="78">
        <v>0</v>
      </c>
      <c r="AC10" s="78">
        <v>29</v>
      </c>
      <c r="AD10" s="78">
        <v>2</v>
      </c>
      <c r="AE10" s="78">
        <v>56</v>
      </c>
      <c r="AF10" s="78">
        <v>7</v>
      </c>
      <c r="AG10" s="78">
        <v>0</v>
      </c>
      <c r="AH10" s="78">
        <v>3</v>
      </c>
      <c r="AI10" s="93">
        <v>6</v>
      </c>
      <c r="AJ10" s="79">
        <v>849</v>
      </c>
      <c r="AK10" s="72">
        <v>849</v>
      </c>
      <c r="AL10" s="92">
        <f t="shared" si="0"/>
        <v>0</v>
      </c>
    </row>
    <row r="11" spans="1:38" ht="27.75" customHeight="1">
      <c r="A11" s="76">
        <v>8</v>
      </c>
      <c r="B11" s="77" t="s">
        <v>23</v>
      </c>
      <c r="C11" s="78">
        <v>76</v>
      </c>
      <c r="D11" s="78">
        <v>0</v>
      </c>
      <c r="E11" s="78">
        <v>2</v>
      </c>
      <c r="F11" s="78">
        <v>1</v>
      </c>
      <c r="G11" s="78">
        <v>0</v>
      </c>
      <c r="H11" s="78">
        <v>3</v>
      </c>
      <c r="I11" s="78">
        <v>0</v>
      </c>
      <c r="J11" s="78">
        <v>19</v>
      </c>
      <c r="K11" s="78">
        <v>15</v>
      </c>
      <c r="L11" s="78">
        <v>1</v>
      </c>
      <c r="M11" s="78">
        <v>0</v>
      </c>
      <c r="N11" s="78">
        <v>1</v>
      </c>
      <c r="O11" s="78">
        <v>1</v>
      </c>
      <c r="P11" s="78">
        <v>0</v>
      </c>
      <c r="Q11" s="78">
        <v>1</v>
      </c>
      <c r="R11" s="78">
        <v>11</v>
      </c>
      <c r="S11" s="78">
        <v>6</v>
      </c>
      <c r="T11" s="78">
        <v>2</v>
      </c>
      <c r="U11" s="78">
        <v>2</v>
      </c>
      <c r="V11" s="78">
        <v>2</v>
      </c>
      <c r="W11" s="78">
        <v>4</v>
      </c>
      <c r="X11" s="78">
        <v>9</v>
      </c>
      <c r="Y11" s="78">
        <v>0</v>
      </c>
      <c r="Z11" s="78">
        <v>5</v>
      </c>
      <c r="AA11" s="78">
        <v>1</v>
      </c>
      <c r="AB11" s="78">
        <v>0</v>
      </c>
      <c r="AC11" s="78">
        <v>11</v>
      </c>
      <c r="AD11" s="78">
        <v>0</v>
      </c>
      <c r="AE11" s="78">
        <v>0</v>
      </c>
      <c r="AF11" s="78">
        <v>0</v>
      </c>
      <c r="AG11" s="78">
        <v>0</v>
      </c>
      <c r="AH11" s="78">
        <v>0</v>
      </c>
      <c r="AI11" s="93">
        <v>0</v>
      </c>
      <c r="AJ11" s="79">
        <v>173</v>
      </c>
      <c r="AK11" s="72">
        <v>173</v>
      </c>
      <c r="AL11" s="92">
        <f t="shared" si="0"/>
        <v>0</v>
      </c>
    </row>
    <row r="12" spans="1:38" ht="27.75" customHeight="1">
      <c r="A12" s="76">
        <v>9</v>
      </c>
      <c r="B12" s="77" t="s">
        <v>24</v>
      </c>
      <c r="C12" s="78">
        <v>28</v>
      </c>
      <c r="D12" s="78">
        <v>1</v>
      </c>
      <c r="E12" s="78">
        <v>1</v>
      </c>
      <c r="F12" s="78">
        <v>0</v>
      </c>
      <c r="G12" s="78">
        <v>1</v>
      </c>
      <c r="H12" s="78">
        <v>0</v>
      </c>
      <c r="I12" s="78">
        <v>0</v>
      </c>
      <c r="J12" s="78">
        <v>4</v>
      </c>
      <c r="K12" s="78">
        <v>7</v>
      </c>
      <c r="L12" s="78">
        <v>2</v>
      </c>
      <c r="M12" s="78">
        <v>0</v>
      </c>
      <c r="N12" s="78">
        <v>1</v>
      </c>
      <c r="O12" s="78">
        <v>2</v>
      </c>
      <c r="P12" s="78">
        <v>0</v>
      </c>
      <c r="Q12" s="78">
        <v>2</v>
      </c>
      <c r="R12" s="78">
        <v>0</v>
      </c>
      <c r="S12" s="78">
        <v>2</v>
      </c>
      <c r="T12" s="78">
        <v>1</v>
      </c>
      <c r="U12" s="78">
        <v>1</v>
      </c>
      <c r="V12" s="78">
        <v>1</v>
      </c>
      <c r="W12" s="78">
        <v>0</v>
      </c>
      <c r="X12" s="78">
        <v>2</v>
      </c>
      <c r="Y12" s="78">
        <v>0</v>
      </c>
      <c r="Z12" s="78">
        <v>3</v>
      </c>
      <c r="AA12" s="78">
        <v>0</v>
      </c>
      <c r="AB12" s="78">
        <v>0</v>
      </c>
      <c r="AC12" s="78">
        <v>2</v>
      </c>
      <c r="AD12" s="78">
        <v>0</v>
      </c>
      <c r="AE12" s="78">
        <v>0</v>
      </c>
      <c r="AF12" s="78">
        <v>0</v>
      </c>
      <c r="AG12" s="78">
        <v>0</v>
      </c>
      <c r="AH12" s="78">
        <v>0</v>
      </c>
      <c r="AI12" s="93">
        <v>0</v>
      </c>
      <c r="AJ12" s="79">
        <v>61</v>
      </c>
      <c r="AK12" s="72">
        <v>61</v>
      </c>
      <c r="AL12" s="92">
        <f t="shared" si="0"/>
        <v>0</v>
      </c>
    </row>
    <row r="13" spans="1:38" ht="27.75" customHeight="1">
      <c r="A13" s="76">
        <v>10</v>
      </c>
      <c r="B13" s="77" t="s">
        <v>25</v>
      </c>
      <c r="C13" s="78">
        <v>729</v>
      </c>
      <c r="D13" s="78">
        <v>20</v>
      </c>
      <c r="E13" s="78">
        <v>9</v>
      </c>
      <c r="F13" s="78">
        <v>63</v>
      </c>
      <c r="G13" s="78">
        <v>78</v>
      </c>
      <c r="H13" s="78">
        <v>76</v>
      </c>
      <c r="I13" s="78">
        <v>0</v>
      </c>
      <c r="J13" s="78">
        <v>275</v>
      </c>
      <c r="K13" s="78">
        <v>234</v>
      </c>
      <c r="L13" s="78">
        <v>2</v>
      </c>
      <c r="M13" s="78">
        <v>2</v>
      </c>
      <c r="N13" s="78">
        <v>2</v>
      </c>
      <c r="O13" s="78">
        <v>5</v>
      </c>
      <c r="P13" s="78">
        <v>0</v>
      </c>
      <c r="Q13" s="78">
        <v>52</v>
      </c>
      <c r="R13" s="78">
        <v>57</v>
      </c>
      <c r="S13" s="78">
        <v>16</v>
      </c>
      <c r="T13" s="78">
        <v>14</v>
      </c>
      <c r="U13" s="78">
        <v>7</v>
      </c>
      <c r="V13" s="78">
        <v>21</v>
      </c>
      <c r="W13" s="78">
        <v>127</v>
      </c>
      <c r="X13" s="78">
        <v>165</v>
      </c>
      <c r="Y13" s="78">
        <v>0</v>
      </c>
      <c r="Z13" s="78">
        <v>25</v>
      </c>
      <c r="AA13" s="78">
        <v>12</v>
      </c>
      <c r="AB13" s="78">
        <v>3</v>
      </c>
      <c r="AC13" s="78">
        <v>56</v>
      </c>
      <c r="AD13" s="78">
        <v>48</v>
      </c>
      <c r="AE13" s="78">
        <v>41</v>
      </c>
      <c r="AF13" s="78">
        <v>95</v>
      </c>
      <c r="AG13" s="78">
        <v>6</v>
      </c>
      <c r="AH13" s="78">
        <v>3</v>
      </c>
      <c r="AI13" s="93">
        <v>5</v>
      </c>
      <c r="AJ13" s="79">
        <v>2248</v>
      </c>
      <c r="AK13" s="72">
        <v>2248</v>
      </c>
      <c r="AL13" s="92">
        <f t="shared" si="0"/>
        <v>0</v>
      </c>
    </row>
    <row r="14" spans="1:38" ht="27.75" customHeight="1">
      <c r="A14" s="76">
        <v>11</v>
      </c>
      <c r="B14" s="77" t="s">
        <v>26</v>
      </c>
      <c r="C14" s="78">
        <v>554</v>
      </c>
      <c r="D14" s="78">
        <v>4</v>
      </c>
      <c r="E14" s="78">
        <v>5</v>
      </c>
      <c r="F14" s="78">
        <v>4</v>
      </c>
      <c r="G14" s="78">
        <v>0</v>
      </c>
      <c r="H14" s="78">
        <v>4</v>
      </c>
      <c r="I14" s="78">
        <v>0</v>
      </c>
      <c r="J14" s="78">
        <v>269</v>
      </c>
      <c r="K14" s="78">
        <v>72</v>
      </c>
      <c r="L14" s="78">
        <v>0</v>
      </c>
      <c r="M14" s="78">
        <v>1</v>
      </c>
      <c r="N14" s="78">
        <v>0</v>
      </c>
      <c r="O14" s="78">
        <v>1</v>
      </c>
      <c r="P14" s="78">
        <v>0</v>
      </c>
      <c r="Q14" s="78">
        <v>22</v>
      </c>
      <c r="R14" s="78">
        <v>19</v>
      </c>
      <c r="S14" s="78">
        <v>5</v>
      </c>
      <c r="T14" s="78">
        <v>6</v>
      </c>
      <c r="U14" s="78">
        <v>7</v>
      </c>
      <c r="V14" s="78">
        <v>1</v>
      </c>
      <c r="W14" s="78">
        <v>7</v>
      </c>
      <c r="X14" s="78">
        <v>33</v>
      </c>
      <c r="Y14" s="78">
        <v>0</v>
      </c>
      <c r="Z14" s="78">
        <v>7</v>
      </c>
      <c r="AA14" s="78">
        <v>1</v>
      </c>
      <c r="AB14" s="78">
        <v>0</v>
      </c>
      <c r="AC14" s="78">
        <v>38</v>
      </c>
      <c r="AD14" s="78">
        <v>5</v>
      </c>
      <c r="AE14" s="78">
        <v>3</v>
      </c>
      <c r="AF14" s="78">
        <v>1</v>
      </c>
      <c r="AG14" s="78">
        <v>0</v>
      </c>
      <c r="AH14" s="78">
        <v>0</v>
      </c>
      <c r="AI14" s="93">
        <v>12</v>
      </c>
      <c r="AJ14" s="79">
        <v>1081</v>
      </c>
      <c r="AK14" s="72">
        <v>1081</v>
      </c>
      <c r="AL14" s="92">
        <f t="shared" si="0"/>
        <v>0</v>
      </c>
    </row>
    <row r="15" spans="1:38" ht="27.75" customHeight="1">
      <c r="A15" s="76">
        <v>12</v>
      </c>
      <c r="B15" s="77" t="s">
        <v>27</v>
      </c>
      <c r="C15" s="78">
        <v>197</v>
      </c>
      <c r="D15" s="78">
        <v>0</v>
      </c>
      <c r="E15" s="78">
        <v>0</v>
      </c>
      <c r="F15" s="78">
        <v>2</v>
      </c>
      <c r="G15" s="78">
        <v>0</v>
      </c>
      <c r="H15" s="78">
        <v>2</v>
      </c>
      <c r="I15" s="78">
        <v>0</v>
      </c>
      <c r="J15" s="78">
        <v>41</v>
      </c>
      <c r="K15" s="78">
        <v>20</v>
      </c>
      <c r="L15" s="78">
        <v>1</v>
      </c>
      <c r="M15" s="78">
        <v>0</v>
      </c>
      <c r="N15" s="78">
        <v>0</v>
      </c>
      <c r="O15" s="78">
        <v>4</v>
      </c>
      <c r="P15" s="78">
        <v>0</v>
      </c>
      <c r="Q15" s="78">
        <v>3</v>
      </c>
      <c r="R15" s="78">
        <v>3</v>
      </c>
      <c r="S15" s="78">
        <v>6</v>
      </c>
      <c r="T15" s="78">
        <v>2</v>
      </c>
      <c r="U15" s="78">
        <v>4</v>
      </c>
      <c r="V15" s="78">
        <v>1</v>
      </c>
      <c r="W15" s="78">
        <v>1</v>
      </c>
      <c r="X15" s="78">
        <v>16</v>
      </c>
      <c r="Y15" s="78">
        <v>1</v>
      </c>
      <c r="Z15" s="78">
        <v>2</v>
      </c>
      <c r="AA15" s="78">
        <v>0</v>
      </c>
      <c r="AB15" s="78">
        <v>0</v>
      </c>
      <c r="AC15" s="78">
        <v>19</v>
      </c>
      <c r="AD15" s="78">
        <v>2</v>
      </c>
      <c r="AE15" s="78">
        <v>16</v>
      </c>
      <c r="AF15" s="78">
        <v>2</v>
      </c>
      <c r="AG15" s="78">
        <v>0</v>
      </c>
      <c r="AH15" s="78">
        <v>1</v>
      </c>
      <c r="AI15" s="93">
        <v>2</v>
      </c>
      <c r="AJ15" s="79">
        <v>348</v>
      </c>
      <c r="AK15" s="72">
        <v>348</v>
      </c>
      <c r="AL15" s="92">
        <f t="shared" si="0"/>
        <v>0</v>
      </c>
    </row>
    <row r="16" spans="1:38" ht="27.75" customHeight="1">
      <c r="A16" s="76">
        <v>13</v>
      </c>
      <c r="B16" s="77" t="s">
        <v>57</v>
      </c>
      <c r="C16" s="78">
        <v>202</v>
      </c>
      <c r="D16" s="78">
        <v>3</v>
      </c>
      <c r="E16" s="78">
        <v>0</v>
      </c>
      <c r="F16" s="78">
        <v>1</v>
      </c>
      <c r="G16" s="78">
        <v>1</v>
      </c>
      <c r="H16" s="78">
        <v>4</v>
      </c>
      <c r="I16" s="78">
        <v>0</v>
      </c>
      <c r="J16" s="78">
        <v>65</v>
      </c>
      <c r="K16" s="78">
        <v>8</v>
      </c>
      <c r="L16" s="78">
        <v>0</v>
      </c>
      <c r="M16" s="78">
        <v>1</v>
      </c>
      <c r="N16" s="78">
        <v>0</v>
      </c>
      <c r="O16" s="78">
        <v>0</v>
      </c>
      <c r="P16" s="78">
        <v>0</v>
      </c>
      <c r="Q16" s="78">
        <v>5</v>
      </c>
      <c r="R16" s="78">
        <v>1</v>
      </c>
      <c r="S16" s="78">
        <v>4</v>
      </c>
      <c r="T16" s="78">
        <v>2</v>
      </c>
      <c r="U16" s="78">
        <v>4</v>
      </c>
      <c r="V16" s="78">
        <v>0</v>
      </c>
      <c r="W16" s="78">
        <v>2</v>
      </c>
      <c r="X16" s="78">
        <v>23</v>
      </c>
      <c r="Y16" s="78">
        <v>4</v>
      </c>
      <c r="Z16" s="78">
        <v>3</v>
      </c>
      <c r="AA16" s="78">
        <v>2</v>
      </c>
      <c r="AB16" s="78">
        <v>0</v>
      </c>
      <c r="AC16" s="78">
        <v>1</v>
      </c>
      <c r="AD16" s="78">
        <v>3</v>
      </c>
      <c r="AE16" s="78">
        <v>1</v>
      </c>
      <c r="AF16" s="78">
        <v>0</v>
      </c>
      <c r="AG16" s="78">
        <v>0</v>
      </c>
      <c r="AH16" s="78">
        <v>1</v>
      </c>
      <c r="AI16" s="93">
        <v>1</v>
      </c>
      <c r="AJ16" s="79">
        <v>342</v>
      </c>
      <c r="AK16" s="72">
        <v>342</v>
      </c>
      <c r="AL16" s="92">
        <f t="shared" si="0"/>
        <v>0</v>
      </c>
    </row>
    <row r="17" spans="1:38" ht="27.75" customHeight="1">
      <c r="A17" s="76">
        <v>14</v>
      </c>
      <c r="B17" s="77" t="s">
        <v>29</v>
      </c>
      <c r="C17" s="78">
        <v>193</v>
      </c>
      <c r="D17" s="78">
        <v>4</v>
      </c>
      <c r="E17" s="78">
        <v>0</v>
      </c>
      <c r="F17" s="78">
        <v>8</v>
      </c>
      <c r="G17" s="78">
        <v>1</v>
      </c>
      <c r="H17" s="78">
        <v>0</v>
      </c>
      <c r="I17" s="78">
        <v>0</v>
      </c>
      <c r="J17" s="78">
        <v>76</v>
      </c>
      <c r="K17" s="78">
        <v>17</v>
      </c>
      <c r="L17" s="78">
        <v>0</v>
      </c>
      <c r="M17" s="78">
        <v>0</v>
      </c>
      <c r="N17" s="78">
        <v>0</v>
      </c>
      <c r="O17" s="78">
        <v>1</v>
      </c>
      <c r="P17" s="78">
        <v>0</v>
      </c>
      <c r="Q17" s="78">
        <v>7</v>
      </c>
      <c r="R17" s="78">
        <v>0</v>
      </c>
      <c r="S17" s="78">
        <v>6</v>
      </c>
      <c r="T17" s="78">
        <v>0</v>
      </c>
      <c r="U17" s="78">
        <v>3</v>
      </c>
      <c r="V17" s="78">
        <v>3</v>
      </c>
      <c r="W17" s="78">
        <v>5</v>
      </c>
      <c r="X17" s="78">
        <v>7</v>
      </c>
      <c r="Y17" s="78">
        <v>0</v>
      </c>
      <c r="Z17" s="78">
        <v>1</v>
      </c>
      <c r="AA17" s="78">
        <v>0</v>
      </c>
      <c r="AB17" s="78">
        <v>0</v>
      </c>
      <c r="AC17" s="78">
        <v>0</v>
      </c>
      <c r="AD17" s="78">
        <v>0</v>
      </c>
      <c r="AE17" s="78">
        <v>4</v>
      </c>
      <c r="AF17" s="78">
        <v>0</v>
      </c>
      <c r="AG17" s="78">
        <v>0</v>
      </c>
      <c r="AH17" s="78">
        <v>0</v>
      </c>
      <c r="AI17" s="93">
        <v>0</v>
      </c>
      <c r="AJ17" s="79">
        <v>336</v>
      </c>
      <c r="AK17" s="72">
        <v>336</v>
      </c>
      <c r="AL17" s="92">
        <f t="shared" si="0"/>
        <v>0</v>
      </c>
    </row>
    <row r="18" spans="1:38" ht="27.75" customHeight="1">
      <c r="A18" s="76">
        <v>15</v>
      </c>
      <c r="B18" s="77" t="s">
        <v>30</v>
      </c>
      <c r="C18" s="78">
        <v>2066</v>
      </c>
      <c r="D18" s="78">
        <v>19</v>
      </c>
      <c r="E18" s="78">
        <v>20</v>
      </c>
      <c r="F18" s="78">
        <v>40</v>
      </c>
      <c r="G18" s="78">
        <v>73</v>
      </c>
      <c r="H18" s="78">
        <v>17</v>
      </c>
      <c r="I18" s="78">
        <v>0</v>
      </c>
      <c r="J18" s="78">
        <v>292</v>
      </c>
      <c r="K18" s="78">
        <v>345</v>
      </c>
      <c r="L18" s="78">
        <v>9</v>
      </c>
      <c r="M18" s="78">
        <v>1</v>
      </c>
      <c r="N18" s="78">
        <v>1</v>
      </c>
      <c r="O18" s="78">
        <v>23</v>
      </c>
      <c r="P18" s="78">
        <v>0</v>
      </c>
      <c r="Q18" s="78">
        <v>58</v>
      </c>
      <c r="R18" s="78">
        <v>57</v>
      </c>
      <c r="S18" s="78">
        <v>40</v>
      </c>
      <c r="T18" s="78">
        <v>70</v>
      </c>
      <c r="U18" s="78">
        <v>38</v>
      </c>
      <c r="V18" s="78">
        <v>18</v>
      </c>
      <c r="W18" s="78">
        <v>77</v>
      </c>
      <c r="X18" s="78">
        <v>356</v>
      </c>
      <c r="Y18" s="78">
        <v>2</v>
      </c>
      <c r="Z18" s="78">
        <v>60</v>
      </c>
      <c r="AA18" s="78">
        <v>21</v>
      </c>
      <c r="AB18" s="78">
        <v>1</v>
      </c>
      <c r="AC18" s="78">
        <v>103</v>
      </c>
      <c r="AD18" s="78">
        <v>63</v>
      </c>
      <c r="AE18" s="78">
        <v>198</v>
      </c>
      <c r="AF18" s="78">
        <v>12</v>
      </c>
      <c r="AG18" s="78">
        <v>6</v>
      </c>
      <c r="AH18" s="78">
        <v>14</v>
      </c>
      <c r="AI18" s="93">
        <v>9</v>
      </c>
      <c r="AJ18" s="79">
        <v>4109</v>
      </c>
      <c r="AK18" s="72">
        <v>4109</v>
      </c>
      <c r="AL18" s="92">
        <f t="shared" si="0"/>
        <v>0</v>
      </c>
    </row>
    <row r="19" spans="1:38" ht="27.75" customHeight="1">
      <c r="A19" s="76">
        <v>16</v>
      </c>
      <c r="B19" s="77" t="s">
        <v>31</v>
      </c>
      <c r="C19" s="78">
        <v>650</v>
      </c>
      <c r="D19" s="78">
        <v>6</v>
      </c>
      <c r="E19" s="78">
        <v>9</v>
      </c>
      <c r="F19" s="78">
        <v>15</v>
      </c>
      <c r="G19" s="78">
        <v>2</v>
      </c>
      <c r="H19" s="78">
        <v>12</v>
      </c>
      <c r="I19" s="78">
        <v>0</v>
      </c>
      <c r="J19" s="78">
        <v>221</v>
      </c>
      <c r="K19" s="78">
        <v>88</v>
      </c>
      <c r="L19" s="78">
        <v>2</v>
      </c>
      <c r="M19" s="78">
        <v>0</v>
      </c>
      <c r="N19" s="78">
        <v>1</v>
      </c>
      <c r="O19" s="78">
        <v>8</v>
      </c>
      <c r="P19" s="78">
        <v>0</v>
      </c>
      <c r="Q19" s="78">
        <v>14</v>
      </c>
      <c r="R19" s="78">
        <v>32</v>
      </c>
      <c r="S19" s="78">
        <v>14</v>
      </c>
      <c r="T19" s="78">
        <v>7</v>
      </c>
      <c r="U19" s="78">
        <v>16</v>
      </c>
      <c r="V19" s="78">
        <v>5</v>
      </c>
      <c r="W19" s="78">
        <v>10</v>
      </c>
      <c r="X19" s="78">
        <v>100</v>
      </c>
      <c r="Y19" s="78">
        <v>1</v>
      </c>
      <c r="Z19" s="78">
        <v>17</v>
      </c>
      <c r="AA19" s="78">
        <v>31</v>
      </c>
      <c r="AB19" s="78">
        <v>0</v>
      </c>
      <c r="AC19" s="78">
        <v>28</v>
      </c>
      <c r="AD19" s="78">
        <v>2</v>
      </c>
      <c r="AE19" s="78">
        <v>2</v>
      </c>
      <c r="AF19" s="78">
        <v>34</v>
      </c>
      <c r="AG19" s="78">
        <v>0</v>
      </c>
      <c r="AH19" s="78">
        <v>0</v>
      </c>
      <c r="AI19" s="93">
        <v>1</v>
      </c>
      <c r="AJ19" s="79">
        <v>1328</v>
      </c>
      <c r="AK19" s="72">
        <v>1328</v>
      </c>
      <c r="AL19" s="92">
        <f t="shared" si="0"/>
        <v>0</v>
      </c>
    </row>
    <row r="20" spans="1:38" ht="27.75" customHeight="1">
      <c r="A20" s="76">
        <v>17</v>
      </c>
      <c r="B20" s="77" t="s">
        <v>172</v>
      </c>
      <c r="C20" s="78">
        <v>2</v>
      </c>
      <c r="D20" s="78">
        <v>0</v>
      </c>
      <c r="E20" s="78">
        <v>0</v>
      </c>
      <c r="F20" s="78">
        <v>0</v>
      </c>
      <c r="G20" s="78">
        <v>0</v>
      </c>
      <c r="H20" s="78">
        <v>0</v>
      </c>
      <c r="I20" s="78">
        <v>0</v>
      </c>
      <c r="J20" s="78">
        <v>0</v>
      </c>
      <c r="K20" s="78">
        <v>0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  <c r="Q20" s="78">
        <v>0</v>
      </c>
      <c r="R20" s="78">
        <v>0</v>
      </c>
      <c r="S20" s="78">
        <v>0</v>
      </c>
      <c r="T20" s="78">
        <v>0</v>
      </c>
      <c r="U20" s="78">
        <v>0</v>
      </c>
      <c r="V20" s="78">
        <v>0</v>
      </c>
      <c r="W20" s="78">
        <v>0</v>
      </c>
      <c r="X20" s="78">
        <v>1</v>
      </c>
      <c r="Y20" s="78">
        <v>0</v>
      </c>
      <c r="Z20" s="78">
        <v>0</v>
      </c>
      <c r="AA20" s="78">
        <v>0</v>
      </c>
      <c r="AB20" s="78">
        <v>0</v>
      </c>
      <c r="AC20" s="78">
        <v>0</v>
      </c>
      <c r="AD20" s="78">
        <v>0</v>
      </c>
      <c r="AE20" s="78">
        <v>0</v>
      </c>
      <c r="AF20" s="78">
        <v>0</v>
      </c>
      <c r="AG20" s="78">
        <v>0</v>
      </c>
      <c r="AH20" s="78">
        <v>0</v>
      </c>
      <c r="AI20" s="93">
        <v>0</v>
      </c>
      <c r="AJ20" s="79">
        <v>3</v>
      </c>
      <c r="AK20" s="72">
        <v>3</v>
      </c>
      <c r="AL20" s="92">
        <f t="shared" si="0"/>
        <v>0</v>
      </c>
    </row>
    <row r="21" spans="1:38" ht="27.75" customHeight="1">
      <c r="A21" s="76">
        <v>18</v>
      </c>
      <c r="B21" s="77" t="s">
        <v>33</v>
      </c>
      <c r="C21" s="78">
        <v>1488</v>
      </c>
      <c r="D21" s="78">
        <v>13</v>
      </c>
      <c r="E21" s="78">
        <v>2</v>
      </c>
      <c r="F21" s="78">
        <v>32</v>
      </c>
      <c r="G21" s="78">
        <v>10</v>
      </c>
      <c r="H21" s="78">
        <v>14</v>
      </c>
      <c r="I21" s="78">
        <v>0</v>
      </c>
      <c r="J21" s="78">
        <v>199</v>
      </c>
      <c r="K21" s="78">
        <v>125</v>
      </c>
      <c r="L21" s="78">
        <v>16</v>
      </c>
      <c r="M21" s="78">
        <v>4</v>
      </c>
      <c r="N21" s="78">
        <v>1</v>
      </c>
      <c r="O21" s="78">
        <v>0</v>
      </c>
      <c r="P21" s="78">
        <v>0</v>
      </c>
      <c r="Q21" s="78">
        <v>46</v>
      </c>
      <c r="R21" s="78">
        <v>52</v>
      </c>
      <c r="S21" s="78">
        <v>15</v>
      </c>
      <c r="T21" s="78">
        <v>17</v>
      </c>
      <c r="U21" s="78">
        <v>2</v>
      </c>
      <c r="V21" s="78">
        <v>10</v>
      </c>
      <c r="W21" s="78">
        <v>12</v>
      </c>
      <c r="X21" s="78">
        <v>110</v>
      </c>
      <c r="Y21" s="78">
        <v>2</v>
      </c>
      <c r="Z21" s="78">
        <v>14</v>
      </c>
      <c r="AA21" s="78">
        <v>13</v>
      </c>
      <c r="AB21" s="78">
        <v>13</v>
      </c>
      <c r="AC21" s="78">
        <v>84</v>
      </c>
      <c r="AD21" s="78">
        <v>2</v>
      </c>
      <c r="AE21" s="78">
        <v>3</v>
      </c>
      <c r="AF21" s="78">
        <v>15</v>
      </c>
      <c r="AG21" s="78">
        <v>1</v>
      </c>
      <c r="AH21" s="78">
        <v>2</v>
      </c>
      <c r="AI21" s="93">
        <v>2</v>
      </c>
      <c r="AJ21" s="79">
        <v>2319</v>
      </c>
      <c r="AK21" s="72">
        <v>2318</v>
      </c>
      <c r="AL21" s="92">
        <f t="shared" si="0"/>
        <v>1</v>
      </c>
    </row>
    <row r="22" spans="1:38" ht="27.75" customHeight="1">
      <c r="A22" s="76">
        <v>19</v>
      </c>
      <c r="B22" s="77" t="s">
        <v>34</v>
      </c>
      <c r="C22" s="78">
        <v>2394</v>
      </c>
      <c r="D22" s="78">
        <v>111</v>
      </c>
      <c r="E22" s="78">
        <v>53</v>
      </c>
      <c r="F22" s="78">
        <v>95</v>
      </c>
      <c r="G22" s="78">
        <v>62</v>
      </c>
      <c r="H22" s="78">
        <v>66</v>
      </c>
      <c r="I22" s="78">
        <v>0</v>
      </c>
      <c r="J22" s="78">
        <v>527</v>
      </c>
      <c r="K22" s="78">
        <v>354</v>
      </c>
      <c r="L22" s="78">
        <v>19</v>
      </c>
      <c r="M22" s="78">
        <v>15</v>
      </c>
      <c r="N22" s="78">
        <v>11</v>
      </c>
      <c r="O22" s="78">
        <v>46</v>
      </c>
      <c r="P22" s="78">
        <v>3</v>
      </c>
      <c r="Q22" s="78">
        <v>120</v>
      </c>
      <c r="R22" s="78">
        <v>87</v>
      </c>
      <c r="S22" s="78">
        <v>35</v>
      </c>
      <c r="T22" s="78">
        <v>47</v>
      </c>
      <c r="U22" s="78">
        <v>24</v>
      </c>
      <c r="V22" s="78">
        <v>35</v>
      </c>
      <c r="W22" s="78">
        <v>23</v>
      </c>
      <c r="X22" s="78">
        <v>90</v>
      </c>
      <c r="Y22" s="78">
        <v>0</v>
      </c>
      <c r="Z22" s="78">
        <v>55</v>
      </c>
      <c r="AA22" s="78">
        <v>3</v>
      </c>
      <c r="AB22" s="78">
        <v>0</v>
      </c>
      <c r="AC22" s="78">
        <v>123</v>
      </c>
      <c r="AD22" s="78">
        <v>29</v>
      </c>
      <c r="AE22" s="78">
        <v>6</v>
      </c>
      <c r="AF22" s="78">
        <v>43</v>
      </c>
      <c r="AG22" s="78">
        <v>31</v>
      </c>
      <c r="AH22" s="78">
        <v>16</v>
      </c>
      <c r="AI22" s="93">
        <v>8</v>
      </c>
      <c r="AJ22" s="79">
        <v>4531</v>
      </c>
      <c r="AK22" s="72">
        <v>4531</v>
      </c>
      <c r="AL22" s="92">
        <f t="shared" si="0"/>
        <v>0</v>
      </c>
    </row>
    <row r="23" spans="1:38" ht="27.75" customHeight="1">
      <c r="A23" s="76">
        <v>20</v>
      </c>
      <c r="B23" s="77" t="s">
        <v>35</v>
      </c>
      <c r="C23" s="78">
        <v>14</v>
      </c>
      <c r="D23" s="78">
        <v>3</v>
      </c>
      <c r="E23" s="78">
        <v>0</v>
      </c>
      <c r="F23" s="78">
        <v>1</v>
      </c>
      <c r="G23" s="78">
        <v>0</v>
      </c>
      <c r="H23" s="78">
        <v>0</v>
      </c>
      <c r="I23" s="78">
        <v>0</v>
      </c>
      <c r="J23" s="78">
        <v>74</v>
      </c>
      <c r="K23" s="78">
        <v>2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  <c r="Q23" s="78">
        <v>0</v>
      </c>
      <c r="R23" s="78">
        <v>0</v>
      </c>
      <c r="S23" s="78">
        <v>0</v>
      </c>
      <c r="T23" s="78">
        <v>0</v>
      </c>
      <c r="U23" s="78">
        <v>1</v>
      </c>
      <c r="V23" s="78">
        <v>0</v>
      </c>
      <c r="W23" s="78">
        <v>1</v>
      </c>
      <c r="X23" s="78">
        <v>4</v>
      </c>
      <c r="Y23" s="78">
        <v>0</v>
      </c>
      <c r="Z23" s="78">
        <v>0</v>
      </c>
      <c r="AA23" s="78">
        <v>0</v>
      </c>
      <c r="AB23" s="78">
        <v>0</v>
      </c>
      <c r="AC23" s="78">
        <v>3</v>
      </c>
      <c r="AD23" s="78">
        <v>0</v>
      </c>
      <c r="AE23" s="78">
        <v>0</v>
      </c>
      <c r="AF23" s="78">
        <v>0</v>
      </c>
      <c r="AG23" s="78">
        <v>0</v>
      </c>
      <c r="AH23" s="78">
        <v>0</v>
      </c>
      <c r="AI23" s="93">
        <v>0</v>
      </c>
      <c r="AJ23" s="79">
        <v>103</v>
      </c>
      <c r="AK23" s="72">
        <v>103</v>
      </c>
      <c r="AL23" s="92">
        <f t="shared" si="0"/>
        <v>0</v>
      </c>
    </row>
    <row r="24" spans="1:38" ht="27.75" customHeight="1">
      <c r="A24" s="76">
        <v>21</v>
      </c>
      <c r="B24" s="77" t="s">
        <v>36</v>
      </c>
      <c r="C24" s="78">
        <v>43</v>
      </c>
      <c r="D24" s="78">
        <v>0</v>
      </c>
      <c r="E24" s="78">
        <v>0</v>
      </c>
      <c r="F24" s="78">
        <v>4</v>
      </c>
      <c r="G24" s="78">
        <v>1</v>
      </c>
      <c r="H24" s="78">
        <v>0</v>
      </c>
      <c r="I24" s="78">
        <v>0</v>
      </c>
      <c r="J24" s="78">
        <v>6</v>
      </c>
      <c r="K24" s="78">
        <v>2</v>
      </c>
      <c r="L24" s="78">
        <v>0</v>
      </c>
      <c r="M24" s="78">
        <v>0</v>
      </c>
      <c r="N24" s="78">
        <v>0</v>
      </c>
      <c r="O24" s="78">
        <v>0</v>
      </c>
      <c r="P24" s="78">
        <v>0</v>
      </c>
      <c r="Q24" s="78">
        <v>2</v>
      </c>
      <c r="R24" s="78">
        <v>0</v>
      </c>
      <c r="S24" s="78">
        <v>0</v>
      </c>
      <c r="T24" s="78">
        <v>0</v>
      </c>
      <c r="U24" s="78">
        <v>0</v>
      </c>
      <c r="V24" s="78">
        <v>0</v>
      </c>
      <c r="W24" s="78">
        <v>0</v>
      </c>
      <c r="X24" s="78">
        <v>2</v>
      </c>
      <c r="Y24" s="78">
        <v>0</v>
      </c>
      <c r="Z24" s="78">
        <v>1</v>
      </c>
      <c r="AA24" s="78">
        <v>0</v>
      </c>
      <c r="AB24" s="78">
        <v>0</v>
      </c>
      <c r="AC24" s="78">
        <v>0</v>
      </c>
      <c r="AD24" s="78">
        <v>0</v>
      </c>
      <c r="AE24" s="78">
        <v>0</v>
      </c>
      <c r="AF24" s="78">
        <v>1</v>
      </c>
      <c r="AG24" s="78">
        <v>0</v>
      </c>
      <c r="AH24" s="78">
        <v>0</v>
      </c>
      <c r="AI24" s="93">
        <v>0</v>
      </c>
      <c r="AJ24" s="79">
        <v>62</v>
      </c>
      <c r="AK24" s="72">
        <v>62</v>
      </c>
      <c r="AL24" s="92">
        <f t="shared" si="0"/>
        <v>0</v>
      </c>
    </row>
    <row r="25" spans="1:38" ht="27.75" customHeight="1">
      <c r="A25" s="76">
        <v>22</v>
      </c>
      <c r="B25" s="77" t="s">
        <v>37</v>
      </c>
      <c r="C25" s="78">
        <v>33</v>
      </c>
      <c r="D25" s="78">
        <v>1</v>
      </c>
      <c r="E25" s="78">
        <v>0</v>
      </c>
      <c r="F25" s="78">
        <v>0</v>
      </c>
      <c r="G25" s="78">
        <v>0</v>
      </c>
      <c r="H25" s="78">
        <v>0</v>
      </c>
      <c r="I25" s="78">
        <v>0</v>
      </c>
      <c r="J25" s="78">
        <v>2</v>
      </c>
      <c r="K25" s="78">
        <v>0</v>
      </c>
      <c r="L25" s="78">
        <v>0</v>
      </c>
      <c r="M25" s="78">
        <v>0</v>
      </c>
      <c r="N25" s="78">
        <v>0</v>
      </c>
      <c r="O25" s="78">
        <v>0</v>
      </c>
      <c r="P25" s="78">
        <v>0</v>
      </c>
      <c r="Q25" s="78">
        <v>0</v>
      </c>
      <c r="R25" s="78">
        <v>0</v>
      </c>
      <c r="S25" s="78">
        <v>1</v>
      </c>
      <c r="T25" s="78">
        <v>0</v>
      </c>
      <c r="U25" s="78">
        <v>0</v>
      </c>
      <c r="V25" s="78">
        <v>0</v>
      </c>
      <c r="W25" s="78">
        <v>0</v>
      </c>
      <c r="X25" s="78">
        <v>1</v>
      </c>
      <c r="Y25" s="78">
        <v>0</v>
      </c>
      <c r="Z25" s="78">
        <v>0</v>
      </c>
      <c r="AA25" s="78">
        <v>0</v>
      </c>
      <c r="AB25" s="78">
        <v>0</v>
      </c>
      <c r="AC25" s="78">
        <v>0</v>
      </c>
      <c r="AD25" s="78">
        <v>0</v>
      </c>
      <c r="AE25" s="78">
        <v>0</v>
      </c>
      <c r="AF25" s="78">
        <v>0</v>
      </c>
      <c r="AG25" s="78">
        <v>0</v>
      </c>
      <c r="AH25" s="78">
        <v>0</v>
      </c>
      <c r="AI25" s="93">
        <v>1</v>
      </c>
      <c r="AJ25" s="79">
        <v>39</v>
      </c>
      <c r="AK25" s="72">
        <v>39</v>
      </c>
      <c r="AL25" s="92">
        <f t="shared" si="0"/>
        <v>0</v>
      </c>
    </row>
    <row r="26" spans="1:38" ht="27.75" customHeight="1">
      <c r="A26" s="76">
        <v>23</v>
      </c>
      <c r="B26" s="77" t="s">
        <v>38</v>
      </c>
      <c r="C26" s="78">
        <v>53</v>
      </c>
      <c r="D26" s="78">
        <v>0</v>
      </c>
      <c r="E26" s="78">
        <v>0</v>
      </c>
      <c r="F26" s="78">
        <v>2</v>
      </c>
      <c r="G26" s="78">
        <v>0</v>
      </c>
      <c r="H26" s="78">
        <v>0</v>
      </c>
      <c r="I26" s="78">
        <v>0</v>
      </c>
      <c r="J26" s="78">
        <v>5</v>
      </c>
      <c r="K26" s="78">
        <v>1</v>
      </c>
      <c r="L26" s="78">
        <v>1</v>
      </c>
      <c r="M26" s="78">
        <v>0</v>
      </c>
      <c r="N26" s="78">
        <v>0</v>
      </c>
      <c r="O26" s="78">
        <v>0</v>
      </c>
      <c r="P26" s="78">
        <v>0</v>
      </c>
      <c r="Q26" s="78">
        <v>3</v>
      </c>
      <c r="R26" s="78">
        <v>0</v>
      </c>
      <c r="S26" s="78">
        <v>0</v>
      </c>
      <c r="T26" s="78">
        <v>0</v>
      </c>
      <c r="U26" s="78">
        <v>0</v>
      </c>
      <c r="V26" s="78">
        <v>0</v>
      </c>
      <c r="W26" s="78">
        <v>0</v>
      </c>
      <c r="X26" s="78">
        <v>1</v>
      </c>
      <c r="Y26" s="78">
        <v>0</v>
      </c>
      <c r="Z26" s="78">
        <v>1</v>
      </c>
      <c r="AA26" s="78">
        <v>0</v>
      </c>
      <c r="AB26" s="78">
        <v>0</v>
      </c>
      <c r="AC26" s="78">
        <v>0</v>
      </c>
      <c r="AD26" s="78">
        <v>0</v>
      </c>
      <c r="AE26" s="78">
        <v>0</v>
      </c>
      <c r="AF26" s="78">
        <v>0</v>
      </c>
      <c r="AG26" s="78">
        <v>0</v>
      </c>
      <c r="AH26" s="78">
        <v>0</v>
      </c>
      <c r="AI26" s="93">
        <v>0</v>
      </c>
      <c r="AJ26" s="79">
        <v>67</v>
      </c>
      <c r="AK26" s="72">
        <v>67</v>
      </c>
      <c r="AL26" s="92">
        <f t="shared" si="0"/>
        <v>0</v>
      </c>
    </row>
    <row r="27" spans="1:38" ht="27.75" customHeight="1">
      <c r="A27" s="76">
        <v>24</v>
      </c>
      <c r="B27" s="77" t="s">
        <v>39</v>
      </c>
      <c r="C27" s="78">
        <v>768</v>
      </c>
      <c r="D27" s="78">
        <v>0</v>
      </c>
      <c r="E27" s="78">
        <v>2</v>
      </c>
      <c r="F27" s="78">
        <v>45</v>
      </c>
      <c r="G27" s="78">
        <v>1</v>
      </c>
      <c r="H27" s="78">
        <v>7</v>
      </c>
      <c r="I27" s="78">
        <v>1</v>
      </c>
      <c r="J27" s="78">
        <v>24</v>
      </c>
      <c r="K27" s="78">
        <v>75</v>
      </c>
      <c r="L27" s="78">
        <v>7</v>
      </c>
      <c r="M27" s="78">
        <v>0</v>
      </c>
      <c r="N27" s="78">
        <v>0</v>
      </c>
      <c r="O27" s="78">
        <v>19</v>
      </c>
      <c r="P27" s="78">
        <v>1</v>
      </c>
      <c r="Q27" s="78">
        <v>18</v>
      </c>
      <c r="R27" s="78">
        <v>50</v>
      </c>
      <c r="S27" s="78">
        <v>3</v>
      </c>
      <c r="T27" s="78">
        <v>2</v>
      </c>
      <c r="U27" s="78">
        <v>2</v>
      </c>
      <c r="V27" s="78">
        <v>4</v>
      </c>
      <c r="W27" s="78">
        <v>7</v>
      </c>
      <c r="X27" s="78">
        <v>33</v>
      </c>
      <c r="Y27" s="78">
        <v>4</v>
      </c>
      <c r="Z27" s="78">
        <v>19</v>
      </c>
      <c r="AA27" s="78">
        <v>1</v>
      </c>
      <c r="AB27" s="78">
        <v>0</v>
      </c>
      <c r="AC27" s="78">
        <v>15</v>
      </c>
      <c r="AD27" s="78">
        <v>4</v>
      </c>
      <c r="AE27" s="78">
        <v>61</v>
      </c>
      <c r="AF27" s="78">
        <v>15</v>
      </c>
      <c r="AG27" s="78">
        <v>2</v>
      </c>
      <c r="AH27" s="78">
        <v>5</v>
      </c>
      <c r="AI27" s="93">
        <v>0</v>
      </c>
      <c r="AJ27" s="79">
        <v>1195</v>
      </c>
      <c r="AK27" s="72">
        <v>1195</v>
      </c>
      <c r="AL27" s="92">
        <f t="shared" si="0"/>
        <v>0</v>
      </c>
    </row>
    <row r="28" spans="1:38" ht="27.75" customHeight="1">
      <c r="A28" s="76">
        <v>25</v>
      </c>
      <c r="B28" s="77" t="s">
        <v>40</v>
      </c>
      <c r="C28" s="78">
        <v>38</v>
      </c>
      <c r="D28" s="78">
        <v>1</v>
      </c>
      <c r="E28" s="78">
        <v>0</v>
      </c>
      <c r="F28" s="78">
        <v>0</v>
      </c>
      <c r="G28" s="78">
        <v>0</v>
      </c>
      <c r="H28" s="78">
        <v>0</v>
      </c>
      <c r="I28" s="78">
        <v>0</v>
      </c>
      <c r="J28" s="78">
        <v>7</v>
      </c>
      <c r="K28" s="78">
        <v>4</v>
      </c>
      <c r="L28" s="78">
        <v>0</v>
      </c>
      <c r="M28" s="78">
        <v>0</v>
      </c>
      <c r="N28" s="78">
        <v>0</v>
      </c>
      <c r="O28" s="78">
        <v>1</v>
      </c>
      <c r="P28" s="78">
        <v>0</v>
      </c>
      <c r="Q28" s="78">
        <v>2</v>
      </c>
      <c r="R28" s="78">
        <v>2</v>
      </c>
      <c r="S28" s="78">
        <v>0</v>
      </c>
      <c r="T28" s="78">
        <v>0</v>
      </c>
      <c r="U28" s="78">
        <v>0</v>
      </c>
      <c r="V28" s="78">
        <v>0</v>
      </c>
      <c r="W28" s="78">
        <v>4</v>
      </c>
      <c r="X28" s="78">
        <v>6</v>
      </c>
      <c r="Y28" s="78">
        <v>0</v>
      </c>
      <c r="Z28" s="78">
        <v>2</v>
      </c>
      <c r="AA28" s="78">
        <v>0</v>
      </c>
      <c r="AB28" s="78">
        <v>0</v>
      </c>
      <c r="AC28" s="78">
        <v>1</v>
      </c>
      <c r="AD28" s="78">
        <v>0</v>
      </c>
      <c r="AE28" s="78">
        <v>1</v>
      </c>
      <c r="AF28" s="78">
        <v>0</v>
      </c>
      <c r="AG28" s="78">
        <v>0</v>
      </c>
      <c r="AH28" s="78">
        <v>1</v>
      </c>
      <c r="AI28" s="93">
        <v>0</v>
      </c>
      <c r="AJ28" s="79">
        <v>70</v>
      </c>
      <c r="AK28" s="72">
        <v>70</v>
      </c>
      <c r="AL28" s="92">
        <f t="shared" si="0"/>
        <v>0</v>
      </c>
    </row>
    <row r="29" spans="1:38" ht="27.75" customHeight="1">
      <c r="A29" s="76">
        <v>26</v>
      </c>
      <c r="B29" s="77" t="s">
        <v>41</v>
      </c>
      <c r="C29" s="78">
        <v>470</v>
      </c>
      <c r="D29" s="78">
        <v>2</v>
      </c>
      <c r="E29" s="78">
        <v>2</v>
      </c>
      <c r="F29" s="78">
        <v>19</v>
      </c>
      <c r="G29" s="78">
        <v>6</v>
      </c>
      <c r="H29" s="78">
        <v>18</v>
      </c>
      <c r="I29" s="78">
        <v>0</v>
      </c>
      <c r="J29" s="78">
        <v>171</v>
      </c>
      <c r="K29" s="78">
        <v>79</v>
      </c>
      <c r="L29" s="78">
        <v>1</v>
      </c>
      <c r="M29" s="78">
        <v>0</v>
      </c>
      <c r="N29" s="78">
        <v>0</v>
      </c>
      <c r="O29" s="78">
        <v>11</v>
      </c>
      <c r="P29" s="78">
        <v>0</v>
      </c>
      <c r="Q29" s="78">
        <v>19</v>
      </c>
      <c r="R29" s="78">
        <v>37</v>
      </c>
      <c r="S29" s="78">
        <v>5</v>
      </c>
      <c r="T29" s="78">
        <v>14</v>
      </c>
      <c r="U29" s="78">
        <v>13</v>
      </c>
      <c r="V29" s="78">
        <v>3</v>
      </c>
      <c r="W29" s="78">
        <v>2</v>
      </c>
      <c r="X29" s="78">
        <v>92</v>
      </c>
      <c r="Y29" s="78">
        <v>0</v>
      </c>
      <c r="Z29" s="78">
        <v>16</v>
      </c>
      <c r="AA29" s="78">
        <v>2</v>
      </c>
      <c r="AB29" s="78">
        <v>0</v>
      </c>
      <c r="AC29" s="78">
        <v>28</v>
      </c>
      <c r="AD29" s="78">
        <v>6</v>
      </c>
      <c r="AE29" s="78">
        <v>0</v>
      </c>
      <c r="AF29" s="78">
        <v>2</v>
      </c>
      <c r="AG29" s="78">
        <v>0</v>
      </c>
      <c r="AH29" s="78">
        <v>9</v>
      </c>
      <c r="AI29" s="93">
        <v>3</v>
      </c>
      <c r="AJ29" s="79">
        <v>1030</v>
      </c>
      <c r="AK29" s="72">
        <v>1030</v>
      </c>
      <c r="AL29" s="92">
        <f t="shared" si="0"/>
        <v>0</v>
      </c>
    </row>
    <row r="30" spans="1:38" ht="27.75" customHeight="1">
      <c r="A30" s="76">
        <v>27</v>
      </c>
      <c r="B30" s="77" t="s">
        <v>42</v>
      </c>
      <c r="C30" s="78">
        <v>2282</v>
      </c>
      <c r="D30" s="78">
        <v>20</v>
      </c>
      <c r="E30" s="78">
        <v>4</v>
      </c>
      <c r="F30" s="78">
        <v>105</v>
      </c>
      <c r="G30" s="78">
        <v>4</v>
      </c>
      <c r="H30" s="78">
        <v>7</v>
      </c>
      <c r="I30" s="78">
        <v>0</v>
      </c>
      <c r="J30" s="78">
        <v>392</v>
      </c>
      <c r="K30" s="78">
        <v>95</v>
      </c>
      <c r="L30" s="78">
        <v>2</v>
      </c>
      <c r="M30" s="78">
        <v>2</v>
      </c>
      <c r="N30" s="78">
        <v>1</v>
      </c>
      <c r="O30" s="78">
        <v>4</v>
      </c>
      <c r="P30" s="78">
        <v>0</v>
      </c>
      <c r="Q30" s="78">
        <v>89</v>
      </c>
      <c r="R30" s="78">
        <v>14</v>
      </c>
      <c r="S30" s="78">
        <v>5</v>
      </c>
      <c r="T30" s="78">
        <v>16</v>
      </c>
      <c r="U30" s="78">
        <v>5</v>
      </c>
      <c r="V30" s="78">
        <v>5</v>
      </c>
      <c r="W30" s="78">
        <v>8</v>
      </c>
      <c r="X30" s="78">
        <v>114</v>
      </c>
      <c r="Y30" s="78">
        <v>0</v>
      </c>
      <c r="Z30" s="78">
        <v>17</v>
      </c>
      <c r="AA30" s="78">
        <v>13</v>
      </c>
      <c r="AB30" s="78">
        <v>0</v>
      </c>
      <c r="AC30" s="78">
        <v>60</v>
      </c>
      <c r="AD30" s="78">
        <v>6</v>
      </c>
      <c r="AE30" s="78">
        <v>43</v>
      </c>
      <c r="AF30" s="78">
        <v>10</v>
      </c>
      <c r="AG30" s="78">
        <v>0</v>
      </c>
      <c r="AH30" s="78">
        <v>10</v>
      </c>
      <c r="AI30" s="93">
        <v>6</v>
      </c>
      <c r="AJ30" s="79">
        <v>3339</v>
      </c>
      <c r="AK30" s="72">
        <v>3338</v>
      </c>
      <c r="AL30" s="92">
        <f t="shared" si="0"/>
        <v>1</v>
      </c>
    </row>
    <row r="31" spans="1:38" ht="27.75" customHeight="1">
      <c r="A31" s="76">
        <v>28</v>
      </c>
      <c r="B31" s="77" t="s">
        <v>43</v>
      </c>
      <c r="C31" s="78">
        <v>8</v>
      </c>
      <c r="D31" s="78">
        <v>1</v>
      </c>
      <c r="E31" s="78">
        <v>0</v>
      </c>
      <c r="F31" s="78">
        <v>0</v>
      </c>
      <c r="G31" s="78">
        <v>0</v>
      </c>
      <c r="H31" s="78">
        <v>0</v>
      </c>
      <c r="I31" s="78">
        <v>0</v>
      </c>
      <c r="J31" s="78">
        <v>1</v>
      </c>
      <c r="K31" s="78">
        <v>1</v>
      </c>
      <c r="L31" s="78">
        <v>0</v>
      </c>
      <c r="M31" s="78">
        <v>0</v>
      </c>
      <c r="N31" s="78">
        <v>0</v>
      </c>
      <c r="O31" s="78">
        <v>0</v>
      </c>
      <c r="P31" s="78">
        <v>0</v>
      </c>
      <c r="Q31" s="78">
        <v>0</v>
      </c>
      <c r="R31" s="78">
        <v>0</v>
      </c>
      <c r="S31" s="78">
        <v>0</v>
      </c>
      <c r="T31" s="78">
        <v>0</v>
      </c>
      <c r="U31" s="78">
        <v>0</v>
      </c>
      <c r="V31" s="78">
        <v>0</v>
      </c>
      <c r="W31" s="78">
        <v>1</v>
      </c>
      <c r="X31" s="78">
        <v>2</v>
      </c>
      <c r="Y31" s="78">
        <v>0</v>
      </c>
      <c r="Z31" s="78">
        <v>2</v>
      </c>
      <c r="AA31" s="78">
        <v>0</v>
      </c>
      <c r="AB31" s="78">
        <v>0</v>
      </c>
      <c r="AC31" s="78">
        <v>1</v>
      </c>
      <c r="AD31" s="78">
        <v>0</v>
      </c>
      <c r="AE31" s="78">
        <v>1</v>
      </c>
      <c r="AF31" s="78">
        <v>1</v>
      </c>
      <c r="AG31" s="78">
        <v>0</v>
      </c>
      <c r="AH31" s="78">
        <v>0</v>
      </c>
      <c r="AI31" s="93">
        <v>0</v>
      </c>
      <c r="AJ31" s="79">
        <v>19</v>
      </c>
      <c r="AK31" s="72">
        <v>19</v>
      </c>
      <c r="AL31" s="92">
        <f t="shared" si="0"/>
        <v>0</v>
      </c>
    </row>
    <row r="32" spans="1:38" ht="27.75" customHeight="1">
      <c r="A32" s="76">
        <v>29</v>
      </c>
      <c r="B32" s="77" t="s">
        <v>44</v>
      </c>
      <c r="C32" s="78">
        <v>1259</v>
      </c>
      <c r="D32" s="768">
        <v>32</v>
      </c>
      <c r="E32" s="78">
        <v>30</v>
      </c>
      <c r="F32" s="78">
        <v>47</v>
      </c>
      <c r="G32" s="78">
        <v>2</v>
      </c>
      <c r="H32" s="78">
        <v>16</v>
      </c>
      <c r="I32" s="78">
        <v>0</v>
      </c>
      <c r="J32" s="78">
        <v>258</v>
      </c>
      <c r="K32" s="78">
        <v>430</v>
      </c>
      <c r="L32" s="78">
        <v>2</v>
      </c>
      <c r="M32" s="78">
        <v>6</v>
      </c>
      <c r="N32" s="78">
        <v>1</v>
      </c>
      <c r="O32" s="78">
        <v>0</v>
      </c>
      <c r="P32" s="78">
        <v>0</v>
      </c>
      <c r="Q32" s="78">
        <v>19</v>
      </c>
      <c r="R32" s="78">
        <v>35</v>
      </c>
      <c r="S32" s="78">
        <v>36</v>
      </c>
      <c r="T32" s="78">
        <v>6</v>
      </c>
      <c r="U32" s="78">
        <v>15</v>
      </c>
      <c r="V32" s="78">
        <v>9</v>
      </c>
      <c r="W32" s="78">
        <v>78</v>
      </c>
      <c r="X32" s="78">
        <v>162</v>
      </c>
      <c r="Y32" s="78">
        <v>2</v>
      </c>
      <c r="Z32" s="78">
        <v>66</v>
      </c>
      <c r="AA32" s="78">
        <v>43</v>
      </c>
      <c r="AB32" s="78">
        <v>4</v>
      </c>
      <c r="AC32" s="78">
        <v>50</v>
      </c>
      <c r="AD32" s="78">
        <v>22</v>
      </c>
      <c r="AE32" s="78">
        <v>1</v>
      </c>
      <c r="AF32" s="78">
        <v>9</v>
      </c>
      <c r="AG32" s="78">
        <v>1</v>
      </c>
      <c r="AH32" s="78">
        <v>12</v>
      </c>
      <c r="AI32" s="93">
        <v>4</v>
      </c>
      <c r="AJ32" s="79">
        <v>2657</v>
      </c>
      <c r="AK32" s="72">
        <v>2657</v>
      </c>
      <c r="AL32" s="92">
        <f t="shared" si="0"/>
        <v>0</v>
      </c>
    </row>
    <row r="33" spans="1:38" ht="27.75" customHeight="1">
      <c r="A33" s="76">
        <v>30</v>
      </c>
      <c r="B33" s="77" t="s">
        <v>142</v>
      </c>
      <c r="C33" s="78">
        <v>1403</v>
      </c>
      <c r="D33" s="78">
        <v>0</v>
      </c>
      <c r="E33" s="78">
        <v>8</v>
      </c>
      <c r="F33" s="78">
        <v>4</v>
      </c>
      <c r="G33" s="78">
        <v>15</v>
      </c>
      <c r="H33" s="78">
        <v>5</v>
      </c>
      <c r="I33" s="78">
        <v>0</v>
      </c>
      <c r="J33" s="78">
        <v>70</v>
      </c>
      <c r="K33" s="78">
        <v>175</v>
      </c>
      <c r="L33" s="78">
        <v>2</v>
      </c>
      <c r="M33" s="78">
        <v>0</v>
      </c>
      <c r="N33" s="78">
        <v>0</v>
      </c>
      <c r="O33" s="78">
        <v>32</v>
      </c>
      <c r="P33" s="78">
        <v>1</v>
      </c>
      <c r="Q33" s="78">
        <v>12</v>
      </c>
      <c r="R33" s="78">
        <v>63</v>
      </c>
      <c r="S33" s="78">
        <v>17</v>
      </c>
      <c r="T33" s="78">
        <v>3</v>
      </c>
      <c r="U33" s="78">
        <v>12</v>
      </c>
      <c r="V33" s="78">
        <v>3</v>
      </c>
      <c r="W33" s="78">
        <v>17</v>
      </c>
      <c r="X33" s="78">
        <v>52</v>
      </c>
      <c r="Y33" s="78">
        <v>4</v>
      </c>
      <c r="Z33" s="78">
        <v>12</v>
      </c>
      <c r="AA33" s="78">
        <v>9</v>
      </c>
      <c r="AB33" s="78">
        <v>0</v>
      </c>
      <c r="AC33" s="78">
        <v>83</v>
      </c>
      <c r="AD33" s="78">
        <v>16</v>
      </c>
      <c r="AE33" s="78">
        <v>0</v>
      </c>
      <c r="AF33" s="78">
        <v>3</v>
      </c>
      <c r="AG33" s="78">
        <v>1</v>
      </c>
      <c r="AH33" s="78">
        <v>3</v>
      </c>
      <c r="AI33" s="93">
        <v>0</v>
      </c>
      <c r="AJ33" s="79">
        <v>2025</v>
      </c>
      <c r="AK33" s="72">
        <v>2025</v>
      </c>
      <c r="AL33" s="92">
        <f t="shared" si="0"/>
        <v>0</v>
      </c>
    </row>
    <row r="34" spans="1:38" ht="39" customHeight="1">
      <c r="A34" s="76">
        <v>31</v>
      </c>
      <c r="B34" s="868" t="s">
        <v>173</v>
      </c>
      <c r="C34" s="78">
        <v>5</v>
      </c>
      <c r="D34" s="78">
        <v>0</v>
      </c>
      <c r="E34" s="78">
        <v>0</v>
      </c>
      <c r="F34" s="78">
        <v>0</v>
      </c>
      <c r="G34" s="78">
        <v>0</v>
      </c>
      <c r="H34" s="78">
        <v>1</v>
      </c>
      <c r="I34" s="78">
        <v>0</v>
      </c>
      <c r="J34" s="78">
        <v>1</v>
      </c>
      <c r="K34" s="78">
        <v>5</v>
      </c>
      <c r="L34" s="78">
        <v>0</v>
      </c>
      <c r="M34" s="78">
        <v>0</v>
      </c>
      <c r="N34" s="78">
        <v>0</v>
      </c>
      <c r="O34" s="78">
        <v>0</v>
      </c>
      <c r="P34" s="78">
        <v>0</v>
      </c>
      <c r="Q34" s="78">
        <v>0</v>
      </c>
      <c r="R34" s="78">
        <v>0</v>
      </c>
      <c r="S34" s="78">
        <v>0</v>
      </c>
      <c r="T34" s="78">
        <v>0</v>
      </c>
      <c r="U34" s="78">
        <v>1</v>
      </c>
      <c r="V34" s="78">
        <v>0</v>
      </c>
      <c r="W34" s="78">
        <v>2</v>
      </c>
      <c r="X34" s="78">
        <v>2</v>
      </c>
      <c r="Y34" s="78">
        <v>0</v>
      </c>
      <c r="Z34" s="78">
        <v>1</v>
      </c>
      <c r="AA34" s="78">
        <v>0</v>
      </c>
      <c r="AB34" s="78">
        <v>0</v>
      </c>
      <c r="AC34" s="78">
        <v>1</v>
      </c>
      <c r="AD34" s="78">
        <v>0</v>
      </c>
      <c r="AE34" s="78">
        <v>0</v>
      </c>
      <c r="AF34" s="78">
        <v>0</v>
      </c>
      <c r="AG34" s="78">
        <v>0</v>
      </c>
      <c r="AH34" s="78">
        <v>0</v>
      </c>
      <c r="AI34" s="93">
        <v>0</v>
      </c>
      <c r="AJ34" s="79">
        <v>19</v>
      </c>
      <c r="AK34" s="72">
        <v>19</v>
      </c>
      <c r="AL34" s="92">
        <f t="shared" si="0"/>
        <v>0</v>
      </c>
    </row>
    <row r="35" spans="1:38" ht="27.75" customHeight="1">
      <c r="A35" s="76">
        <v>32</v>
      </c>
      <c r="B35" s="77" t="s">
        <v>45</v>
      </c>
      <c r="C35" s="78">
        <v>45</v>
      </c>
      <c r="D35" s="78">
        <v>0</v>
      </c>
      <c r="E35" s="78">
        <v>0</v>
      </c>
      <c r="F35" s="78">
        <v>0</v>
      </c>
      <c r="G35" s="78">
        <v>0</v>
      </c>
      <c r="H35" s="78">
        <v>0</v>
      </c>
      <c r="I35" s="78">
        <v>0</v>
      </c>
      <c r="J35" s="78">
        <v>1</v>
      </c>
      <c r="K35" s="78">
        <v>5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  <c r="Q35" s="78">
        <v>0</v>
      </c>
      <c r="R35" s="78">
        <v>0</v>
      </c>
      <c r="S35" s="78">
        <v>0</v>
      </c>
      <c r="T35" s="78">
        <v>0</v>
      </c>
      <c r="U35" s="78">
        <v>0</v>
      </c>
      <c r="V35" s="78">
        <v>0</v>
      </c>
      <c r="W35" s="78">
        <v>0</v>
      </c>
      <c r="X35" s="78">
        <v>0</v>
      </c>
      <c r="Y35" s="78">
        <v>0</v>
      </c>
      <c r="Z35" s="78">
        <v>1</v>
      </c>
      <c r="AA35" s="78">
        <v>0</v>
      </c>
      <c r="AB35" s="78">
        <v>0</v>
      </c>
      <c r="AC35" s="78">
        <v>0</v>
      </c>
      <c r="AD35" s="78">
        <v>0</v>
      </c>
      <c r="AE35" s="78">
        <v>0</v>
      </c>
      <c r="AF35" s="78">
        <v>0</v>
      </c>
      <c r="AG35" s="78">
        <v>0</v>
      </c>
      <c r="AH35" s="78">
        <v>0</v>
      </c>
      <c r="AI35" s="93">
        <v>1</v>
      </c>
      <c r="AJ35" s="79">
        <v>53</v>
      </c>
      <c r="AK35" s="72">
        <v>53</v>
      </c>
      <c r="AL35" s="92">
        <f t="shared" si="0"/>
        <v>0</v>
      </c>
    </row>
    <row r="36" spans="1:38" ht="27.75" customHeight="1">
      <c r="A36" s="76">
        <v>33</v>
      </c>
      <c r="B36" s="77" t="s">
        <v>47</v>
      </c>
      <c r="C36" s="78">
        <v>5449</v>
      </c>
      <c r="D36" s="78">
        <v>18</v>
      </c>
      <c r="E36" s="78">
        <v>9</v>
      </c>
      <c r="F36" s="78">
        <v>199</v>
      </c>
      <c r="G36" s="78">
        <v>5</v>
      </c>
      <c r="H36" s="78">
        <v>10</v>
      </c>
      <c r="I36" s="78">
        <v>0</v>
      </c>
      <c r="J36" s="78">
        <v>277</v>
      </c>
      <c r="K36" s="78">
        <v>218</v>
      </c>
      <c r="L36" s="78">
        <v>6</v>
      </c>
      <c r="M36" s="78">
        <v>0</v>
      </c>
      <c r="N36" s="78">
        <v>1</v>
      </c>
      <c r="O36" s="78">
        <v>22</v>
      </c>
      <c r="P36" s="78">
        <v>1</v>
      </c>
      <c r="Q36" s="78">
        <v>147</v>
      </c>
      <c r="R36" s="78">
        <v>78</v>
      </c>
      <c r="S36" s="78">
        <v>20</v>
      </c>
      <c r="T36" s="78">
        <v>17</v>
      </c>
      <c r="U36" s="78">
        <v>13</v>
      </c>
      <c r="V36" s="78">
        <v>7</v>
      </c>
      <c r="W36" s="78">
        <v>9</v>
      </c>
      <c r="X36" s="78">
        <v>84</v>
      </c>
      <c r="Y36" s="78">
        <v>26</v>
      </c>
      <c r="Z36" s="78">
        <v>28</v>
      </c>
      <c r="AA36" s="78">
        <v>32</v>
      </c>
      <c r="AB36" s="78">
        <v>1</v>
      </c>
      <c r="AC36" s="78">
        <v>158</v>
      </c>
      <c r="AD36" s="78">
        <v>1</v>
      </c>
      <c r="AE36" s="78">
        <v>259</v>
      </c>
      <c r="AF36" s="78">
        <v>23</v>
      </c>
      <c r="AG36" s="78">
        <v>1</v>
      </c>
      <c r="AH36" s="78">
        <v>7</v>
      </c>
      <c r="AI36" s="93">
        <v>1</v>
      </c>
      <c r="AJ36" s="79">
        <v>7127</v>
      </c>
      <c r="AK36" s="72">
        <v>7121</v>
      </c>
      <c r="AL36" s="92">
        <f t="shared" si="0"/>
        <v>6</v>
      </c>
    </row>
    <row r="37" spans="1:38" ht="27.75" customHeight="1">
      <c r="A37" s="76">
        <v>34</v>
      </c>
      <c r="B37" s="77" t="s">
        <v>46</v>
      </c>
      <c r="C37" s="78">
        <v>248</v>
      </c>
      <c r="D37" s="78">
        <v>4</v>
      </c>
      <c r="E37" s="78">
        <v>2</v>
      </c>
      <c r="F37" s="78">
        <v>6</v>
      </c>
      <c r="G37" s="78">
        <v>0</v>
      </c>
      <c r="H37" s="78">
        <v>3</v>
      </c>
      <c r="I37" s="78">
        <v>0</v>
      </c>
      <c r="J37" s="78">
        <v>24</v>
      </c>
      <c r="K37" s="78">
        <v>24</v>
      </c>
      <c r="L37" s="78">
        <v>0</v>
      </c>
      <c r="M37" s="78">
        <v>0</v>
      </c>
      <c r="N37" s="78">
        <v>0</v>
      </c>
      <c r="O37" s="78">
        <v>4</v>
      </c>
      <c r="P37" s="78">
        <v>0</v>
      </c>
      <c r="Q37" s="78">
        <v>10</v>
      </c>
      <c r="R37" s="78">
        <v>7</v>
      </c>
      <c r="S37" s="78">
        <v>0</v>
      </c>
      <c r="T37" s="78">
        <v>9</v>
      </c>
      <c r="U37" s="78">
        <v>2</v>
      </c>
      <c r="V37" s="78">
        <v>0</v>
      </c>
      <c r="W37" s="78">
        <v>7</v>
      </c>
      <c r="X37" s="78">
        <v>12</v>
      </c>
      <c r="Y37" s="78">
        <v>9</v>
      </c>
      <c r="Z37" s="78">
        <v>2</v>
      </c>
      <c r="AA37" s="78">
        <v>2</v>
      </c>
      <c r="AB37" s="78">
        <v>2</v>
      </c>
      <c r="AC37" s="78">
        <v>14</v>
      </c>
      <c r="AD37" s="78">
        <v>0</v>
      </c>
      <c r="AE37" s="78">
        <v>10</v>
      </c>
      <c r="AF37" s="78">
        <v>1</v>
      </c>
      <c r="AG37" s="78">
        <v>0</v>
      </c>
      <c r="AH37" s="78">
        <v>1</v>
      </c>
      <c r="AI37" s="93">
        <v>0</v>
      </c>
      <c r="AJ37" s="79">
        <v>403</v>
      </c>
      <c r="AK37" s="72">
        <v>403</v>
      </c>
      <c r="AL37" s="92">
        <f t="shared" si="0"/>
        <v>0</v>
      </c>
    </row>
    <row r="38" spans="1:38" ht="27.75" customHeight="1">
      <c r="A38" s="76">
        <v>35</v>
      </c>
      <c r="B38" s="77" t="s">
        <v>48</v>
      </c>
      <c r="C38" s="78">
        <v>746</v>
      </c>
      <c r="D38" s="78">
        <v>1</v>
      </c>
      <c r="E38" s="78">
        <v>0</v>
      </c>
      <c r="F38" s="78">
        <v>8</v>
      </c>
      <c r="G38" s="78">
        <v>1</v>
      </c>
      <c r="H38" s="78">
        <v>4</v>
      </c>
      <c r="I38" s="78">
        <v>0</v>
      </c>
      <c r="J38" s="78">
        <v>368</v>
      </c>
      <c r="K38" s="78">
        <v>27</v>
      </c>
      <c r="L38" s="78">
        <v>7</v>
      </c>
      <c r="M38" s="78">
        <v>2</v>
      </c>
      <c r="N38" s="78">
        <v>0</v>
      </c>
      <c r="O38" s="78">
        <v>9</v>
      </c>
      <c r="P38" s="78">
        <v>0</v>
      </c>
      <c r="Q38" s="78">
        <v>43</v>
      </c>
      <c r="R38" s="78">
        <v>12</v>
      </c>
      <c r="S38" s="78">
        <v>24</v>
      </c>
      <c r="T38" s="78">
        <v>4</v>
      </c>
      <c r="U38" s="78">
        <v>5</v>
      </c>
      <c r="V38" s="78">
        <v>11</v>
      </c>
      <c r="W38" s="78">
        <v>15</v>
      </c>
      <c r="X38" s="78">
        <v>98</v>
      </c>
      <c r="Y38" s="78">
        <v>0</v>
      </c>
      <c r="Z38" s="78">
        <v>16</v>
      </c>
      <c r="AA38" s="78">
        <v>8</v>
      </c>
      <c r="AB38" s="78">
        <v>0</v>
      </c>
      <c r="AC38" s="78">
        <v>22</v>
      </c>
      <c r="AD38" s="78">
        <v>6</v>
      </c>
      <c r="AE38" s="78">
        <v>2</v>
      </c>
      <c r="AF38" s="78">
        <v>1</v>
      </c>
      <c r="AG38" s="78">
        <v>0</v>
      </c>
      <c r="AH38" s="78">
        <v>2</v>
      </c>
      <c r="AI38" s="93">
        <v>0</v>
      </c>
      <c r="AJ38" s="79">
        <v>1442</v>
      </c>
      <c r="AK38" s="783">
        <v>1442</v>
      </c>
      <c r="AL38" s="92">
        <f t="shared" si="0"/>
        <v>0</v>
      </c>
    </row>
    <row r="39" spans="1:38" s="783" customFormat="1" ht="27.75" customHeight="1">
      <c r="A39" s="929" t="s">
        <v>49</v>
      </c>
      <c r="B39" s="929"/>
      <c r="C39" s="869">
        <v>24543</v>
      </c>
      <c r="D39" s="869">
        <v>319</v>
      </c>
      <c r="E39" s="869">
        <v>165</v>
      </c>
      <c r="F39" s="869">
        <v>739</v>
      </c>
      <c r="G39" s="869">
        <v>279</v>
      </c>
      <c r="H39" s="869">
        <v>298</v>
      </c>
      <c r="I39" s="869">
        <v>1</v>
      </c>
      <c r="J39" s="869">
        <v>4058</v>
      </c>
      <c r="K39" s="869">
        <v>3022</v>
      </c>
      <c r="L39" s="869">
        <v>85</v>
      </c>
      <c r="M39" s="869">
        <v>37</v>
      </c>
      <c r="N39" s="869">
        <v>23</v>
      </c>
      <c r="O39" s="869">
        <v>201</v>
      </c>
      <c r="P39" s="869">
        <v>7</v>
      </c>
      <c r="Q39" s="869">
        <v>768</v>
      </c>
      <c r="R39" s="869">
        <v>664</v>
      </c>
      <c r="S39" s="869">
        <v>291</v>
      </c>
      <c r="T39" s="869">
        <v>251</v>
      </c>
      <c r="U39" s="869">
        <v>195</v>
      </c>
      <c r="V39" s="869">
        <v>153</v>
      </c>
      <c r="W39" s="869">
        <v>451</v>
      </c>
      <c r="X39" s="869">
        <v>1804</v>
      </c>
      <c r="Y39" s="869">
        <v>57</v>
      </c>
      <c r="Z39" s="869">
        <v>408</v>
      </c>
      <c r="AA39" s="869">
        <v>215</v>
      </c>
      <c r="AB39" s="869">
        <v>26</v>
      </c>
      <c r="AC39" s="869">
        <v>1037</v>
      </c>
      <c r="AD39" s="869">
        <v>238</v>
      </c>
      <c r="AE39" s="869">
        <v>751</v>
      </c>
      <c r="AF39" s="869">
        <v>284</v>
      </c>
      <c r="AG39" s="869">
        <v>50</v>
      </c>
      <c r="AH39" s="869">
        <v>100</v>
      </c>
      <c r="AI39" s="869">
        <v>80</v>
      </c>
      <c r="AJ39" s="869">
        <v>41600</v>
      </c>
      <c r="AK39" s="72">
        <v>41592</v>
      </c>
      <c r="AL39" s="92">
        <f t="shared" si="0"/>
        <v>8</v>
      </c>
    </row>
    <row r="40" spans="1:38">
      <c r="AL40" s="92">
        <f t="shared" si="0"/>
        <v>0</v>
      </c>
    </row>
  </sheetData>
  <mergeCells count="5">
    <mergeCell ref="A1:B1"/>
    <mergeCell ref="C1:M1"/>
    <mergeCell ref="N1:W1"/>
    <mergeCell ref="X1:AH1"/>
    <mergeCell ref="A39:B39"/>
  </mergeCells>
  <pageMargins left="0.9055118110236221" right="0.27559055118110237" top="0.74803149606299213" bottom="0.47244094488188981" header="0.31496062992125984" footer="0.15748031496062992"/>
  <pageSetup paperSize="9" scale="62" firstPageNumber="6" orientation="portrait" useFirstPageNumber="1" r:id="rId1"/>
  <headerFooter>
    <oddFooter>&amp;LAISHE 2020-21&amp;CT-4a</oddFooter>
  </headerFooter>
  <colBreaks count="2" manualBreakCount="2">
    <brk id="13" max="40" man="1"/>
    <brk id="23" max="40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</sheetPr>
  <dimension ref="A1:U40"/>
  <sheetViews>
    <sheetView showZeros="0" view="pageBreakPreview" zoomScale="95" zoomScaleSheetLayoutView="95" workbookViewId="0">
      <pane xSplit="2" ySplit="4" topLeftCell="M20" activePane="bottomRight" state="frozen"/>
      <selection activeCell="H31" sqref="H31"/>
      <selection pane="topRight" activeCell="H31" sqref="H31"/>
      <selection pane="bottomLeft" activeCell="H31" sqref="H31"/>
      <selection pane="bottomRight" activeCell="B39" sqref="B39"/>
    </sheetView>
  </sheetViews>
  <sheetFormatPr defaultColWidth="9.1796875" defaultRowHeight="14"/>
  <cols>
    <col min="1" max="1" width="6.453125" style="88" bestFit="1" customWidth="1"/>
    <col min="2" max="2" width="26.453125" style="88" customWidth="1"/>
    <col min="3" max="12" width="15" style="88" customWidth="1"/>
    <col min="13" max="13" width="9.1796875" style="88" customWidth="1"/>
    <col min="14" max="14" width="10.7265625" style="88" customWidth="1"/>
    <col min="15" max="15" width="9.1796875" style="88" customWidth="1"/>
    <col min="16" max="16" width="10.7265625" style="88" customWidth="1"/>
    <col min="17" max="17" width="9.1796875" style="88" customWidth="1"/>
    <col min="18" max="18" width="10.7265625" style="88" customWidth="1"/>
    <col min="19" max="19" width="9.1796875" style="88" customWidth="1"/>
    <col min="20" max="20" width="10.7265625" style="88" customWidth="1"/>
    <col min="21" max="16384" width="9.1796875" style="88"/>
  </cols>
  <sheetData>
    <row r="1" spans="1:21" s="62" customFormat="1" ht="45.75" customHeight="1">
      <c r="A1" s="932" t="s">
        <v>53</v>
      </c>
      <c r="B1" s="932"/>
      <c r="C1" s="933" t="s">
        <v>1017</v>
      </c>
      <c r="D1" s="933"/>
      <c r="E1" s="933"/>
      <c r="F1" s="933"/>
      <c r="G1" s="933"/>
      <c r="H1" s="933" t="s">
        <v>1018</v>
      </c>
      <c r="I1" s="933"/>
      <c r="J1" s="933"/>
      <c r="K1" s="933"/>
      <c r="L1" s="933"/>
      <c r="M1" s="933" t="s">
        <v>1019</v>
      </c>
      <c r="N1" s="933"/>
      <c r="O1" s="933"/>
      <c r="P1" s="933"/>
      <c r="Q1" s="933"/>
      <c r="R1" s="933"/>
      <c r="S1" s="933"/>
      <c r="T1" s="933"/>
    </row>
    <row r="2" spans="1:21" s="80" customFormat="1" ht="31.5" customHeight="1">
      <c r="A2" s="915" t="s">
        <v>235</v>
      </c>
      <c r="B2" s="934" t="s">
        <v>236</v>
      </c>
      <c r="C2" s="930" t="s">
        <v>1045</v>
      </c>
      <c r="D2" s="930" t="s">
        <v>1046</v>
      </c>
      <c r="E2" s="930" t="s">
        <v>272</v>
      </c>
      <c r="F2" s="930" t="s">
        <v>64</v>
      </c>
      <c r="G2" s="930" t="s">
        <v>12</v>
      </c>
      <c r="H2" s="930" t="str">
        <f>C2</f>
        <v>Private 
(Un-Aided)</v>
      </c>
      <c r="I2" s="930" t="str">
        <f>D2</f>
        <v>Private (Aided)</v>
      </c>
      <c r="J2" s="930" t="s">
        <v>272</v>
      </c>
      <c r="K2" s="930" t="s">
        <v>64</v>
      </c>
      <c r="L2" s="930" t="s">
        <v>12</v>
      </c>
      <c r="M2" s="935" t="str">
        <f>H2</f>
        <v>Private 
(Un-Aided)</v>
      </c>
      <c r="N2" s="936"/>
      <c r="O2" s="935" t="str">
        <f>I2</f>
        <v>Private (Aided)</v>
      </c>
      <c r="P2" s="936"/>
      <c r="Q2" s="935" t="s">
        <v>64</v>
      </c>
      <c r="R2" s="936"/>
      <c r="S2" s="935" t="s">
        <v>12</v>
      </c>
      <c r="T2" s="936"/>
    </row>
    <row r="3" spans="1:21" s="80" customFormat="1" ht="24.75" customHeight="1">
      <c r="A3" s="915"/>
      <c r="B3" s="934"/>
      <c r="C3" s="931"/>
      <c r="D3" s="931"/>
      <c r="E3" s="931"/>
      <c r="F3" s="931"/>
      <c r="G3" s="931"/>
      <c r="H3" s="931"/>
      <c r="I3" s="931"/>
      <c r="J3" s="931"/>
      <c r="K3" s="931"/>
      <c r="L3" s="931"/>
      <c r="M3" s="81" t="s">
        <v>273</v>
      </c>
      <c r="N3" s="81" t="s">
        <v>106</v>
      </c>
      <c r="O3" s="81" t="s">
        <v>273</v>
      </c>
      <c r="P3" s="81" t="s">
        <v>106</v>
      </c>
      <c r="Q3" s="81" t="s">
        <v>273</v>
      </c>
      <c r="R3" s="81" t="s">
        <v>106</v>
      </c>
      <c r="S3" s="81" t="s">
        <v>273</v>
      </c>
      <c r="T3" s="81" t="s">
        <v>106</v>
      </c>
      <c r="U3" s="80" t="s">
        <v>1052</v>
      </c>
    </row>
    <row r="4" spans="1:21" s="491" customFormat="1" ht="10">
      <c r="A4" s="490">
        <v>1</v>
      </c>
      <c r="B4" s="490">
        <v>2</v>
      </c>
      <c r="C4" s="490">
        <v>3</v>
      </c>
      <c r="D4" s="490">
        <v>4</v>
      </c>
      <c r="E4" s="490">
        <v>5</v>
      </c>
      <c r="F4" s="490">
        <v>6</v>
      </c>
      <c r="G4" s="490">
        <v>7</v>
      </c>
      <c r="H4" s="490">
        <v>3</v>
      </c>
      <c r="I4" s="490">
        <v>4</v>
      </c>
      <c r="J4" s="490">
        <v>5</v>
      </c>
      <c r="K4" s="490">
        <v>6</v>
      </c>
      <c r="L4" s="490">
        <v>7</v>
      </c>
      <c r="M4" s="490">
        <v>3</v>
      </c>
      <c r="N4" s="490">
        <v>4</v>
      </c>
      <c r="O4" s="490">
        <v>5</v>
      </c>
      <c r="P4" s="490">
        <v>6</v>
      </c>
      <c r="Q4" s="490">
        <v>7</v>
      </c>
      <c r="R4" s="490">
        <v>8</v>
      </c>
      <c r="S4" s="490">
        <v>9</v>
      </c>
      <c r="T4" s="490">
        <v>10</v>
      </c>
    </row>
    <row r="5" spans="1:21" s="87" customFormat="1" ht="28">
      <c r="A5" s="82">
        <v>1</v>
      </c>
      <c r="B5" s="83" t="s">
        <v>171</v>
      </c>
      <c r="C5" s="84">
        <v>0</v>
      </c>
      <c r="D5" s="84">
        <v>0</v>
      </c>
      <c r="E5" s="84">
        <v>0</v>
      </c>
      <c r="F5" s="84">
        <v>9</v>
      </c>
      <c r="G5" s="68">
        <v>9</v>
      </c>
      <c r="H5" s="85">
        <v>0</v>
      </c>
      <c r="I5" s="85">
        <v>0</v>
      </c>
      <c r="J5" s="85">
        <v>0</v>
      </c>
      <c r="K5" s="85">
        <v>7608</v>
      </c>
      <c r="L5" s="86">
        <v>7608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430">
        <f>K5/F5</f>
        <v>845.33333333333337</v>
      </c>
    </row>
    <row r="6" spans="1:21" s="87" customFormat="1" ht="19.5" customHeight="1">
      <c r="A6" s="82">
        <v>2</v>
      </c>
      <c r="B6" s="83" t="s">
        <v>15</v>
      </c>
      <c r="C6" s="84">
        <v>2091</v>
      </c>
      <c r="D6" s="84">
        <v>163</v>
      </c>
      <c r="E6" s="84">
        <v>2254</v>
      </c>
      <c r="F6" s="84">
        <v>300</v>
      </c>
      <c r="G6" s="68">
        <v>2554</v>
      </c>
      <c r="H6" s="85">
        <v>1086160</v>
      </c>
      <c r="I6" s="85">
        <v>138772</v>
      </c>
      <c r="J6" s="85">
        <v>1224932</v>
      </c>
      <c r="K6" s="85">
        <v>181051</v>
      </c>
      <c r="L6" s="86">
        <v>1405983</v>
      </c>
      <c r="M6" s="84">
        <v>6</v>
      </c>
      <c r="N6" s="84">
        <v>209</v>
      </c>
      <c r="O6" s="84">
        <v>1</v>
      </c>
      <c r="P6" s="84">
        <v>40</v>
      </c>
      <c r="Q6" s="84">
        <v>2</v>
      </c>
      <c r="R6" s="84">
        <v>206</v>
      </c>
      <c r="S6" s="84">
        <v>9</v>
      </c>
      <c r="T6" s="84">
        <v>455</v>
      </c>
      <c r="U6" s="430">
        <f t="shared" ref="U6:U40" si="0">K6/F6</f>
        <v>603.50333333333333</v>
      </c>
    </row>
    <row r="7" spans="1:21" s="87" customFormat="1" ht="19.5" customHeight="1">
      <c r="A7" s="82">
        <v>3</v>
      </c>
      <c r="B7" s="83" t="s">
        <v>16</v>
      </c>
      <c r="C7" s="84">
        <v>14</v>
      </c>
      <c r="D7" s="84">
        <v>4</v>
      </c>
      <c r="E7" s="84">
        <v>18</v>
      </c>
      <c r="F7" s="84">
        <v>23</v>
      </c>
      <c r="G7" s="68">
        <v>41</v>
      </c>
      <c r="H7" s="85">
        <v>5014</v>
      </c>
      <c r="I7" s="85">
        <v>1242</v>
      </c>
      <c r="J7" s="85">
        <v>6256</v>
      </c>
      <c r="K7" s="85">
        <v>16723</v>
      </c>
      <c r="L7" s="86">
        <v>22979</v>
      </c>
      <c r="M7" s="84">
        <v>0</v>
      </c>
      <c r="N7" s="84">
        <v>0</v>
      </c>
      <c r="O7" s="84">
        <v>0</v>
      </c>
      <c r="P7" s="84">
        <v>0</v>
      </c>
      <c r="Q7" s="84">
        <v>1</v>
      </c>
      <c r="R7" s="84">
        <v>30</v>
      </c>
      <c r="S7" s="84">
        <v>1</v>
      </c>
      <c r="T7" s="84">
        <v>30</v>
      </c>
      <c r="U7" s="430">
        <f t="shared" si="0"/>
        <v>727.08695652173913</v>
      </c>
    </row>
    <row r="8" spans="1:21" s="87" customFormat="1" ht="19.5" customHeight="1">
      <c r="A8" s="82">
        <v>4</v>
      </c>
      <c r="B8" s="83" t="s">
        <v>17</v>
      </c>
      <c r="C8" s="84">
        <v>83</v>
      </c>
      <c r="D8" s="84">
        <v>25</v>
      </c>
      <c r="E8" s="84">
        <v>108</v>
      </c>
      <c r="F8" s="84">
        <v>452</v>
      </c>
      <c r="G8" s="68">
        <v>560</v>
      </c>
      <c r="H8" s="85">
        <v>25095</v>
      </c>
      <c r="I8" s="85">
        <v>5150</v>
      </c>
      <c r="J8" s="85">
        <v>30245</v>
      </c>
      <c r="K8" s="85">
        <v>443035</v>
      </c>
      <c r="L8" s="86">
        <v>473280</v>
      </c>
      <c r="M8" s="84">
        <v>6</v>
      </c>
      <c r="N8" s="84">
        <v>660</v>
      </c>
      <c r="O8" s="84">
        <v>2</v>
      </c>
      <c r="P8" s="84">
        <v>98</v>
      </c>
      <c r="Q8" s="84">
        <v>5</v>
      </c>
      <c r="R8" s="84">
        <v>852</v>
      </c>
      <c r="S8" s="84">
        <v>13</v>
      </c>
      <c r="T8" s="84">
        <v>1610</v>
      </c>
      <c r="U8" s="430">
        <f t="shared" si="0"/>
        <v>980.1659292035398</v>
      </c>
    </row>
    <row r="9" spans="1:21" s="87" customFormat="1" ht="19.5" customHeight="1">
      <c r="A9" s="82">
        <v>5</v>
      </c>
      <c r="B9" s="83" t="s">
        <v>18</v>
      </c>
      <c r="C9" s="84">
        <v>329</v>
      </c>
      <c r="D9" s="84">
        <v>158</v>
      </c>
      <c r="E9" s="84">
        <v>487</v>
      </c>
      <c r="F9" s="84">
        <v>545</v>
      </c>
      <c r="G9" s="68">
        <v>1032</v>
      </c>
      <c r="H9" s="85">
        <v>144505</v>
      </c>
      <c r="I9" s="85">
        <v>273361</v>
      </c>
      <c r="J9" s="85">
        <v>417866</v>
      </c>
      <c r="K9" s="85">
        <v>1528586</v>
      </c>
      <c r="L9" s="86">
        <v>1946452</v>
      </c>
      <c r="M9" s="84">
        <v>12</v>
      </c>
      <c r="N9" s="84">
        <v>2305</v>
      </c>
      <c r="O9" s="84">
        <v>3</v>
      </c>
      <c r="P9" s="84">
        <v>384</v>
      </c>
      <c r="Q9" s="84">
        <v>1</v>
      </c>
      <c r="R9" s="84">
        <v>199</v>
      </c>
      <c r="S9" s="84">
        <v>16</v>
      </c>
      <c r="T9" s="84">
        <v>2888</v>
      </c>
      <c r="U9" s="430">
        <f t="shared" si="0"/>
        <v>2804.7449541284404</v>
      </c>
    </row>
    <row r="10" spans="1:21" s="87" customFormat="1" ht="19.5" customHeight="1">
      <c r="A10" s="82">
        <v>6</v>
      </c>
      <c r="B10" s="83" t="s">
        <v>19</v>
      </c>
      <c r="C10" s="84">
        <v>4</v>
      </c>
      <c r="D10" s="84">
        <v>7</v>
      </c>
      <c r="E10" s="84">
        <v>11</v>
      </c>
      <c r="F10" s="84">
        <v>15</v>
      </c>
      <c r="G10" s="68">
        <v>26</v>
      </c>
      <c r="H10" s="85">
        <v>519</v>
      </c>
      <c r="I10" s="85">
        <v>28934</v>
      </c>
      <c r="J10" s="85">
        <v>29453</v>
      </c>
      <c r="K10" s="85">
        <v>19693</v>
      </c>
      <c r="L10" s="86">
        <v>49146</v>
      </c>
      <c r="M10" s="84">
        <v>0</v>
      </c>
      <c r="N10" s="84">
        <v>0</v>
      </c>
      <c r="O10" s="84">
        <v>0</v>
      </c>
      <c r="P10" s="84">
        <v>0</v>
      </c>
      <c r="Q10" s="84">
        <v>0</v>
      </c>
      <c r="R10" s="84">
        <v>0</v>
      </c>
      <c r="S10" s="84">
        <v>0</v>
      </c>
      <c r="T10" s="84">
        <v>0</v>
      </c>
      <c r="U10" s="430">
        <f t="shared" si="0"/>
        <v>1312.8666666666666</v>
      </c>
    </row>
    <row r="11" spans="1:21" s="87" customFormat="1" ht="19.5" customHeight="1">
      <c r="A11" s="82">
        <v>7</v>
      </c>
      <c r="B11" s="83" t="s">
        <v>20</v>
      </c>
      <c r="C11" s="84">
        <v>368</v>
      </c>
      <c r="D11" s="84">
        <v>86</v>
      </c>
      <c r="E11" s="84">
        <v>454</v>
      </c>
      <c r="F11" s="84">
        <v>395</v>
      </c>
      <c r="G11" s="68">
        <v>849</v>
      </c>
      <c r="H11" s="85">
        <v>120268</v>
      </c>
      <c r="I11" s="85">
        <v>41175</v>
      </c>
      <c r="J11" s="85">
        <v>161443</v>
      </c>
      <c r="K11" s="85">
        <v>313252</v>
      </c>
      <c r="L11" s="86">
        <v>474695</v>
      </c>
      <c r="M11" s="84">
        <v>14</v>
      </c>
      <c r="N11" s="84">
        <v>775</v>
      </c>
      <c r="O11" s="84">
        <v>2</v>
      </c>
      <c r="P11" s="84">
        <v>53</v>
      </c>
      <c r="Q11" s="84">
        <v>5</v>
      </c>
      <c r="R11" s="84">
        <v>97</v>
      </c>
      <c r="S11" s="84">
        <v>21</v>
      </c>
      <c r="T11" s="84">
        <v>925</v>
      </c>
      <c r="U11" s="430">
        <f t="shared" si="0"/>
        <v>793.04303797468356</v>
      </c>
    </row>
    <row r="12" spans="1:21" s="87" customFormat="1" ht="19.5" customHeight="1">
      <c r="A12" s="82">
        <v>8</v>
      </c>
      <c r="B12" s="83" t="s">
        <v>23</v>
      </c>
      <c r="C12" s="84">
        <v>64</v>
      </c>
      <c r="D12" s="84">
        <v>11</v>
      </c>
      <c r="E12" s="84">
        <v>75</v>
      </c>
      <c r="F12" s="84">
        <v>98</v>
      </c>
      <c r="G12" s="68">
        <v>173</v>
      </c>
      <c r="H12" s="85">
        <v>61417</v>
      </c>
      <c r="I12" s="85">
        <v>19928</v>
      </c>
      <c r="J12" s="85">
        <v>81345</v>
      </c>
      <c r="K12" s="85">
        <v>200638</v>
      </c>
      <c r="L12" s="86">
        <v>281983</v>
      </c>
      <c r="M12" s="84">
        <v>0</v>
      </c>
      <c r="N12" s="84">
        <v>0</v>
      </c>
      <c r="O12" s="84">
        <v>0</v>
      </c>
      <c r="P12" s="84">
        <v>0</v>
      </c>
      <c r="Q12" s="84">
        <v>0</v>
      </c>
      <c r="R12" s="84">
        <v>0</v>
      </c>
      <c r="S12" s="84">
        <v>0</v>
      </c>
      <c r="T12" s="84">
        <v>0</v>
      </c>
      <c r="U12" s="430">
        <f t="shared" si="0"/>
        <v>2047.3265306122448</v>
      </c>
    </row>
    <row r="13" spans="1:21" s="87" customFormat="1" ht="19.5" customHeight="1">
      <c r="A13" s="82">
        <v>9</v>
      </c>
      <c r="B13" s="83" t="s">
        <v>24</v>
      </c>
      <c r="C13" s="84">
        <v>14</v>
      </c>
      <c r="D13" s="84">
        <v>26</v>
      </c>
      <c r="E13" s="84">
        <v>40</v>
      </c>
      <c r="F13" s="84">
        <v>21</v>
      </c>
      <c r="G13" s="68">
        <v>61</v>
      </c>
      <c r="H13" s="85">
        <v>5080</v>
      </c>
      <c r="I13" s="85">
        <v>22271</v>
      </c>
      <c r="J13" s="85">
        <v>27351</v>
      </c>
      <c r="K13" s="85">
        <v>14374</v>
      </c>
      <c r="L13" s="86">
        <v>41725</v>
      </c>
      <c r="M13" s="84">
        <v>0</v>
      </c>
      <c r="N13" s="84">
        <v>0</v>
      </c>
      <c r="O13" s="84">
        <v>0</v>
      </c>
      <c r="P13" s="84">
        <v>0</v>
      </c>
      <c r="Q13" s="84">
        <v>1</v>
      </c>
      <c r="R13" s="84">
        <v>8</v>
      </c>
      <c r="S13" s="84">
        <v>1</v>
      </c>
      <c r="T13" s="84">
        <v>8</v>
      </c>
      <c r="U13" s="430">
        <f t="shared" si="0"/>
        <v>684.47619047619048</v>
      </c>
    </row>
    <row r="14" spans="1:21" s="87" customFormat="1" ht="19.5" customHeight="1">
      <c r="A14" s="82">
        <v>10</v>
      </c>
      <c r="B14" s="83" t="s">
        <v>25</v>
      </c>
      <c r="C14" s="84">
        <v>1371</v>
      </c>
      <c r="D14" s="84">
        <v>474</v>
      </c>
      <c r="E14" s="84">
        <v>1845</v>
      </c>
      <c r="F14" s="84">
        <v>403</v>
      </c>
      <c r="G14" s="68">
        <v>2248</v>
      </c>
      <c r="H14" s="85">
        <v>470386</v>
      </c>
      <c r="I14" s="85">
        <v>430190</v>
      </c>
      <c r="J14" s="85">
        <v>900576</v>
      </c>
      <c r="K14" s="85">
        <v>291877</v>
      </c>
      <c r="L14" s="86">
        <v>1192453</v>
      </c>
      <c r="M14" s="84">
        <v>75</v>
      </c>
      <c r="N14" s="84">
        <v>4891</v>
      </c>
      <c r="O14" s="84">
        <v>11</v>
      </c>
      <c r="P14" s="84">
        <v>663</v>
      </c>
      <c r="Q14" s="84">
        <v>5</v>
      </c>
      <c r="R14" s="84">
        <v>312</v>
      </c>
      <c r="S14" s="84">
        <v>91</v>
      </c>
      <c r="T14" s="84">
        <v>5866</v>
      </c>
      <c r="U14" s="430">
        <f t="shared" si="0"/>
        <v>724.2605459057072</v>
      </c>
    </row>
    <row r="15" spans="1:21" s="87" customFormat="1" ht="19.5" customHeight="1">
      <c r="A15" s="82">
        <v>11</v>
      </c>
      <c r="B15" s="83" t="s">
        <v>26</v>
      </c>
      <c r="C15" s="84">
        <v>685</v>
      </c>
      <c r="D15" s="84">
        <v>138</v>
      </c>
      <c r="E15" s="84">
        <v>823</v>
      </c>
      <c r="F15" s="84">
        <v>258</v>
      </c>
      <c r="G15" s="68">
        <v>1081</v>
      </c>
      <c r="H15" s="85">
        <v>216786</v>
      </c>
      <c r="I15" s="85">
        <v>161322</v>
      </c>
      <c r="J15" s="85">
        <v>378108</v>
      </c>
      <c r="K15" s="85">
        <v>254673</v>
      </c>
      <c r="L15" s="86">
        <v>632781</v>
      </c>
      <c r="M15" s="84">
        <v>3</v>
      </c>
      <c r="N15" s="84">
        <v>188</v>
      </c>
      <c r="O15" s="84">
        <v>0</v>
      </c>
      <c r="P15" s="84">
        <v>0</v>
      </c>
      <c r="Q15" s="84">
        <v>14</v>
      </c>
      <c r="R15" s="84">
        <v>961</v>
      </c>
      <c r="S15" s="84">
        <v>17</v>
      </c>
      <c r="T15" s="84">
        <v>1149</v>
      </c>
      <c r="U15" s="430">
        <f t="shared" si="0"/>
        <v>987.10465116279067</v>
      </c>
    </row>
    <row r="16" spans="1:21" s="87" customFormat="1" ht="19.5" customHeight="1">
      <c r="A16" s="82">
        <v>12</v>
      </c>
      <c r="B16" s="83" t="s">
        <v>27</v>
      </c>
      <c r="C16" s="84">
        <v>171</v>
      </c>
      <c r="D16" s="84">
        <v>13</v>
      </c>
      <c r="E16" s="84">
        <v>184</v>
      </c>
      <c r="F16" s="84">
        <v>164</v>
      </c>
      <c r="G16" s="68">
        <v>348</v>
      </c>
      <c r="H16" s="85">
        <v>32363</v>
      </c>
      <c r="I16" s="85">
        <v>10202</v>
      </c>
      <c r="J16" s="85">
        <v>42565</v>
      </c>
      <c r="K16" s="85">
        <v>134987</v>
      </c>
      <c r="L16" s="86">
        <v>177552</v>
      </c>
      <c r="M16" s="84">
        <v>3</v>
      </c>
      <c r="N16" s="84">
        <v>206</v>
      </c>
      <c r="O16" s="84">
        <v>0</v>
      </c>
      <c r="P16" s="84">
        <v>0</v>
      </c>
      <c r="Q16" s="84">
        <v>0</v>
      </c>
      <c r="R16" s="84">
        <v>0</v>
      </c>
      <c r="S16" s="84">
        <v>3</v>
      </c>
      <c r="T16" s="84">
        <v>206</v>
      </c>
      <c r="U16" s="430">
        <f t="shared" si="0"/>
        <v>823.09146341463418</v>
      </c>
    </row>
    <row r="17" spans="1:21" s="87" customFormat="1">
      <c r="A17" s="82">
        <v>13</v>
      </c>
      <c r="B17" s="83" t="s">
        <v>57</v>
      </c>
      <c r="C17" s="84">
        <v>131</v>
      </c>
      <c r="D17" s="84">
        <v>24</v>
      </c>
      <c r="E17" s="84">
        <v>155</v>
      </c>
      <c r="F17" s="84">
        <v>187</v>
      </c>
      <c r="G17" s="68">
        <v>342</v>
      </c>
      <c r="H17" s="85">
        <v>23941</v>
      </c>
      <c r="I17" s="85">
        <v>4599</v>
      </c>
      <c r="J17" s="85">
        <v>28540</v>
      </c>
      <c r="K17" s="85">
        <v>178076</v>
      </c>
      <c r="L17" s="86">
        <v>206616</v>
      </c>
      <c r="M17" s="84">
        <v>1</v>
      </c>
      <c r="N17" s="84">
        <v>75</v>
      </c>
      <c r="O17" s="84">
        <v>1</v>
      </c>
      <c r="P17" s="84">
        <v>34</v>
      </c>
      <c r="Q17" s="84">
        <v>3</v>
      </c>
      <c r="R17" s="84">
        <v>160</v>
      </c>
      <c r="S17" s="84">
        <v>5</v>
      </c>
      <c r="T17" s="84">
        <v>269</v>
      </c>
      <c r="U17" s="430">
        <f t="shared" si="0"/>
        <v>952.27807486631013</v>
      </c>
    </row>
    <row r="18" spans="1:21" s="87" customFormat="1" ht="19.5" customHeight="1">
      <c r="A18" s="82">
        <v>14</v>
      </c>
      <c r="B18" s="83" t="s">
        <v>29</v>
      </c>
      <c r="C18" s="84">
        <v>143</v>
      </c>
      <c r="D18" s="84">
        <v>34</v>
      </c>
      <c r="E18" s="84">
        <v>177</v>
      </c>
      <c r="F18" s="84">
        <v>159</v>
      </c>
      <c r="G18" s="68">
        <v>336</v>
      </c>
      <c r="H18" s="85">
        <v>54836</v>
      </c>
      <c r="I18" s="85">
        <v>74808</v>
      </c>
      <c r="J18" s="85">
        <v>129644</v>
      </c>
      <c r="K18" s="85">
        <v>462081</v>
      </c>
      <c r="L18" s="86">
        <v>591725</v>
      </c>
      <c r="M18" s="84">
        <v>5</v>
      </c>
      <c r="N18" s="84">
        <v>196</v>
      </c>
      <c r="O18" s="84">
        <v>0</v>
      </c>
      <c r="P18" s="84">
        <v>0</v>
      </c>
      <c r="Q18" s="84">
        <v>1</v>
      </c>
      <c r="R18" s="84">
        <v>0</v>
      </c>
      <c r="S18" s="84">
        <v>6</v>
      </c>
      <c r="T18" s="84">
        <v>196</v>
      </c>
      <c r="U18" s="430">
        <f t="shared" si="0"/>
        <v>2906.1698113207549</v>
      </c>
    </row>
    <row r="19" spans="1:21" s="87" customFormat="1" ht="19.5" customHeight="1">
      <c r="A19" s="82">
        <v>15</v>
      </c>
      <c r="B19" s="83" t="s">
        <v>30</v>
      </c>
      <c r="C19" s="84">
        <v>2928</v>
      </c>
      <c r="D19" s="84">
        <v>496</v>
      </c>
      <c r="E19" s="84">
        <v>3424</v>
      </c>
      <c r="F19" s="84">
        <v>685</v>
      </c>
      <c r="G19" s="68">
        <v>4109</v>
      </c>
      <c r="H19" s="85">
        <v>853304</v>
      </c>
      <c r="I19" s="85">
        <v>336602</v>
      </c>
      <c r="J19" s="85">
        <v>1189906</v>
      </c>
      <c r="K19" s="85">
        <v>471345</v>
      </c>
      <c r="L19" s="86">
        <v>1661251</v>
      </c>
      <c r="M19" s="84">
        <v>65</v>
      </c>
      <c r="N19" s="84">
        <v>2309</v>
      </c>
      <c r="O19" s="84">
        <v>2</v>
      </c>
      <c r="P19" s="84">
        <v>55</v>
      </c>
      <c r="Q19" s="84">
        <v>10</v>
      </c>
      <c r="R19" s="84">
        <v>636</v>
      </c>
      <c r="S19" s="84">
        <v>77</v>
      </c>
      <c r="T19" s="84">
        <v>3000</v>
      </c>
      <c r="U19" s="430">
        <f t="shared" si="0"/>
        <v>688.09489051094886</v>
      </c>
    </row>
    <row r="20" spans="1:21" s="87" customFormat="1" ht="19.5" customHeight="1">
      <c r="A20" s="82">
        <v>16</v>
      </c>
      <c r="B20" s="83" t="s">
        <v>31</v>
      </c>
      <c r="C20" s="84">
        <v>831</v>
      </c>
      <c r="D20" s="84">
        <v>225</v>
      </c>
      <c r="E20" s="84">
        <v>1056</v>
      </c>
      <c r="F20" s="84">
        <v>272</v>
      </c>
      <c r="G20" s="68">
        <v>1328</v>
      </c>
      <c r="H20" s="85">
        <v>350698</v>
      </c>
      <c r="I20" s="85">
        <v>279120</v>
      </c>
      <c r="J20" s="85">
        <v>629818</v>
      </c>
      <c r="K20" s="85">
        <v>138826</v>
      </c>
      <c r="L20" s="86">
        <v>768644</v>
      </c>
      <c r="M20" s="84">
        <v>3</v>
      </c>
      <c r="N20" s="84">
        <v>290</v>
      </c>
      <c r="O20" s="84">
        <v>1</v>
      </c>
      <c r="P20" s="84">
        <v>28</v>
      </c>
      <c r="Q20" s="84">
        <v>1</v>
      </c>
      <c r="R20" s="84">
        <v>28</v>
      </c>
      <c r="S20" s="84">
        <v>5</v>
      </c>
      <c r="T20" s="84">
        <v>346</v>
      </c>
      <c r="U20" s="430">
        <f t="shared" si="0"/>
        <v>510.38970588235293</v>
      </c>
    </row>
    <row r="21" spans="1:21" s="87" customFormat="1" ht="19.5" customHeight="1">
      <c r="A21" s="82">
        <v>17</v>
      </c>
      <c r="B21" s="83" t="s">
        <v>172</v>
      </c>
      <c r="C21" s="84">
        <v>0</v>
      </c>
      <c r="D21" s="84">
        <v>0</v>
      </c>
      <c r="E21" s="84">
        <v>0</v>
      </c>
      <c r="F21" s="84">
        <v>3</v>
      </c>
      <c r="G21" s="68">
        <v>3</v>
      </c>
      <c r="H21" s="85">
        <v>0</v>
      </c>
      <c r="I21" s="85">
        <v>0</v>
      </c>
      <c r="J21" s="85">
        <v>0</v>
      </c>
      <c r="K21" s="85">
        <v>2332</v>
      </c>
      <c r="L21" s="86">
        <v>2332</v>
      </c>
      <c r="M21" s="84">
        <v>0</v>
      </c>
      <c r="N21" s="84">
        <v>0</v>
      </c>
      <c r="O21" s="84">
        <v>0</v>
      </c>
      <c r="P21" s="84">
        <v>0</v>
      </c>
      <c r="Q21" s="84">
        <v>0</v>
      </c>
      <c r="R21" s="84">
        <v>0</v>
      </c>
      <c r="S21" s="84"/>
      <c r="T21" s="84"/>
      <c r="U21" s="430">
        <f t="shared" si="0"/>
        <v>777.33333333333337</v>
      </c>
    </row>
    <row r="22" spans="1:21" s="87" customFormat="1" ht="19.5" customHeight="1">
      <c r="A22" s="82">
        <v>18</v>
      </c>
      <c r="B22" s="83" t="s">
        <v>33</v>
      </c>
      <c r="C22" s="84">
        <v>1316</v>
      </c>
      <c r="D22" s="84">
        <v>258</v>
      </c>
      <c r="E22" s="84">
        <v>1574</v>
      </c>
      <c r="F22" s="84">
        <v>745</v>
      </c>
      <c r="G22" s="68">
        <v>2319</v>
      </c>
      <c r="H22" s="85">
        <v>553957</v>
      </c>
      <c r="I22" s="85">
        <v>146908</v>
      </c>
      <c r="J22" s="85">
        <v>700865</v>
      </c>
      <c r="K22" s="85">
        <v>1036820</v>
      </c>
      <c r="L22" s="86">
        <v>1737685</v>
      </c>
      <c r="M22" s="84">
        <v>18</v>
      </c>
      <c r="N22" s="84">
        <v>1526</v>
      </c>
      <c r="O22" s="84">
        <v>8</v>
      </c>
      <c r="P22" s="84">
        <v>483</v>
      </c>
      <c r="Q22" s="84">
        <v>6</v>
      </c>
      <c r="R22" s="84">
        <v>504</v>
      </c>
      <c r="S22" s="84">
        <v>32</v>
      </c>
      <c r="T22" s="84">
        <v>2513</v>
      </c>
      <c r="U22" s="430">
        <f t="shared" si="0"/>
        <v>1391.7046979865772</v>
      </c>
    </row>
    <row r="23" spans="1:21" s="87" customFormat="1" ht="19.5" customHeight="1">
      <c r="A23" s="82">
        <v>19</v>
      </c>
      <c r="B23" s="83" t="s">
        <v>34</v>
      </c>
      <c r="C23" s="84">
        <v>2835</v>
      </c>
      <c r="D23" s="84">
        <v>1162</v>
      </c>
      <c r="E23" s="84">
        <v>3997</v>
      </c>
      <c r="F23" s="84">
        <v>534</v>
      </c>
      <c r="G23" s="68">
        <v>4531</v>
      </c>
      <c r="H23" s="85">
        <v>1236688</v>
      </c>
      <c r="I23" s="85">
        <v>1502161</v>
      </c>
      <c r="J23" s="85">
        <v>2738849</v>
      </c>
      <c r="K23" s="85">
        <v>304486</v>
      </c>
      <c r="L23" s="86">
        <v>3043335</v>
      </c>
      <c r="M23" s="84">
        <v>76</v>
      </c>
      <c r="N23" s="84">
        <v>5718</v>
      </c>
      <c r="O23" s="84">
        <v>0</v>
      </c>
      <c r="P23" s="84">
        <v>0</v>
      </c>
      <c r="Q23" s="84">
        <v>3</v>
      </c>
      <c r="R23" s="84">
        <v>172</v>
      </c>
      <c r="S23" s="84">
        <v>79</v>
      </c>
      <c r="T23" s="84">
        <v>5890</v>
      </c>
      <c r="U23" s="430">
        <f t="shared" si="0"/>
        <v>570.19850187265922</v>
      </c>
    </row>
    <row r="24" spans="1:21" s="87" customFormat="1" ht="19.5" customHeight="1">
      <c r="A24" s="82">
        <v>20</v>
      </c>
      <c r="B24" s="83" t="s">
        <v>35</v>
      </c>
      <c r="C24" s="84">
        <v>28</v>
      </c>
      <c r="D24" s="84">
        <v>16</v>
      </c>
      <c r="E24" s="84">
        <v>44</v>
      </c>
      <c r="F24" s="84">
        <v>59</v>
      </c>
      <c r="G24" s="68">
        <v>103</v>
      </c>
      <c r="H24" s="85">
        <v>7246</v>
      </c>
      <c r="I24" s="85">
        <v>15601</v>
      </c>
      <c r="J24" s="85">
        <v>22847</v>
      </c>
      <c r="K24" s="85">
        <v>91560</v>
      </c>
      <c r="L24" s="86">
        <v>114407</v>
      </c>
      <c r="M24" s="84">
        <v>1</v>
      </c>
      <c r="N24" s="84">
        <v>7</v>
      </c>
      <c r="O24" s="84">
        <v>0</v>
      </c>
      <c r="P24" s="84">
        <v>0</v>
      </c>
      <c r="Q24" s="84">
        <v>0</v>
      </c>
      <c r="R24" s="84">
        <v>0</v>
      </c>
      <c r="S24" s="84">
        <v>1</v>
      </c>
      <c r="T24" s="84">
        <v>7</v>
      </c>
      <c r="U24" s="430">
        <f t="shared" si="0"/>
        <v>1551.8644067796611</v>
      </c>
    </row>
    <row r="25" spans="1:21" s="87" customFormat="1" ht="19.5" customHeight="1">
      <c r="A25" s="82">
        <v>21</v>
      </c>
      <c r="B25" s="83" t="s">
        <v>36</v>
      </c>
      <c r="C25" s="84">
        <v>17</v>
      </c>
      <c r="D25" s="84">
        <v>18</v>
      </c>
      <c r="E25" s="84">
        <v>35</v>
      </c>
      <c r="F25" s="84">
        <v>27</v>
      </c>
      <c r="G25" s="68">
        <v>62</v>
      </c>
      <c r="H25" s="85">
        <v>8535</v>
      </c>
      <c r="I25" s="85">
        <v>18207</v>
      </c>
      <c r="J25" s="85">
        <v>26742</v>
      </c>
      <c r="K25" s="85">
        <v>34535</v>
      </c>
      <c r="L25" s="86">
        <v>61277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430">
        <f t="shared" si="0"/>
        <v>1279.0740740740741</v>
      </c>
    </row>
    <row r="26" spans="1:21" s="87" customFormat="1" ht="19.5" customHeight="1">
      <c r="A26" s="82">
        <v>22</v>
      </c>
      <c r="B26" s="83" t="s">
        <v>37</v>
      </c>
      <c r="C26" s="84">
        <v>7</v>
      </c>
      <c r="D26" s="84">
        <v>1</v>
      </c>
      <c r="E26" s="84">
        <v>8</v>
      </c>
      <c r="F26" s="84">
        <v>31</v>
      </c>
      <c r="G26" s="68">
        <v>39</v>
      </c>
      <c r="H26" s="85">
        <v>1210</v>
      </c>
      <c r="I26" s="85">
        <v>27</v>
      </c>
      <c r="J26" s="85">
        <v>1237</v>
      </c>
      <c r="K26" s="85">
        <v>24131</v>
      </c>
      <c r="L26" s="86">
        <v>25368</v>
      </c>
      <c r="M26" s="84">
        <v>3</v>
      </c>
      <c r="N26" s="84">
        <v>228</v>
      </c>
      <c r="O26" s="84">
        <v>0</v>
      </c>
      <c r="P26" s="84">
        <v>0</v>
      </c>
      <c r="Q26" s="84">
        <v>0</v>
      </c>
      <c r="R26" s="84">
        <v>0</v>
      </c>
      <c r="S26" s="84">
        <v>3</v>
      </c>
      <c r="T26" s="84">
        <v>228</v>
      </c>
      <c r="U26" s="430">
        <f t="shared" si="0"/>
        <v>778.41935483870964</v>
      </c>
    </row>
    <row r="27" spans="1:21" s="87" customFormat="1" ht="19.5" customHeight="1">
      <c r="A27" s="82">
        <v>23</v>
      </c>
      <c r="B27" s="83" t="s">
        <v>38</v>
      </c>
      <c r="C27" s="84">
        <v>12</v>
      </c>
      <c r="D27" s="84">
        <v>35</v>
      </c>
      <c r="E27" s="84">
        <v>47</v>
      </c>
      <c r="F27" s="84">
        <v>20</v>
      </c>
      <c r="G27" s="68">
        <v>67</v>
      </c>
      <c r="H27" s="85">
        <v>3743</v>
      </c>
      <c r="I27" s="85">
        <v>18472</v>
      </c>
      <c r="J27" s="85">
        <v>22215</v>
      </c>
      <c r="K27" s="85">
        <v>11081</v>
      </c>
      <c r="L27" s="86">
        <v>33296</v>
      </c>
      <c r="M27" s="84">
        <v>1</v>
      </c>
      <c r="N27" s="84">
        <v>0</v>
      </c>
      <c r="O27" s="84">
        <v>1</v>
      </c>
      <c r="P27" s="84">
        <v>20</v>
      </c>
      <c r="Q27" s="84">
        <v>0</v>
      </c>
      <c r="R27" s="84">
        <v>0</v>
      </c>
      <c r="S27" s="84">
        <v>2</v>
      </c>
      <c r="T27" s="84">
        <v>20</v>
      </c>
      <c r="U27" s="430">
        <f t="shared" si="0"/>
        <v>554.04999999999995</v>
      </c>
    </row>
    <row r="28" spans="1:21" s="87" customFormat="1" ht="19.5" customHeight="1">
      <c r="A28" s="82">
        <v>24</v>
      </c>
      <c r="B28" s="83" t="s">
        <v>39</v>
      </c>
      <c r="C28" s="84">
        <v>382</v>
      </c>
      <c r="D28" s="84">
        <v>442</v>
      </c>
      <c r="E28" s="84">
        <v>824</v>
      </c>
      <c r="F28" s="84">
        <v>371</v>
      </c>
      <c r="G28" s="68">
        <v>1195</v>
      </c>
      <c r="H28" s="85">
        <v>151683</v>
      </c>
      <c r="I28" s="85">
        <v>284001</v>
      </c>
      <c r="J28" s="85">
        <v>435684</v>
      </c>
      <c r="K28" s="85">
        <v>255732</v>
      </c>
      <c r="L28" s="86">
        <v>691416</v>
      </c>
      <c r="M28" s="84">
        <v>40</v>
      </c>
      <c r="N28" s="84">
        <v>2435</v>
      </c>
      <c r="O28" s="84">
        <v>4</v>
      </c>
      <c r="P28" s="84">
        <v>203</v>
      </c>
      <c r="Q28" s="84">
        <v>3</v>
      </c>
      <c r="R28" s="84">
        <v>174</v>
      </c>
      <c r="S28" s="84">
        <v>47</v>
      </c>
      <c r="T28" s="84">
        <v>2812</v>
      </c>
      <c r="U28" s="430">
        <f t="shared" si="0"/>
        <v>689.30458221024264</v>
      </c>
    </row>
    <row r="29" spans="1:21" s="87" customFormat="1" ht="19.5" customHeight="1">
      <c r="A29" s="82">
        <v>25</v>
      </c>
      <c r="B29" s="83" t="s">
        <v>40</v>
      </c>
      <c r="C29" s="84">
        <v>44</v>
      </c>
      <c r="D29" s="84">
        <v>1</v>
      </c>
      <c r="E29" s="84">
        <v>45</v>
      </c>
      <c r="F29" s="84">
        <v>25</v>
      </c>
      <c r="G29" s="68">
        <v>70</v>
      </c>
      <c r="H29" s="85">
        <v>23813</v>
      </c>
      <c r="I29" s="85">
        <v>84</v>
      </c>
      <c r="J29" s="85">
        <v>23897</v>
      </c>
      <c r="K29" s="85">
        <v>25566</v>
      </c>
      <c r="L29" s="86">
        <v>49463</v>
      </c>
      <c r="M29" s="84">
        <v>0</v>
      </c>
      <c r="N29" s="84">
        <v>0</v>
      </c>
      <c r="O29" s="84">
        <v>0</v>
      </c>
      <c r="P29" s="84">
        <v>0</v>
      </c>
      <c r="Q29" s="84">
        <v>0</v>
      </c>
      <c r="R29" s="84">
        <v>0</v>
      </c>
      <c r="S29" s="84">
        <v>0</v>
      </c>
      <c r="T29" s="84">
        <v>0</v>
      </c>
      <c r="U29" s="430">
        <f t="shared" si="0"/>
        <v>1022.64</v>
      </c>
    </row>
    <row r="30" spans="1:21" s="87" customFormat="1" ht="19.5" customHeight="1">
      <c r="A30" s="82">
        <v>26</v>
      </c>
      <c r="B30" s="83" t="s">
        <v>41</v>
      </c>
      <c r="C30" s="84">
        <v>650</v>
      </c>
      <c r="D30" s="84">
        <v>181</v>
      </c>
      <c r="E30" s="84">
        <v>831</v>
      </c>
      <c r="F30" s="84">
        <v>199</v>
      </c>
      <c r="G30" s="68">
        <v>1030</v>
      </c>
      <c r="H30" s="85">
        <v>201868</v>
      </c>
      <c r="I30" s="85">
        <v>157664</v>
      </c>
      <c r="J30" s="85">
        <v>359532</v>
      </c>
      <c r="K30" s="85">
        <v>143790</v>
      </c>
      <c r="L30" s="86">
        <v>503322</v>
      </c>
      <c r="M30" s="84">
        <v>6</v>
      </c>
      <c r="N30" s="84">
        <v>425</v>
      </c>
      <c r="O30" s="84">
        <v>0</v>
      </c>
      <c r="P30" s="84">
        <v>0</v>
      </c>
      <c r="Q30" s="84">
        <v>3</v>
      </c>
      <c r="R30" s="84">
        <v>217</v>
      </c>
      <c r="S30" s="84">
        <v>9</v>
      </c>
      <c r="T30" s="84">
        <v>642</v>
      </c>
      <c r="U30" s="430">
        <f t="shared" si="0"/>
        <v>722.56281407035181</v>
      </c>
    </row>
    <row r="31" spans="1:21" s="87" customFormat="1" ht="19.5" customHeight="1">
      <c r="A31" s="82">
        <v>27</v>
      </c>
      <c r="B31" s="83" t="s">
        <v>42</v>
      </c>
      <c r="C31" s="84">
        <v>2353</v>
      </c>
      <c r="D31" s="84">
        <v>264</v>
      </c>
      <c r="E31" s="84">
        <v>2617</v>
      </c>
      <c r="F31" s="84">
        <v>722</v>
      </c>
      <c r="G31" s="68">
        <v>3339</v>
      </c>
      <c r="H31" s="85">
        <v>911656</v>
      </c>
      <c r="I31" s="85">
        <v>100101</v>
      </c>
      <c r="J31" s="85">
        <v>1011757</v>
      </c>
      <c r="K31" s="85">
        <v>712497</v>
      </c>
      <c r="L31" s="86">
        <v>1724254</v>
      </c>
      <c r="M31" s="84">
        <v>69</v>
      </c>
      <c r="N31" s="84">
        <v>6475</v>
      </c>
      <c r="O31" s="84">
        <v>16</v>
      </c>
      <c r="P31" s="84">
        <v>1080</v>
      </c>
      <c r="Q31" s="84">
        <v>54</v>
      </c>
      <c r="R31" s="84">
        <v>8527</v>
      </c>
      <c r="S31" s="84">
        <v>139</v>
      </c>
      <c r="T31" s="84">
        <v>16082</v>
      </c>
      <c r="U31" s="430">
        <f t="shared" si="0"/>
        <v>986.8379501385042</v>
      </c>
    </row>
    <row r="32" spans="1:21" s="87" customFormat="1" ht="19.5" customHeight="1">
      <c r="A32" s="82">
        <v>28</v>
      </c>
      <c r="B32" s="83" t="s">
        <v>43</v>
      </c>
      <c r="C32" s="84">
        <v>4</v>
      </c>
      <c r="D32" s="84">
        <v>0</v>
      </c>
      <c r="E32" s="84">
        <v>4</v>
      </c>
      <c r="F32" s="84">
        <v>15</v>
      </c>
      <c r="G32" s="68">
        <v>19</v>
      </c>
      <c r="H32" s="85">
        <v>1124</v>
      </c>
      <c r="I32" s="85">
        <v>0</v>
      </c>
      <c r="J32" s="85">
        <v>1124</v>
      </c>
      <c r="K32" s="85">
        <v>12167</v>
      </c>
      <c r="L32" s="86">
        <v>13291</v>
      </c>
      <c r="M32" s="84">
        <v>0</v>
      </c>
      <c r="N32" s="84">
        <v>0</v>
      </c>
      <c r="O32" s="84">
        <v>0</v>
      </c>
      <c r="P32" s="84">
        <v>0</v>
      </c>
      <c r="Q32" s="84">
        <v>0</v>
      </c>
      <c r="R32" s="84">
        <v>0</v>
      </c>
      <c r="S32" s="84">
        <v>0</v>
      </c>
      <c r="T32" s="84">
        <v>0</v>
      </c>
      <c r="U32" s="430">
        <f t="shared" si="0"/>
        <v>811.13333333333333</v>
      </c>
    </row>
    <row r="33" spans="1:21" s="87" customFormat="1" ht="19.5" customHeight="1">
      <c r="A33" s="82">
        <v>29</v>
      </c>
      <c r="B33" s="83" t="s">
        <v>44</v>
      </c>
      <c r="C33" s="84">
        <v>2020</v>
      </c>
      <c r="D33" s="84">
        <v>265</v>
      </c>
      <c r="E33" s="84">
        <v>2285</v>
      </c>
      <c r="F33" s="84">
        <v>372</v>
      </c>
      <c r="G33" s="68">
        <v>2657</v>
      </c>
      <c r="H33" s="85">
        <v>1279814</v>
      </c>
      <c r="I33" s="85">
        <v>490400</v>
      </c>
      <c r="J33" s="85">
        <v>1770214</v>
      </c>
      <c r="K33" s="85">
        <v>465148</v>
      </c>
      <c r="L33" s="86">
        <v>2235362</v>
      </c>
      <c r="M33" s="84">
        <v>37</v>
      </c>
      <c r="N33" s="84">
        <v>2447</v>
      </c>
      <c r="O33" s="84">
        <v>9</v>
      </c>
      <c r="P33" s="84">
        <v>355</v>
      </c>
      <c r="Q33" s="84">
        <v>12</v>
      </c>
      <c r="R33" s="84">
        <v>1902</v>
      </c>
      <c r="S33" s="84">
        <v>58</v>
      </c>
      <c r="T33" s="84">
        <v>4704</v>
      </c>
      <c r="U33" s="430">
        <f t="shared" si="0"/>
        <v>1250.3978494623657</v>
      </c>
    </row>
    <row r="34" spans="1:21" s="87" customFormat="1" ht="19.5" customHeight="1">
      <c r="A34" s="82">
        <v>30</v>
      </c>
      <c r="B34" s="83" t="s">
        <v>142</v>
      </c>
      <c r="C34" s="84">
        <v>1629</v>
      </c>
      <c r="D34" s="84">
        <v>116</v>
      </c>
      <c r="E34" s="84">
        <v>1745</v>
      </c>
      <c r="F34" s="84">
        <v>280</v>
      </c>
      <c r="G34" s="68">
        <v>2025</v>
      </c>
      <c r="H34" s="85">
        <v>879314</v>
      </c>
      <c r="I34" s="85">
        <v>74633</v>
      </c>
      <c r="J34" s="85">
        <v>953947</v>
      </c>
      <c r="K34" s="85">
        <v>191706</v>
      </c>
      <c r="L34" s="86">
        <v>1145653</v>
      </c>
      <c r="M34" s="84">
        <v>6</v>
      </c>
      <c r="N34" s="84">
        <v>400</v>
      </c>
      <c r="O34" s="84">
        <v>1</v>
      </c>
      <c r="P34" s="84">
        <v>15</v>
      </c>
      <c r="Q34" s="84">
        <v>1</v>
      </c>
      <c r="R34" s="84">
        <v>55</v>
      </c>
      <c r="S34" s="84">
        <v>8</v>
      </c>
      <c r="T34" s="84">
        <v>470</v>
      </c>
      <c r="U34" s="430">
        <f t="shared" si="0"/>
        <v>684.66428571428571</v>
      </c>
    </row>
    <row r="35" spans="1:21" s="87" customFormat="1" ht="57" customHeight="1">
      <c r="A35" s="82">
        <v>31</v>
      </c>
      <c r="B35" s="83" t="s">
        <v>173</v>
      </c>
      <c r="C35" s="84">
        <v>8</v>
      </c>
      <c r="D35" s="84">
        <v>1</v>
      </c>
      <c r="E35" s="84">
        <v>9</v>
      </c>
      <c r="F35" s="84">
        <v>10</v>
      </c>
      <c r="G35" s="68">
        <v>19</v>
      </c>
      <c r="H35" s="85">
        <v>4059</v>
      </c>
      <c r="I35" s="85">
        <v>0</v>
      </c>
      <c r="J35" s="85">
        <v>4059</v>
      </c>
      <c r="K35" s="85">
        <v>7132</v>
      </c>
      <c r="L35" s="86">
        <v>11191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430">
        <f t="shared" si="0"/>
        <v>713.2</v>
      </c>
    </row>
    <row r="36" spans="1:21" s="87" customFormat="1" ht="19.5" customHeight="1">
      <c r="A36" s="82">
        <v>32</v>
      </c>
      <c r="B36" s="83" t="s">
        <v>45</v>
      </c>
      <c r="C36" s="84">
        <v>6</v>
      </c>
      <c r="D36" s="84">
        <v>4</v>
      </c>
      <c r="E36" s="84">
        <v>10</v>
      </c>
      <c r="F36" s="84">
        <v>43</v>
      </c>
      <c r="G36" s="68">
        <v>53</v>
      </c>
      <c r="H36" s="85">
        <v>3257</v>
      </c>
      <c r="I36" s="85">
        <v>2987</v>
      </c>
      <c r="J36" s="85">
        <v>6244</v>
      </c>
      <c r="K36" s="85">
        <v>58421</v>
      </c>
      <c r="L36" s="86">
        <v>64665</v>
      </c>
      <c r="M36" s="84">
        <v>0</v>
      </c>
      <c r="N36" s="84">
        <v>0</v>
      </c>
      <c r="O36" s="84">
        <v>1</v>
      </c>
      <c r="P36" s="84">
        <v>6</v>
      </c>
      <c r="Q36" s="84">
        <v>0</v>
      </c>
      <c r="R36" s="84">
        <v>0</v>
      </c>
      <c r="S36" s="84">
        <v>1</v>
      </c>
      <c r="T36" s="84">
        <v>6</v>
      </c>
      <c r="U36" s="430">
        <f t="shared" si="0"/>
        <v>1358.6279069767443</v>
      </c>
    </row>
    <row r="37" spans="1:21" s="87" customFormat="1" ht="19.5" customHeight="1">
      <c r="A37" s="82">
        <v>33</v>
      </c>
      <c r="B37" s="83" t="s">
        <v>47</v>
      </c>
      <c r="C37" s="84">
        <v>5625</v>
      </c>
      <c r="D37" s="84">
        <v>690</v>
      </c>
      <c r="E37" s="84">
        <v>6315</v>
      </c>
      <c r="F37" s="84">
        <v>812</v>
      </c>
      <c r="G37" s="68">
        <v>7127</v>
      </c>
      <c r="H37" s="85">
        <v>3492305</v>
      </c>
      <c r="I37" s="85">
        <v>903820</v>
      </c>
      <c r="J37" s="85">
        <v>4396125</v>
      </c>
      <c r="K37" s="85">
        <v>584788</v>
      </c>
      <c r="L37" s="86">
        <v>4980913</v>
      </c>
      <c r="M37" s="84">
        <v>63</v>
      </c>
      <c r="N37" s="84">
        <v>6197</v>
      </c>
      <c r="O37" s="84">
        <v>3</v>
      </c>
      <c r="P37" s="84">
        <v>566</v>
      </c>
      <c r="Q37" s="84">
        <v>3</v>
      </c>
      <c r="R37" s="84">
        <v>665</v>
      </c>
      <c r="S37" s="84">
        <v>69</v>
      </c>
      <c r="T37" s="84">
        <v>7428</v>
      </c>
      <c r="U37" s="430">
        <f t="shared" si="0"/>
        <v>720.18226600985224</v>
      </c>
    </row>
    <row r="38" spans="1:21" s="87" customFormat="1" ht="19.5" customHeight="1">
      <c r="A38" s="82">
        <v>34</v>
      </c>
      <c r="B38" s="83" t="s">
        <v>46</v>
      </c>
      <c r="C38" s="84">
        <v>197</v>
      </c>
      <c r="D38" s="84">
        <v>49</v>
      </c>
      <c r="E38" s="84">
        <v>246</v>
      </c>
      <c r="F38" s="84">
        <v>157</v>
      </c>
      <c r="G38" s="68">
        <v>403</v>
      </c>
      <c r="H38" s="85">
        <v>80933</v>
      </c>
      <c r="I38" s="85">
        <v>39693</v>
      </c>
      <c r="J38" s="85">
        <v>120626</v>
      </c>
      <c r="K38" s="85">
        <v>139602</v>
      </c>
      <c r="L38" s="86">
        <v>260228</v>
      </c>
      <c r="M38" s="84">
        <v>3</v>
      </c>
      <c r="N38" s="84">
        <v>25</v>
      </c>
      <c r="O38" s="84">
        <v>0</v>
      </c>
      <c r="P38" s="84">
        <v>0</v>
      </c>
      <c r="Q38" s="84">
        <v>1</v>
      </c>
      <c r="R38" s="84">
        <v>57</v>
      </c>
      <c r="S38" s="84">
        <v>4</v>
      </c>
      <c r="T38" s="84">
        <v>82</v>
      </c>
      <c r="U38" s="430">
        <f t="shared" si="0"/>
        <v>889.18471337579615</v>
      </c>
    </row>
    <row r="39" spans="1:21" s="87" customFormat="1" ht="19.5" customHeight="1">
      <c r="A39" s="82">
        <v>35</v>
      </c>
      <c r="B39" s="83" t="s">
        <v>48</v>
      </c>
      <c r="C39" s="84">
        <v>679</v>
      </c>
      <c r="D39" s="84">
        <v>271</v>
      </c>
      <c r="E39" s="84">
        <v>950</v>
      </c>
      <c r="F39" s="84">
        <v>492</v>
      </c>
      <c r="G39" s="68">
        <v>1442</v>
      </c>
      <c r="H39" s="85">
        <v>272747</v>
      </c>
      <c r="I39" s="85">
        <v>396771</v>
      </c>
      <c r="J39" s="85">
        <v>669518</v>
      </c>
      <c r="K39" s="85">
        <v>1009710</v>
      </c>
      <c r="L39" s="86">
        <v>1679228</v>
      </c>
      <c r="M39" s="84">
        <v>7</v>
      </c>
      <c r="N39" s="84">
        <v>602</v>
      </c>
      <c r="O39" s="84">
        <v>3</v>
      </c>
      <c r="P39" s="84">
        <v>295</v>
      </c>
      <c r="Q39" s="84">
        <v>1</v>
      </c>
      <c r="R39" s="84">
        <v>9</v>
      </c>
      <c r="S39" s="84">
        <v>11</v>
      </c>
      <c r="T39" s="84">
        <v>906</v>
      </c>
      <c r="U39" s="430">
        <f t="shared" si="0"/>
        <v>2052.2560975609758</v>
      </c>
    </row>
    <row r="40" spans="1:21" s="809" customFormat="1" ht="19.5" customHeight="1">
      <c r="A40" s="913" t="s">
        <v>49</v>
      </c>
      <c r="B40" s="913"/>
      <c r="C40" s="866">
        <v>27039</v>
      </c>
      <c r="D40" s="866">
        <v>5658</v>
      </c>
      <c r="E40" s="866">
        <v>32697</v>
      </c>
      <c r="F40" s="866">
        <v>8903</v>
      </c>
      <c r="G40" s="866">
        <v>41600</v>
      </c>
      <c r="H40" s="866">
        <v>12564324</v>
      </c>
      <c r="I40" s="866">
        <v>5979206</v>
      </c>
      <c r="J40" s="866">
        <v>18543530</v>
      </c>
      <c r="K40" s="866">
        <v>9768029</v>
      </c>
      <c r="L40" s="866">
        <v>28311559</v>
      </c>
      <c r="M40" s="866">
        <v>523</v>
      </c>
      <c r="N40" s="866">
        <v>38589</v>
      </c>
      <c r="O40" s="866">
        <v>69</v>
      </c>
      <c r="P40" s="866">
        <v>4378</v>
      </c>
      <c r="Q40" s="866">
        <v>136</v>
      </c>
      <c r="R40" s="866">
        <v>15771</v>
      </c>
      <c r="S40" s="866">
        <v>728</v>
      </c>
      <c r="T40" s="866">
        <v>58738</v>
      </c>
      <c r="U40" s="867">
        <f t="shared" si="0"/>
        <v>1097.1615185892397</v>
      </c>
    </row>
  </sheetData>
  <mergeCells count="21">
    <mergeCell ref="A1:B1"/>
    <mergeCell ref="C1:G1"/>
    <mergeCell ref="H1:L1"/>
    <mergeCell ref="M1:T1"/>
    <mergeCell ref="A2:A3"/>
    <mergeCell ref="B2:B3"/>
    <mergeCell ref="C2:C3"/>
    <mergeCell ref="D2:D3"/>
    <mergeCell ref="E2:E3"/>
    <mergeCell ref="F2:F3"/>
    <mergeCell ref="M2:N2"/>
    <mergeCell ref="O2:P2"/>
    <mergeCell ref="Q2:R2"/>
    <mergeCell ref="S2:T2"/>
    <mergeCell ref="K2:K3"/>
    <mergeCell ref="L2:L3"/>
    <mergeCell ref="A40:B40"/>
    <mergeCell ref="G2:G3"/>
    <mergeCell ref="H2:H3"/>
    <mergeCell ref="I2:I3"/>
    <mergeCell ref="J2:J3"/>
  </mergeCells>
  <printOptions horizontalCentered="1"/>
  <pageMargins left="0.70866141732283472" right="0.19685039370078741" top="0.51181102362204722" bottom="0.59055118110236227" header="0.31496062992125984" footer="0.31496062992125984"/>
  <pageSetup paperSize="9" scale="85" firstPageNumber="9" pageOrder="overThenDown" orientation="portrait" useFirstPageNumber="1" r:id="rId1"/>
  <headerFooter>
    <oddFooter>&amp;LAISHE 2020-21&amp;CT-5</oddFooter>
  </headerFooter>
  <colBreaks count="2" manualBreakCount="2">
    <brk id="7" max="40" man="1"/>
    <brk id="12" max="40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G64"/>
  <sheetViews>
    <sheetView view="pageBreakPreview" zoomScaleSheetLayoutView="100" workbookViewId="0">
      <pane xSplit="2" ySplit="3" topLeftCell="U55" activePane="bottomRight" state="frozen"/>
      <selection activeCell="H31" sqref="H31"/>
      <selection pane="topRight" activeCell="H31" sqref="H31"/>
      <selection pane="bottomLeft" activeCell="H31" sqref="H31"/>
      <selection pane="bottomRight" activeCell="B40" sqref="B40"/>
    </sheetView>
  </sheetViews>
  <sheetFormatPr defaultColWidth="9.1796875" defaultRowHeight="15.5"/>
  <cols>
    <col min="1" max="1" width="5.1796875" style="70" customWidth="1"/>
    <col min="2" max="2" width="23.453125" style="70" customWidth="1"/>
    <col min="3" max="4" width="9.54296875" style="70" customWidth="1"/>
    <col min="5" max="5" width="9" style="70" customWidth="1"/>
    <col min="6" max="6" width="7.26953125" style="70" customWidth="1"/>
    <col min="7" max="7" width="8.1796875" style="70" customWidth="1"/>
    <col min="8" max="8" width="6.7265625" style="70" customWidth="1"/>
    <col min="9" max="9" width="9.54296875" style="70" customWidth="1"/>
    <col min="10" max="10" width="9.7265625" style="70" customWidth="1"/>
    <col min="11" max="11" width="9.54296875" style="70" customWidth="1"/>
    <col min="12" max="14" width="10.26953125" style="70" customWidth="1"/>
    <col min="15" max="26" width="9.7265625" style="70" customWidth="1"/>
    <col min="27" max="29" width="11.54296875" style="70" bestFit="1" customWidth="1"/>
    <col min="30" max="31" width="7.81640625" style="70" customWidth="1"/>
    <col min="32" max="32" width="11.1796875" style="70" customWidth="1"/>
    <col min="33" max="16384" width="9.1796875" style="70"/>
  </cols>
  <sheetData>
    <row r="1" spans="1:32" s="216" customFormat="1" ht="27" customHeight="1">
      <c r="B1" s="158" t="s">
        <v>53</v>
      </c>
      <c r="C1" s="527" t="s">
        <v>1002</v>
      </c>
      <c r="L1" s="527" t="s">
        <v>1002</v>
      </c>
      <c r="U1" s="527" t="s">
        <v>1002</v>
      </c>
    </row>
    <row r="2" spans="1:32" s="736" customFormat="1" ht="24.75" customHeight="1">
      <c r="A2" s="940" t="s">
        <v>84</v>
      </c>
      <c r="B2" s="915" t="s">
        <v>2</v>
      </c>
      <c r="C2" s="937" t="s">
        <v>89</v>
      </c>
      <c r="D2" s="938"/>
      <c r="E2" s="939"/>
      <c r="F2" s="937" t="s">
        <v>90</v>
      </c>
      <c r="G2" s="938"/>
      <c r="H2" s="939"/>
      <c r="I2" s="937" t="s">
        <v>85</v>
      </c>
      <c r="J2" s="938"/>
      <c r="K2" s="939"/>
      <c r="L2" s="937" t="s">
        <v>86</v>
      </c>
      <c r="M2" s="938"/>
      <c r="N2" s="939"/>
      <c r="O2" s="937" t="s">
        <v>91</v>
      </c>
      <c r="P2" s="938"/>
      <c r="Q2" s="939"/>
      <c r="R2" s="937" t="s">
        <v>92</v>
      </c>
      <c r="S2" s="938"/>
      <c r="T2" s="939"/>
      <c r="U2" s="937" t="s">
        <v>93</v>
      </c>
      <c r="V2" s="938"/>
      <c r="W2" s="939"/>
      <c r="X2" s="937" t="s">
        <v>94</v>
      </c>
      <c r="Y2" s="938"/>
      <c r="Z2" s="939"/>
      <c r="AA2" s="937" t="s">
        <v>60</v>
      </c>
      <c r="AB2" s="938"/>
      <c r="AC2" s="939"/>
    </row>
    <row r="3" spans="1:32" s="184" customFormat="1" ht="24.75" customHeight="1">
      <c r="A3" s="941"/>
      <c r="B3" s="915"/>
      <c r="C3" s="529" t="s">
        <v>87</v>
      </c>
      <c r="D3" s="529" t="s">
        <v>88</v>
      </c>
      <c r="E3" s="529" t="s">
        <v>12</v>
      </c>
      <c r="F3" s="529" t="s">
        <v>87</v>
      </c>
      <c r="G3" s="529" t="s">
        <v>88</v>
      </c>
      <c r="H3" s="529" t="s">
        <v>12</v>
      </c>
      <c r="I3" s="529" t="s">
        <v>87</v>
      </c>
      <c r="J3" s="529" t="s">
        <v>88</v>
      </c>
      <c r="K3" s="529" t="s">
        <v>12</v>
      </c>
      <c r="L3" s="529" t="s">
        <v>87</v>
      </c>
      <c r="M3" s="529" t="s">
        <v>88</v>
      </c>
      <c r="N3" s="529" t="s">
        <v>12</v>
      </c>
      <c r="O3" s="529" t="s">
        <v>87</v>
      </c>
      <c r="P3" s="529" t="s">
        <v>88</v>
      </c>
      <c r="Q3" s="529" t="s">
        <v>12</v>
      </c>
      <c r="R3" s="529" t="s">
        <v>87</v>
      </c>
      <c r="S3" s="529" t="s">
        <v>88</v>
      </c>
      <c r="T3" s="529" t="s">
        <v>12</v>
      </c>
      <c r="U3" s="529" t="s">
        <v>87</v>
      </c>
      <c r="V3" s="529" t="s">
        <v>88</v>
      </c>
      <c r="W3" s="529" t="s">
        <v>12</v>
      </c>
      <c r="X3" s="529" t="s">
        <v>87</v>
      </c>
      <c r="Y3" s="529" t="s">
        <v>88</v>
      </c>
      <c r="Z3" s="529" t="s">
        <v>12</v>
      </c>
      <c r="AA3" s="529" t="s">
        <v>87</v>
      </c>
      <c r="AB3" s="529" t="s">
        <v>88</v>
      </c>
      <c r="AC3" s="529" t="s">
        <v>12</v>
      </c>
    </row>
    <row r="4" spans="1:32" s="764" customFormat="1" ht="15" customHeight="1">
      <c r="A4" s="530">
        <v>1</v>
      </c>
      <c r="B4" s="530">
        <v>2</v>
      </c>
      <c r="C4" s="530">
        <v>3</v>
      </c>
      <c r="D4" s="530">
        <v>4</v>
      </c>
      <c r="E4" s="530">
        <v>5</v>
      </c>
      <c r="F4" s="530">
        <v>6</v>
      </c>
      <c r="G4" s="530">
        <v>7</v>
      </c>
      <c r="H4" s="530">
        <v>8</v>
      </c>
      <c r="I4" s="530">
        <v>9</v>
      </c>
      <c r="J4" s="530">
        <v>10</v>
      </c>
      <c r="K4" s="530">
        <v>11</v>
      </c>
      <c r="L4" s="530">
        <v>12</v>
      </c>
      <c r="M4" s="530">
        <v>13</v>
      </c>
      <c r="N4" s="530">
        <v>14</v>
      </c>
      <c r="O4" s="530">
        <v>15</v>
      </c>
      <c r="P4" s="530">
        <v>16</v>
      </c>
      <c r="Q4" s="530">
        <v>17</v>
      </c>
      <c r="R4" s="530">
        <v>18</v>
      </c>
      <c r="S4" s="530">
        <v>19</v>
      </c>
      <c r="T4" s="530">
        <v>20</v>
      </c>
      <c r="U4" s="530">
        <v>21</v>
      </c>
      <c r="V4" s="530">
        <v>22</v>
      </c>
      <c r="W4" s="530">
        <v>23</v>
      </c>
      <c r="X4" s="530">
        <v>24</v>
      </c>
      <c r="Y4" s="530">
        <v>25</v>
      </c>
      <c r="Z4" s="530">
        <v>26</v>
      </c>
      <c r="AA4" s="530">
        <v>27</v>
      </c>
      <c r="AB4" s="530">
        <v>28</v>
      </c>
      <c r="AC4" s="530">
        <v>29</v>
      </c>
      <c r="AD4" s="763">
        <v>30</v>
      </c>
      <c r="AE4" s="763">
        <v>31</v>
      </c>
    </row>
    <row r="5" spans="1:32" s="184" customFormat="1" ht="30.75" customHeight="1">
      <c r="A5" s="82">
        <v>1</v>
      </c>
      <c r="B5" s="83" t="s">
        <v>171</v>
      </c>
      <c r="C5" s="528">
        <v>7</v>
      </c>
      <c r="D5" s="528">
        <v>12</v>
      </c>
      <c r="E5" s="528">
        <v>19</v>
      </c>
      <c r="F5" s="528">
        <v>0</v>
      </c>
      <c r="G5" s="528">
        <v>0</v>
      </c>
      <c r="H5" s="528">
        <v>0</v>
      </c>
      <c r="I5" s="528">
        <v>582</v>
      </c>
      <c r="J5" s="528">
        <v>979</v>
      </c>
      <c r="K5" s="528">
        <v>1561</v>
      </c>
      <c r="L5" s="528">
        <v>4055</v>
      </c>
      <c r="M5" s="528">
        <v>4672</v>
      </c>
      <c r="N5" s="528">
        <v>8727</v>
      </c>
      <c r="O5" s="528">
        <v>85</v>
      </c>
      <c r="P5" s="528">
        <v>56</v>
      </c>
      <c r="Q5" s="528">
        <v>141</v>
      </c>
      <c r="R5" s="528">
        <v>621</v>
      </c>
      <c r="S5" s="528">
        <v>455</v>
      </c>
      <c r="T5" s="528">
        <v>1076</v>
      </c>
      <c r="U5" s="528">
        <v>39</v>
      </c>
      <c r="V5" s="528">
        <v>33</v>
      </c>
      <c r="W5" s="528">
        <v>72</v>
      </c>
      <c r="X5" s="528">
        <v>145</v>
      </c>
      <c r="Y5" s="528">
        <v>224</v>
      </c>
      <c r="Z5" s="528">
        <v>369</v>
      </c>
      <c r="AA5" s="528">
        <v>5534</v>
      </c>
      <c r="AB5" s="528">
        <v>6431</v>
      </c>
      <c r="AC5" s="528">
        <v>11965</v>
      </c>
      <c r="AD5" s="765">
        <f>AC5-'9AllSAAct'!AW6</f>
        <v>11841</v>
      </c>
      <c r="AE5" s="765">
        <v>53.745819397993309</v>
      </c>
      <c r="AF5" s="184" t="b">
        <v>1</v>
      </c>
    </row>
    <row r="6" spans="1:32" s="184" customFormat="1" ht="21.75" customHeight="1">
      <c r="A6" s="82">
        <v>2</v>
      </c>
      <c r="B6" s="182" t="s">
        <v>15</v>
      </c>
      <c r="C6" s="528">
        <v>4283</v>
      </c>
      <c r="D6" s="528">
        <v>2708</v>
      </c>
      <c r="E6" s="528">
        <v>6991</v>
      </c>
      <c r="F6" s="528">
        <v>70</v>
      </c>
      <c r="G6" s="528">
        <v>48</v>
      </c>
      <c r="H6" s="528">
        <v>118</v>
      </c>
      <c r="I6" s="528">
        <v>98570</v>
      </c>
      <c r="J6" s="528">
        <v>97244</v>
      </c>
      <c r="K6" s="528">
        <v>195814</v>
      </c>
      <c r="L6" s="528">
        <v>846588</v>
      </c>
      <c r="M6" s="528">
        <v>759307</v>
      </c>
      <c r="N6" s="528">
        <v>1605895</v>
      </c>
      <c r="O6" s="528">
        <v>758</v>
      </c>
      <c r="P6" s="528">
        <v>431</v>
      </c>
      <c r="Q6" s="528">
        <v>1189</v>
      </c>
      <c r="R6" s="528">
        <v>96913</v>
      </c>
      <c r="S6" s="528">
        <v>66591</v>
      </c>
      <c r="T6" s="528">
        <v>163504</v>
      </c>
      <c r="U6" s="528">
        <v>454</v>
      </c>
      <c r="V6" s="528">
        <v>696</v>
      </c>
      <c r="W6" s="528">
        <v>1150</v>
      </c>
      <c r="X6" s="528">
        <v>8429</v>
      </c>
      <c r="Y6" s="528">
        <v>4528</v>
      </c>
      <c r="Z6" s="528">
        <v>12957</v>
      </c>
      <c r="AA6" s="528">
        <v>1056065</v>
      </c>
      <c r="AB6" s="528">
        <v>931553</v>
      </c>
      <c r="AC6" s="528">
        <v>1987618</v>
      </c>
      <c r="AD6" s="765">
        <f>AC6-'9AllSAAct'!AW7</f>
        <v>1869290</v>
      </c>
      <c r="AE6" s="765">
        <v>46.832408008753724</v>
      </c>
      <c r="AF6" s="184" t="b">
        <v>1</v>
      </c>
    </row>
    <row r="7" spans="1:32" s="184" customFormat="1" ht="21.75" customHeight="1">
      <c r="A7" s="82">
        <v>3</v>
      </c>
      <c r="B7" s="182" t="s">
        <v>16</v>
      </c>
      <c r="C7" s="528">
        <v>470</v>
      </c>
      <c r="D7" s="528">
        <v>258</v>
      </c>
      <c r="E7" s="528">
        <v>728</v>
      </c>
      <c r="F7" s="528">
        <v>56</v>
      </c>
      <c r="G7" s="528">
        <v>74</v>
      </c>
      <c r="H7" s="528">
        <v>130</v>
      </c>
      <c r="I7" s="528">
        <v>5623</v>
      </c>
      <c r="J7" s="528">
        <v>5814</v>
      </c>
      <c r="K7" s="528">
        <v>11437</v>
      </c>
      <c r="L7" s="528">
        <v>22310</v>
      </c>
      <c r="M7" s="528">
        <v>20017</v>
      </c>
      <c r="N7" s="528">
        <v>42327</v>
      </c>
      <c r="O7" s="528">
        <v>97</v>
      </c>
      <c r="P7" s="528">
        <v>80</v>
      </c>
      <c r="Q7" s="528">
        <v>177</v>
      </c>
      <c r="R7" s="528">
        <v>1403</v>
      </c>
      <c r="S7" s="528">
        <v>1139</v>
      </c>
      <c r="T7" s="528">
        <v>2542</v>
      </c>
      <c r="U7" s="528">
        <v>310</v>
      </c>
      <c r="V7" s="528">
        <v>162</v>
      </c>
      <c r="W7" s="528">
        <v>472</v>
      </c>
      <c r="X7" s="528">
        <v>1196</v>
      </c>
      <c r="Y7" s="528">
        <v>726</v>
      </c>
      <c r="Z7" s="528">
        <v>1922</v>
      </c>
      <c r="AA7" s="528">
        <v>31465</v>
      </c>
      <c r="AB7" s="528">
        <v>28270</v>
      </c>
      <c r="AC7" s="528">
        <v>59735</v>
      </c>
      <c r="AD7" s="765">
        <f>AC7-'9AllSAAct'!AW8</f>
        <v>58721</v>
      </c>
      <c r="AE7" s="765">
        <v>47.2579860003693</v>
      </c>
      <c r="AF7" s="184" t="b">
        <v>1</v>
      </c>
    </row>
    <row r="8" spans="1:32" s="184" customFormat="1" ht="21.75" customHeight="1">
      <c r="A8" s="82">
        <v>4</v>
      </c>
      <c r="B8" s="182" t="s">
        <v>17</v>
      </c>
      <c r="C8" s="528">
        <v>3648</v>
      </c>
      <c r="D8" s="528">
        <v>2356</v>
      </c>
      <c r="E8" s="528">
        <v>6004</v>
      </c>
      <c r="F8" s="528">
        <v>126</v>
      </c>
      <c r="G8" s="528">
        <v>180</v>
      </c>
      <c r="H8" s="528">
        <v>306</v>
      </c>
      <c r="I8" s="528">
        <v>23461</v>
      </c>
      <c r="J8" s="528">
        <v>33328</v>
      </c>
      <c r="K8" s="528">
        <v>56789</v>
      </c>
      <c r="L8" s="528">
        <v>297876</v>
      </c>
      <c r="M8" s="528">
        <v>304835</v>
      </c>
      <c r="N8" s="528">
        <v>602711</v>
      </c>
      <c r="O8" s="528">
        <v>984</v>
      </c>
      <c r="P8" s="528">
        <v>946</v>
      </c>
      <c r="Q8" s="528">
        <v>1930</v>
      </c>
      <c r="R8" s="528">
        <v>12972</v>
      </c>
      <c r="S8" s="528">
        <v>9814</v>
      </c>
      <c r="T8" s="528">
        <v>22786</v>
      </c>
      <c r="U8" s="528">
        <v>459</v>
      </c>
      <c r="V8" s="528">
        <v>866</v>
      </c>
      <c r="W8" s="528">
        <v>1325</v>
      </c>
      <c r="X8" s="528">
        <v>2459</v>
      </c>
      <c r="Y8" s="528">
        <v>2783</v>
      </c>
      <c r="Z8" s="528">
        <v>5242</v>
      </c>
      <c r="AA8" s="528">
        <v>341985</v>
      </c>
      <c r="AB8" s="528">
        <v>355108</v>
      </c>
      <c r="AC8" s="528">
        <v>697093</v>
      </c>
      <c r="AD8" s="765">
        <f>AC8-'9AllSAAct'!AW9</f>
        <v>679640</v>
      </c>
      <c r="AE8" s="765">
        <v>50.923615883897419</v>
      </c>
      <c r="AF8" s="184" t="b">
        <v>1</v>
      </c>
    </row>
    <row r="9" spans="1:32" s="184" customFormat="1" ht="21.75" customHeight="1">
      <c r="A9" s="82">
        <v>5</v>
      </c>
      <c r="B9" s="182" t="s">
        <v>18</v>
      </c>
      <c r="C9" s="528">
        <v>2625</v>
      </c>
      <c r="D9" s="528">
        <v>1183</v>
      </c>
      <c r="E9" s="528">
        <v>3808</v>
      </c>
      <c r="F9" s="528">
        <v>50</v>
      </c>
      <c r="G9" s="528">
        <v>23</v>
      </c>
      <c r="H9" s="528">
        <v>73</v>
      </c>
      <c r="I9" s="528">
        <v>99157</v>
      </c>
      <c r="J9" s="528">
        <v>84462</v>
      </c>
      <c r="K9" s="528">
        <v>183619</v>
      </c>
      <c r="L9" s="528">
        <v>1141620</v>
      </c>
      <c r="M9" s="528">
        <v>911387</v>
      </c>
      <c r="N9" s="528">
        <v>2053007</v>
      </c>
      <c r="O9" s="528">
        <v>2798</v>
      </c>
      <c r="P9" s="528">
        <v>1077</v>
      </c>
      <c r="Q9" s="528">
        <v>3875</v>
      </c>
      <c r="R9" s="528">
        <v>57296</v>
      </c>
      <c r="S9" s="528">
        <v>49189</v>
      </c>
      <c r="T9" s="528">
        <v>106485</v>
      </c>
      <c r="U9" s="528">
        <v>3264</v>
      </c>
      <c r="V9" s="528">
        <v>2885</v>
      </c>
      <c r="W9" s="528">
        <v>6149</v>
      </c>
      <c r="X9" s="528">
        <v>2592</v>
      </c>
      <c r="Y9" s="528">
        <v>1333</v>
      </c>
      <c r="Z9" s="528">
        <v>3925</v>
      </c>
      <c r="AA9" s="528">
        <v>1309402</v>
      </c>
      <c r="AB9" s="528">
        <v>1051539</v>
      </c>
      <c r="AC9" s="528">
        <v>2360941</v>
      </c>
      <c r="AD9" s="765">
        <f>AC9-'9AllSAAct'!AW10</f>
        <v>2290638</v>
      </c>
      <c r="AE9" s="765">
        <v>44.923324164943196</v>
      </c>
      <c r="AF9" s="184" t="b">
        <v>1</v>
      </c>
    </row>
    <row r="10" spans="1:32" s="184" customFormat="1" ht="21.75" customHeight="1">
      <c r="A10" s="82">
        <v>6</v>
      </c>
      <c r="B10" s="182" t="s">
        <v>19</v>
      </c>
      <c r="C10" s="528">
        <v>323</v>
      </c>
      <c r="D10" s="528">
        <v>427</v>
      </c>
      <c r="E10" s="528">
        <v>750</v>
      </c>
      <c r="F10" s="528">
        <v>158</v>
      </c>
      <c r="G10" s="528">
        <v>29</v>
      </c>
      <c r="H10" s="528">
        <v>187</v>
      </c>
      <c r="I10" s="528">
        <v>8669</v>
      </c>
      <c r="J10" s="528">
        <v>13715</v>
      </c>
      <c r="K10" s="528">
        <v>22384</v>
      </c>
      <c r="L10" s="528">
        <v>40358</v>
      </c>
      <c r="M10" s="528">
        <v>35349</v>
      </c>
      <c r="N10" s="528">
        <v>75707</v>
      </c>
      <c r="O10" s="528">
        <v>1138</v>
      </c>
      <c r="P10" s="528">
        <v>1181</v>
      </c>
      <c r="Q10" s="528">
        <v>2319</v>
      </c>
      <c r="R10" s="528">
        <v>3035</v>
      </c>
      <c r="S10" s="528">
        <v>3631</v>
      </c>
      <c r="T10" s="528">
        <v>6666</v>
      </c>
      <c r="U10" s="528">
        <v>245</v>
      </c>
      <c r="V10" s="528">
        <v>237</v>
      </c>
      <c r="W10" s="528">
        <v>482</v>
      </c>
      <c r="X10" s="528">
        <v>883</v>
      </c>
      <c r="Y10" s="528">
        <v>1087</v>
      </c>
      <c r="Z10" s="528">
        <v>1970</v>
      </c>
      <c r="AA10" s="528">
        <v>54809</v>
      </c>
      <c r="AB10" s="528">
        <v>55656</v>
      </c>
      <c r="AC10" s="528">
        <v>110465</v>
      </c>
      <c r="AD10" s="765">
        <f>AC10-'9AllSAAct'!AW11</f>
        <v>106735</v>
      </c>
      <c r="AE10" s="765">
        <v>50.176752111961136</v>
      </c>
      <c r="AF10" s="184" t="b">
        <v>1</v>
      </c>
    </row>
    <row r="11" spans="1:32" s="184" customFormat="1" ht="21.75" customHeight="1">
      <c r="A11" s="82">
        <v>7</v>
      </c>
      <c r="B11" s="182" t="s">
        <v>20</v>
      </c>
      <c r="C11" s="528">
        <v>910</v>
      </c>
      <c r="D11" s="528">
        <v>744</v>
      </c>
      <c r="E11" s="528">
        <v>1654</v>
      </c>
      <c r="F11" s="528">
        <v>36</v>
      </c>
      <c r="G11" s="528">
        <v>22</v>
      </c>
      <c r="H11" s="528">
        <v>58</v>
      </c>
      <c r="I11" s="528">
        <v>33737</v>
      </c>
      <c r="J11" s="528">
        <v>46771</v>
      </c>
      <c r="K11" s="528">
        <v>80508</v>
      </c>
      <c r="L11" s="528">
        <v>215732</v>
      </c>
      <c r="M11" s="528">
        <v>259411</v>
      </c>
      <c r="N11" s="528">
        <v>475143</v>
      </c>
      <c r="O11" s="528">
        <v>14443</v>
      </c>
      <c r="P11" s="528">
        <v>14621</v>
      </c>
      <c r="Q11" s="528">
        <v>29064</v>
      </c>
      <c r="R11" s="528">
        <v>36144</v>
      </c>
      <c r="S11" s="528">
        <v>27021</v>
      </c>
      <c r="T11" s="528">
        <v>63165</v>
      </c>
      <c r="U11" s="528">
        <v>296</v>
      </c>
      <c r="V11" s="528">
        <v>435</v>
      </c>
      <c r="W11" s="528">
        <v>731</v>
      </c>
      <c r="X11" s="528">
        <v>1542</v>
      </c>
      <c r="Y11" s="528">
        <v>1540</v>
      </c>
      <c r="Z11" s="528">
        <v>3082</v>
      </c>
      <c r="AA11" s="528">
        <v>302840</v>
      </c>
      <c r="AB11" s="528">
        <v>350565</v>
      </c>
      <c r="AC11" s="528">
        <v>653405</v>
      </c>
      <c r="AD11" s="765">
        <f>AC11-'9AllSAAct'!AW12</f>
        <v>646847</v>
      </c>
      <c r="AE11" s="765">
        <v>53.468729009060489</v>
      </c>
      <c r="AF11" s="184" t="b">
        <v>1</v>
      </c>
    </row>
    <row r="12" spans="1:32" s="184" customFormat="1" ht="21.75" customHeight="1">
      <c r="A12" s="82">
        <v>8</v>
      </c>
      <c r="B12" s="182" t="s">
        <v>23</v>
      </c>
      <c r="C12" s="528">
        <v>8112</v>
      </c>
      <c r="D12" s="528">
        <v>7332</v>
      </c>
      <c r="E12" s="528">
        <v>15444</v>
      </c>
      <c r="F12" s="528">
        <v>772</v>
      </c>
      <c r="G12" s="528">
        <v>764</v>
      </c>
      <c r="H12" s="528">
        <v>1536</v>
      </c>
      <c r="I12" s="528">
        <v>69649</v>
      </c>
      <c r="J12" s="528">
        <v>97222</v>
      </c>
      <c r="K12" s="528">
        <v>166871</v>
      </c>
      <c r="L12" s="528">
        <v>454449</v>
      </c>
      <c r="M12" s="528">
        <v>409832</v>
      </c>
      <c r="N12" s="528">
        <v>864281</v>
      </c>
      <c r="O12" s="528">
        <v>9715</v>
      </c>
      <c r="P12" s="528">
        <v>7442</v>
      </c>
      <c r="Q12" s="528">
        <v>17157</v>
      </c>
      <c r="R12" s="528">
        <v>17002</v>
      </c>
      <c r="S12" s="528">
        <v>15459</v>
      </c>
      <c r="T12" s="528">
        <v>32461</v>
      </c>
      <c r="U12" s="528">
        <v>1415</v>
      </c>
      <c r="V12" s="528">
        <v>1143</v>
      </c>
      <c r="W12" s="528">
        <v>2558</v>
      </c>
      <c r="X12" s="528">
        <v>3735</v>
      </c>
      <c r="Y12" s="528">
        <v>2228</v>
      </c>
      <c r="Z12" s="528">
        <v>5963</v>
      </c>
      <c r="AA12" s="528">
        <v>564849</v>
      </c>
      <c r="AB12" s="528">
        <v>541422</v>
      </c>
      <c r="AC12" s="528">
        <v>1106271</v>
      </c>
      <c r="AD12" s="765">
        <f>AC12-'9AllSAAct'!AW13</f>
        <v>1081454</v>
      </c>
      <c r="AE12" s="765">
        <v>48.932658480673645</v>
      </c>
      <c r="AF12" s="184" t="b">
        <v>1</v>
      </c>
    </row>
    <row r="13" spans="1:32" s="184" customFormat="1" ht="21.75" customHeight="1">
      <c r="A13" s="82">
        <v>9</v>
      </c>
      <c r="B13" s="182" t="s">
        <v>24</v>
      </c>
      <c r="C13" s="528">
        <v>276</v>
      </c>
      <c r="D13" s="528">
        <v>340</v>
      </c>
      <c r="E13" s="528">
        <v>616</v>
      </c>
      <c r="F13" s="528">
        <v>6</v>
      </c>
      <c r="G13" s="528">
        <v>2</v>
      </c>
      <c r="H13" s="528">
        <v>8</v>
      </c>
      <c r="I13" s="528">
        <v>3113</v>
      </c>
      <c r="J13" s="528">
        <v>4464</v>
      </c>
      <c r="K13" s="528">
        <v>7577</v>
      </c>
      <c r="L13" s="528">
        <v>20785</v>
      </c>
      <c r="M13" s="528">
        <v>23406</v>
      </c>
      <c r="N13" s="528">
        <v>44191</v>
      </c>
      <c r="O13" s="528">
        <v>108</v>
      </c>
      <c r="P13" s="528">
        <v>139</v>
      </c>
      <c r="Q13" s="528">
        <v>247</v>
      </c>
      <c r="R13" s="528">
        <v>4677</v>
      </c>
      <c r="S13" s="528">
        <v>1593</v>
      </c>
      <c r="T13" s="528">
        <v>6270</v>
      </c>
      <c r="U13" s="528">
        <v>17</v>
      </c>
      <c r="V13" s="528">
        <v>14</v>
      </c>
      <c r="W13" s="528">
        <v>31</v>
      </c>
      <c r="X13" s="528">
        <v>422</v>
      </c>
      <c r="Y13" s="528">
        <v>923</v>
      </c>
      <c r="Z13" s="528">
        <v>1345</v>
      </c>
      <c r="AA13" s="528">
        <v>29404</v>
      </c>
      <c r="AB13" s="528">
        <v>30881</v>
      </c>
      <c r="AC13" s="528">
        <v>60285</v>
      </c>
      <c r="AD13" s="765">
        <f>AC13-'9AllSAAct'!AW14</f>
        <v>52433</v>
      </c>
      <c r="AE13" s="765">
        <v>51.354313709208668</v>
      </c>
      <c r="AF13" s="184" t="b">
        <v>1</v>
      </c>
    </row>
    <row r="14" spans="1:32" s="184" customFormat="1" ht="21.75" customHeight="1">
      <c r="A14" s="82">
        <v>10</v>
      </c>
      <c r="B14" s="182" t="s">
        <v>25</v>
      </c>
      <c r="C14" s="528">
        <v>4819</v>
      </c>
      <c r="D14" s="528">
        <v>3202</v>
      </c>
      <c r="E14" s="528">
        <v>8021</v>
      </c>
      <c r="F14" s="528">
        <v>135</v>
      </c>
      <c r="G14" s="528">
        <v>177</v>
      </c>
      <c r="H14" s="528">
        <v>312</v>
      </c>
      <c r="I14" s="528">
        <v>86719</v>
      </c>
      <c r="J14" s="528">
        <v>99388</v>
      </c>
      <c r="K14" s="528">
        <v>186107</v>
      </c>
      <c r="L14" s="528">
        <v>712608</v>
      </c>
      <c r="M14" s="528">
        <v>545854</v>
      </c>
      <c r="N14" s="528">
        <v>1258462</v>
      </c>
      <c r="O14" s="528">
        <v>3856</v>
      </c>
      <c r="P14" s="528">
        <v>3072</v>
      </c>
      <c r="Q14" s="528">
        <v>6928</v>
      </c>
      <c r="R14" s="528">
        <v>103346</v>
      </c>
      <c r="S14" s="528">
        <v>50683</v>
      </c>
      <c r="T14" s="528">
        <v>154029</v>
      </c>
      <c r="U14" s="528">
        <v>17256</v>
      </c>
      <c r="V14" s="528">
        <v>5035</v>
      </c>
      <c r="W14" s="528">
        <v>22291</v>
      </c>
      <c r="X14" s="528">
        <v>9405</v>
      </c>
      <c r="Y14" s="528">
        <v>7575</v>
      </c>
      <c r="Z14" s="528">
        <v>16980</v>
      </c>
      <c r="AA14" s="528">
        <v>938144</v>
      </c>
      <c r="AB14" s="528">
        <v>714986</v>
      </c>
      <c r="AC14" s="528">
        <v>1653130</v>
      </c>
      <c r="AD14" s="765">
        <f>AC14-'9AllSAAct'!AW15</f>
        <v>1623232</v>
      </c>
      <c r="AE14" s="765">
        <v>43.084877460723987</v>
      </c>
      <c r="AF14" s="184" t="b">
        <v>1</v>
      </c>
    </row>
    <row r="15" spans="1:32" s="184" customFormat="1" ht="21.75" customHeight="1">
      <c r="A15" s="82">
        <v>11</v>
      </c>
      <c r="B15" s="182" t="s">
        <v>26</v>
      </c>
      <c r="C15" s="528">
        <v>2046</v>
      </c>
      <c r="D15" s="528">
        <v>2502</v>
      </c>
      <c r="E15" s="528">
        <v>4548</v>
      </c>
      <c r="F15" s="528">
        <v>104</v>
      </c>
      <c r="G15" s="528">
        <v>142</v>
      </c>
      <c r="H15" s="528">
        <v>246</v>
      </c>
      <c r="I15" s="528">
        <v>50192</v>
      </c>
      <c r="J15" s="528">
        <v>80377</v>
      </c>
      <c r="K15" s="528">
        <v>130569</v>
      </c>
      <c r="L15" s="528">
        <v>392179</v>
      </c>
      <c r="M15" s="528">
        <v>389514</v>
      </c>
      <c r="N15" s="528">
        <v>781693</v>
      </c>
      <c r="O15" s="528">
        <v>1596</v>
      </c>
      <c r="P15" s="528">
        <v>1331</v>
      </c>
      <c r="Q15" s="528">
        <v>2927</v>
      </c>
      <c r="R15" s="528">
        <v>61163</v>
      </c>
      <c r="S15" s="528">
        <v>28798</v>
      </c>
      <c r="T15" s="528">
        <v>89961</v>
      </c>
      <c r="U15" s="528">
        <v>693</v>
      </c>
      <c r="V15" s="528">
        <v>991</v>
      </c>
      <c r="W15" s="528">
        <v>1684</v>
      </c>
      <c r="X15" s="528">
        <v>9840</v>
      </c>
      <c r="Y15" s="528">
        <v>7691</v>
      </c>
      <c r="Z15" s="528">
        <v>17531</v>
      </c>
      <c r="AA15" s="528">
        <v>517813</v>
      </c>
      <c r="AB15" s="528">
        <v>511346</v>
      </c>
      <c r="AC15" s="528">
        <v>1029159</v>
      </c>
      <c r="AD15" s="765">
        <f>AC15-'9AllSAAct'!AW16</f>
        <v>968625</v>
      </c>
      <c r="AE15" s="765">
        <v>49.614327146569401</v>
      </c>
      <c r="AF15" s="184" t="b">
        <v>1</v>
      </c>
    </row>
    <row r="16" spans="1:32" s="184" customFormat="1" ht="21.75" customHeight="1">
      <c r="A16" s="82">
        <v>12</v>
      </c>
      <c r="B16" s="182" t="s">
        <v>27</v>
      </c>
      <c r="C16" s="528">
        <v>1100</v>
      </c>
      <c r="D16" s="528">
        <v>1012</v>
      </c>
      <c r="E16" s="528">
        <v>2112</v>
      </c>
      <c r="F16" s="528">
        <v>136</v>
      </c>
      <c r="G16" s="528">
        <v>134</v>
      </c>
      <c r="H16" s="528">
        <v>270</v>
      </c>
      <c r="I16" s="528">
        <v>13471</v>
      </c>
      <c r="J16" s="528">
        <v>16133</v>
      </c>
      <c r="K16" s="528">
        <v>29604</v>
      </c>
      <c r="L16" s="528">
        <v>107717</v>
      </c>
      <c r="M16" s="528">
        <v>128469</v>
      </c>
      <c r="N16" s="528">
        <v>236186</v>
      </c>
      <c r="O16" s="528">
        <v>730</v>
      </c>
      <c r="P16" s="528">
        <v>753</v>
      </c>
      <c r="Q16" s="528">
        <v>1483</v>
      </c>
      <c r="R16" s="528">
        <v>8214</v>
      </c>
      <c r="S16" s="528">
        <v>8687</v>
      </c>
      <c r="T16" s="528">
        <v>16901</v>
      </c>
      <c r="U16" s="528">
        <v>324</v>
      </c>
      <c r="V16" s="528">
        <v>236</v>
      </c>
      <c r="W16" s="528">
        <v>560</v>
      </c>
      <c r="X16" s="528">
        <v>1504</v>
      </c>
      <c r="Y16" s="528">
        <v>965</v>
      </c>
      <c r="Z16" s="528">
        <v>2469</v>
      </c>
      <c r="AA16" s="528">
        <v>133196</v>
      </c>
      <c r="AB16" s="528">
        <v>156389</v>
      </c>
      <c r="AC16" s="528">
        <v>289585</v>
      </c>
      <c r="AD16" s="765">
        <f>AC16-'9AllSAAct'!AW17</f>
        <v>277261</v>
      </c>
      <c r="AE16" s="765">
        <v>53.914706471719406</v>
      </c>
      <c r="AF16" s="184" t="b">
        <v>1</v>
      </c>
    </row>
    <row r="17" spans="1:33" s="184" customFormat="1" ht="21.75" customHeight="1">
      <c r="A17" s="82">
        <v>13</v>
      </c>
      <c r="B17" s="182" t="s">
        <v>57</v>
      </c>
      <c r="C17" s="528">
        <v>2412</v>
      </c>
      <c r="D17" s="528">
        <v>2033</v>
      </c>
      <c r="E17" s="528">
        <v>4445</v>
      </c>
      <c r="F17" s="528">
        <v>117</v>
      </c>
      <c r="G17" s="528">
        <v>180</v>
      </c>
      <c r="H17" s="528">
        <v>297</v>
      </c>
      <c r="I17" s="528">
        <v>29946</v>
      </c>
      <c r="J17" s="528">
        <v>36342</v>
      </c>
      <c r="K17" s="528">
        <v>66288</v>
      </c>
      <c r="L17" s="528">
        <v>141590</v>
      </c>
      <c r="M17" s="528">
        <v>147415</v>
      </c>
      <c r="N17" s="528">
        <v>289005</v>
      </c>
      <c r="O17" s="528">
        <v>1183</v>
      </c>
      <c r="P17" s="528">
        <v>646</v>
      </c>
      <c r="Q17" s="528">
        <v>1829</v>
      </c>
      <c r="R17" s="528">
        <v>12879</v>
      </c>
      <c r="S17" s="528">
        <v>12592</v>
      </c>
      <c r="T17" s="528">
        <v>25471</v>
      </c>
      <c r="U17" s="528">
        <v>840</v>
      </c>
      <c r="V17" s="528">
        <v>769</v>
      </c>
      <c r="W17" s="528">
        <v>1609</v>
      </c>
      <c r="X17" s="528">
        <v>4509</v>
      </c>
      <c r="Y17" s="528">
        <v>5401</v>
      </c>
      <c r="Z17" s="528">
        <v>9910</v>
      </c>
      <c r="AA17" s="528">
        <v>193476</v>
      </c>
      <c r="AB17" s="528">
        <v>205378</v>
      </c>
      <c r="AC17" s="528">
        <v>398854</v>
      </c>
      <c r="AD17" s="765">
        <f>AC17-'9AllSAAct'!AW18</f>
        <v>375326</v>
      </c>
      <c r="AE17" s="765">
        <v>51.425830111801368</v>
      </c>
      <c r="AF17" s="184" t="b">
        <v>1</v>
      </c>
    </row>
    <row r="18" spans="1:33" s="184" customFormat="1" ht="21.75" customHeight="1">
      <c r="A18" s="82">
        <v>14</v>
      </c>
      <c r="B18" s="182" t="s">
        <v>29</v>
      </c>
      <c r="C18" s="528">
        <v>1738</v>
      </c>
      <c r="D18" s="528">
        <v>919</v>
      </c>
      <c r="E18" s="528">
        <v>2657</v>
      </c>
      <c r="F18" s="528">
        <v>18</v>
      </c>
      <c r="G18" s="528">
        <v>63</v>
      </c>
      <c r="H18" s="528">
        <v>81</v>
      </c>
      <c r="I18" s="528">
        <v>42929</v>
      </c>
      <c r="J18" s="528">
        <v>62500</v>
      </c>
      <c r="K18" s="528">
        <v>105429</v>
      </c>
      <c r="L18" s="528">
        <v>314684</v>
      </c>
      <c r="M18" s="528">
        <v>312130</v>
      </c>
      <c r="N18" s="528">
        <v>626814</v>
      </c>
      <c r="O18" s="528">
        <v>2901</v>
      </c>
      <c r="P18" s="528">
        <v>1184</v>
      </c>
      <c r="Q18" s="528">
        <v>4085</v>
      </c>
      <c r="R18" s="528">
        <v>28104</v>
      </c>
      <c r="S18" s="528">
        <v>14712</v>
      </c>
      <c r="T18" s="528">
        <v>42816</v>
      </c>
      <c r="U18" s="528">
        <v>1160</v>
      </c>
      <c r="V18" s="528">
        <v>800</v>
      </c>
      <c r="W18" s="528">
        <v>1960</v>
      </c>
      <c r="X18" s="528">
        <v>1815</v>
      </c>
      <c r="Y18" s="528">
        <v>1030</v>
      </c>
      <c r="Z18" s="528">
        <v>2845</v>
      </c>
      <c r="AA18" s="528">
        <v>393349</v>
      </c>
      <c r="AB18" s="528">
        <v>393338</v>
      </c>
      <c r="AC18" s="528">
        <v>786687</v>
      </c>
      <c r="AD18" s="765">
        <f>AC18-'9AllSAAct'!AW19</f>
        <v>753882</v>
      </c>
      <c r="AE18" s="765">
        <v>49.990064567408687</v>
      </c>
      <c r="AF18" s="184" t="b">
        <v>1</v>
      </c>
    </row>
    <row r="19" spans="1:33" s="184" customFormat="1" ht="21.75" customHeight="1">
      <c r="A19" s="82">
        <v>15</v>
      </c>
      <c r="B19" s="182" t="s">
        <v>30</v>
      </c>
      <c r="C19" s="528">
        <v>5752</v>
      </c>
      <c r="D19" s="528">
        <v>5276</v>
      </c>
      <c r="E19" s="528">
        <v>11028</v>
      </c>
      <c r="F19" s="528">
        <v>60</v>
      </c>
      <c r="G19" s="528">
        <v>189</v>
      </c>
      <c r="H19" s="528">
        <v>249</v>
      </c>
      <c r="I19" s="528">
        <v>120083</v>
      </c>
      <c r="J19" s="528">
        <v>159105</v>
      </c>
      <c r="K19" s="528">
        <v>279188</v>
      </c>
      <c r="L19" s="528">
        <v>944677</v>
      </c>
      <c r="M19" s="528">
        <v>924391</v>
      </c>
      <c r="N19" s="528">
        <v>1869068</v>
      </c>
      <c r="O19" s="528">
        <v>4112</v>
      </c>
      <c r="P19" s="528">
        <v>3219</v>
      </c>
      <c r="Q19" s="528">
        <v>7331</v>
      </c>
      <c r="R19" s="528">
        <v>138523</v>
      </c>
      <c r="S19" s="528">
        <v>115311</v>
      </c>
      <c r="T19" s="528">
        <v>253834</v>
      </c>
      <c r="U19" s="528">
        <v>3120</v>
      </c>
      <c r="V19" s="528">
        <v>2664</v>
      </c>
      <c r="W19" s="528">
        <v>5784</v>
      </c>
      <c r="X19" s="528">
        <v>7274</v>
      </c>
      <c r="Y19" s="528">
        <v>6681</v>
      </c>
      <c r="Z19" s="528">
        <v>13955</v>
      </c>
      <c r="AA19" s="528">
        <v>1223601</v>
      </c>
      <c r="AB19" s="528">
        <v>1216836</v>
      </c>
      <c r="AC19" s="528">
        <v>2440437</v>
      </c>
      <c r="AD19" s="765">
        <f>AC19-'9AllSAAct'!AW20</f>
        <v>2230006</v>
      </c>
      <c r="AE19" s="765">
        <v>49.673304012468307</v>
      </c>
      <c r="AF19" s="184" t="b">
        <v>1</v>
      </c>
    </row>
    <row r="20" spans="1:33" s="184" customFormat="1" ht="21.75" customHeight="1">
      <c r="A20" s="82">
        <v>16</v>
      </c>
      <c r="B20" s="182" t="s">
        <v>31</v>
      </c>
      <c r="C20" s="528">
        <v>3184</v>
      </c>
      <c r="D20" s="528">
        <v>5554</v>
      </c>
      <c r="E20" s="528">
        <v>8738</v>
      </c>
      <c r="F20" s="528">
        <v>207</v>
      </c>
      <c r="G20" s="528">
        <v>745</v>
      </c>
      <c r="H20" s="528">
        <v>952</v>
      </c>
      <c r="I20" s="528">
        <v>45876</v>
      </c>
      <c r="J20" s="528">
        <v>120643</v>
      </c>
      <c r="K20" s="528">
        <v>166519</v>
      </c>
      <c r="L20" s="528">
        <v>454250</v>
      </c>
      <c r="M20" s="528">
        <v>633728</v>
      </c>
      <c r="N20" s="528">
        <v>1087978</v>
      </c>
      <c r="O20" s="528">
        <v>1498</v>
      </c>
      <c r="P20" s="528">
        <v>1621</v>
      </c>
      <c r="Q20" s="528">
        <v>3119</v>
      </c>
      <c r="R20" s="528">
        <v>49106</v>
      </c>
      <c r="S20" s="528">
        <v>33686</v>
      </c>
      <c r="T20" s="528">
        <v>82792</v>
      </c>
      <c r="U20" s="528">
        <v>1278</v>
      </c>
      <c r="V20" s="528">
        <v>3429</v>
      </c>
      <c r="W20" s="528">
        <v>4707</v>
      </c>
      <c r="X20" s="528">
        <v>4226</v>
      </c>
      <c r="Y20" s="528">
        <v>5505</v>
      </c>
      <c r="Z20" s="528">
        <v>9731</v>
      </c>
      <c r="AA20" s="528">
        <v>559625</v>
      </c>
      <c r="AB20" s="528">
        <v>804911</v>
      </c>
      <c r="AC20" s="528">
        <v>1364536</v>
      </c>
      <c r="AD20" s="765">
        <f>AC20-'9AllSAAct'!AW21</f>
        <v>1289207</v>
      </c>
      <c r="AE20" s="765">
        <v>58.885067505531389</v>
      </c>
      <c r="AF20" s="184" t="b">
        <v>1</v>
      </c>
    </row>
    <row r="21" spans="1:33" s="184" customFormat="1" ht="21.75" customHeight="1">
      <c r="A21" s="82">
        <v>17</v>
      </c>
      <c r="B21" s="182" t="s">
        <v>172</v>
      </c>
      <c r="C21" s="528">
        <v>6</v>
      </c>
      <c r="D21" s="528">
        <v>2</v>
      </c>
      <c r="E21" s="528">
        <v>8</v>
      </c>
      <c r="F21" s="528">
        <v>0</v>
      </c>
      <c r="G21" s="528">
        <v>0</v>
      </c>
      <c r="H21" s="528">
        <v>0</v>
      </c>
      <c r="I21" s="528">
        <v>70</v>
      </c>
      <c r="J21" s="528">
        <v>23</v>
      </c>
      <c r="K21" s="528">
        <v>93</v>
      </c>
      <c r="L21" s="528">
        <v>740</v>
      </c>
      <c r="M21" s="528">
        <v>1738</v>
      </c>
      <c r="N21" s="528">
        <v>2478</v>
      </c>
      <c r="O21" s="528">
        <v>0</v>
      </c>
      <c r="P21" s="528">
        <v>0</v>
      </c>
      <c r="Q21" s="528">
        <v>0</v>
      </c>
      <c r="R21" s="528">
        <v>245</v>
      </c>
      <c r="S21" s="528">
        <v>185</v>
      </c>
      <c r="T21" s="528">
        <v>430</v>
      </c>
      <c r="U21" s="528">
        <v>0</v>
      </c>
      <c r="V21" s="528">
        <v>0</v>
      </c>
      <c r="W21" s="528">
        <v>0</v>
      </c>
      <c r="X21" s="528">
        <v>47</v>
      </c>
      <c r="Y21" s="528">
        <v>91</v>
      </c>
      <c r="Z21" s="528">
        <v>138</v>
      </c>
      <c r="AA21" s="528">
        <v>1108</v>
      </c>
      <c r="AB21" s="528">
        <v>2039</v>
      </c>
      <c r="AC21" s="528">
        <v>3147</v>
      </c>
      <c r="AD21" s="765">
        <f>AC21-'9AllSAAct'!AW22</f>
        <v>2932</v>
      </c>
      <c r="AE21" s="765"/>
    </row>
    <row r="22" spans="1:33" s="184" customFormat="1" ht="21.75" customHeight="1">
      <c r="A22" s="82">
        <v>18</v>
      </c>
      <c r="B22" s="182" t="s">
        <v>32</v>
      </c>
      <c r="C22" s="528">
        <v>0</v>
      </c>
      <c r="D22" s="528">
        <v>0</v>
      </c>
      <c r="E22" s="528">
        <v>0</v>
      </c>
      <c r="F22" s="528">
        <v>0</v>
      </c>
      <c r="G22" s="528">
        <v>0</v>
      </c>
      <c r="H22" s="528">
        <v>0</v>
      </c>
      <c r="I22" s="528">
        <v>0</v>
      </c>
      <c r="J22" s="528">
        <v>26</v>
      </c>
      <c r="K22" s="528">
        <v>26</v>
      </c>
      <c r="L22" s="528">
        <v>133</v>
      </c>
      <c r="M22" s="528">
        <v>401</v>
      </c>
      <c r="N22" s="528">
        <v>534</v>
      </c>
      <c r="O22" s="528">
        <v>0</v>
      </c>
      <c r="P22" s="528">
        <v>0</v>
      </c>
      <c r="Q22" s="528">
        <v>0</v>
      </c>
      <c r="R22" s="528">
        <v>0</v>
      </c>
      <c r="S22" s="528">
        <v>0</v>
      </c>
      <c r="T22" s="528">
        <v>0</v>
      </c>
      <c r="U22" s="528">
        <v>0</v>
      </c>
      <c r="V22" s="528">
        <v>0</v>
      </c>
      <c r="W22" s="528">
        <v>0</v>
      </c>
      <c r="X22" s="528">
        <v>0</v>
      </c>
      <c r="Y22" s="528">
        <v>0</v>
      </c>
      <c r="Z22" s="528">
        <v>0</v>
      </c>
      <c r="AA22" s="528">
        <v>133</v>
      </c>
      <c r="AB22" s="528">
        <v>427</v>
      </c>
      <c r="AC22" s="528">
        <v>560</v>
      </c>
      <c r="AD22" s="765">
        <f>AC22-'9AllSAAct'!AW23</f>
        <v>560</v>
      </c>
      <c r="AE22" s="765"/>
      <c r="AF22" s="184" t="b">
        <v>0</v>
      </c>
    </row>
    <row r="23" spans="1:33" s="184" customFormat="1" ht="21.75" customHeight="1">
      <c r="A23" s="82">
        <v>19</v>
      </c>
      <c r="B23" s="182" t="s">
        <v>33</v>
      </c>
      <c r="C23" s="528">
        <v>3676</v>
      </c>
      <c r="D23" s="528">
        <v>2477</v>
      </c>
      <c r="E23" s="528">
        <v>6153</v>
      </c>
      <c r="F23" s="528">
        <v>91</v>
      </c>
      <c r="G23" s="528">
        <v>58</v>
      </c>
      <c r="H23" s="528">
        <v>149</v>
      </c>
      <c r="I23" s="528">
        <v>159236</v>
      </c>
      <c r="J23" s="528">
        <v>184377</v>
      </c>
      <c r="K23" s="528">
        <v>343613</v>
      </c>
      <c r="L23" s="528">
        <v>1067537</v>
      </c>
      <c r="M23" s="528">
        <v>947070</v>
      </c>
      <c r="N23" s="528">
        <v>2014607</v>
      </c>
      <c r="O23" s="528">
        <v>21531</v>
      </c>
      <c r="P23" s="528">
        <v>19739</v>
      </c>
      <c r="Q23" s="528">
        <v>41270</v>
      </c>
      <c r="R23" s="528">
        <v>103265</v>
      </c>
      <c r="S23" s="528">
        <v>56449</v>
      </c>
      <c r="T23" s="528">
        <v>159714</v>
      </c>
      <c r="U23" s="528">
        <v>2298</v>
      </c>
      <c r="V23" s="528">
        <v>1272</v>
      </c>
      <c r="W23" s="528">
        <v>3570</v>
      </c>
      <c r="X23" s="528">
        <v>16402</v>
      </c>
      <c r="Y23" s="528">
        <v>13083</v>
      </c>
      <c r="Z23" s="528">
        <v>29485</v>
      </c>
      <c r="AA23" s="528">
        <v>1374036</v>
      </c>
      <c r="AB23" s="528">
        <v>1224525</v>
      </c>
      <c r="AC23" s="528">
        <v>2598561</v>
      </c>
      <c r="AD23" s="765">
        <f>AC23-'9AllSAAct'!AW24</f>
        <v>2542272</v>
      </c>
      <c r="AE23" s="765">
        <v>47.17089749560477</v>
      </c>
      <c r="AF23" s="184" t="b">
        <v>0</v>
      </c>
      <c r="AG23" s="765">
        <v>0</v>
      </c>
    </row>
    <row r="24" spans="1:33" s="184" customFormat="1" ht="21.75" customHeight="1">
      <c r="A24" s="82">
        <v>20</v>
      </c>
      <c r="B24" s="182" t="s">
        <v>34</v>
      </c>
      <c r="C24" s="528">
        <v>9358</v>
      </c>
      <c r="D24" s="528">
        <v>6393</v>
      </c>
      <c r="E24" s="528">
        <v>15751</v>
      </c>
      <c r="F24" s="528">
        <v>385</v>
      </c>
      <c r="G24" s="528">
        <v>349</v>
      </c>
      <c r="H24" s="528">
        <v>734</v>
      </c>
      <c r="I24" s="528">
        <v>244931</v>
      </c>
      <c r="J24" s="528">
        <v>319628</v>
      </c>
      <c r="K24" s="528">
        <v>564559</v>
      </c>
      <c r="L24" s="528">
        <v>1955828</v>
      </c>
      <c r="M24" s="528">
        <v>1538148</v>
      </c>
      <c r="N24" s="528">
        <v>3493976</v>
      </c>
      <c r="O24" s="528">
        <v>14155</v>
      </c>
      <c r="P24" s="528">
        <v>10540</v>
      </c>
      <c r="Q24" s="528">
        <v>24695</v>
      </c>
      <c r="R24" s="528">
        <v>236423</v>
      </c>
      <c r="S24" s="528">
        <v>157788</v>
      </c>
      <c r="T24" s="528">
        <v>394211</v>
      </c>
      <c r="U24" s="528">
        <v>22503</v>
      </c>
      <c r="V24" s="528">
        <v>13879</v>
      </c>
      <c r="W24" s="528">
        <v>36382</v>
      </c>
      <c r="X24" s="528">
        <v>8314</v>
      </c>
      <c r="Y24" s="528">
        <v>7527</v>
      </c>
      <c r="Z24" s="528">
        <v>15841</v>
      </c>
      <c r="AA24" s="528">
        <v>2491897</v>
      </c>
      <c r="AB24" s="528">
        <v>2054252</v>
      </c>
      <c r="AC24" s="528">
        <v>4546149</v>
      </c>
      <c r="AD24" s="765">
        <f>AC24-'9AllSAAct'!AW25</f>
        <v>4220474</v>
      </c>
      <c r="AE24" s="765">
        <v>45.074784402193742</v>
      </c>
      <c r="AF24" s="184" t="b">
        <v>0</v>
      </c>
      <c r="AG24" s="765">
        <v>0</v>
      </c>
    </row>
    <row r="25" spans="1:33" s="184" customFormat="1" ht="21.75" customHeight="1">
      <c r="A25" s="82">
        <v>21</v>
      </c>
      <c r="B25" s="182" t="s">
        <v>35</v>
      </c>
      <c r="C25" s="528">
        <v>624</v>
      </c>
      <c r="D25" s="528">
        <v>569</v>
      </c>
      <c r="E25" s="528">
        <v>1193</v>
      </c>
      <c r="F25" s="528">
        <v>0</v>
      </c>
      <c r="G25" s="528">
        <v>12</v>
      </c>
      <c r="H25" s="528">
        <v>12</v>
      </c>
      <c r="I25" s="528">
        <v>4813</v>
      </c>
      <c r="J25" s="528">
        <v>5649</v>
      </c>
      <c r="K25" s="528">
        <v>10462</v>
      </c>
      <c r="L25" s="528">
        <v>61246</v>
      </c>
      <c r="M25" s="528">
        <v>60261</v>
      </c>
      <c r="N25" s="528">
        <v>121507</v>
      </c>
      <c r="O25" s="528">
        <v>396</v>
      </c>
      <c r="P25" s="528">
        <v>269</v>
      </c>
      <c r="Q25" s="528">
        <v>665</v>
      </c>
      <c r="R25" s="528">
        <v>1637</v>
      </c>
      <c r="S25" s="528">
        <v>2607</v>
      </c>
      <c r="T25" s="528">
        <v>4244</v>
      </c>
      <c r="U25" s="528">
        <v>200</v>
      </c>
      <c r="V25" s="528">
        <v>216</v>
      </c>
      <c r="W25" s="528">
        <v>416</v>
      </c>
      <c r="X25" s="528">
        <v>0</v>
      </c>
      <c r="Y25" s="528">
        <v>0</v>
      </c>
      <c r="Z25" s="528">
        <v>0</v>
      </c>
      <c r="AA25" s="528">
        <v>68916</v>
      </c>
      <c r="AB25" s="528">
        <v>69583</v>
      </c>
      <c r="AC25" s="528">
        <v>138499</v>
      </c>
      <c r="AD25" s="765">
        <f>AC25-'9AllSAAct'!AW26</f>
        <v>135361</v>
      </c>
      <c r="AE25" s="765">
        <v>50.024747681249863</v>
      </c>
      <c r="AF25" s="184" t="b">
        <v>0</v>
      </c>
    </row>
    <row r="26" spans="1:33" s="184" customFormat="1" ht="21.75" customHeight="1">
      <c r="A26" s="82">
        <v>22</v>
      </c>
      <c r="B26" s="182" t="s">
        <v>36</v>
      </c>
      <c r="C26" s="528">
        <v>469</v>
      </c>
      <c r="D26" s="528">
        <v>364</v>
      </c>
      <c r="E26" s="528">
        <v>833</v>
      </c>
      <c r="F26" s="528">
        <v>0</v>
      </c>
      <c r="G26" s="528">
        <v>0</v>
      </c>
      <c r="H26" s="528">
        <v>0</v>
      </c>
      <c r="I26" s="528">
        <v>4039</v>
      </c>
      <c r="J26" s="528">
        <v>6124</v>
      </c>
      <c r="K26" s="528">
        <v>10163</v>
      </c>
      <c r="L26" s="528">
        <v>36840</v>
      </c>
      <c r="M26" s="528">
        <v>45359</v>
      </c>
      <c r="N26" s="528">
        <v>82199</v>
      </c>
      <c r="O26" s="528">
        <v>177</v>
      </c>
      <c r="P26" s="528">
        <v>129</v>
      </c>
      <c r="Q26" s="528">
        <v>306</v>
      </c>
      <c r="R26" s="528">
        <v>1334</v>
      </c>
      <c r="S26" s="528">
        <v>2236</v>
      </c>
      <c r="T26" s="528">
        <v>3570</v>
      </c>
      <c r="U26" s="528">
        <v>172</v>
      </c>
      <c r="V26" s="528">
        <v>214</v>
      </c>
      <c r="W26" s="528">
        <v>386</v>
      </c>
      <c r="X26" s="528">
        <v>73</v>
      </c>
      <c r="Y26" s="528">
        <v>54</v>
      </c>
      <c r="Z26" s="528">
        <v>127</v>
      </c>
      <c r="AA26" s="528">
        <v>43104</v>
      </c>
      <c r="AB26" s="528">
        <v>54480</v>
      </c>
      <c r="AC26" s="528">
        <v>97584</v>
      </c>
      <c r="AD26" s="765">
        <f>AC26-'9AllSAAct'!AW27</f>
        <v>93390</v>
      </c>
      <c r="AE26" s="765">
        <v>55.413124335812967</v>
      </c>
      <c r="AF26" s="184" t="b">
        <v>0</v>
      </c>
    </row>
    <row r="27" spans="1:33" s="184" customFormat="1" ht="21.75" customHeight="1">
      <c r="A27" s="82">
        <v>23</v>
      </c>
      <c r="B27" s="182" t="s">
        <v>37</v>
      </c>
      <c r="C27" s="528">
        <v>551</v>
      </c>
      <c r="D27" s="528">
        <v>436</v>
      </c>
      <c r="E27" s="528">
        <v>987</v>
      </c>
      <c r="F27" s="528">
        <v>56</v>
      </c>
      <c r="G27" s="528">
        <v>59</v>
      </c>
      <c r="H27" s="528">
        <v>115</v>
      </c>
      <c r="I27" s="528">
        <v>1992</v>
      </c>
      <c r="J27" s="528">
        <v>2478</v>
      </c>
      <c r="K27" s="528">
        <v>4470</v>
      </c>
      <c r="L27" s="528">
        <v>15802</v>
      </c>
      <c r="M27" s="528">
        <v>14971</v>
      </c>
      <c r="N27" s="528">
        <v>30773</v>
      </c>
      <c r="O27" s="528">
        <v>61</v>
      </c>
      <c r="P27" s="528">
        <v>42</v>
      </c>
      <c r="Q27" s="528">
        <v>103</v>
      </c>
      <c r="R27" s="528">
        <v>710</v>
      </c>
      <c r="S27" s="528">
        <v>1480</v>
      </c>
      <c r="T27" s="528">
        <v>2190</v>
      </c>
      <c r="U27" s="528">
        <v>0</v>
      </c>
      <c r="V27" s="528">
        <v>20</v>
      </c>
      <c r="W27" s="528">
        <v>20</v>
      </c>
      <c r="X27" s="528">
        <v>29</v>
      </c>
      <c r="Y27" s="528">
        <v>23</v>
      </c>
      <c r="Z27" s="528">
        <v>52</v>
      </c>
      <c r="AA27" s="528">
        <v>19201</v>
      </c>
      <c r="AB27" s="528">
        <v>19509</v>
      </c>
      <c r="AC27" s="528">
        <v>38710</v>
      </c>
      <c r="AD27" s="765">
        <f>AC27-'9AllSAAct'!AW28</f>
        <v>36298</v>
      </c>
      <c r="AE27" s="765">
        <v>50.397830018083184</v>
      </c>
      <c r="AF27" s="184" t="b">
        <v>0</v>
      </c>
    </row>
    <row r="28" spans="1:33" s="184" customFormat="1" ht="21.75" customHeight="1">
      <c r="A28" s="82">
        <v>24</v>
      </c>
      <c r="B28" s="182" t="s">
        <v>38</v>
      </c>
      <c r="C28" s="528">
        <v>279</v>
      </c>
      <c r="D28" s="528">
        <v>314</v>
      </c>
      <c r="E28" s="528">
        <v>593</v>
      </c>
      <c r="F28" s="528">
        <v>23</v>
      </c>
      <c r="G28" s="528">
        <v>30</v>
      </c>
      <c r="H28" s="528">
        <v>53</v>
      </c>
      <c r="I28" s="528">
        <v>2843</v>
      </c>
      <c r="J28" s="528">
        <v>4252</v>
      </c>
      <c r="K28" s="528">
        <v>7095</v>
      </c>
      <c r="L28" s="528">
        <v>17600</v>
      </c>
      <c r="M28" s="528">
        <v>19228</v>
      </c>
      <c r="N28" s="528">
        <v>36828</v>
      </c>
      <c r="O28" s="528">
        <v>42</v>
      </c>
      <c r="P28" s="528">
        <v>71</v>
      </c>
      <c r="Q28" s="528">
        <v>113</v>
      </c>
      <c r="R28" s="528">
        <v>859</v>
      </c>
      <c r="S28" s="528">
        <v>1210</v>
      </c>
      <c r="T28" s="528">
        <v>2069</v>
      </c>
      <c r="U28" s="528">
        <v>98</v>
      </c>
      <c r="V28" s="528">
        <v>99</v>
      </c>
      <c r="W28" s="528">
        <v>197</v>
      </c>
      <c r="X28" s="528">
        <v>6</v>
      </c>
      <c r="Y28" s="528">
        <v>0</v>
      </c>
      <c r="Z28" s="528">
        <v>6</v>
      </c>
      <c r="AA28" s="528">
        <v>21750</v>
      </c>
      <c r="AB28" s="528">
        <v>25204</v>
      </c>
      <c r="AC28" s="528">
        <v>46954</v>
      </c>
      <c r="AD28" s="765">
        <f>AC28-'9AllSAAct'!AW29</f>
        <v>45140</v>
      </c>
      <c r="AE28" s="765">
        <v>53.654842906810572</v>
      </c>
      <c r="AF28" s="184" t="b">
        <v>0</v>
      </c>
    </row>
    <row r="29" spans="1:33" s="184" customFormat="1" ht="21.75" customHeight="1">
      <c r="A29" s="82">
        <v>25</v>
      </c>
      <c r="B29" s="182" t="s">
        <v>39</v>
      </c>
      <c r="C29" s="528">
        <v>1955</v>
      </c>
      <c r="D29" s="528">
        <v>1326</v>
      </c>
      <c r="E29" s="528">
        <v>3281</v>
      </c>
      <c r="F29" s="528">
        <v>352</v>
      </c>
      <c r="G29" s="528">
        <v>378</v>
      </c>
      <c r="H29" s="528">
        <v>730</v>
      </c>
      <c r="I29" s="528">
        <v>48874</v>
      </c>
      <c r="J29" s="528">
        <v>50344</v>
      </c>
      <c r="K29" s="528">
        <v>99218</v>
      </c>
      <c r="L29" s="528">
        <v>370312</v>
      </c>
      <c r="M29" s="528">
        <v>368176</v>
      </c>
      <c r="N29" s="528">
        <v>738488</v>
      </c>
      <c r="O29" s="528">
        <v>2408</v>
      </c>
      <c r="P29" s="528">
        <v>1394</v>
      </c>
      <c r="Q29" s="528">
        <v>3802</v>
      </c>
      <c r="R29" s="528">
        <v>94732</v>
      </c>
      <c r="S29" s="528">
        <v>50884</v>
      </c>
      <c r="T29" s="528">
        <v>145616</v>
      </c>
      <c r="U29" s="528">
        <v>1321</v>
      </c>
      <c r="V29" s="528">
        <v>2268</v>
      </c>
      <c r="W29" s="528">
        <v>3589</v>
      </c>
      <c r="X29" s="528">
        <v>5929</v>
      </c>
      <c r="Y29" s="528">
        <v>6369</v>
      </c>
      <c r="Z29" s="528">
        <v>12298</v>
      </c>
      <c r="AA29" s="528">
        <v>525883</v>
      </c>
      <c r="AB29" s="528">
        <v>481139</v>
      </c>
      <c r="AC29" s="528">
        <v>1007022</v>
      </c>
      <c r="AD29" s="765">
        <f>AC29-'9AllSAAct'!AW30</f>
        <v>879153</v>
      </c>
      <c r="AE29" s="765">
        <v>47.688333990061402</v>
      </c>
      <c r="AF29" s="184" t="b">
        <v>0</v>
      </c>
    </row>
    <row r="30" spans="1:33" s="184" customFormat="1" ht="21.75" customHeight="1">
      <c r="A30" s="82">
        <v>26</v>
      </c>
      <c r="B30" s="182" t="s">
        <v>40</v>
      </c>
      <c r="C30" s="528">
        <v>271</v>
      </c>
      <c r="D30" s="528">
        <v>325</v>
      </c>
      <c r="E30" s="528">
        <v>596</v>
      </c>
      <c r="F30" s="528">
        <v>0</v>
      </c>
      <c r="G30" s="528">
        <v>2</v>
      </c>
      <c r="H30" s="528">
        <v>2</v>
      </c>
      <c r="I30" s="528">
        <v>12865</v>
      </c>
      <c r="J30" s="528">
        <v>13359</v>
      </c>
      <c r="K30" s="528">
        <v>26224</v>
      </c>
      <c r="L30" s="528">
        <v>26875</v>
      </c>
      <c r="M30" s="528">
        <v>32921</v>
      </c>
      <c r="N30" s="528">
        <v>59796</v>
      </c>
      <c r="O30" s="528">
        <v>15</v>
      </c>
      <c r="P30" s="528">
        <v>16</v>
      </c>
      <c r="Q30" s="528">
        <v>31</v>
      </c>
      <c r="R30" s="528">
        <v>2806</v>
      </c>
      <c r="S30" s="528">
        <v>1056</v>
      </c>
      <c r="T30" s="528">
        <v>3862</v>
      </c>
      <c r="U30" s="528">
        <v>1</v>
      </c>
      <c r="V30" s="528">
        <v>6</v>
      </c>
      <c r="W30" s="528">
        <v>7</v>
      </c>
      <c r="X30" s="528">
        <v>354</v>
      </c>
      <c r="Y30" s="528">
        <v>381</v>
      </c>
      <c r="Z30" s="528">
        <v>735</v>
      </c>
      <c r="AA30" s="528">
        <v>43187</v>
      </c>
      <c r="AB30" s="528">
        <v>48066</v>
      </c>
      <c r="AC30" s="528">
        <v>91253</v>
      </c>
      <c r="AD30" s="765">
        <f>AC30-'9AllSAAct'!AW31</f>
        <v>87515</v>
      </c>
      <c r="AE30" s="765">
        <v>52.974037029155134</v>
      </c>
      <c r="AF30" s="184" t="b">
        <v>0</v>
      </c>
    </row>
    <row r="31" spans="1:33" s="184" customFormat="1" ht="21.75" customHeight="1">
      <c r="A31" s="82">
        <v>27</v>
      </c>
      <c r="B31" s="182" t="s">
        <v>41</v>
      </c>
      <c r="C31" s="528">
        <v>4628</v>
      </c>
      <c r="D31" s="528">
        <v>4938</v>
      </c>
      <c r="E31" s="528">
        <v>9566</v>
      </c>
      <c r="F31" s="528">
        <v>142</v>
      </c>
      <c r="G31" s="528">
        <v>169</v>
      </c>
      <c r="H31" s="528">
        <v>311</v>
      </c>
      <c r="I31" s="528">
        <v>43610</v>
      </c>
      <c r="J31" s="528">
        <v>60696</v>
      </c>
      <c r="K31" s="528">
        <v>104306</v>
      </c>
      <c r="L31" s="528">
        <v>302634</v>
      </c>
      <c r="M31" s="528">
        <v>284359</v>
      </c>
      <c r="N31" s="528">
        <v>586993</v>
      </c>
      <c r="O31" s="528">
        <v>1905</v>
      </c>
      <c r="P31" s="528">
        <v>2394</v>
      </c>
      <c r="Q31" s="528">
        <v>4299</v>
      </c>
      <c r="R31" s="528">
        <v>56209</v>
      </c>
      <c r="S31" s="528">
        <v>52491</v>
      </c>
      <c r="T31" s="528">
        <v>108700</v>
      </c>
      <c r="U31" s="528">
        <v>617</v>
      </c>
      <c r="V31" s="528">
        <v>696</v>
      </c>
      <c r="W31" s="528">
        <v>1313</v>
      </c>
      <c r="X31" s="528">
        <v>8499</v>
      </c>
      <c r="Y31" s="528">
        <v>9348</v>
      </c>
      <c r="Z31" s="528">
        <v>17847</v>
      </c>
      <c r="AA31" s="528">
        <v>418244</v>
      </c>
      <c r="AB31" s="528">
        <v>415091</v>
      </c>
      <c r="AC31" s="528">
        <v>833335</v>
      </c>
      <c r="AD31" s="765">
        <f>AC31-'9AllSAAct'!AW32</f>
        <v>774852</v>
      </c>
      <c r="AE31" s="765">
        <v>49.857580604285076</v>
      </c>
      <c r="AF31" s="184" t="b">
        <v>0</v>
      </c>
    </row>
    <row r="32" spans="1:33" s="184" customFormat="1" ht="21.75" customHeight="1">
      <c r="A32" s="82">
        <v>28</v>
      </c>
      <c r="B32" s="182" t="s">
        <v>42</v>
      </c>
      <c r="C32" s="528">
        <v>6588</v>
      </c>
      <c r="D32" s="528">
        <v>6379</v>
      </c>
      <c r="E32" s="528">
        <v>12967</v>
      </c>
      <c r="F32" s="528">
        <v>166</v>
      </c>
      <c r="G32" s="528">
        <v>104</v>
      </c>
      <c r="H32" s="528">
        <v>270</v>
      </c>
      <c r="I32" s="528">
        <v>113499</v>
      </c>
      <c r="J32" s="528">
        <v>134819</v>
      </c>
      <c r="K32" s="528">
        <v>248318</v>
      </c>
      <c r="L32" s="528">
        <v>1014468</v>
      </c>
      <c r="M32" s="528">
        <v>924253</v>
      </c>
      <c r="N32" s="528">
        <v>1938721</v>
      </c>
      <c r="O32" s="528">
        <v>7736</v>
      </c>
      <c r="P32" s="528">
        <v>4554</v>
      </c>
      <c r="Q32" s="528">
        <v>12290</v>
      </c>
      <c r="R32" s="528">
        <v>82769</v>
      </c>
      <c r="S32" s="528">
        <v>36538</v>
      </c>
      <c r="T32" s="528">
        <v>119307</v>
      </c>
      <c r="U32" s="528">
        <v>3930</v>
      </c>
      <c r="V32" s="528">
        <v>3916</v>
      </c>
      <c r="W32" s="528">
        <v>7846</v>
      </c>
      <c r="X32" s="528">
        <v>49148</v>
      </c>
      <c r="Y32" s="528">
        <v>43923</v>
      </c>
      <c r="Z32" s="528">
        <v>93071</v>
      </c>
      <c r="AA32" s="528">
        <v>1278304</v>
      </c>
      <c r="AB32" s="528">
        <v>1154486</v>
      </c>
      <c r="AC32" s="528">
        <v>2432790</v>
      </c>
      <c r="AD32" s="765">
        <f>AC32-'9AllSAAct'!AW33</f>
        <v>2367520</v>
      </c>
      <c r="AE32" s="765">
        <v>46.291410944569229</v>
      </c>
      <c r="AF32" s="184" t="b">
        <v>0</v>
      </c>
    </row>
    <row r="33" spans="1:32" s="184" customFormat="1" ht="21.75" customHeight="1">
      <c r="A33" s="82">
        <v>29</v>
      </c>
      <c r="B33" s="182" t="s">
        <v>43</v>
      </c>
      <c r="C33" s="528">
        <v>115</v>
      </c>
      <c r="D33" s="528">
        <v>80</v>
      </c>
      <c r="E33" s="528">
        <v>195</v>
      </c>
      <c r="F33" s="528">
        <v>34</v>
      </c>
      <c r="G33" s="528">
        <v>30</v>
      </c>
      <c r="H33" s="528">
        <v>64</v>
      </c>
      <c r="I33" s="528">
        <v>2929</v>
      </c>
      <c r="J33" s="528">
        <v>4001</v>
      </c>
      <c r="K33" s="528">
        <v>6930</v>
      </c>
      <c r="L33" s="528">
        <v>12295</v>
      </c>
      <c r="M33" s="528">
        <v>12533</v>
      </c>
      <c r="N33" s="528">
        <v>24828</v>
      </c>
      <c r="O33" s="528">
        <v>32</v>
      </c>
      <c r="P33" s="528">
        <v>11</v>
      </c>
      <c r="Q33" s="528">
        <v>43</v>
      </c>
      <c r="R33" s="528">
        <v>1088</v>
      </c>
      <c r="S33" s="528">
        <v>1179</v>
      </c>
      <c r="T33" s="528">
        <v>2267</v>
      </c>
      <c r="U33" s="528">
        <v>61</v>
      </c>
      <c r="V33" s="528">
        <v>11</v>
      </c>
      <c r="W33" s="528">
        <v>72</v>
      </c>
      <c r="X33" s="528">
        <v>153</v>
      </c>
      <c r="Y33" s="528">
        <v>222</v>
      </c>
      <c r="Z33" s="528">
        <v>375</v>
      </c>
      <c r="AA33" s="528">
        <v>16707</v>
      </c>
      <c r="AB33" s="528">
        <v>18067</v>
      </c>
      <c r="AC33" s="528">
        <v>34774</v>
      </c>
      <c r="AD33" s="765">
        <f>AC33-'9AllSAAct'!AW34</f>
        <v>33164</v>
      </c>
      <c r="AE33" s="765">
        <v>51.844609188021714</v>
      </c>
      <c r="AF33" s="184" t="b">
        <v>0</v>
      </c>
    </row>
    <row r="34" spans="1:32" s="184" customFormat="1" ht="21.75" customHeight="1">
      <c r="A34" s="82">
        <v>30</v>
      </c>
      <c r="B34" s="182" t="s">
        <v>44</v>
      </c>
      <c r="C34" s="528">
        <v>17443</v>
      </c>
      <c r="D34" s="528">
        <v>16968</v>
      </c>
      <c r="E34" s="528">
        <v>34411</v>
      </c>
      <c r="F34" s="528">
        <v>1696</v>
      </c>
      <c r="G34" s="528">
        <v>5007</v>
      </c>
      <c r="H34" s="528">
        <v>6703</v>
      </c>
      <c r="I34" s="528">
        <v>185725</v>
      </c>
      <c r="J34" s="528">
        <v>278930</v>
      </c>
      <c r="K34" s="528">
        <v>464655</v>
      </c>
      <c r="L34" s="528">
        <v>1182067</v>
      </c>
      <c r="M34" s="528">
        <v>1280466</v>
      </c>
      <c r="N34" s="528">
        <v>2462533</v>
      </c>
      <c r="O34" s="528">
        <v>9155</v>
      </c>
      <c r="P34" s="528">
        <v>6392</v>
      </c>
      <c r="Q34" s="528">
        <v>15547</v>
      </c>
      <c r="R34" s="528">
        <v>247335</v>
      </c>
      <c r="S34" s="528">
        <v>61174</v>
      </c>
      <c r="T34" s="528">
        <v>308509</v>
      </c>
      <c r="U34" s="528">
        <v>6676</v>
      </c>
      <c r="V34" s="528">
        <v>14108</v>
      </c>
      <c r="W34" s="528">
        <v>20784</v>
      </c>
      <c r="X34" s="528">
        <v>12056</v>
      </c>
      <c r="Y34" s="528">
        <v>11241</v>
      </c>
      <c r="Z34" s="528">
        <v>23297</v>
      </c>
      <c r="AA34" s="528">
        <v>1662153</v>
      </c>
      <c r="AB34" s="528">
        <v>1674286</v>
      </c>
      <c r="AC34" s="528">
        <v>3336439</v>
      </c>
      <c r="AD34" s="765">
        <f>AC34-'9AllSAAct'!AW35</f>
        <v>3070535</v>
      </c>
      <c r="AE34" s="765">
        <v>50.137209238260922</v>
      </c>
      <c r="AF34" s="184" t="b">
        <v>0</v>
      </c>
    </row>
    <row r="35" spans="1:32" s="184" customFormat="1" ht="21.75" customHeight="1">
      <c r="A35" s="82">
        <v>31</v>
      </c>
      <c r="B35" s="182" t="s">
        <v>142</v>
      </c>
      <c r="C35" s="528">
        <v>4228</v>
      </c>
      <c r="D35" s="528">
        <v>2487</v>
      </c>
      <c r="E35" s="528">
        <v>6715</v>
      </c>
      <c r="F35" s="528">
        <v>106</v>
      </c>
      <c r="G35" s="528">
        <v>74</v>
      </c>
      <c r="H35" s="528">
        <v>180</v>
      </c>
      <c r="I35" s="528">
        <v>86425</v>
      </c>
      <c r="J35" s="528">
        <v>109813</v>
      </c>
      <c r="K35" s="528">
        <v>196238</v>
      </c>
      <c r="L35" s="528">
        <v>617563</v>
      </c>
      <c r="M35" s="528">
        <v>634298</v>
      </c>
      <c r="N35" s="528">
        <v>1251861</v>
      </c>
      <c r="O35" s="528">
        <v>4791</v>
      </c>
      <c r="P35" s="528">
        <v>3180</v>
      </c>
      <c r="Q35" s="528">
        <v>7971</v>
      </c>
      <c r="R35" s="528">
        <v>56054</v>
      </c>
      <c r="S35" s="528">
        <v>43630</v>
      </c>
      <c r="T35" s="528">
        <v>99684</v>
      </c>
      <c r="U35" s="528">
        <v>2276</v>
      </c>
      <c r="V35" s="528">
        <v>2203</v>
      </c>
      <c r="W35" s="528">
        <v>4479</v>
      </c>
      <c r="X35" s="528">
        <v>3866</v>
      </c>
      <c r="Y35" s="528">
        <v>2792</v>
      </c>
      <c r="Z35" s="528">
        <v>6658</v>
      </c>
      <c r="AA35" s="528">
        <v>775309</v>
      </c>
      <c r="AB35" s="528">
        <v>798477</v>
      </c>
      <c r="AC35" s="528">
        <v>1573786</v>
      </c>
      <c r="AD35" s="765">
        <f>AC35-'9AllSAAct'!AW36</f>
        <v>1484197</v>
      </c>
      <c r="AE35" s="765">
        <v>50.704529277821258</v>
      </c>
      <c r="AF35" s="184" t="b">
        <v>0</v>
      </c>
    </row>
    <row r="36" spans="1:32" s="184" customFormat="1" ht="45.75" customHeight="1">
      <c r="A36" s="82">
        <v>32</v>
      </c>
      <c r="B36" s="83" t="s">
        <v>173</v>
      </c>
      <c r="C36" s="528">
        <v>0</v>
      </c>
      <c r="D36" s="528">
        <v>0</v>
      </c>
      <c r="E36" s="528">
        <v>0</v>
      </c>
      <c r="F36" s="528">
        <v>0</v>
      </c>
      <c r="G36" s="528">
        <v>0</v>
      </c>
      <c r="H36" s="528">
        <v>0</v>
      </c>
      <c r="I36" s="528">
        <v>259</v>
      </c>
      <c r="J36" s="528">
        <v>508</v>
      </c>
      <c r="K36" s="528">
        <v>767</v>
      </c>
      <c r="L36" s="528">
        <v>4020</v>
      </c>
      <c r="M36" s="528">
        <v>4681</v>
      </c>
      <c r="N36" s="528">
        <v>8701</v>
      </c>
      <c r="O36" s="528">
        <v>0</v>
      </c>
      <c r="P36" s="528">
        <v>0</v>
      </c>
      <c r="Q36" s="528">
        <v>0</v>
      </c>
      <c r="R36" s="528">
        <v>1647</v>
      </c>
      <c r="S36" s="528">
        <v>397</v>
      </c>
      <c r="T36" s="528">
        <v>2044</v>
      </c>
      <c r="U36" s="528">
        <v>0</v>
      </c>
      <c r="V36" s="528">
        <v>0</v>
      </c>
      <c r="W36" s="528">
        <v>0</v>
      </c>
      <c r="X36" s="528">
        <v>22</v>
      </c>
      <c r="Y36" s="528">
        <v>36</v>
      </c>
      <c r="Z36" s="528">
        <v>58</v>
      </c>
      <c r="AA36" s="528">
        <v>5948</v>
      </c>
      <c r="AB36" s="528">
        <v>5622</v>
      </c>
      <c r="AC36" s="528">
        <v>11570</v>
      </c>
      <c r="AD36" s="765">
        <f>AC36-'9AllSAAct'!AW37</f>
        <v>11409</v>
      </c>
      <c r="AE36" s="765"/>
    </row>
    <row r="37" spans="1:32" s="184" customFormat="1" ht="21.75" customHeight="1">
      <c r="A37" s="82">
        <v>33</v>
      </c>
      <c r="B37" s="182" t="s">
        <v>45</v>
      </c>
      <c r="C37" s="528">
        <v>452</v>
      </c>
      <c r="D37" s="528">
        <v>220</v>
      </c>
      <c r="E37" s="528">
        <v>672</v>
      </c>
      <c r="F37" s="528">
        <v>2</v>
      </c>
      <c r="G37" s="528">
        <v>10</v>
      </c>
      <c r="H37" s="528">
        <v>12</v>
      </c>
      <c r="I37" s="528">
        <v>5919</v>
      </c>
      <c r="J37" s="528">
        <v>6287</v>
      </c>
      <c r="K37" s="528">
        <v>12206</v>
      </c>
      <c r="L37" s="528">
        <v>38810</v>
      </c>
      <c r="M37" s="528">
        <v>34214</v>
      </c>
      <c r="N37" s="528">
        <v>73024</v>
      </c>
      <c r="O37" s="528">
        <v>116</v>
      </c>
      <c r="P37" s="528">
        <v>133</v>
      </c>
      <c r="Q37" s="528">
        <v>249</v>
      </c>
      <c r="R37" s="528">
        <v>2243</v>
      </c>
      <c r="S37" s="528">
        <v>2632</v>
      </c>
      <c r="T37" s="528">
        <v>4875</v>
      </c>
      <c r="U37" s="528">
        <v>15</v>
      </c>
      <c r="V37" s="528">
        <v>13</v>
      </c>
      <c r="W37" s="528">
        <v>28</v>
      </c>
      <c r="X37" s="528">
        <v>871</v>
      </c>
      <c r="Y37" s="528">
        <v>723</v>
      </c>
      <c r="Z37" s="528">
        <v>1594</v>
      </c>
      <c r="AA37" s="528">
        <v>48428</v>
      </c>
      <c r="AB37" s="528">
        <v>44232</v>
      </c>
      <c r="AC37" s="528">
        <v>92660</v>
      </c>
      <c r="AD37" s="765">
        <f>AC37-'9AllSAAct'!AW38</f>
        <v>91105</v>
      </c>
      <c r="AE37" s="765">
        <v>47.712446584086116</v>
      </c>
      <c r="AF37" s="184" t="b">
        <v>0</v>
      </c>
    </row>
    <row r="38" spans="1:32" s="184" customFormat="1" ht="21.75" customHeight="1">
      <c r="A38" s="82">
        <v>34</v>
      </c>
      <c r="B38" s="182" t="s">
        <v>47</v>
      </c>
      <c r="C38" s="528">
        <v>11560</v>
      </c>
      <c r="D38" s="528">
        <v>8246</v>
      </c>
      <c r="E38" s="528">
        <v>19806</v>
      </c>
      <c r="F38" s="528">
        <v>234</v>
      </c>
      <c r="G38" s="528">
        <v>381</v>
      </c>
      <c r="H38" s="528">
        <v>615</v>
      </c>
      <c r="I38" s="528">
        <v>278090</v>
      </c>
      <c r="J38" s="528">
        <v>353448</v>
      </c>
      <c r="K38" s="528">
        <v>631538</v>
      </c>
      <c r="L38" s="528">
        <v>2820340</v>
      </c>
      <c r="M38" s="528">
        <v>2727844</v>
      </c>
      <c r="N38" s="528">
        <v>5548184</v>
      </c>
      <c r="O38" s="528">
        <v>30530</v>
      </c>
      <c r="P38" s="528">
        <v>23307</v>
      </c>
      <c r="Q38" s="528">
        <v>53837</v>
      </c>
      <c r="R38" s="528">
        <v>215020</v>
      </c>
      <c r="S38" s="528">
        <v>112030</v>
      </c>
      <c r="T38" s="528">
        <v>327050</v>
      </c>
      <c r="U38" s="528">
        <v>8672</v>
      </c>
      <c r="V38" s="528">
        <v>9459</v>
      </c>
      <c r="W38" s="528">
        <v>18131</v>
      </c>
      <c r="X38" s="528">
        <v>32566</v>
      </c>
      <c r="Y38" s="528">
        <v>19340</v>
      </c>
      <c r="Z38" s="528">
        <v>51906</v>
      </c>
      <c r="AA38" s="528">
        <v>3397012</v>
      </c>
      <c r="AB38" s="528">
        <v>3254055</v>
      </c>
      <c r="AC38" s="528">
        <v>6651067</v>
      </c>
      <c r="AD38" s="765">
        <f>AC38-'9AllSAAct'!AW39</f>
        <v>6406772</v>
      </c>
      <c r="AE38" s="765">
        <v>48.616603782445722</v>
      </c>
      <c r="AF38" s="184" t="b">
        <v>0</v>
      </c>
    </row>
    <row r="39" spans="1:32" s="184" customFormat="1" ht="21.75" customHeight="1">
      <c r="A39" s="82">
        <v>35</v>
      </c>
      <c r="B39" s="182" t="s">
        <v>46</v>
      </c>
      <c r="C39" s="528">
        <v>4099</v>
      </c>
      <c r="D39" s="528">
        <v>2533</v>
      </c>
      <c r="E39" s="528">
        <v>6632</v>
      </c>
      <c r="F39" s="528">
        <v>4</v>
      </c>
      <c r="G39" s="528">
        <v>1</v>
      </c>
      <c r="H39" s="528">
        <v>5</v>
      </c>
      <c r="I39" s="528">
        <v>46493</v>
      </c>
      <c r="J39" s="528">
        <v>61555</v>
      </c>
      <c r="K39" s="528">
        <v>108048</v>
      </c>
      <c r="L39" s="528">
        <v>227696</v>
      </c>
      <c r="M39" s="528">
        <v>239419</v>
      </c>
      <c r="N39" s="528">
        <v>467115</v>
      </c>
      <c r="O39" s="528">
        <v>1231</v>
      </c>
      <c r="P39" s="528">
        <v>1122</v>
      </c>
      <c r="Q39" s="528">
        <v>2353</v>
      </c>
      <c r="R39" s="528">
        <v>20926</v>
      </c>
      <c r="S39" s="528">
        <v>7946</v>
      </c>
      <c r="T39" s="528">
        <v>28872</v>
      </c>
      <c r="U39" s="528">
        <v>450</v>
      </c>
      <c r="V39" s="528">
        <v>176</v>
      </c>
      <c r="W39" s="528">
        <v>626</v>
      </c>
      <c r="X39" s="528">
        <v>3951</v>
      </c>
      <c r="Y39" s="528">
        <v>2549</v>
      </c>
      <c r="Z39" s="528">
        <v>6500</v>
      </c>
      <c r="AA39" s="528">
        <v>304850</v>
      </c>
      <c r="AB39" s="528">
        <v>315301</v>
      </c>
      <c r="AC39" s="528">
        <v>620151</v>
      </c>
      <c r="AD39" s="765">
        <f>AC39-'9AllSAAct'!AW40</f>
        <v>599286</v>
      </c>
      <c r="AE39" s="765">
        <v>51.432567098672322</v>
      </c>
      <c r="AF39" s="184" t="b">
        <v>0</v>
      </c>
    </row>
    <row r="40" spans="1:32" s="184" customFormat="1" ht="21.75" customHeight="1">
      <c r="A40" s="82">
        <v>36</v>
      </c>
      <c r="B40" s="182" t="s">
        <v>48</v>
      </c>
      <c r="C40" s="528">
        <v>8757</v>
      </c>
      <c r="D40" s="528">
        <v>5173</v>
      </c>
      <c r="E40" s="528">
        <v>13930</v>
      </c>
      <c r="F40" s="528">
        <v>1003</v>
      </c>
      <c r="G40" s="528">
        <v>963</v>
      </c>
      <c r="H40" s="528">
        <v>1966</v>
      </c>
      <c r="I40" s="528">
        <v>79405</v>
      </c>
      <c r="J40" s="528">
        <v>108051</v>
      </c>
      <c r="K40" s="528">
        <v>187456</v>
      </c>
      <c r="L40" s="528">
        <v>863390</v>
      </c>
      <c r="M40" s="528">
        <v>929778</v>
      </c>
      <c r="N40" s="528">
        <v>1793168</v>
      </c>
      <c r="O40" s="528">
        <v>3440</v>
      </c>
      <c r="P40" s="528">
        <v>2372</v>
      </c>
      <c r="Q40" s="528">
        <v>5812</v>
      </c>
      <c r="R40" s="528">
        <v>116868</v>
      </c>
      <c r="S40" s="528">
        <v>74479</v>
      </c>
      <c r="T40" s="528">
        <v>191347</v>
      </c>
      <c r="U40" s="528">
        <v>3381</v>
      </c>
      <c r="V40" s="528">
        <v>3119</v>
      </c>
      <c r="W40" s="528">
        <v>6500</v>
      </c>
      <c r="X40" s="528">
        <v>9939</v>
      </c>
      <c r="Y40" s="528">
        <v>5418</v>
      </c>
      <c r="Z40" s="528">
        <v>15357</v>
      </c>
      <c r="AA40" s="528">
        <v>1086183</v>
      </c>
      <c r="AB40" s="528">
        <v>1129353</v>
      </c>
      <c r="AC40" s="528">
        <v>2215536</v>
      </c>
      <c r="AD40" s="765">
        <f>AC40-'9AllSAAct'!AW41</f>
        <v>2059207</v>
      </c>
      <c r="AE40" s="765">
        <v>50.806754238211404</v>
      </c>
      <c r="AF40" s="184" t="b">
        <v>0</v>
      </c>
    </row>
    <row r="41" spans="1:32" s="843" customFormat="1" ht="21.75" customHeight="1">
      <c r="A41" s="913" t="s">
        <v>49</v>
      </c>
      <c r="B41" s="913"/>
      <c r="C41" s="182">
        <v>116764</v>
      </c>
      <c r="D41" s="182">
        <v>95088</v>
      </c>
      <c r="E41" s="182">
        <v>211852</v>
      </c>
      <c r="F41" s="182">
        <v>6345</v>
      </c>
      <c r="G41" s="182">
        <v>10399</v>
      </c>
      <c r="H41" s="182">
        <v>16744</v>
      </c>
      <c r="I41" s="182">
        <v>2053794</v>
      </c>
      <c r="J41" s="182">
        <v>2662855</v>
      </c>
      <c r="K41" s="182">
        <v>4716649</v>
      </c>
      <c r="L41" s="182">
        <v>16747674</v>
      </c>
      <c r="M41" s="182">
        <v>15909835</v>
      </c>
      <c r="N41" s="182">
        <v>32657509</v>
      </c>
      <c r="O41" s="182">
        <v>143723</v>
      </c>
      <c r="P41" s="182">
        <v>113464</v>
      </c>
      <c r="Q41" s="182">
        <v>257187</v>
      </c>
      <c r="R41" s="182">
        <v>1873568</v>
      </c>
      <c r="S41" s="182">
        <v>1105752</v>
      </c>
      <c r="T41" s="182">
        <v>2979320</v>
      </c>
      <c r="U41" s="182">
        <v>83841</v>
      </c>
      <c r="V41" s="182">
        <v>72070</v>
      </c>
      <c r="W41" s="182">
        <v>155911</v>
      </c>
      <c r="X41" s="182">
        <v>212201</v>
      </c>
      <c r="Y41" s="182">
        <v>173340</v>
      </c>
      <c r="Z41" s="182">
        <v>385541</v>
      </c>
      <c r="AA41" s="182">
        <v>21237910</v>
      </c>
      <c r="AB41" s="182">
        <v>20142803</v>
      </c>
      <c r="AC41" s="182">
        <v>41380713</v>
      </c>
      <c r="AD41" s="765">
        <f>AC41-'9AllSAAct'!AW42</f>
        <v>39256280</v>
      </c>
      <c r="AE41" s="765">
        <v>48.521261146626301</v>
      </c>
      <c r="AF41" s="184" t="b">
        <v>0</v>
      </c>
    </row>
    <row r="42" spans="1:32">
      <c r="C42" s="864">
        <v>54.947745078707023</v>
      </c>
      <c r="D42" s="864">
        <v>45.052254921292977</v>
      </c>
      <c r="E42" s="864">
        <v>0.50682199818514906</v>
      </c>
      <c r="F42" s="864">
        <v>38.070776255707763</v>
      </c>
      <c r="G42" s="864">
        <v>61.929223744292244</v>
      </c>
      <c r="H42" s="864">
        <v>4.2705816134837468E-2</v>
      </c>
      <c r="I42" s="864">
        <v>43.794537975656873</v>
      </c>
      <c r="J42" s="864">
        <v>56.205462024343134</v>
      </c>
      <c r="K42" s="864">
        <v>11.681695807007932</v>
      </c>
      <c r="L42" s="864">
        <v>51.42855466235757</v>
      </c>
      <c r="M42" s="864">
        <v>48.571445337642423</v>
      </c>
      <c r="N42" s="864">
        <v>78.922980767489335</v>
      </c>
      <c r="O42" s="864">
        <v>56.15045905939666</v>
      </c>
      <c r="P42" s="864">
        <v>43.849540940603333</v>
      </c>
      <c r="Q42" s="864">
        <v>0.62444093345651397</v>
      </c>
      <c r="R42" s="864">
        <v>63.747597504153049</v>
      </c>
      <c r="S42" s="864">
        <v>36.252402495846951</v>
      </c>
      <c r="T42" s="864">
        <v>6.9169625624776705</v>
      </c>
      <c r="U42" s="864">
        <v>55.155035226399619</v>
      </c>
      <c r="V42" s="864">
        <v>44.844964773600388</v>
      </c>
      <c r="W42" s="864">
        <v>0.3743535291299126</v>
      </c>
      <c r="X42" s="864">
        <v>55.11614558625805</v>
      </c>
      <c r="Y42" s="864">
        <v>44.88385441374195</v>
      </c>
      <c r="Z42" s="864">
        <v>0.93003858611865486</v>
      </c>
      <c r="AA42" s="864">
        <v>51.478738853373699</v>
      </c>
      <c r="AB42" s="864">
        <v>48.521261146626301</v>
      </c>
      <c r="AC42" s="864">
        <v>100</v>
      </c>
      <c r="AD42" s="765"/>
      <c r="AE42" s="765"/>
    </row>
    <row r="45" spans="1:32">
      <c r="B45" s="70" t="s">
        <v>135</v>
      </c>
      <c r="C45" s="70" t="s">
        <v>88</v>
      </c>
      <c r="D45" s="70" t="s">
        <v>87</v>
      </c>
      <c r="E45" s="70" t="s">
        <v>106</v>
      </c>
      <c r="F45" s="70" t="s">
        <v>139</v>
      </c>
      <c r="G45" s="70" t="s">
        <v>140</v>
      </c>
      <c r="H45" s="70" t="s">
        <v>141</v>
      </c>
    </row>
    <row r="46" spans="1:32">
      <c r="B46" s="70" t="s">
        <v>89</v>
      </c>
      <c r="C46" s="70">
        <v>95088</v>
      </c>
      <c r="D46" s="70">
        <v>116764</v>
      </c>
      <c r="E46" s="70">
        <f t="shared" ref="E46" si="0">E41</f>
        <v>211852</v>
      </c>
      <c r="F46" s="766">
        <v>54.947745078707023</v>
      </c>
      <c r="G46" s="766">
        <v>45.052254921292977</v>
      </c>
      <c r="H46" s="70">
        <v>0.50682199818514906</v>
      </c>
    </row>
    <row r="47" spans="1:32">
      <c r="B47" s="70" t="s">
        <v>90</v>
      </c>
      <c r="C47" s="70">
        <v>10399</v>
      </c>
      <c r="D47" s="70">
        <v>6345</v>
      </c>
      <c r="E47" s="70">
        <f t="shared" ref="E47" si="1">H41</f>
        <v>16744</v>
      </c>
      <c r="F47" s="766">
        <v>38.070776255707763</v>
      </c>
      <c r="G47" s="766">
        <v>61.929223744292244</v>
      </c>
      <c r="H47" s="70">
        <v>4.2705816134837468E-2</v>
      </c>
    </row>
    <row r="48" spans="1:32">
      <c r="B48" s="70" t="s">
        <v>85</v>
      </c>
      <c r="C48" s="70">
        <v>2662855</v>
      </c>
      <c r="D48" s="70">
        <v>2053794</v>
      </c>
      <c r="E48" s="70">
        <f t="shared" ref="E48" si="2">K41</f>
        <v>4716649</v>
      </c>
      <c r="F48" s="766">
        <v>43.794537975656873</v>
      </c>
      <c r="G48" s="766">
        <v>56.205462024343134</v>
      </c>
      <c r="H48" s="70">
        <v>11.681695807007932</v>
      </c>
    </row>
    <row r="49" spans="2:8">
      <c r="B49" s="70" t="s">
        <v>86</v>
      </c>
      <c r="C49" s="70">
        <v>15909835</v>
      </c>
      <c r="D49" s="865">
        <v>16747674</v>
      </c>
      <c r="E49" s="865">
        <f t="shared" ref="E49" si="3">N41</f>
        <v>32657509</v>
      </c>
      <c r="F49" s="766">
        <v>51.42855466235757</v>
      </c>
      <c r="G49" s="766">
        <v>48.571445337642423</v>
      </c>
      <c r="H49" s="70">
        <v>78.922980767489335</v>
      </c>
    </row>
    <row r="50" spans="2:8">
      <c r="B50" s="70" t="s">
        <v>91</v>
      </c>
      <c r="C50" s="70">
        <v>113464</v>
      </c>
      <c r="D50" s="70">
        <v>143723</v>
      </c>
      <c r="E50" s="70">
        <f t="shared" ref="E50" si="4">Q41</f>
        <v>257187</v>
      </c>
      <c r="F50" s="766">
        <v>56.15045905939666</v>
      </c>
      <c r="G50" s="766">
        <v>43.849540940603333</v>
      </c>
      <c r="H50" s="70">
        <v>0.62444093345651397</v>
      </c>
    </row>
    <row r="51" spans="2:8">
      <c r="B51" s="70" t="s">
        <v>92</v>
      </c>
      <c r="C51" s="70">
        <v>1105752</v>
      </c>
      <c r="D51" s="70">
        <v>1873568</v>
      </c>
      <c r="E51" s="70">
        <f t="shared" ref="E51" si="5">T41</f>
        <v>2979320</v>
      </c>
      <c r="F51" s="766">
        <v>63.747597504153049</v>
      </c>
      <c r="G51" s="766">
        <v>36.252402495846951</v>
      </c>
      <c r="H51" s="70">
        <v>6.9169625624776705</v>
      </c>
    </row>
    <row r="52" spans="2:8">
      <c r="B52" s="70" t="s">
        <v>93</v>
      </c>
      <c r="C52" s="70">
        <v>72070</v>
      </c>
      <c r="D52" s="70">
        <v>83841</v>
      </c>
      <c r="E52" s="70">
        <f t="shared" ref="E52" si="6">W41</f>
        <v>155911</v>
      </c>
      <c r="F52" s="766">
        <v>55.155035226399619</v>
      </c>
      <c r="G52" s="766">
        <v>44.844964773600388</v>
      </c>
      <c r="H52" s="70">
        <v>0.3743535291299126</v>
      </c>
    </row>
    <row r="53" spans="2:8">
      <c r="B53" s="70" t="s">
        <v>94</v>
      </c>
      <c r="C53" s="70">
        <v>173340</v>
      </c>
      <c r="D53" s="70">
        <v>212201</v>
      </c>
      <c r="E53" s="70">
        <f t="shared" ref="E53" si="7">Z41</f>
        <v>385541</v>
      </c>
      <c r="F53" s="766">
        <v>55.11614558625805</v>
      </c>
      <c r="G53" s="766">
        <v>44.88385441374195</v>
      </c>
      <c r="H53" s="70">
        <v>0.93003858611865486</v>
      </c>
    </row>
    <row r="54" spans="2:8">
      <c r="E54" s="70">
        <f>E47+E50+E51+E53+E52</f>
        <v>3794703</v>
      </c>
    </row>
    <row r="55" spans="2:8">
      <c r="E55" s="70">
        <f>E54/10000000</f>
        <v>0.37947029999999998</v>
      </c>
    </row>
    <row r="56" spans="2:8">
      <c r="C56" s="70" t="s">
        <v>88</v>
      </c>
    </row>
    <row r="57" spans="2:8">
      <c r="C57" s="70">
        <v>95088</v>
      </c>
    </row>
    <row r="58" spans="2:8">
      <c r="C58" s="70">
        <v>10399</v>
      </c>
    </row>
    <row r="59" spans="2:8">
      <c r="C59" s="70">
        <v>2662855</v>
      </c>
    </row>
    <row r="60" spans="2:8">
      <c r="C60" s="70">
        <v>15909835</v>
      </c>
    </row>
    <row r="61" spans="2:8">
      <c r="C61" s="70">
        <v>113464</v>
      </c>
    </row>
    <row r="62" spans="2:8">
      <c r="C62" s="70">
        <v>1105752</v>
      </c>
    </row>
    <row r="63" spans="2:8">
      <c r="C63" s="70">
        <v>72070</v>
      </c>
    </row>
    <row r="64" spans="2:8">
      <c r="C64" s="70">
        <v>173340</v>
      </c>
    </row>
  </sheetData>
  <mergeCells count="12">
    <mergeCell ref="O2:Q2"/>
    <mergeCell ref="R2:T2"/>
    <mergeCell ref="U2:W2"/>
    <mergeCell ref="X2:Z2"/>
    <mergeCell ref="AA2:AC2"/>
    <mergeCell ref="I2:K2"/>
    <mergeCell ref="L2:N2"/>
    <mergeCell ref="A41:B41"/>
    <mergeCell ref="A2:A3"/>
    <mergeCell ref="B2:B3"/>
    <mergeCell ref="C2:E2"/>
    <mergeCell ref="F2:H2"/>
  </mergeCells>
  <printOptions horizontalCentered="1"/>
  <pageMargins left="0.55118110236220474" right="0.15748031496062992" top="0.51181102362204722" bottom="0.39370078740157483" header="0.19685039370078741" footer="0.15748031496062992"/>
  <pageSetup paperSize="9" scale="80" firstPageNumber="5" orientation="portrait" useFirstPageNumber="1" r:id="rId1"/>
  <headerFooter>
    <oddFooter>&amp;L&amp;"Arial,Italic"&amp;9AISHE 2020-21&amp;CT-6</oddFooter>
  </headerFooter>
  <colBreaks count="2" manualBreakCount="2">
    <brk id="11" max="38" man="1"/>
    <brk id="20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50"/>
  </sheetPr>
  <dimension ref="A1:AE44"/>
  <sheetViews>
    <sheetView view="pageBreakPreview" zoomScale="85" zoomScaleSheetLayoutView="85" workbookViewId="0">
      <pane xSplit="2" ySplit="3" topLeftCell="U7" activePane="bottomRight" state="frozen"/>
      <selection activeCell="H31" sqref="H31"/>
      <selection pane="topRight" activeCell="H31" sqref="H31"/>
      <selection pane="bottomLeft" activeCell="H31" sqref="H31"/>
      <selection pane="bottomRight" activeCell="A41" sqref="A41:B41"/>
    </sheetView>
  </sheetViews>
  <sheetFormatPr defaultColWidth="9.1796875" defaultRowHeight="14"/>
  <cols>
    <col min="1" max="1" width="5.1796875" style="88" customWidth="1"/>
    <col min="2" max="2" width="23.453125" style="88" customWidth="1"/>
    <col min="3" max="3" width="7.7265625" style="88" customWidth="1"/>
    <col min="4" max="5" width="8.1796875" style="88" customWidth="1"/>
    <col min="6" max="6" width="7.26953125" style="88" customWidth="1"/>
    <col min="7" max="7" width="8.1796875" style="88" customWidth="1"/>
    <col min="8" max="8" width="6.7265625" style="88" customWidth="1"/>
    <col min="9" max="11" width="9.26953125" style="88" customWidth="1"/>
    <col min="12" max="12" width="10" style="88" customWidth="1"/>
    <col min="13" max="13" width="9.81640625" style="88" customWidth="1"/>
    <col min="14" max="14" width="10.1796875" style="88" customWidth="1"/>
    <col min="15" max="15" width="6.81640625" style="88" customWidth="1"/>
    <col min="16" max="16" width="8.26953125" style="88" bestFit="1" customWidth="1"/>
    <col min="17" max="17" width="7.26953125" style="88" customWidth="1"/>
    <col min="18" max="18" width="8.1796875" style="88" customWidth="1"/>
    <col min="19" max="19" width="8.26953125" style="88" bestFit="1" customWidth="1"/>
    <col min="20" max="20" width="8" style="88" customWidth="1"/>
    <col min="21" max="21" width="6.81640625" style="88" customWidth="1"/>
    <col min="22" max="22" width="8.453125" style="88" customWidth="1"/>
    <col min="23" max="23" width="7.54296875" style="88" customWidth="1"/>
    <col min="24" max="24" width="6.81640625" style="88" customWidth="1"/>
    <col min="25" max="25" width="7.7265625" style="88" customWidth="1"/>
    <col min="26" max="26" width="7.54296875" style="88" customWidth="1"/>
    <col min="27" max="27" width="9.81640625" style="88" customWidth="1"/>
    <col min="28" max="28" width="10.453125" style="88" customWidth="1"/>
    <col min="29" max="29" width="10.26953125" style="88" customWidth="1"/>
    <col min="30" max="30" width="13.7265625" style="762" customWidth="1"/>
    <col min="31" max="16384" width="9.1796875" style="88"/>
  </cols>
  <sheetData>
    <row r="1" spans="1:31" s="216" customFormat="1" ht="27" customHeight="1">
      <c r="B1" s="158" t="s">
        <v>168</v>
      </c>
      <c r="C1" s="527" t="s">
        <v>111</v>
      </c>
      <c r="L1" s="527" t="s">
        <v>111</v>
      </c>
      <c r="U1" s="527" t="s">
        <v>111</v>
      </c>
      <c r="AD1" s="757"/>
    </row>
    <row r="2" spans="1:31" s="632" customFormat="1" ht="24.75" customHeight="1">
      <c r="A2" s="940" t="s">
        <v>84</v>
      </c>
      <c r="B2" s="915" t="s">
        <v>2</v>
      </c>
      <c r="C2" s="937" t="s">
        <v>89</v>
      </c>
      <c r="D2" s="938"/>
      <c r="E2" s="939"/>
      <c r="F2" s="937" t="s">
        <v>90</v>
      </c>
      <c r="G2" s="938"/>
      <c r="H2" s="939"/>
      <c r="I2" s="937" t="s">
        <v>85</v>
      </c>
      <c r="J2" s="938"/>
      <c r="K2" s="939"/>
      <c r="L2" s="937" t="s">
        <v>86</v>
      </c>
      <c r="M2" s="938"/>
      <c r="N2" s="939"/>
      <c r="O2" s="937" t="s">
        <v>91</v>
      </c>
      <c r="P2" s="938"/>
      <c r="Q2" s="939"/>
      <c r="R2" s="937" t="s">
        <v>92</v>
      </c>
      <c r="S2" s="938"/>
      <c r="T2" s="939"/>
      <c r="U2" s="937" t="s">
        <v>93</v>
      </c>
      <c r="V2" s="938"/>
      <c r="W2" s="939"/>
      <c r="X2" s="937" t="s">
        <v>94</v>
      </c>
      <c r="Y2" s="938"/>
      <c r="Z2" s="939"/>
      <c r="AA2" s="937" t="s">
        <v>60</v>
      </c>
      <c r="AB2" s="938"/>
      <c r="AC2" s="939"/>
      <c r="AD2" s="758"/>
    </row>
    <row r="3" spans="1:31" s="87" customFormat="1" ht="24.75" customHeight="1">
      <c r="A3" s="941"/>
      <c r="B3" s="915"/>
      <c r="C3" s="529" t="s">
        <v>87</v>
      </c>
      <c r="D3" s="529" t="s">
        <v>88</v>
      </c>
      <c r="E3" s="529" t="s">
        <v>12</v>
      </c>
      <c r="F3" s="529" t="s">
        <v>87</v>
      </c>
      <c r="G3" s="529" t="s">
        <v>88</v>
      </c>
      <c r="H3" s="529" t="s">
        <v>12</v>
      </c>
      <c r="I3" s="529" t="s">
        <v>87</v>
      </c>
      <c r="J3" s="529" t="s">
        <v>88</v>
      </c>
      <c r="K3" s="529" t="s">
        <v>12</v>
      </c>
      <c r="L3" s="529" t="s">
        <v>87</v>
      </c>
      <c r="M3" s="529" t="s">
        <v>88</v>
      </c>
      <c r="N3" s="529" t="s">
        <v>12</v>
      </c>
      <c r="O3" s="529" t="s">
        <v>87</v>
      </c>
      <c r="P3" s="529" t="s">
        <v>88</v>
      </c>
      <c r="Q3" s="529" t="s">
        <v>12</v>
      </c>
      <c r="R3" s="529" t="s">
        <v>87</v>
      </c>
      <c r="S3" s="529" t="s">
        <v>88</v>
      </c>
      <c r="T3" s="529" t="s">
        <v>12</v>
      </c>
      <c r="U3" s="529" t="s">
        <v>87</v>
      </c>
      <c r="V3" s="529" t="s">
        <v>88</v>
      </c>
      <c r="W3" s="529" t="s">
        <v>12</v>
      </c>
      <c r="X3" s="529" t="s">
        <v>87</v>
      </c>
      <c r="Y3" s="529" t="s">
        <v>88</v>
      </c>
      <c r="Z3" s="529" t="s">
        <v>12</v>
      </c>
      <c r="AA3" s="529" t="s">
        <v>87</v>
      </c>
      <c r="AB3" s="529" t="s">
        <v>88</v>
      </c>
      <c r="AC3" s="529" t="s">
        <v>12</v>
      </c>
      <c r="AD3" s="759"/>
    </row>
    <row r="4" spans="1:31" s="737" customFormat="1" ht="16.5" customHeight="1">
      <c r="A4" s="531">
        <v>1</v>
      </c>
      <c r="B4" s="531">
        <v>2</v>
      </c>
      <c r="C4" s="531">
        <v>3</v>
      </c>
      <c r="D4" s="531">
        <v>4</v>
      </c>
      <c r="E4" s="531">
        <v>5</v>
      </c>
      <c r="F4" s="531">
        <v>6</v>
      </c>
      <c r="G4" s="531">
        <v>7</v>
      </c>
      <c r="H4" s="531">
        <v>8</v>
      </c>
      <c r="I4" s="531">
        <v>9</v>
      </c>
      <c r="J4" s="531">
        <v>10</v>
      </c>
      <c r="K4" s="531">
        <v>11</v>
      </c>
      <c r="L4" s="531">
        <v>12</v>
      </c>
      <c r="M4" s="531">
        <v>13</v>
      </c>
      <c r="N4" s="531">
        <v>14</v>
      </c>
      <c r="O4" s="531">
        <v>15</v>
      </c>
      <c r="P4" s="531">
        <v>16</v>
      </c>
      <c r="Q4" s="531">
        <v>17</v>
      </c>
      <c r="R4" s="531">
        <v>18</v>
      </c>
      <c r="S4" s="531">
        <v>19</v>
      </c>
      <c r="T4" s="531">
        <v>20</v>
      </c>
      <c r="U4" s="531">
        <v>21</v>
      </c>
      <c r="V4" s="531">
        <v>22</v>
      </c>
      <c r="W4" s="531">
        <v>23</v>
      </c>
      <c r="X4" s="531">
        <v>24</v>
      </c>
      <c r="Y4" s="531">
        <v>25</v>
      </c>
      <c r="Z4" s="531">
        <v>26</v>
      </c>
      <c r="AA4" s="531">
        <v>27</v>
      </c>
      <c r="AB4" s="531">
        <v>28</v>
      </c>
      <c r="AC4" s="531">
        <v>29</v>
      </c>
      <c r="AD4" s="760" t="s">
        <v>144</v>
      </c>
    </row>
    <row r="5" spans="1:31" s="87" customFormat="1" ht="30.75" customHeight="1">
      <c r="A5" s="532">
        <v>1</v>
      </c>
      <c r="B5" s="533" t="s">
        <v>171</v>
      </c>
      <c r="C5" s="534">
        <f>'6TotalEnr'!C5-'6bTotalDistanceEnr'!C5</f>
        <v>7</v>
      </c>
      <c r="D5" s="534">
        <f>'6TotalEnr'!D5-'6bTotalDistanceEnr'!D5</f>
        <v>12</v>
      </c>
      <c r="E5" s="534">
        <f>'6TotalEnr'!E5-'6bTotalDistanceEnr'!E5</f>
        <v>19</v>
      </c>
      <c r="F5" s="534">
        <f>'6TotalEnr'!F5-'6bTotalDistanceEnr'!F5</f>
        <v>0</v>
      </c>
      <c r="G5" s="534">
        <f>'6TotalEnr'!G5-'6bTotalDistanceEnr'!G5</f>
        <v>0</v>
      </c>
      <c r="H5" s="534">
        <f>'6TotalEnr'!H5-'6bTotalDistanceEnr'!H5</f>
        <v>0</v>
      </c>
      <c r="I5" s="534">
        <f>'6TotalEnr'!I5-'6bTotalDistanceEnr'!I5</f>
        <v>69</v>
      </c>
      <c r="J5" s="534">
        <f>'6TotalEnr'!J5-'6bTotalDistanceEnr'!J5</f>
        <v>283</v>
      </c>
      <c r="K5" s="534">
        <f>'6TotalEnr'!K5-'6bTotalDistanceEnr'!K5</f>
        <v>352</v>
      </c>
      <c r="L5" s="534">
        <f>'6TotalEnr'!L5-'6bTotalDistanceEnr'!L5</f>
        <v>2473</v>
      </c>
      <c r="M5" s="534">
        <f>'6TotalEnr'!M5-'6bTotalDistanceEnr'!M5</f>
        <v>3423</v>
      </c>
      <c r="N5" s="534">
        <f>'6TotalEnr'!N5-'6bTotalDistanceEnr'!N5</f>
        <v>5896</v>
      </c>
      <c r="O5" s="534">
        <f>'6TotalEnr'!O5-'6bTotalDistanceEnr'!O5</f>
        <v>14</v>
      </c>
      <c r="P5" s="534">
        <f>'6TotalEnr'!P5-'6bTotalDistanceEnr'!P5</f>
        <v>0</v>
      </c>
      <c r="Q5" s="534">
        <f>'6TotalEnr'!Q5-'6bTotalDistanceEnr'!Q5</f>
        <v>14</v>
      </c>
      <c r="R5" s="534">
        <f>'6TotalEnr'!R5-'6bTotalDistanceEnr'!R5</f>
        <v>601</v>
      </c>
      <c r="S5" s="534">
        <f>'6TotalEnr'!S5-'6bTotalDistanceEnr'!S5</f>
        <v>414</v>
      </c>
      <c r="T5" s="534">
        <f>'6TotalEnr'!T5-'6bTotalDistanceEnr'!T5</f>
        <v>1015</v>
      </c>
      <c r="U5" s="534">
        <f>'6TotalEnr'!U5-'6bTotalDistanceEnr'!U5</f>
        <v>39</v>
      </c>
      <c r="V5" s="534">
        <f>'6TotalEnr'!V5-'6bTotalDistanceEnr'!V5</f>
        <v>33</v>
      </c>
      <c r="W5" s="534">
        <f>'6TotalEnr'!W5-'6bTotalDistanceEnr'!W5</f>
        <v>72</v>
      </c>
      <c r="X5" s="534">
        <f>'6TotalEnr'!X5-'6bTotalDistanceEnr'!X5</f>
        <v>145</v>
      </c>
      <c r="Y5" s="534">
        <f>'6TotalEnr'!Y5-'6bTotalDistanceEnr'!Y5</f>
        <v>224</v>
      </c>
      <c r="Z5" s="534">
        <f>'6TotalEnr'!Z5-'6bTotalDistanceEnr'!Z5</f>
        <v>369</v>
      </c>
      <c r="AA5" s="534">
        <f>'6TotalEnr'!AA5-'6bTotalDistanceEnr'!AA5</f>
        <v>3348</v>
      </c>
      <c r="AB5" s="534">
        <f>'6TotalEnr'!AB5-'6bTotalDistanceEnr'!AB5</f>
        <v>4389</v>
      </c>
      <c r="AC5" s="534">
        <f>'6TotalEnr'!AC5-'6bTotalDistanceEnr'!AC5</f>
        <v>7737</v>
      </c>
      <c r="AD5" s="759">
        <v>4228</v>
      </c>
      <c r="AE5" s="761">
        <v>8.7056842476326529E-2</v>
      </c>
    </row>
    <row r="6" spans="1:31" s="87" customFormat="1" ht="20.25" customHeight="1">
      <c r="A6" s="532">
        <v>2</v>
      </c>
      <c r="B6" s="535" t="s">
        <v>15</v>
      </c>
      <c r="C6" s="534">
        <f>'6TotalEnr'!C6-'6bTotalDistanceEnr'!C6</f>
        <v>4283</v>
      </c>
      <c r="D6" s="534">
        <f>'6TotalEnr'!D6-'6bTotalDistanceEnr'!D6</f>
        <v>2708</v>
      </c>
      <c r="E6" s="534">
        <f>'6TotalEnr'!E6-'6bTotalDistanceEnr'!E6</f>
        <v>6991</v>
      </c>
      <c r="F6" s="534">
        <f>'6TotalEnr'!F6-'6bTotalDistanceEnr'!F6</f>
        <v>70</v>
      </c>
      <c r="G6" s="534">
        <f>'6TotalEnr'!G6-'6bTotalDistanceEnr'!G6</f>
        <v>48</v>
      </c>
      <c r="H6" s="534">
        <f>'6TotalEnr'!H6-'6bTotalDistanceEnr'!H6</f>
        <v>118</v>
      </c>
      <c r="I6" s="534">
        <f>'6TotalEnr'!I6-'6bTotalDistanceEnr'!I6</f>
        <v>89655</v>
      </c>
      <c r="J6" s="534">
        <f>'6TotalEnr'!J6-'6bTotalDistanceEnr'!J6</f>
        <v>91447</v>
      </c>
      <c r="K6" s="534">
        <f>'6TotalEnr'!K6-'6bTotalDistanceEnr'!K6</f>
        <v>181102</v>
      </c>
      <c r="L6" s="534">
        <f>'6TotalEnr'!L6-'6bTotalDistanceEnr'!L6</f>
        <v>765880</v>
      </c>
      <c r="M6" s="534">
        <f>'6TotalEnr'!M6-'6bTotalDistanceEnr'!M6</f>
        <v>704221</v>
      </c>
      <c r="N6" s="534">
        <f>'6TotalEnr'!N6-'6bTotalDistanceEnr'!N6</f>
        <v>1470101</v>
      </c>
      <c r="O6" s="534">
        <f>'6TotalEnr'!O6-'6bTotalDistanceEnr'!O6</f>
        <v>187</v>
      </c>
      <c r="P6" s="534">
        <f>'6TotalEnr'!P6-'6bTotalDistanceEnr'!P6</f>
        <v>135</v>
      </c>
      <c r="Q6" s="534">
        <f>'6TotalEnr'!Q6-'6bTotalDistanceEnr'!Q6</f>
        <v>322</v>
      </c>
      <c r="R6" s="534">
        <f>'6TotalEnr'!R6-'6bTotalDistanceEnr'!R6</f>
        <v>96256</v>
      </c>
      <c r="S6" s="534">
        <f>'6TotalEnr'!S6-'6bTotalDistanceEnr'!S6</f>
        <v>66003</v>
      </c>
      <c r="T6" s="534">
        <f>'6TotalEnr'!T6-'6bTotalDistanceEnr'!T6</f>
        <v>162259</v>
      </c>
      <c r="U6" s="534">
        <f>'6TotalEnr'!U6-'6bTotalDistanceEnr'!U6</f>
        <v>356</v>
      </c>
      <c r="V6" s="534">
        <f>'6TotalEnr'!V6-'6bTotalDistanceEnr'!V6</f>
        <v>442</v>
      </c>
      <c r="W6" s="534">
        <f>'6TotalEnr'!W6-'6bTotalDistanceEnr'!W6</f>
        <v>798</v>
      </c>
      <c r="X6" s="534">
        <f>'6TotalEnr'!X6-'6bTotalDistanceEnr'!X6</f>
        <v>8429</v>
      </c>
      <c r="Y6" s="534">
        <f>'6TotalEnr'!Y6-'6bTotalDistanceEnr'!Y6</f>
        <v>4528</v>
      </c>
      <c r="Z6" s="534">
        <f>'6TotalEnr'!Z6-'6bTotalDistanceEnr'!Z6</f>
        <v>12957</v>
      </c>
      <c r="AA6" s="534">
        <f>'6TotalEnr'!AA6-'6bTotalDistanceEnr'!AA6</f>
        <v>965116</v>
      </c>
      <c r="AB6" s="534">
        <f>'6TotalEnr'!AB6-'6bTotalDistanceEnr'!AB6</f>
        <v>869532</v>
      </c>
      <c r="AC6" s="534">
        <f>'6TotalEnr'!AC6-'6bTotalDistanceEnr'!AC6</f>
        <v>1834648</v>
      </c>
      <c r="AD6" s="759">
        <v>152975</v>
      </c>
      <c r="AE6" s="761">
        <v>3.1498392804673725</v>
      </c>
    </row>
    <row r="7" spans="1:31" s="87" customFormat="1" ht="20.25" customHeight="1">
      <c r="A7" s="532">
        <v>3</v>
      </c>
      <c r="B7" s="535" t="s">
        <v>16</v>
      </c>
      <c r="C7" s="534">
        <f>'6TotalEnr'!C7-'6bTotalDistanceEnr'!C7</f>
        <v>470</v>
      </c>
      <c r="D7" s="534">
        <f>'6TotalEnr'!D7-'6bTotalDistanceEnr'!D7</f>
        <v>258</v>
      </c>
      <c r="E7" s="534">
        <f>'6TotalEnr'!E7-'6bTotalDistanceEnr'!E7</f>
        <v>728</v>
      </c>
      <c r="F7" s="534">
        <f>'6TotalEnr'!F7-'6bTotalDistanceEnr'!F7</f>
        <v>56</v>
      </c>
      <c r="G7" s="534">
        <f>'6TotalEnr'!G7-'6bTotalDistanceEnr'!G7</f>
        <v>74</v>
      </c>
      <c r="H7" s="534">
        <f>'6TotalEnr'!H7-'6bTotalDistanceEnr'!H7</f>
        <v>130</v>
      </c>
      <c r="I7" s="534">
        <f>'6TotalEnr'!I7-'6bTotalDistanceEnr'!I7</f>
        <v>4281</v>
      </c>
      <c r="J7" s="534">
        <f>'6TotalEnr'!J7-'6bTotalDistanceEnr'!J7</f>
        <v>3678</v>
      </c>
      <c r="K7" s="534">
        <f>'6TotalEnr'!K7-'6bTotalDistanceEnr'!K7</f>
        <v>7959</v>
      </c>
      <c r="L7" s="534">
        <f>'6TotalEnr'!L7-'6bTotalDistanceEnr'!L7</f>
        <v>19091</v>
      </c>
      <c r="M7" s="534">
        <f>'6TotalEnr'!M7-'6bTotalDistanceEnr'!M7</f>
        <v>15895</v>
      </c>
      <c r="N7" s="534">
        <f>'6TotalEnr'!N7-'6bTotalDistanceEnr'!N7</f>
        <v>34986</v>
      </c>
      <c r="O7" s="534">
        <f>'6TotalEnr'!O7-'6bTotalDistanceEnr'!O7</f>
        <v>87</v>
      </c>
      <c r="P7" s="534">
        <f>'6TotalEnr'!P7-'6bTotalDistanceEnr'!P7</f>
        <v>68</v>
      </c>
      <c r="Q7" s="534">
        <f>'6TotalEnr'!Q7-'6bTotalDistanceEnr'!Q7</f>
        <v>155</v>
      </c>
      <c r="R7" s="534">
        <f>'6TotalEnr'!R7-'6bTotalDistanceEnr'!R7</f>
        <v>1370</v>
      </c>
      <c r="S7" s="534">
        <f>'6TotalEnr'!S7-'6bTotalDistanceEnr'!S7</f>
        <v>1081</v>
      </c>
      <c r="T7" s="534">
        <f>'6TotalEnr'!T7-'6bTotalDistanceEnr'!T7</f>
        <v>2451</v>
      </c>
      <c r="U7" s="534">
        <f>'6TotalEnr'!U7-'6bTotalDistanceEnr'!U7</f>
        <v>310</v>
      </c>
      <c r="V7" s="534">
        <f>'6TotalEnr'!V7-'6bTotalDistanceEnr'!V7</f>
        <v>162</v>
      </c>
      <c r="W7" s="534">
        <f>'6TotalEnr'!W7-'6bTotalDistanceEnr'!W7</f>
        <v>472</v>
      </c>
      <c r="X7" s="534">
        <f>'6TotalEnr'!X7-'6bTotalDistanceEnr'!X7</f>
        <v>1196</v>
      </c>
      <c r="Y7" s="534">
        <f>'6TotalEnr'!Y7-'6bTotalDistanceEnr'!Y7</f>
        <v>726</v>
      </c>
      <c r="Z7" s="534">
        <f>'6TotalEnr'!Z7-'6bTotalDistanceEnr'!Z7</f>
        <v>1922</v>
      </c>
      <c r="AA7" s="534">
        <f>'6TotalEnr'!AA7-'6bTotalDistanceEnr'!AA7</f>
        <v>26861</v>
      </c>
      <c r="AB7" s="534">
        <f>'6TotalEnr'!AB7-'6bTotalDistanceEnr'!AB7</f>
        <v>21942</v>
      </c>
      <c r="AC7" s="534">
        <f>'6TotalEnr'!AC7-'6bTotalDistanceEnr'!AC7</f>
        <v>48803</v>
      </c>
      <c r="AD7" s="759">
        <v>10932</v>
      </c>
      <c r="AE7" s="761">
        <v>0.22509588504049233</v>
      </c>
    </row>
    <row r="8" spans="1:31" s="87" customFormat="1" ht="20.25" customHeight="1">
      <c r="A8" s="532">
        <v>4</v>
      </c>
      <c r="B8" s="535" t="s">
        <v>17</v>
      </c>
      <c r="C8" s="534">
        <f>'6TotalEnr'!C8-'6bTotalDistanceEnr'!C8</f>
        <v>3648</v>
      </c>
      <c r="D8" s="534">
        <f>'6TotalEnr'!D8-'6bTotalDistanceEnr'!D8</f>
        <v>2356</v>
      </c>
      <c r="E8" s="534">
        <f>'6TotalEnr'!E8-'6bTotalDistanceEnr'!E8</f>
        <v>6004</v>
      </c>
      <c r="F8" s="534">
        <f>'6TotalEnr'!F8-'6bTotalDistanceEnr'!F8</f>
        <v>126</v>
      </c>
      <c r="G8" s="534">
        <f>'6TotalEnr'!G8-'6bTotalDistanceEnr'!G8</f>
        <v>180</v>
      </c>
      <c r="H8" s="534">
        <f>'6TotalEnr'!H8-'6bTotalDistanceEnr'!H8</f>
        <v>306</v>
      </c>
      <c r="I8" s="534">
        <f>'6TotalEnr'!I8-'6bTotalDistanceEnr'!I8</f>
        <v>13634</v>
      </c>
      <c r="J8" s="534">
        <f>'6TotalEnr'!J8-'6bTotalDistanceEnr'!J8</f>
        <v>20125</v>
      </c>
      <c r="K8" s="534">
        <f>'6TotalEnr'!K8-'6bTotalDistanceEnr'!K8</f>
        <v>33759</v>
      </c>
      <c r="L8" s="534">
        <f>'6TotalEnr'!L8-'6bTotalDistanceEnr'!L8</f>
        <v>282547</v>
      </c>
      <c r="M8" s="534">
        <f>'6TotalEnr'!M8-'6bTotalDistanceEnr'!M8</f>
        <v>295148</v>
      </c>
      <c r="N8" s="534">
        <f>'6TotalEnr'!N8-'6bTotalDistanceEnr'!N8</f>
        <v>577695</v>
      </c>
      <c r="O8" s="534">
        <f>'6TotalEnr'!O8-'6bTotalDistanceEnr'!O8</f>
        <v>389</v>
      </c>
      <c r="P8" s="534">
        <f>'6TotalEnr'!P8-'6bTotalDistanceEnr'!P8</f>
        <v>630</v>
      </c>
      <c r="Q8" s="534">
        <f>'6TotalEnr'!Q8-'6bTotalDistanceEnr'!Q8</f>
        <v>1019</v>
      </c>
      <c r="R8" s="534">
        <f>'6TotalEnr'!R8-'6bTotalDistanceEnr'!R8</f>
        <v>12627</v>
      </c>
      <c r="S8" s="534">
        <f>'6TotalEnr'!S8-'6bTotalDistanceEnr'!S8</f>
        <v>9364</v>
      </c>
      <c r="T8" s="534">
        <f>'6TotalEnr'!T8-'6bTotalDistanceEnr'!T8</f>
        <v>21991</v>
      </c>
      <c r="U8" s="534">
        <f>'6TotalEnr'!U8-'6bTotalDistanceEnr'!U8</f>
        <v>387</v>
      </c>
      <c r="V8" s="534">
        <f>'6TotalEnr'!V8-'6bTotalDistanceEnr'!V8</f>
        <v>785</v>
      </c>
      <c r="W8" s="534">
        <f>'6TotalEnr'!W8-'6bTotalDistanceEnr'!W8</f>
        <v>1172</v>
      </c>
      <c r="X8" s="534">
        <f>'6TotalEnr'!X8-'6bTotalDistanceEnr'!X8</f>
        <v>2459</v>
      </c>
      <c r="Y8" s="534">
        <f>'6TotalEnr'!Y8-'6bTotalDistanceEnr'!Y8</f>
        <v>2783</v>
      </c>
      <c r="Z8" s="534">
        <f>'6TotalEnr'!Z8-'6bTotalDistanceEnr'!Z8</f>
        <v>5242</v>
      </c>
      <c r="AA8" s="534">
        <f>'6TotalEnr'!AA8-'6bTotalDistanceEnr'!AA8</f>
        <v>315817</v>
      </c>
      <c r="AB8" s="534">
        <f>'6TotalEnr'!AB8-'6bTotalDistanceEnr'!AB8</f>
        <v>331371</v>
      </c>
      <c r="AC8" s="534">
        <f>'6TotalEnr'!AC8-'6bTotalDistanceEnr'!AC8</f>
        <v>647188</v>
      </c>
      <c r="AD8" s="759">
        <v>49905</v>
      </c>
      <c r="AE8" s="761">
        <v>1.0275713632405572</v>
      </c>
    </row>
    <row r="9" spans="1:31" s="87" customFormat="1" ht="20.25" customHeight="1">
      <c r="A9" s="532">
        <v>5</v>
      </c>
      <c r="B9" s="535" t="s">
        <v>18</v>
      </c>
      <c r="C9" s="534">
        <f>'6TotalEnr'!C9-'6bTotalDistanceEnr'!C9</f>
        <v>2625</v>
      </c>
      <c r="D9" s="534">
        <f>'6TotalEnr'!D9-'6bTotalDistanceEnr'!D9</f>
        <v>1183</v>
      </c>
      <c r="E9" s="534">
        <f>'6TotalEnr'!E9-'6bTotalDistanceEnr'!E9</f>
        <v>3808</v>
      </c>
      <c r="F9" s="534">
        <f>'6TotalEnr'!F9-'6bTotalDistanceEnr'!F9</f>
        <v>50</v>
      </c>
      <c r="G9" s="534">
        <f>'6TotalEnr'!G9-'6bTotalDistanceEnr'!G9</f>
        <v>23</v>
      </c>
      <c r="H9" s="534">
        <f>'6TotalEnr'!H9-'6bTotalDistanceEnr'!H9</f>
        <v>73</v>
      </c>
      <c r="I9" s="534">
        <f>'6TotalEnr'!I9-'6bTotalDistanceEnr'!I9</f>
        <v>50051</v>
      </c>
      <c r="J9" s="534">
        <f>'6TotalEnr'!J9-'6bTotalDistanceEnr'!J9</f>
        <v>48189</v>
      </c>
      <c r="K9" s="534">
        <f>'6TotalEnr'!K9-'6bTotalDistanceEnr'!K9</f>
        <v>98240</v>
      </c>
      <c r="L9" s="534">
        <f>'6TotalEnr'!L9-'6bTotalDistanceEnr'!L9</f>
        <v>1057661</v>
      </c>
      <c r="M9" s="534">
        <f>'6TotalEnr'!M9-'6bTotalDistanceEnr'!M9</f>
        <v>864953</v>
      </c>
      <c r="N9" s="534">
        <f>'6TotalEnr'!N9-'6bTotalDistanceEnr'!N9</f>
        <v>1922614</v>
      </c>
      <c r="O9" s="534">
        <f>'6TotalEnr'!O9-'6bTotalDistanceEnr'!O9</f>
        <v>886</v>
      </c>
      <c r="P9" s="534">
        <f>'6TotalEnr'!P9-'6bTotalDistanceEnr'!P9</f>
        <v>459</v>
      </c>
      <c r="Q9" s="534">
        <f>'6TotalEnr'!Q9-'6bTotalDistanceEnr'!Q9</f>
        <v>1345</v>
      </c>
      <c r="R9" s="534">
        <f>'6TotalEnr'!R9-'6bTotalDistanceEnr'!R9</f>
        <v>56644</v>
      </c>
      <c r="S9" s="534">
        <f>'6TotalEnr'!S9-'6bTotalDistanceEnr'!S9</f>
        <v>48657</v>
      </c>
      <c r="T9" s="534">
        <f>'6TotalEnr'!T9-'6bTotalDistanceEnr'!T9</f>
        <v>105301</v>
      </c>
      <c r="U9" s="534">
        <f>'6TotalEnr'!U9-'6bTotalDistanceEnr'!U9</f>
        <v>3264</v>
      </c>
      <c r="V9" s="534">
        <f>'6TotalEnr'!V9-'6bTotalDistanceEnr'!V9</f>
        <v>2885</v>
      </c>
      <c r="W9" s="534">
        <f>'6TotalEnr'!W9-'6bTotalDistanceEnr'!W9</f>
        <v>6149</v>
      </c>
      <c r="X9" s="534">
        <f>'6TotalEnr'!X9-'6bTotalDistanceEnr'!X9</f>
        <v>2592</v>
      </c>
      <c r="Y9" s="534">
        <f>'6TotalEnr'!Y9-'6bTotalDistanceEnr'!Y9</f>
        <v>1333</v>
      </c>
      <c r="Z9" s="534">
        <f>'6TotalEnr'!Z9-'6bTotalDistanceEnr'!Z9</f>
        <v>3925</v>
      </c>
      <c r="AA9" s="534">
        <f>'6TotalEnr'!AA9-'6bTotalDistanceEnr'!AA9</f>
        <v>1173773</v>
      </c>
      <c r="AB9" s="534">
        <f>'6TotalEnr'!AB9-'6bTotalDistanceEnr'!AB9</f>
        <v>967682</v>
      </c>
      <c r="AC9" s="534">
        <f>'6TotalEnr'!AC9-'6bTotalDistanceEnr'!AC9</f>
        <v>2141455</v>
      </c>
      <c r="AD9" s="759">
        <v>219486</v>
      </c>
      <c r="AE9" s="761">
        <v>4.5193373055248358</v>
      </c>
    </row>
    <row r="10" spans="1:31" s="87" customFormat="1" ht="20.25" customHeight="1">
      <c r="A10" s="532">
        <v>6</v>
      </c>
      <c r="B10" s="535" t="s">
        <v>19</v>
      </c>
      <c r="C10" s="534">
        <f>'6TotalEnr'!C10-'6bTotalDistanceEnr'!C10</f>
        <v>323</v>
      </c>
      <c r="D10" s="534">
        <f>'6TotalEnr'!D10-'6bTotalDistanceEnr'!D10</f>
        <v>427</v>
      </c>
      <c r="E10" s="534">
        <f>'6TotalEnr'!E10-'6bTotalDistanceEnr'!E10</f>
        <v>750</v>
      </c>
      <c r="F10" s="534">
        <f>'6TotalEnr'!F10-'6bTotalDistanceEnr'!F10</f>
        <v>158</v>
      </c>
      <c r="G10" s="534">
        <f>'6TotalEnr'!G10-'6bTotalDistanceEnr'!G10</f>
        <v>29</v>
      </c>
      <c r="H10" s="534">
        <f>'6TotalEnr'!H10-'6bTotalDistanceEnr'!H10</f>
        <v>187</v>
      </c>
      <c r="I10" s="534">
        <f>'6TotalEnr'!I10-'6bTotalDistanceEnr'!I10</f>
        <v>4244</v>
      </c>
      <c r="J10" s="534">
        <f>'6TotalEnr'!J10-'6bTotalDistanceEnr'!J10</f>
        <v>8142</v>
      </c>
      <c r="K10" s="534">
        <f>'6TotalEnr'!K10-'6bTotalDistanceEnr'!K10</f>
        <v>12386</v>
      </c>
      <c r="L10" s="534">
        <f>'6TotalEnr'!L10-'6bTotalDistanceEnr'!L10</f>
        <v>26105</v>
      </c>
      <c r="M10" s="534">
        <f>'6TotalEnr'!M10-'6bTotalDistanceEnr'!M10</f>
        <v>28727</v>
      </c>
      <c r="N10" s="534">
        <f>'6TotalEnr'!N10-'6bTotalDistanceEnr'!N10</f>
        <v>54832</v>
      </c>
      <c r="O10" s="534">
        <f>'6TotalEnr'!O10-'6bTotalDistanceEnr'!O10</f>
        <v>175</v>
      </c>
      <c r="P10" s="534">
        <f>'6TotalEnr'!P10-'6bTotalDistanceEnr'!P10</f>
        <v>419</v>
      </c>
      <c r="Q10" s="534">
        <f>'6TotalEnr'!Q10-'6bTotalDistanceEnr'!Q10</f>
        <v>594</v>
      </c>
      <c r="R10" s="534">
        <f>'6TotalEnr'!R10-'6bTotalDistanceEnr'!R10</f>
        <v>1824</v>
      </c>
      <c r="S10" s="534">
        <f>'6TotalEnr'!S10-'6bTotalDistanceEnr'!S10</f>
        <v>1260</v>
      </c>
      <c r="T10" s="534">
        <f>'6TotalEnr'!T10-'6bTotalDistanceEnr'!T10</f>
        <v>3084</v>
      </c>
      <c r="U10" s="534">
        <f>'6TotalEnr'!U10-'6bTotalDistanceEnr'!U10</f>
        <v>222</v>
      </c>
      <c r="V10" s="534">
        <f>'6TotalEnr'!V10-'6bTotalDistanceEnr'!V10</f>
        <v>222</v>
      </c>
      <c r="W10" s="534">
        <f>'6TotalEnr'!W10-'6bTotalDistanceEnr'!W10</f>
        <v>444</v>
      </c>
      <c r="X10" s="534">
        <f>'6TotalEnr'!X10-'6bTotalDistanceEnr'!X10</f>
        <v>883</v>
      </c>
      <c r="Y10" s="534">
        <f>'6TotalEnr'!Y10-'6bTotalDistanceEnr'!Y10</f>
        <v>1087</v>
      </c>
      <c r="Z10" s="534">
        <f>'6TotalEnr'!Z10-'6bTotalDistanceEnr'!Z10</f>
        <v>1970</v>
      </c>
      <c r="AA10" s="534">
        <f>'6TotalEnr'!AA10-'6bTotalDistanceEnr'!AA10</f>
        <v>33934</v>
      </c>
      <c r="AB10" s="534">
        <f>'6TotalEnr'!AB10-'6bTotalDistanceEnr'!AB10</f>
        <v>40313</v>
      </c>
      <c r="AC10" s="534">
        <f>'6TotalEnr'!AC10-'6bTotalDistanceEnr'!AC10</f>
        <v>74247</v>
      </c>
      <c r="AD10" s="759">
        <v>36219</v>
      </c>
      <c r="AE10" s="761">
        <v>0.74576910540446328</v>
      </c>
    </row>
    <row r="11" spans="1:31" s="87" customFormat="1" ht="20.25" customHeight="1">
      <c r="A11" s="532">
        <v>7</v>
      </c>
      <c r="B11" s="535" t="s">
        <v>20</v>
      </c>
      <c r="C11" s="534">
        <f>'6TotalEnr'!C11-'6bTotalDistanceEnr'!C11</f>
        <v>910</v>
      </c>
      <c r="D11" s="534">
        <f>'6TotalEnr'!D11-'6bTotalDistanceEnr'!D11</f>
        <v>744</v>
      </c>
      <c r="E11" s="534">
        <f>'6TotalEnr'!E11-'6bTotalDistanceEnr'!E11</f>
        <v>1654</v>
      </c>
      <c r="F11" s="534">
        <f>'6TotalEnr'!F11-'6bTotalDistanceEnr'!F11</f>
        <v>36</v>
      </c>
      <c r="G11" s="534">
        <f>'6TotalEnr'!G11-'6bTotalDistanceEnr'!G11</f>
        <v>22</v>
      </c>
      <c r="H11" s="534">
        <f>'6TotalEnr'!H11-'6bTotalDistanceEnr'!H11</f>
        <v>58</v>
      </c>
      <c r="I11" s="534">
        <f>'6TotalEnr'!I11-'6bTotalDistanceEnr'!I11</f>
        <v>25566</v>
      </c>
      <c r="J11" s="534">
        <f>'6TotalEnr'!J11-'6bTotalDistanceEnr'!J11</f>
        <v>39663</v>
      </c>
      <c r="K11" s="534">
        <f>'6TotalEnr'!K11-'6bTotalDistanceEnr'!K11</f>
        <v>65229</v>
      </c>
      <c r="L11" s="534">
        <f>'6TotalEnr'!L11-'6bTotalDistanceEnr'!L11</f>
        <v>203718</v>
      </c>
      <c r="M11" s="534">
        <f>'6TotalEnr'!M11-'6bTotalDistanceEnr'!M11</f>
        <v>251446</v>
      </c>
      <c r="N11" s="534">
        <f>'6TotalEnr'!N11-'6bTotalDistanceEnr'!N11</f>
        <v>455164</v>
      </c>
      <c r="O11" s="534">
        <f>'6TotalEnr'!O11-'6bTotalDistanceEnr'!O11</f>
        <v>4450</v>
      </c>
      <c r="P11" s="534">
        <f>'6TotalEnr'!P11-'6bTotalDistanceEnr'!P11</f>
        <v>4591</v>
      </c>
      <c r="Q11" s="534">
        <f>'6TotalEnr'!Q11-'6bTotalDistanceEnr'!Q11</f>
        <v>9041</v>
      </c>
      <c r="R11" s="534">
        <f>'6TotalEnr'!R11-'6bTotalDistanceEnr'!R11</f>
        <v>21367</v>
      </c>
      <c r="S11" s="534">
        <f>'6TotalEnr'!S11-'6bTotalDistanceEnr'!S11</f>
        <v>15337</v>
      </c>
      <c r="T11" s="534">
        <f>'6TotalEnr'!T11-'6bTotalDistanceEnr'!T11</f>
        <v>36704</v>
      </c>
      <c r="U11" s="534">
        <f>'6TotalEnr'!U11-'6bTotalDistanceEnr'!U11</f>
        <v>269</v>
      </c>
      <c r="V11" s="534">
        <f>'6TotalEnr'!V11-'6bTotalDistanceEnr'!V11</f>
        <v>424</v>
      </c>
      <c r="W11" s="534">
        <f>'6TotalEnr'!W11-'6bTotalDistanceEnr'!W11</f>
        <v>693</v>
      </c>
      <c r="X11" s="534">
        <f>'6TotalEnr'!X11-'6bTotalDistanceEnr'!X11</f>
        <v>1542</v>
      </c>
      <c r="Y11" s="534">
        <f>'6TotalEnr'!Y11-'6bTotalDistanceEnr'!Y11</f>
        <v>1540</v>
      </c>
      <c r="Z11" s="534">
        <f>'6TotalEnr'!Z11-'6bTotalDistanceEnr'!Z11</f>
        <v>3082</v>
      </c>
      <c r="AA11" s="534">
        <f>'6TotalEnr'!AA11-'6bTotalDistanceEnr'!AA11</f>
        <v>257858</v>
      </c>
      <c r="AB11" s="534">
        <f>'6TotalEnr'!AB11-'6bTotalDistanceEnr'!AB11</f>
        <v>313767</v>
      </c>
      <c r="AC11" s="534">
        <f>'6TotalEnr'!AC11-'6bTotalDistanceEnr'!AC11</f>
        <v>571625</v>
      </c>
      <c r="AD11" s="759">
        <v>81780</v>
      </c>
      <c r="AE11" s="761">
        <v>1.683895122448908</v>
      </c>
    </row>
    <row r="12" spans="1:31" s="87" customFormat="1" ht="20.25" customHeight="1">
      <c r="A12" s="532">
        <v>8</v>
      </c>
      <c r="B12" s="535" t="s">
        <v>23</v>
      </c>
      <c r="C12" s="534">
        <f>'6TotalEnr'!C12-'6bTotalDistanceEnr'!C12</f>
        <v>8112</v>
      </c>
      <c r="D12" s="534">
        <f>'6TotalEnr'!D12-'6bTotalDistanceEnr'!D12</f>
        <v>7332</v>
      </c>
      <c r="E12" s="534">
        <f>'6TotalEnr'!E12-'6bTotalDistanceEnr'!E12</f>
        <v>15444</v>
      </c>
      <c r="F12" s="534">
        <f>'6TotalEnr'!F12-'6bTotalDistanceEnr'!F12</f>
        <v>772</v>
      </c>
      <c r="G12" s="534">
        <f>'6TotalEnr'!G12-'6bTotalDistanceEnr'!G12</f>
        <v>764</v>
      </c>
      <c r="H12" s="534">
        <f>'6TotalEnr'!H12-'6bTotalDistanceEnr'!H12</f>
        <v>1536</v>
      </c>
      <c r="I12" s="534">
        <f>'6TotalEnr'!I12-'6bTotalDistanceEnr'!I12</f>
        <v>20904</v>
      </c>
      <c r="J12" s="534">
        <f>'6TotalEnr'!J12-'6bTotalDistanceEnr'!J12</f>
        <v>21417</v>
      </c>
      <c r="K12" s="534">
        <f>'6TotalEnr'!K12-'6bTotalDistanceEnr'!K12</f>
        <v>42321</v>
      </c>
      <c r="L12" s="534">
        <f>'6TotalEnr'!L12-'6bTotalDistanceEnr'!L12</f>
        <v>167197</v>
      </c>
      <c r="M12" s="534">
        <f>'6TotalEnr'!M12-'6bTotalDistanceEnr'!M12</f>
        <v>185508</v>
      </c>
      <c r="N12" s="534">
        <f>'6TotalEnr'!N12-'6bTotalDistanceEnr'!N12</f>
        <v>352705</v>
      </c>
      <c r="O12" s="534">
        <f>'6TotalEnr'!O12-'6bTotalDistanceEnr'!O12</f>
        <v>4076</v>
      </c>
      <c r="P12" s="534">
        <f>'6TotalEnr'!P12-'6bTotalDistanceEnr'!P12</f>
        <v>2979</v>
      </c>
      <c r="Q12" s="534">
        <f>'6TotalEnr'!Q12-'6bTotalDistanceEnr'!Q12</f>
        <v>7055</v>
      </c>
      <c r="R12" s="534">
        <f>'6TotalEnr'!R12-'6bTotalDistanceEnr'!R12</f>
        <v>15220</v>
      </c>
      <c r="S12" s="534">
        <f>'6TotalEnr'!S12-'6bTotalDistanceEnr'!S12</f>
        <v>12709</v>
      </c>
      <c r="T12" s="534">
        <f>'6TotalEnr'!T12-'6bTotalDistanceEnr'!T12</f>
        <v>27929</v>
      </c>
      <c r="U12" s="534">
        <f>'6TotalEnr'!U12-'6bTotalDistanceEnr'!U12</f>
        <v>1415</v>
      </c>
      <c r="V12" s="534">
        <f>'6TotalEnr'!V12-'6bTotalDistanceEnr'!V12</f>
        <v>1143</v>
      </c>
      <c r="W12" s="534">
        <f>'6TotalEnr'!W12-'6bTotalDistanceEnr'!W12</f>
        <v>2558</v>
      </c>
      <c r="X12" s="534">
        <f>'6TotalEnr'!X12-'6bTotalDistanceEnr'!X12</f>
        <v>3735</v>
      </c>
      <c r="Y12" s="534">
        <f>'6TotalEnr'!Y12-'6bTotalDistanceEnr'!Y12</f>
        <v>2228</v>
      </c>
      <c r="Z12" s="534">
        <f>'6TotalEnr'!Z12-'6bTotalDistanceEnr'!Z12</f>
        <v>5963</v>
      </c>
      <c r="AA12" s="534">
        <f>'6TotalEnr'!AA12-'6bTotalDistanceEnr'!AA12</f>
        <v>221431</v>
      </c>
      <c r="AB12" s="534">
        <f>'6TotalEnr'!AB12-'6bTotalDistanceEnr'!AB12</f>
        <v>234080</v>
      </c>
      <c r="AC12" s="534">
        <f>'6TotalEnr'!AC12-'6bTotalDistanceEnr'!AC12</f>
        <v>455511</v>
      </c>
      <c r="AD12" s="759">
        <v>650527</v>
      </c>
      <c r="AE12" s="761">
        <v>13.394708270008815</v>
      </c>
    </row>
    <row r="13" spans="1:31" s="87" customFormat="1" ht="20.25" customHeight="1">
      <c r="A13" s="532">
        <v>9</v>
      </c>
      <c r="B13" s="535" t="s">
        <v>24</v>
      </c>
      <c r="C13" s="534">
        <f>'6TotalEnr'!C13-'6bTotalDistanceEnr'!C13</f>
        <v>276</v>
      </c>
      <c r="D13" s="534">
        <f>'6TotalEnr'!D13-'6bTotalDistanceEnr'!D13</f>
        <v>340</v>
      </c>
      <c r="E13" s="534">
        <f>'6TotalEnr'!E13-'6bTotalDistanceEnr'!E13</f>
        <v>616</v>
      </c>
      <c r="F13" s="534">
        <f>'6TotalEnr'!F13-'6bTotalDistanceEnr'!F13</f>
        <v>6</v>
      </c>
      <c r="G13" s="534">
        <f>'6TotalEnr'!G13-'6bTotalDistanceEnr'!G13</f>
        <v>2</v>
      </c>
      <c r="H13" s="534">
        <f>'6TotalEnr'!H13-'6bTotalDistanceEnr'!H13</f>
        <v>8</v>
      </c>
      <c r="I13" s="534">
        <f>'6TotalEnr'!I13-'6bTotalDistanceEnr'!I13</f>
        <v>2169</v>
      </c>
      <c r="J13" s="534">
        <f>'6TotalEnr'!J13-'6bTotalDistanceEnr'!J13</f>
        <v>3376</v>
      </c>
      <c r="K13" s="534">
        <f>'6TotalEnr'!K13-'6bTotalDistanceEnr'!K13</f>
        <v>5545</v>
      </c>
      <c r="L13" s="534">
        <f>'6TotalEnr'!L13-'6bTotalDistanceEnr'!L13</f>
        <v>17717</v>
      </c>
      <c r="M13" s="534">
        <f>'6TotalEnr'!M13-'6bTotalDistanceEnr'!M13</f>
        <v>21797</v>
      </c>
      <c r="N13" s="534">
        <f>'6TotalEnr'!N13-'6bTotalDistanceEnr'!N13</f>
        <v>39514</v>
      </c>
      <c r="O13" s="534">
        <f>'6TotalEnr'!O13-'6bTotalDistanceEnr'!O13</f>
        <v>24</v>
      </c>
      <c r="P13" s="534">
        <f>'6TotalEnr'!P13-'6bTotalDistanceEnr'!P13</f>
        <v>71</v>
      </c>
      <c r="Q13" s="534">
        <f>'6TotalEnr'!Q13-'6bTotalDistanceEnr'!Q13</f>
        <v>95</v>
      </c>
      <c r="R13" s="534">
        <f>'6TotalEnr'!R13-'6bTotalDistanceEnr'!R13</f>
        <v>4656</v>
      </c>
      <c r="S13" s="534">
        <f>'6TotalEnr'!S13-'6bTotalDistanceEnr'!S13</f>
        <v>1534</v>
      </c>
      <c r="T13" s="534">
        <f>'6TotalEnr'!T13-'6bTotalDistanceEnr'!T13</f>
        <v>6190</v>
      </c>
      <c r="U13" s="534">
        <f>'6TotalEnr'!U13-'6bTotalDistanceEnr'!U13</f>
        <v>17</v>
      </c>
      <c r="V13" s="534">
        <f>'6TotalEnr'!V13-'6bTotalDistanceEnr'!V13</f>
        <v>14</v>
      </c>
      <c r="W13" s="534">
        <f>'6TotalEnr'!W13-'6bTotalDistanceEnr'!W13</f>
        <v>31</v>
      </c>
      <c r="X13" s="534">
        <f>'6TotalEnr'!X13-'6bTotalDistanceEnr'!X13</f>
        <v>422</v>
      </c>
      <c r="Y13" s="534">
        <f>'6TotalEnr'!Y13-'6bTotalDistanceEnr'!Y13</f>
        <v>923</v>
      </c>
      <c r="Z13" s="534">
        <f>'6TotalEnr'!Z13-'6bTotalDistanceEnr'!Z13</f>
        <v>1345</v>
      </c>
      <c r="AA13" s="534">
        <f>'6TotalEnr'!AA13-'6bTotalDistanceEnr'!AA13</f>
        <v>25287</v>
      </c>
      <c r="AB13" s="534">
        <f>'6TotalEnr'!AB13-'6bTotalDistanceEnr'!AB13</f>
        <v>28057</v>
      </c>
      <c r="AC13" s="534">
        <f>'6TotalEnr'!AC13-'6bTotalDistanceEnr'!AC13</f>
        <v>53344</v>
      </c>
      <c r="AD13" s="759">
        <v>6941</v>
      </c>
      <c r="AE13" s="761">
        <v>0.14291900275027966</v>
      </c>
    </row>
    <row r="14" spans="1:31" s="87" customFormat="1" ht="20.25" customHeight="1">
      <c r="A14" s="532">
        <v>10</v>
      </c>
      <c r="B14" s="535" t="s">
        <v>25</v>
      </c>
      <c r="C14" s="534">
        <f>'6TotalEnr'!C14-'6bTotalDistanceEnr'!C14</f>
        <v>4819</v>
      </c>
      <c r="D14" s="534">
        <f>'6TotalEnr'!D14-'6bTotalDistanceEnr'!D14</f>
        <v>3202</v>
      </c>
      <c r="E14" s="534">
        <f>'6TotalEnr'!E14-'6bTotalDistanceEnr'!E14</f>
        <v>8021</v>
      </c>
      <c r="F14" s="534">
        <f>'6TotalEnr'!F14-'6bTotalDistanceEnr'!F14</f>
        <v>135</v>
      </c>
      <c r="G14" s="534">
        <f>'6TotalEnr'!G14-'6bTotalDistanceEnr'!G14</f>
        <v>177</v>
      </c>
      <c r="H14" s="534">
        <f>'6TotalEnr'!H14-'6bTotalDistanceEnr'!H14</f>
        <v>312</v>
      </c>
      <c r="I14" s="534">
        <f>'6TotalEnr'!I14-'6bTotalDistanceEnr'!I14</f>
        <v>79326</v>
      </c>
      <c r="J14" s="534">
        <f>'6TotalEnr'!J14-'6bTotalDistanceEnr'!J14</f>
        <v>91062</v>
      </c>
      <c r="K14" s="534">
        <f>'6TotalEnr'!K14-'6bTotalDistanceEnr'!K14</f>
        <v>170388</v>
      </c>
      <c r="L14" s="534">
        <f>'6TotalEnr'!L14-'6bTotalDistanceEnr'!L14</f>
        <v>675468</v>
      </c>
      <c r="M14" s="534">
        <f>'6TotalEnr'!M14-'6bTotalDistanceEnr'!M14</f>
        <v>523944</v>
      </c>
      <c r="N14" s="534">
        <f>'6TotalEnr'!N14-'6bTotalDistanceEnr'!N14</f>
        <v>1199412</v>
      </c>
      <c r="O14" s="534">
        <f>'6TotalEnr'!O14-'6bTotalDistanceEnr'!O14</f>
        <v>2645</v>
      </c>
      <c r="P14" s="534">
        <f>'6TotalEnr'!P14-'6bTotalDistanceEnr'!P14</f>
        <v>2541</v>
      </c>
      <c r="Q14" s="534">
        <f>'6TotalEnr'!Q14-'6bTotalDistanceEnr'!Q14</f>
        <v>5186</v>
      </c>
      <c r="R14" s="534">
        <f>'6TotalEnr'!R14-'6bTotalDistanceEnr'!R14</f>
        <v>100057</v>
      </c>
      <c r="S14" s="534">
        <f>'6TotalEnr'!S14-'6bTotalDistanceEnr'!S14</f>
        <v>49305</v>
      </c>
      <c r="T14" s="534">
        <f>'6TotalEnr'!T14-'6bTotalDistanceEnr'!T14</f>
        <v>149362</v>
      </c>
      <c r="U14" s="534">
        <f>'6TotalEnr'!U14-'6bTotalDistanceEnr'!U14</f>
        <v>13273</v>
      </c>
      <c r="V14" s="534">
        <f>'6TotalEnr'!V14-'6bTotalDistanceEnr'!V14</f>
        <v>2943</v>
      </c>
      <c r="W14" s="534">
        <f>'6TotalEnr'!W14-'6bTotalDistanceEnr'!W14</f>
        <v>16216</v>
      </c>
      <c r="X14" s="534">
        <f>'6TotalEnr'!X14-'6bTotalDistanceEnr'!X14</f>
        <v>9405</v>
      </c>
      <c r="Y14" s="534">
        <f>'6TotalEnr'!Y14-'6bTotalDistanceEnr'!Y14</f>
        <v>7575</v>
      </c>
      <c r="Z14" s="534">
        <f>'6TotalEnr'!Z14-'6bTotalDistanceEnr'!Z14</f>
        <v>16980</v>
      </c>
      <c r="AA14" s="534">
        <f>'6TotalEnr'!AA14-'6bTotalDistanceEnr'!AA14</f>
        <v>885128</v>
      </c>
      <c r="AB14" s="534">
        <f>'6TotalEnr'!AB14-'6bTotalDistanceEnr'!AB14</f>
        <v>680749</v>
      </c>
      <c r="AC14" s="534">
        <f>'6TotalEnr'!AC14-'6bTotalDistanceEnr'!AC14</f>
        <v>1565877</v>
      </c>
      <c r="AD14" s="759">
        <v>156620</v>
      </c>
      <c r="AE14" s="761">
        <v>3.2248918326968452</v>
      </c>
    </row>
    <row r="15" spans="1:31" s="87" customFormat="1" ht="20.25" customHeight="1">
      <c r="A15" s="532">
        <v>11</v>
      </c>
      <c r="B15" s="535" t="s">
        <v>26</v>
      </c>
      <c r="C15" s="534">
        <f>'6TotalEnr'!C15-'6bTotalDistanceEnr'!C15</f>
        <v>2046</v>
      </c>
      <c r="D15" s="534">
        <f>'6TotalEnr'!D15-'6bTotalDistanceEnr'!D15</f>
        <v>2502</v>
      </c>
      <c r="E15" s="534">
        <f>'6TotalEnr'!E15-'6bTotalDistanceEnr'!E15</f>
        <v>4548</v>
      </c>
      <c r="F15" s="534">
        <f>'6TotalEnr'!F15-'6bTotalDistanceEnr'!F15</f>
        <v>104</v>
      </c>
      <c r="G15" s="534">
        <f>'6TotalEnr'!G15-'6bTotalDistanceEnr'!G15</f>
        <v>142</v>
      </c>
      <c r="H15" s="534">
        <f>'6TotalEnr'!H15-'6bTotalDistanceEnr'!H15</f>
        <v>246</v>
      </c>
      <c r="I15" s="534">
        <f>'6TotalEnr'!I15-'6bTotalDistanceEnr'!I15</f>
        <v>31622</v>
      </c>
      <c r="J15" s="534">
        <f>'6TotalEnr'!J15-'6bTotalDistanceEnr'!J15</f>
        <v>57938</v>
      </c>
      <c r="K15" s="534">
        <f>'6TotalEnr'!K15-'6bTotalDistanceEnr'!K15</f>
        <v>89560</v>
      </c>
      <c r="L15" s="534">
        <f>'6TotalEnr'!L15-'6bTotalDistanceEnr'!L15</f>
        <v>305577</v>
      </c>
      <c r="M15" s="534">
        <f>'6TotalEnr'!M15-'6bTotalDistanceEnr'!M15</f>
        <v>349690</v>
      </c>
      <c r="N15" s="534">
        <f>'6TotalEnr'!N15-'6bTotalDistanceEnr'!N15</f>
        <v>655267</v>
      </c>
      <c r="O15" s="534">
        <f>'6TotalEnr'!O15-'6bTotalDistanceEnr'!O15</f>
        <v>1089</v>
      </c>
      <c r="P15" s="534">
        <f>'6TotalEnr'!P15-'6bTotalDistanceEnr'!P15</f>
        <v>1109</v>
      </c>
      <c r="Q15" s="534">
        <f>'6TotalEnr'!Q15-'6bTotalDistanceEnr'!Q15</f>
        <v>2198</v>
      </c>
      <c r="R15" s="534">
        <f>'6TotalEnr'!R15-'6bTotalDistanceEnr'!R15</f>
        <v>59805</v>
      </c>
      <c r="S15" s="534">
        <f>'6TotalEnr'!S15-'6bTotalDistanceEnr'!S15</f>
        <v>26628</v>
      </c>
      <c r="T15" s="534">
        <f>'6TotalEnr'!T15-'6bTotalDistanceEnr'!T15</f>
        <v>86433</v>
      </c>
      <c r="U15" s="534">
        <f>'6TotalEnr'!U15-'6bTotalDistanceEnr'!U15</f>
        <v>659</v>
      </c>
      <c r="V15" s="534">
        <f>'6TotalEnr'!V15-'6bTotalDistanceEnr'!V15</f>
        <v>984</v>
      </c>
      <c r="W15" s="534">
        <f>'6TotalEnr'!W15-'6bTotalDistanceEnr'!W15</f>
        <v>1643</v>
      </c>
      <c r="X15" s="534">
        <f>'6TotalEnr'!X15-'6bTotalDistanceEnr'!X15</f>
        <v>9775</v>
      </c>
      <c r="Y15" s="534">
        <f>'6TotalEnr'!Y15-'6bTotalDistanceEnr'!Y15</f>
        <v>7662</v>
      </c>
      <c r="Z15" s="534">
        <f>'6TotalEnr'!Z15-'6bTotalDistanceEnr'!Z15</f>
        <v>17437</v>
      </c>
      <c r="AA15" s="534">
        <f>'6TotalEnr'!AA15-'6bTotalDistanceEnr'!AA15</f>
        <v>410677</v>
      </c>
      <c r="AB15" s="534">
        <f>'6TotalEnr'!AB15-'6bTotalDistanceEnr'!AB15</f>
        <v>446655</v>
      </c>
      <c r="AC15" s="534">
        <f>'6TotalEnr'!AC15-'6bTotalDistanceEnr'!AC15</f>
        <v>857332</v>
      </c>
      <c r="AD15" s="759">
        <v>171827</v>
      </c>
      <c r="AE15" s="761">
        <v>3.5380123160311632</v>
      </c>
    </row>
    <row r="16" spans="1:31" s="87" customFormat="1" ht="20.25" customHeight="1">
      <c r="A16" s="532">
        <v>12</v>
      </c>
      <c r="B16" s="535" t="s">
        <v>27</v>
      </c>
      <c r="C16" s="534">
        <f>'6TotalEnr'!C16-'6bTotalDistanceEnr'!C16</f>
        <v>1100</v>
      </c>
      <c r="D16" s="534">
        <f>'6TotalEnr'!D16-'6bTotalDistanceEnr'!D16</f>
        <v>1012</v>
      </c>
      <c r="E16" s="534">
        <f>'6TotalEnr'!E16-'6bTotalDistanceEnr'!E16</f>
        <v>2112</v>
      </c>
      <c r="F16" s="534">
        <f>'6TotalEnr'!F16-'6bTotalDistanceEnr'!F16</f>
        <v>136</v>
      </c>
      <c r="G16" s="534">
        <f>'6TotalEnr'!G16-'6bTotalDistanceEnr'!G16</f>
        <v>134</v>
      </c>
      <c r="H16" s="534">
        <f>'6TotalEnr'!H16-'6bTotalDistanceEnr'!H16</f>
        <v>270</v>
      </c>
      <c r="I16" s="534">
        <f>'6TotalEnr'!I16-'6bTotalDistanceEnr'!I16</f>
        <v>8255</v>
      </c>
      <c r="J16" s="534">
        <f>'6TotalEnr'!J16-'6bTotalDistanceEnr'!J16</f>
        <v>11665</v>
      </c>
      <c r="K16" s="534">
        <f>'6TotalEnr'!K16-'6bTotalDistanceEnr'!K16</f>
        <v>19920</v>
      </c>
      <c r="L16" s="534">
        <f>'6TotalEnr'!L16-'6bTotalDistanceEnr'!L16</f>
        <v>86266</v>
      </c>
      <c r="M16" s="534">
        <f>'6TotalEnr'!M16-'6bTotalDistanceEnr'!M16</f>
        <v>110790</v>
      </c>
      <c r="N16" s="534">
        <f>'6TotalEnr'!N16-'6bTotalDistanceEnr'!N16</f>
        <v>197056</v>
      </c>
      <c r="O16" s="534">
        <f>'6TotalEnr'!O16-'6bTotalDistanceEnr'!O16</f>
        <v>364</v>
      </c>
      <c r="P16" s="534">
        <f>'6TotalEnr'!P16-'6bTotalDistanceEnr'!P16</f>
        <v>572</v>
      </c>
      <c r="Q16" s="534">
        <f>'6TotalEnr'!Q16-'6bTotalDistanceEnr'!Q16</f>
        <v>936</v>
      </c>
      <c r="R16" s="534">
        <f>'6TotalEnr'!R16-'6bTotalDistanceEnr'!R16</f>
        <v>8096</v>
      </c>
      <c r="S16" s="534">
        <f>'6TotalEnr'!S16-'6bTotalDistanceEnr'!S16</f>
        <v>7505</v>
      </c>
      <c r="T16" s="534">
        <f>'6TotalEnr'!T16-'6bTotalDistanceEnr'!T16</f>
        <v>15601</v>
      </c>
      <c r="U16" s="534">
        <f>'6TotalEnr'!U16-'6bTotalDistanceEnr'!U16</f>
        <v>324</v>
      </c>
      <c r="V16" s="534">
        <f>'6TotalEnr'!V16-'6bTotalDistanceEnr'!V16</f>
        <v>236</v>
      </c>
      <c r="W16" s="534">
        <f>'6TotalEnr'!W16-'6bTotalDistanceEnr'!W16</f>
        <v>560</v>
      </c>
      <c r="X16" s="534">
        <f>'6TotalEnr'!X16-'6bTotalDistanceEnr'!X16</f>
        <v>1504</v>
      </c>
      <c r="Y16" s="534">
        <f>'6TotalEnr'!Y16-'6bTotalDistanceEnr'!Y16</f>
        <v>965</v>
      </c>
      <c r="Z16" s="534">
        <f>'6TotalEnr'!Z16-'6bTotalDistanceEnr'!Z16</f>
        <v>2469</v>
      </c>
      <c r="AA16" s="534">
        <f>'6TotalEnr'!AA16-'6bTotalDistanceEnr'!AA16</f>
        <v>106045</v>
      </c>
      <c r="AB16" s="534">
        <f>'6TotalEnr'!AB16-'6bTotalDistanceEnr'!AB16</f>
        <v>132879</v>
      </c>
      <c r="AC16" s="534">
        <f>'6TotalEnr'!AC16-'6bTotalDistanceEnr'!AC16</f>
        <v>238924</v>
      </c>
      <c r="AD16" s="759">
        <v>50661</v>
      </c>
      <c r="AE16" s="761">
        <v>1.0431378185177811</v>
      </c>
    </row>
    <row r="17" spans="1:31" s="87" customFormat="1" ht="20.25" customHeight="1">
      <c r="A17" s="532">
        <v>13</v>
      </c>
      <c r="B17" s="535" t="s">
        <v>57</v>
      </c>
      <c r="C17" s="534">
        <f>'6TotalEnr'!C17-'6bTotalDistanceEnr'!C17</f>
        <v>2412</v>
      </c>
      <c r="D17" s="534">
        <f>'6TotalEnr'!D17-'6bTotalDistanceEnr'!D17</f>
        <v>2033</v>
      </c>
      <c r="E17" s="534">
        <f>'6TotalEnr'!E17-'6bTotalDistanceEnr'!E17</f>
        <v>4445</v>
      </c>
      <c r="F17" s="534">
        <f>'6TotalEnr'!F17-'6bTotalDistanceEnr'!F17</f>
        <v>117</v>
      </c>
      <c r="G17" s="534">
        <f>'6TotalEnr'!G17-'6bTotalDistanceEnr'!G17</f>
        <v>180</v>
      </c>
      <c r="H17" s="534">
        <f>'6TotalEnr'!H17-'6bTotalDistanceEnr'!H17</f>
        <v>297</v>
      </c>
      <c r="I17" s="534">
        <f>'6TotalEnr'!I17-'6bTotalDistanceEnr'!I17</f>
        <v>9240</v>
      </c>
      <c r="J17" s="534">
        <f>'6TotalEnr'!J17-'6bTotalDistanceEnr'!J17</f>
        <v>11038</v>
      </c>
      <c r="K17" s="534">
        <f>'6TotalEnr'!K17-'6bTotalDistanceEnr'!K17</f>
        <v>20278</v>
      </c>
      <c r="L17" s="534">
        <f>'6TotalEnr'!L17-'6bTotalDistanceEnr'!L17</f>
        <v>109709</v>
      </c>
      <c r="M17" s="534">
        <f>'6TotalEnr'!M17-'6bTotalDistanceEnr'!M17</f>
        <v>121257</v>
      </c>
      <c r="N17" s="534">
        <f>'6TotalEnr'!N17-'6bTotalDistanceEnr'!N17</f>
        <v>230966</v>
      </c>
      <c r="O17" s="534">
        <f>'6TotalEnr'!O17-'6bTotalDistanceEnr'!O17</f>
        <v>159</v>
      </c>
      <c r="P17" s="534">
        <f>'6TotalEnr'!P17-'6bTotalDistanceEnr'!P17</f>
        <v>98</v>
      </c>
      <c r="Q17" s="534">
        <f>'6TotalEnr'!Q17-'6bTotalDistanceEnr'!Q17</f>
        <v>257</v>
      </c>
      <c r="R17" s="534">
        <f>'6TotalEnr'!R17-'6bTotalDistanceEnr'!R17</f>
        <v>12399</v>
      </c>
      <c r="S17" s="534">
        <f>'6TotalEnr'!S17-'6bTotalDistanceEnr'!S17</f>
        <v>11890</v>
      </c>
      <c r="T17" s="534">
        <f>'6TotalEnr'!T17-'6bTotalDistanceEnr'!T17</f>
        <v>24289</v>
      </c>
      <c r="U17" s="534">
        <f>'6TotalEnr'!U17-'6bTotalDistanceEnr'!U17</f>
        <v>805</v>
      </c>
      <c r="V17" s="534">
        <f>'6TotalEnr'!V17-'6bTotalDistanceEnr'!V17</f>
        <v>746</v>
      </c>
      <c r="W17" s="534">
        <f>'6TotalEnr'!W17-'6bTotalDistanceEnr'!W17</f>
        <v>1551</v>
      </c>
      <c r="X17" s="534">
        <f>'6TotalEnr'!X17-'6bTotalDistanceEnr'!X17</f>
        <v>4509</v>
      </c>
      <c r="Y17" s="534">
        <f>'6TotalEnr'!Y17-'6bTotalDistanceEnr'!Y17</f>
        <v>5401</v>
      </c>
      <c r="Z17" s="534">
        <f>'6TotalEnr'!Z17-'6bTotalDistanceEnr'!Z17</f>
        <v>9910</v>
      </c>
      <c r="AA17" s="534">
        <f>'6TotalEnr'!AA17-'6bTotalDistanceEnr'!AA17</f>
        <v>139350</v>
      </c>
      <c r="AB17" s="534">
        <f>'6TotalEnr'!AB17-'6bTotalDistanceEnr'!AB17</f>
        <v>152643</v>
      </c>
      <c r="AC17" s="534">
        <f>'6TotalEnr'!AC17-'6bTotalDistanceEnr'!AC17</f>
        <v>291993</v>
      </c>
      <c r="AD17" s="759">
        <v>106862</v>
      </c>
      <c r="AE17" s="761">
        <v>2.2003472802046371</v>
      </c>
    </row>
    <row r="18" spans="1:31" s="87" customFormat="1" ht="20.25" customHeight="1">
      <c r="A18" s="532">
        <v>14</v>
      </c>
      <c r="B18" s="535" t="s">
        <v>29</v>
      </c>
      <c r="C18" s="534">
        <f>'6TotalEnr'!C18-'6bTotalDistanceEnr'!C18</f>
        <v>1738</v>
      </c>
      <c r="D18" s="534">
        <f>'6TotalEnr'!D18-'6bTotalDistanceEnr'!D18</f>
        <v>919</v>
      </c>
      <c r="E18" s="534">
        <f>'6TotalEnr'!E18-'6bTotalDistanceEnr'!E18</f>
        <v>2657</v>
      </c>
      <c r="F18" s="534">
        <f>'6TotalEnr'!F18-'6bTotalDistanceEnr'!F18</f>
        <v>18</v>
      </c>
      <c r="G18" s="534">
        <f>'6TotalEnr'!G18-'6bTotalDistanceEnr'!G18</f>
        <v>63</v>
      </c>
      <c r="H18" s="534">
        <f>'6TotalEnr'!H18-'6bTotalDistanceEnr'!H18</f>
        <v>81</v>
      </c>
      <c r="I18" s="534">
        <f>'6TotalEnr'!I18-'6bTotalDistanceEnr'!I18</f>
        <v>31936</v>
      </c>
      <c r="J18" s="534">
        <f>'6TotalEnr'!J18-'6bTotalDistanceEnr'!J18</f>
        <v>48853</v>
      </c>
      <c r="K18" s="534">
        <f>'6TotalEnr'!K18-'6bTotalDistanceEnr'!K18</f>
        <v>80789</v>
      </c>
      <c r="L18" s="534">
        <f>'6TotalEnr'!L18-'6bTotalDistanceEnr'!L18</f>
        <v>286992</v>
      </c>
      <c r="M18" s="534">
        <f>'6TotalEnr'!M18-'6bTotalDistanceEnr'!M18</f>
        <v>299084</v>
      </c>
      <c r="N18" s="534">
        <f>'6TotalEnr'!N18-'6bTotalDistanceEnr'!N18</f>
        <v>586076</v>
      </c>
      <c r="O18" s="534">
        <f>'6TotalEnr'!O18-'6bTotalDistanceEnr'!O18</f>
        <v>885</v>
      </c>
      <c r="P18" s="534">
        <f>'6TotalEnr'!P18-'6bTotalDistanceEnr'!P18</f>
        <v>519</v>
      </c>
      <c r="Q18" s="534">
        <f>'6TotalEnr'!Q18-'6bTotalDistanceEnr'!Q18</f>
        <v>1404</v>
      </c>
      <c r="R18" s="534">
        <f>'6TotalEnr'!R18-'6bTotalDistanceEnr'!R18</f>
        <v>27901</v>
      </c>
      <c r="S18" s="534">
        <f>'6TotalEnr'!S18-'6bTotalDistanceEnr'!S18</f>
        <v>14312</v>
      </c>
      <c r="T18" s="534">
        <f>'6TotalEnr'!T18-'6bTotalDistanceEnr'!T18</f>
        <v>42213</v>
      </c>
      <c r="U18" s="534">
        <f>'6TotalEnr'!U18-'6bTotalDistanceEnr'!U18</f>
        <v>1160</v>
      </c>
      <c r="V18" s="534">
        <f>'6TotalEnr'!V18-'6bTotalDistanceEnr'!V18</f>
        <v>800</v>
      </c>
      <c r="W18" s="534">
        <f>'6TotalEnr'!W18-'6bTotalDistanceEnr'!W18</f>
        <v>1960</v>
      </c>
      <c r="X18" s="534">
        <f>'6TotalEnr'!X18-'6bTotalDistanceEnr'!X18</f>
        <v>1815</v>
      </c>
      <c r="Y18" s="534">
        <f>'6TotalEnr'!Y18-'6bTotalDistanceEnr'!Y18</f>
        <v>1030</v>
      </c>
      <c r="Z18" s="534">
        <f>'6TotalEnr'!Z18-'6bTotalDistanceEnr'!Z18</f>
        <v>2845</v>
      </c>
      <c r="AA18" s="534">
        <f>'6TotalEnr'!AA18-'6bTotalDistanceEnr'!AA18</f>
        <v>352445</v>
      </c>
      <c r="AB18" s="534">
        <f>'6TotalEnr'!AB18-'6bTotalDistanceEnr'!AB18</f>
        <v>365580</v>
      </c>
      <c r="AC18" s="534">
        <f>'6TotalEnr'!AC18-'6bTotalDistanceEnr'!AC18</f>
        <v>718025</v>
      </c>
      <c r="AD18" s="759">
        <v>68665</v>
      </c>
      <c r="AE18" s="761">
        <v>1.4138500682679662</v>
      </c>
    </row>
    <row r="19" spans="1:31" s="87" customFormat="1" ht="20.25" customHeight="1">
      <c r="A19" s="532">
        <v>15</v>
      </c>
      <c r="B19" s="535" t="s">
        <v>30</v>
      </c>
      <c r="C19" s="534">
        <f>'6TotalEnr'!C19-'6bTotalDistanceEnr'!C19</f>
        <v>5752</v>
      </c>
      <c r="D19" s="534">
        <f>'6TotalEnr'!D19-'6bTotalDistanceEnr'!D19</f>
        <v>5276</v>
      </c>
      <c r="E19" s="534">
        <f>'6TotalEnr'!E19-'6bTotalDistanceEnr'!E19</f>
        <v>11028</v>
      </c>
      <c r="F19" s="534">
        <f>'6TotalEnr'!F19-'6bTotalDistanceEnr'!F19</f>
        <v>60</v>
      </c>
      <c r="G19" s="534">
        <f>'6TotalEnr'!G19-'6bTotalDistanceEnr'!G19</f>
        <v>189</v>
      </c>
      <c r="H19" s="534">
        <f>'6TotalEnr'!H19-'6bTotalDistanceEnr'!H19</f>
        <v>249</v>
      </c>
      <c r="I19" s="534">
        <f>'6TotalEnr'!I19-'6bTotalDistanceEnr'!I19</f>
        <v>96240</v>
      </c>
      <c r="J19" s="534">
        <f>'6TotalEnr'!J19-'6bTotalDistanceEnr'!J19</f>
        <v>125432</v>
      </c>
      <c r="K19" s="534">
        <f>'6TotalEnr'!K19-'6bTotalDistanceEnr'!K19</f>
        <v>221672</v>
      </c>
      <c r="L19" s="534">
        <f>'6TotalEnr'!L19-'6bTotalDistanceEnr'!L19</f>
        <v>909437</v>
      </c>
      <c r="M19" s="534">
        <f>'6TotalEnr'!M19-'6bTotalDistanceEnr'!M19</f>
        <v>902573</v>
      </c>
      <c r="N19" s="534">
        <f>'6TotalEnr'!N19-'6bTotalDistanceEnr'!N19</f>
        <v>1812010</v>
      </c>
      <c r="O19" s="534">
        <f>'6TotalEnr'!O19-'6bTotalDistanceEnr'!O19</f>
        <v>2852</v>
      </c>
      <c r="P19" s="534">
        <f>'6TotalEnr'!P19-'6bTotalDistanceEnr'!P19</f>
        <v>2455</v>
      </c>
      <c r="Q19" s="534">
        <f>'6TotalEnr'!Q19-'6bTotalDistanceEnr'!Q19</f>
        <v>5307</v>
      </c>
      <c r="R19" s="534">
        <f>'6TotalEnr'!R19-'6bTotalDistanceEnr'!R19</f>
        <v>137320</v>
      </c>
      <c r="S19" s="534">
        <f>'6TotalEnr'!S19-'6bTotalDistanceEnr'!S19</f>
        <v>113894</v>
      </c>
      <c r="T19" s="534">
        <f>'6TotalEnr'!T19-'6bTotalDistanceEnr'!T19</f>
        <v>251214</v>
      </c>
      <c r="U19" s="534">
        <f>'6TotalEnr'!U19-'6bTotalDistanceEnr'!U19</f>
        <v>2362</v>
      </c>
      <c r="V19" s="534">
        <f>'6TotalEnr'!V19-'6bTotalDistanceEnr'!V19</f>
        <v>2132</v>
      </c>
      <c r="W19" s="534">
        <f>'6TotalEnr'!W19-'6bTotalDistanceEnr'!W19</f>
        <v>4494</v>
      </c>
      <c r="X19" s="534">
        <f>'6TotalEnr'!X19-'6bTotalDistanceEnr'!X19</f>
        <v>7274</v>
      </c>
      <c r="Y19" s="534">
        <f>'6TotalEnr'!Y19-'6bTotalDistanceEnr'!Y19</f>
        <v>6681</v>
      </c>
      <c r="Z19" s="534">
        <f>'6TotalEnr'!Z19-'6bTotalDistanceEnr'!Z19</f>
        <v>13955</v>
      </c>
      <c r="AA19" s="534">
        <f>'6TotalEnr'!AA19-'6bTotalDistanceEnr'!AA19</f>
        <v>1161297</v>
      </c>
      <c r="AB19" s="534">
        <f>'6TotalEnr'!AB19-'6bTotalDistanceEnr'!AB19</f>
        <v>1158632</v>
      </c>
      <c r="AC19" s="534">
        <f>'6TotalEnr'!AC19-'6bTotalDistanceEnr'!AC19</f>
        <v>2319929</v>
      </c>
      <c r="AD19" s="759">
        <v>120475</v>
      </c>
      <c r="AE19" s="761">
        <v>2.4806464279412106</v>
      </c>
    </row>
    <row r="20" spans="1:31" s="87" customFormat="1" ht="20.25" customHeight="1">
      <c r="A20" s="532">
        <v>16</v>
      </c>
      <c r="B20" s="535" t="s">
        <v>31</v>
      </c>
      <c r="C20" s="534">
        <f>'6TotalEnr'!C20-'6bTotalDistanceEnr'!C20</f>
        <v>3184</v>
      </c>
      <c r="D20" s="534">
        <f>'6TotalEnr'!D20-'6bTotalDistanceEnr'!D20</f>
        <v>5554</v>
      </c>
      <c r="E20" s="534">
        <f>'6TotalEnr'!E20-'6bTotalDistanceEnr'!E20</f>
        <v>8738</v>
      </c>
      <c r="F20" s="534">
        <f>'6TotalEnr'!F20-'6bTotalDistanceEnr'!F20</f>
        <v>207</v>
      </c>
      <c r="G20" s="534">
        <f>'6TotalEnr'!G20-'6bTotalDistanceEnr'!G20</f>
        <v>745</v>
      </c>
      <c r="H20" s="534">
        <f>'6TotalEnr'!H20-'6bTotalDistanceEnr'!H20</f>
        <v>952</v>
      </c>
      <c r="I20" s="534">
        <f>'6TotalEnr'!I20-'6bTotalDistanceEnr'!I20</f>
        <v>25672</v>
      </c>
      <c r="J20" s="534">
        <f>'6TotalEnr'!J20-'6bTotalDistanceEnr'!J20</f>
        <v>80026</v>
      </c>
      <c r="K20" s="534">
        <f>'6TotalEnr'!K20-'6bTotalDistanceEnr'!K20</f>
        <v>105698</v>
      </c>
      <c r="L20" s="534">
        <f>'6TotalEnr'!L20-'6bTotalDistanceEnr'!L20</f>
        <v>328404</v>
      </c>
      <c r="M20" s="534">
        <f>'6TotalEnr'!M20-'6bTotalDistanceEnr'!M20</f>
        <v>464401</v>
      </c>
      <c r="N20" s="534">
        <f>'6TotalEnr'!N20-'6bTotalDistanceEnr'!N20</f>
        <v>792805</v>
      </c>
      <c r="O20" s="534">
        <f>'6TotalEnr'!O20-'6bTotalDistanceEnr'!O20</f>
        <v>571</v>
      </c>
      <c r="P20" s="534">
        <f>'6TotalEnr'!P20-'6bTotalDistanceEnr'!P20</f>
        <v>641</v>
      </c>
      <c r="Q20" s="534">
        <f>'6TotalEnr'!Q20-'6bTotalDistanceEnr'!Q20</f>
        <v>1212</v>
      </c>
      <c r="R20" s="534">
        <f>'6TotalEnr'!R20-'6bTotalDistanceEnr'!R20</f>
        <v>48832</v>
      </c>
      <c r="S20" s="534">
        <f>'6TotalEnr'!S20-'6bTotalDistanceEnr'!S20</f>
        <v>33114</v>
      </c>
      <c r="T20" s="534">
        <f>'6TotalEnr'!T20-'6bTotalDistanceEnr'!T20</f>
        <v>81946</v>
      </c>
      <c r="U20" s="534">
        <f>'6TotalEnr'!U20-'6bTotalDistanceEnr'!U20</f>
        <v>1226</v>
      </c>
      <c r="V20" s="534">
        <f>'6TotalEnr'!V20-'6bTotalDistanceEnr'!V20</f>
        <v>3429</v>
      </c>
      <c r="W20" s="534">
        <f>'6TotalEnr'!W20-'6bTotalDistanceEnr'!W20</f>
        <v>4655</v>
      </c>
      <c r="X20" s="534">
        <f>'6TotalEnr'!X20-'6bTotalDistanceEnr'!X20</f>
        <v>4226</v>
      </c>
      <c r="Y20" s="534">
        <f>'6TotalEnr'!Y20-'6bTotalDistanceEnr'!Y20</f>
        <v>5505</v>
      </c>
      <c r="Z20" s="534">
        <f>'6TotalEnr'!Z20-'6bTotalDistanceEnr'!Z20</f>
        <v>9731</v>
      </c>
      <c r="AA20" s="534">
        <f>'6TotalEnr'!AA20-'6bTotalDistanceEnr'!AA20</f>
        <v>412322</v>
      </c>
      <c r="AB20" s="534">
        <f>'6TotalEnr'!AB20-'6bTotalDistanceEnr'!AB20</f>
        <v>593415</v>
      </c>
      <c r="AC20" s="534">
        <f>'6TotalEnr'!AC20-'6bTotalDistanceEnr'!AC20</f>
        <v>1005737</v>
      </c>
      <c r="AD20" s="759">
        <v>358800</v>
      </c>
      <c r="AE20" s="761">
        <v>7.3878890918888267</v>
      </c>
    </row>
    <row r="21" spans="1:31" s="87" customFormat="1" ht="20.25" customHeight="1">
      <c r="A21" s="532">
        <v>17</v>
      </c>
      <c r="B21" s="535" t="s">
        <v>172</v>
      </c>
      <c r="C21" s="534">
        <f>'6TotalEnr'!C21-'6bTotalDistanceEnr'!C21</f>
        <v>6</v>
      </c>
      <c r="D21" s="534">
        <f>'6TotalEnr'!D21-'6bTotalDistanceEnr'!D21</f>
        <v>2</v>
      </c>
      <c r="E21" s="534">
        <f>'6TotalEnr'!E21-'6bTotalDistanceEnr'!E21</f>
        <v>8</v>
      </c>
      <c r="F21" s="534">
        <f>'6TotalEnr'!F21-'6bTotalDistanceEnr'!F21</f>
        <v>0</v>
      </c>
      <c r="G21" s="534">
        <f>'6TotalEnr'!G21-'6bTotalDistanceEnr'!G21</f>
        <v>0</v>
      </c>
      <c r="H21" s="534">
        <f>'6TotalEnr'!H21-'6bTotalDistanceEnr'!H21</f>
        <v>0</v>
      </c>
      <c r="I21" s="534">
        <f>'6TotalEnr'!I21-'6bTotalDistanceEnr'!I21</f>
        <v>70</v>
      </c>
      <c r="J21" s="534">
        <f>'6TotalEnr'!J21-'6bTotalDistanceEnr'!J21</f>
        <v>23</v>
      </c>
      <c r="K21" s="534">
        <f>'6TotalEnr'!K21-'6bTotalDistanceEnr'!K21</f>
        <v>93</v>
      </c>
      <c r="L21" s="534">
        <f>'6TotalEnr'!L21-'6bTotalDistanceEnr'!L21</f>
        <v>740</v>
      </c>
      <c r="M21" s="534">
        <f>'6TotalEnr'!M21-'6bTotalDistanceEnr'!M21</f>
        <v>1738</v>
      </c>
      <c r="N21" s="534">
        <f>'6TotalEnr'!N21-'6bTotalDistanceEnr'!N21</f>
        <v>2478</v>
      </c>
      <c r="O21" s="534">
        <f>'6TotalEnr'!O21-'6bTotalDistanceEnr'!O21</f>
        <v>0</v>
      </c>
      <c r="P21" s="534">
        <f>'6TotalEnr'!P21-'6bTotalDistanceEnr'!P21</f>
        <v>0</v>
      </c>
      <c r="Q21" s="534">
        <f>'6TotalEnr'!Q21-'6bTotalDistanceEnr'!Q21</f>
        <v>0</v>
      </c>
      <c r="R21" s="534">
        <f>'6TotalEnr'!R21-'6bTotalDistanceEnr'!R21</f>
        <v>245</v>
      </c>
      <c r="S21" s="534">
        <f>'6TotalEnr'!S21-'6bTotalDistanceEnr'!S21</f>
        <v>185</v>
      </c>
      <c r="T21" s="534">
        <f>'6TotalEnr'!T21-'6bTotalDistanceEnr'!T21</f>
        <v>430</v>
      </c>
      <c r="U21" s="534">
        <f>'6TotalEnr'!U21-'6bTotalDistanceEnr'!U21</f>
        <v>0</v>
      </c>
      <c r="V21" s="534">
        <f>'6TotalEnr'!V21-'6bTotalDistanceEnr'!V21</f>
        <v>0</v>
      </c>
      <c r="W21" s="534">
        <f>'6TotalEnr'!W21-'6bTotalDistanceEnr'!W21</f>
        <v>0</v>
      </c>
      <c r="X21" s="534">
        <f>'6TotalEnr'!X21-'6bTotalDistanceEnr'!X21</f>
        <v>47</v>
      </c>
      <c r="Y21" s="534">
        <f>'6TotalEnr'!Y21-'6bTotalDistanceEnr'!Y21</f>
        <v>91</v>
      </c>
      <c r="Z21" s="534">
        <f>'6TotalEnr'!Z21-'6bTotalDistanceEnr'!Z21</f>
        <v>138</v>
      </c>
      <c r="AA21" s="534">
        <f>'6TotalEnr'!AA21-'6bTotalDistanceEnr'!AA21</f>
        <v>1108</v>
      </c>
      <c r="AB21" s="534">
        <f>'6TotalEnr'!AB21-'6bTotalDistanceEnr'!AB21</f>
        <v>2039</v>
      </c>
      <c r="AC21" s="534">
        <f>'6TotalEnr'!AC21-'6bTotalDistanceEnr'!AC21</f>
        <v>3147</v>
      </c>
      <c r="AD21" s="759"/>
      <c r="AE21" s="761"/>
    </row>
    <row r="22" spans="1:31" s="87" customFormat="1" ht="20.25" customHeight="1">
      <c r="A22" s="532">
        <v>18</v>
      </c>
      <c r="B22" s="535" t="s">
        <v>32</v>
      </c>
      <c r="C22" s="534">
        <f>'6TotalEnr'!C22-'6bTotalDistanceEnr'!C22</f>
        <v>0</v>
      </c>
      <c r="D22" s="534">
        <f>'6TotalEnr'!D22-'6bTotalDistanceEnr'!D22</f>
        <v>0</v>
      </c>
      <c r="E22" s="534">
        <f>'6TotalEnr'!E22-'6bTotalDistanceEnr'!E22</f>
        <v>0</v>
      </c>
      <c r="F22" s="534">
        <f>'6TotalEnr'!F22-'6bTotalDistanceEnr'!F22</f>
        <v>0</v>
      </c>
      <c r="G22" s="534">
        <f>'6TotalEnr'!G22-'6bTotalDistanceEnr'!G22</f>
        <v>0</v>
      </c>
      <c r="H22" s="534">
        <f>'6TotalEnr'!H22-'6bTotalDistanceEnr'!H22</f>
        <v>0</v>
      </c>
      <c r="I22" s="534">
        <f>'6TotalEnr'!I22-'6bTotalDistanceEnr'!I22</f>
        <v>0</v>
      </c>
      <c r="J22" s="534">
        <f>'6TotalEnr'!J22-'6bTotalDistanceEnr'!J22</f>
        <v>26</v>
      </c>
      <c r="K22" s="534">
        <f>'6TotalEnr'!K22-'6bTotalDistanceEnr'!K22</f>
        <v>26</v>
      </c>
      <c r="L22" s="534">
        <f>'6TotalEnr'!L22-'6bTotalDistanceEnr'!L22</f>
        <v>133</v>
      </c>
      <c r="M22" s="534">
        <f>'6TotalEnr'!M22-'6bTotalDistanceEnr'!M22</f>
        <v>401</v>
      </c>
      <c r="N22" s="534">
        <f>'6TotalEnr'!N22-'6bTotalDistanceEnr'!N22</f>
        <v>534</v>
      </c>
      <c r="O22" s="534">
        <f>'6TotalEnr'!O22-'6bTotalDistanceEnr'!O22</f>
        <v>0</v>
      </c>
      <c r="P22" s="534">
        <f>'6TotalEnr'!P22-'6bTotalDistanceEnr'!P22</f>
        <v>0</v>
      </c>
      <c r="Q22" s="534">
        <f>'6TotalEnr'!Q22-'6bTotalDistanceEnr'!Q22</f>
        <v>0</v>
      </c>
      <c r="R22" s="534">
        <f>'6TotalEnr'!R22-'6bTotalDistanceEnr'!R22</f>
        <v>0</v>
      </c>
      <c r="S22" s="534">
        <f>'6TotalEnr'!S22-'6bTotalDistanceEnr'!S22</f>
        <v>0</v>
      </c>
      <c r="T22" s="534">
        <f>'6TotalEnr'!T22-'6bTotalDistanceEnr'!T22</f>
        <v>0</v>
      </c>
      <c r="U22" s="534">
        <f>'6TotalEnr'!U22-'6bTotalDistanceEnr'!U22</f>
        <v>0</v>
      </c>
      <c r="V22" s="534">
        <f>'6TotalEnr'!V22-'6bTotalDistanceEnr'!V22</f>
        <v>0</v>
      </c>
      <c r="W22" s="534">
        <f>'6TotalEnr'!W22-'6bTotalDistanceEnr'!W22</f>
        <v>0</v>
      </c>
      <c r="X22" s="534">
        <f>'6TotalEnr'!X22-'6bTotalDistanceEnr'!X22</f>
        <v>0</v>
      </c>
      <c r="Y22" s="534">
        <f>'6TotalEnr'!Y22-'6bTotalDistanceEnr'!Y22</f>
        <v>0</v>
      </c>
      <c r="Z22" s="534">
        <f>'6TotalEnr'!Z22-'6bTotalDistanceEnr'!Z22</f>
        <v>0</v>
      </c>
      <c r="AA22" s="534">
        <f>'6TotalEnr'!AA22-'6bTotalDistanceEnr'!AA22</f>
        <v>133</v>
      </c>
      <c r="AB22" s="534">
        <f>'6TotalEnr'!AB22-'6bTotalDistanceEnr'!AB22</f>
        <v>427</v>
      </c>
      <c r="AC22" s="534">
        <f>'6TotalEnr'!AC22-'6bTotalDistanceEnr'!AC22</f>
        <v>560</v>
      </c>
      <c r="AD22" s="759">
        <v>0</v>
      </c>
      <c r="AE22" s="761">
        <v>0</v>
      </c>
    </row>
    <row r="23" spans="1:31" s="87" customFormat="1" ht="20.25" customHeight="1">
      <c r="A23" s="532">
        <v>19</v>
      </c>
      <c r="B23" s="535" t="s">
        <v>33</v>
      </c>
      <c r="C23" s="534">
        <f>'6TotalEnr'!C23-'6bTotalDistanceEnr'!C23</f>
        <v>3676</v>
      </c>
      <c r="D23" s="534">
        <f>'6TotalEnr'!D23-'6bTotalDistanceEnr'!D23</f>
        <v>2477</v>
      </c>
      <c r="E23" s="534">
        <f>'6TotalEnr'!E23-'6bTotalDistanceEnr'!E23</f>
        <v>6153</v>
      </c>
      <c r="F23" s="534">
        <f>'6TotalEnr'!F23-'6bTotalDistanceEnr'!F23</f>
        <v>91</v>
      </c>
      <c r="G23" s="534">
        <f>'6TotalEnr'!G23-'6bTotalDistanceEnr'!G23</f>
        <v>58</v>
      </c>
      <c r="H23" s="534">
        <f>'6TotalEnr'!H23-'6bTotalDistanceEnr'!H23</f>
        <v>149</v>
      </c>
      <c r="I23" s="534">
        <f>'6TotalEnr'!I23-'6bTotalDistanceEnr'!I23</f>
        <v>148845</v>
      </c>
      <c r="J23" s="534">
        <f>'6TotalEnr'!J23-'6bTotalDistanceEnr'!J23</f>
        <v>175910</v>
      </c>
      <c r="K23" s="534">
        <f>'6TotalEnr'!K23-'6bTotalDistanceEnr'!K23</f>
        <v>324755</v>
      </c>
      <c r="L23" s="534">
        <f>'6TotalEnr'!L23-'6bTotalDistanceEnr'!L23</f>
        <v>998782</v>
      </c>
      <c r="M23" s="534">
        <f>'6TotalEnr'!M23-'6bTotalDistanceEnr'!M23</f>
        <v>903915</v>
      </c>
      <c r="N23" s="534">
        <f>'6TotalEnr'!N23-'6bTotalDistanceEnr'!N23</f>
        <v>1902697</v>
      </c>
      <c r="O23" s="534">
        <f>'6TotalEnr'!O23-'6bTotalDistanceEnr'!O23</f>
        <v>20339</v>
      </c>
      <c r="P23" s="534">
        <f>'6TotalEnr'!P23-'6bTotalDistanceEnr'!P23</f>
        <v>19119</v>
      </c>
      <c r="Q23" s="534">
        <f>'6TotalEnr'!Q23-'6bTotalDistanceEnr'!Q23</f>
        <v>39458</v>
      </c>
      <c r="R23" s="534">
        <f>'6TotalEnr'!R23-'6bTotalDistanceEnr'!R23</f>
        <v>102146</v>
      </c>
      <c r="S23" s="534">
        <f>'6TotalEnr'!S23-'6bTotalDistanceEnr'!S23</f>
        <v>54906</v>
      </c>
      <c r="T23" s="534">
        <f>'6TotalEnr'!T23-'6bTotalDistanceEnr'!T23</f>
        <v>157052</v>
      </c>
      <c r="U23" s="534">
        <f>'6TotalEnr'!U23-'6bTotalDistanceEnr'!U23</f>
        <v>2269</v>
      </c>
      <c r="V23" s="534">
        <f>'6TotalEnr'!V23-'6bTotalDistanceEnr'!V23</f>
        <v>1258</v>
      </c>
      <c r="W23" s="534">
        <f>'6TotalEnr'!W23-'6bTotalDistanceEnr'!W23</f>
        <v>3527</v>
      </c>
      <c r="X23" s="534">
        <f>'6TotalEnr'!X23-'6bTotalDistanceEnr'!X23</f>
        <v>16402</v>
      </c>
      <c r="Y23" s="534">
        <f>'6TotalEnr'!Y23-'6bTotalDistanceEnr'!Y23</f>
        <v>13083</v>
      </c>
      <c r="Z23" s="534">
        <f>'6TotalEnr'!Z23-'6bTotalDistanceEnr'!Z23</f>
        <v>29485</v>
      </c>
      <c r="AA23" s="534">
        <f>'6TotalEnr'!AA23-'6bTotalDistanceEnr'!AA23</f>
        <v>1292550</v>
      </c>
      <c r="AB23" s="534">
        <f>'6TotalEnr'!AB23-'6bTotalDistanceEnr'!AB23</f>
        <v>1170726</v>
      </c>
      <c r="AC23" s="534">
        <f>'6TotalEnr'!AC23-'6bTotalDistanceEnr'!AC23</f>
        <v>2463276</v>
      </c>
      <c r="AD23" s="759">
        <v>135285</v>
      </c>
      <c r="AE23" s="761">
        <v>2.7855924632000555</v>
      </c>
    </row>
    <row r="24" spans="1:31" s="87" customFormat="1" ht="20.25" customHeight="1">
      <c r="A24" s="532">
        <v>20</v>
      </c>
      <c r="B24" s="535" t="s">
        <v>34</v>
      </c>
      <c r="C24" s="534">
        <f>'6TotalEnr'!C24-'6bTotalDistanceEnr'!C24</f>
        <v>9358</v>
      </c>
      <c r="D24" s="534">
        <f>'6TotalEnr'!D24-'6bTotalDistanceEnr'!D24</f>
        <v>6393</v>
      </c>
      <c r="E24" s="534">
        <f>'6TotalEnr'!E24-'6bTotalDistanceEnr'!E24</f>
        <v>15751</v>
      </c>
      <c r="F24" s="534">
        <f>'6TotalEnr'!F24-'6bTotalDistanceEnr'!F24</f>
        <v>385</v>
      </c>
      <c r="G24" s="534">
        <f>'6TotalEnr'!G24-'6bTotalDistanceEnr'!G24</f>
        <v>349</v>
      </c>
      <c r="H24" s="534">
        <f>'6TotalEnr'!H24-'6bTotalDistanceEnr'!H24</f>
        <v>734</v>
      </c>
      <c r="I24" s="534">
        <f>'6TotalEnr'!I24-'6bTotalDistanceEnr'!I24</f>
        <v>188587</v>
      </c>
      <c r="J24" s="534">
        <f>'6TotalEnr'!J24-'6bTotalDistanceEnr'!J24</f>
        <v>206097</v>
      </c>
      <c r="K24" s="534">
        <f>'6TotalEnr'!K24-'6bTotalDistanceEnr'!K24</f>
        <v>394684</v>
      </c>
      <c r="L24" s="534">
        <f>'6TotalEnr'!L24-'6bTotalDistanceEnr'!L24</f>
        <v>1581859</v>
      </c>
      <c r="M24" s="534">
        <f>'6TotalEnr'!M24-'6bTotalDistanceEnr'!M24</f>
        <v>1341819</v>
      </c>
      <c r="N24" s="534">
        <f>'6TotalEnr'!N24-'6bTotalDistanceEnr'!N24</f>
        <v>2923678</v>
      </c>
      <c r="O24" s="534">
        <f>'6TotalEnr'!O24-'6bTotalDistanceEnr'!O24</f>
        <v>8734</v>
      </c>
      <c r="P24" s="534">
        <f>'6TotalEnr'!P24-'6bTotalDistanceEnr'!P24</f>
        <v>6625</v>
      </c>
      <c r="Q24" s="534">
        <f>'6TotalEnr'!Q24-'6bTotalDistanceEnr'!Q24</f>
        <v>15359</v>
      </c>
      <c r="R24" s="534">
        <f>'6TotalEnr'!R24-'6bTotalDistanceEnr'!R24</f>
        <v>215795</v>
      </c>
      <c r="S24" s="534">
        <f>'6TotalEnr'!S24-'6bTotalDistanceEnr'!S24</f>
        <v>145439</v>
      </c>
      <c r="T24" s="534">
        <f>'6TotalEnr'!T24-'6bTotalDistanceEnr'!T24</f>
        <v>361234</v>
      </c>
      <c r="U24" s="534">
        <f>'6TotalEnr'!U24-'6bTotalDistanceEnr'!U24</f>
        <v>4706</v>
      </c>
      <c r="V24" s="534">
        <f>'6TotalEnr'!V24-'6bTotalDistanceEnr'!V24</f>
        <v>4266</v>
      </c>
      <c r="W24" s="534">
        <f>'6TotalEnr'!W24-'6bTotalDistanceEnr'!W24</f>
        <v>8972</v>
      </c>
      <c r="X24" s="534">
        <f>'6TotalEnr'!X24-'6bTotalDistanceEnr'!X24</f>
        <v>8314</v>
      </c>
      <c r="Y24" s="534">
        <f>'6TotalEnr'!Y24-'6bTotalDistanceEnr'!Y24</f>
        <v>7527</v>
      </c>
      <c r="Z24" s="534">
        <f>'6TotalEnr'!Z24-'6bTotalDistanceEnr'!Z24</f>
        <v>15841</v>
      </c>
      <c r="AA24" s="534">
        <f>'6TotalEnr'!AA24-'6bTotalDistanceEnr'!AA24</f>
        <v>2017738</v>
      </c>
      <c r="AB24" s="534">
        <f>'6TotalEnr'!AB24-'6bTotalDistanceEnr'!AB24</f>
        <v>1718515</v>
      </c>
      <c r="AC24" s="534">
        <f>'6TotalEnr'!AC24-'6bTotalDistanceEnr'!AC24</f>
        <v>3736253</v>
      </c>
      <c r="AD24" s="759">
        <v>809607</v>
      </c>
      <c r="AE24" s="761">
        <v>16.670252854004563</v>
      </c>
    </row>
    <row r="25" spans="1:31" s="87" customFormat="1" ht="20.25" customHeight="1">
      <c r="A25" s="532">
        <v>21</v>
      </c>
      <c r="B25" s="535" t="s">
        <v>35</v>
      </c>
      <c r="C25" s="534">
        <f>'6TotalEnr'!C25-'6bTotalDistanceEnr'!C25</f>
        <v>624</v>
      </c>
      <c r="D25" s="534">
        <f>'6TotalEnr'!D25-'6bTotalDistanceEnr'!D25</f>
        <v>569</v>
      </c>
      <c r="E25" s="534">
        <f>'6TotalEnr'!E25-'6bTotalDistanceEnr'!E25</f>
        <v>1193</v>
      </c>
      <c r="F25" s="534">
        <f>'6TotalEnr'!F25-'6bTotalDistanceEnr'!F25</f>
        <v>0</v>
      </c>
      <c r="G25" s="534">
        <f>'6TotalEnr'!G25-'6bTotalDistanceEnr'!G25</f>
        <v>12</v>
      </c>
      <c r="H25" s="534">
        <f>'6TotalEnr'!H25-'6bTotalDistanceEnr'!H25</f>
        <v>12</v>
      </c>
      <c r="I25" s="534">
        <f>'6TotalEnr'!I25-'6bTotalDistanceEnr'!I25</f>
        <v>3099</v>
      </c>
      <c r="J25" s="534">
        <f>'6TotalEnr'!J25-'6bTotalDistanceEnr'!J25</f>
        <v>4070</v>
      </c>
      <c r="K25" s="534">
        <f>'6TotalEnr'!K25-'6bTotalDistanceEnr'!K25</f>
        <v>7169</v>
      </c>
      <c r="L25" s="534">
        <f>'6TotalEnr'!L25-'6bTotalDistanceEnr'!L25</f>
        <v>60239</v>
      </c>
      <c r="M25" s="534">
        <f>'6TotalEnr'!M25-'6bTotalDistanceEnr'!M25</f>
        <v>59595</v>
      </c>
      <c r="N25" s="534">
        <f>'6TotalEnr'!N25-'6bTotalDistanceEnr'!N25</f>
        <v>119834</v>
      </c>
      <c r="O25" s="534">
        <f>'6TotalEnr'!O25-'6bTotalDistanceEnr'!O25</f>
        <v>345</v>
      </c>
      <c r="P25" s="534">
        <f>'6TotalEnr'!P25-'6bTotalDistanceEnr'!P25</f>
        <v>222</v>
      </c>
      <c r="Q25" s="534">
        <f>'6TotalEnr'!Q25-'6bTotalDistanceEnr'!Q25</f>
        <v>567</v>
      </c>
      <c r="R25" s="534">
        <f>'6TotalEnr'!R25-'6bTotalDistanceEnr'!R25</f>
        <v>1615</v>
      </c>
      <c r="S25" s="534">
        <f>'6TotalEnr'!S25-'6bTotalDistanceEnr'!S25</f>
        <v>2575</v>
      </c>
      <c r="T25" s="534">
        <f>'6TotalEnr'!T25-'6bTotalDistanceEnr'!T25</f>
        <v>4190</v>
      </c>
      <c r="U25" s="534">
        <f>'6TotalEnr'!U25-'6bTotalDistanceEnr'!U25</f>
        <v>160</v>
      </c>
      <c r="V25" s="534">
        <f>'6TotalEnr'!V25-'6bTotalDistanceEnr'!V25</f>
        <v>186</v>
      </c>
      <c r="W25" s="534">
        <f>'6TotalEnr'!W25-'6bTotalDistanceEnr'!W25</f>
        <v>346</v>
      </c>
      <c r="X25" s="534">
        <f>'6TotalEnr'!X25-'6bTotalDistanceEnr'!X25</f>
        <v>0</v>
      </c>
      <c r="Y25" s="534">
        <f>'6TotalEnr'!Y25-'6bTotalDistanceEnr'!Y25</f>
        <v>0</v>
      </c>
      <c r="Z25" s="534">
        <f>'6TotalEnr'!Z25-'6bTotalDistanceEnr'!Z25</f>
        <v>0</v>
      </c>
      <c r="AA25" s="534">
        <f>'6TotalEnr'!AA25-'6bTotalDistanceEnr'!AA25</f>
        <v>66082</v>
      </c>
      <c r="AB25" s="534">
        <f>'6TotalEnr'!AB25-'6bTotalDistanceEnr'!AB25</f>
        <v>67229</v>
      </c>
      <c r="AC25" s="534">
        <f>'6TotalEnr'!AC25-'6bTotalDistanceEnr'!AC25</f>
        <v>133311</v>
      </c>
      <c r="AD25" s="759">
        <v>5190</v>
      </c>
      <c r="AE25" s="761">
        <v>0.10686495091110092</v>
      </c>
    </row>
    <row r="26" spans="1:31" s="87" customFormat="1" ht="20.25" customHeight="1">
      <c r="A26" s="532">
        <v>22</v>
      </c>
      <c r="B26" s="535" t="s">
        <v>36</v>
      </c>
      <c r="C26" s="534">
        <f>'6TotalEnr'!C26-'6bTotalDistanceEnr'!C26</f>
        <v>469</v>
      </c>
      <c r="D26" s="534">
        <f>'6TotalEnr'!D26-'6bTotalDistanceEnr'!D26</f>
        <v>364</v>
      </c>
      <c r="E26" s="534">
        <f>'6TotalEnr'!E26-'6bTotalDistanceEnr'!E26</f>
        <v>833</v>
      </c>
      <c r="F26" s="534">
        <f>'6TotalEnr'!F26-'6bTotalDistanceEnr'!F26</f>
        <v>0</v>
      </c>
      <c r="G26" s="534">
        <f>'6TotalEnr'!G26-'6bTotalDistanceEnr'!G26</f>
        <v>0</v>
      </c>
      <c r="H26" s="534">
        <f>'6TotalEnr'!H26-'6bTotalDistanceEnr'!H26</f>
        <v>0</v>
      </c>
      <c r="I26" s="534">
        <f>'6TotalEnr'!I26-'6bTotalDistanceEnr'!I26</f>
        <v>3125</v>
      </c>
      <c r="J26" s="534">
        <f>'6TotalEnr'!J26-'6bTotalDistanceEnr'!J26</f>
        <v>4882</v>
      </c>
      <c r="K26" s="534">
        <f>'6TotalEnr'!K26-'6bTotalDistanceEnr'!K26</f>
        <v>8007</v>
      </c>
      <c r="L26" s="534">
        <f>'6TotalEnr'!L26-'6bTotalDistanceEnr'!L26</f>
        <v>35316</v>
      </c>
      <c r="M26" s="534">
        <f>'6TotalEnr'!M26-'6bTotalDistanceEnr'!M26</f>
        <v>43731</v>
      </c>
      <c r="N26" s="534">
        <f>'6TotalEnr'!N26-'6bTotalDistanceEnr'!N26</f>
        <v>79047</v>
      </c>
      <c r="O26" s="534">
        <f>'6TotalEnr'!O26-'6bTotalDistanceEnr'!O26</f>
        <v>42</v>
      </c>
      <c r="P26" s="534">
        <f>'6TotalEnr'!P26-'6bTotalDistanceEnr'!P26</f>
        <v>37</v>
      </c>
      <c r="Q26" s="534">
        <f>'6TotalEnr'!Q26-'6bTotalDistanceEnr'!Q26</f>
        <v>79</v>
      </c>
      <c r="R26" s="534">
        <f>'6TotalEnr'!R26-'6bTotalDistanceEnr'!R26</f>
        <v>1300</v>
      </c>
      <c r="S26" s="534">
        <f>'6TotalEnr'!S26-'6bTotalDistanceEnr'!S26</f>
        <v>2194</v>
      </c>
      <c r="T26" s="534">
        <f>'6TotalEnr'!T26-'6bTotalDistanceEnr'!T26</f>
        <v>3494</v>
      </c>
      <c r="U26" s="534">
        <f>'6TotalEnr'!U26-'6bTotalDistanceEnr'!U26</f>
        <v>172</v>
      </c>
      <c r="V26" s="534">
        <f>'6TotalEnr'!V26-'6bTotalDistanceEnr'!V26</f>
        <v>214</v>
      </c>
      <c r="W26" s="534">
        <f>'6TotalEnr'!W26-'6bTotalDistanceEnr'!W26</f>
        <v>386</v>
      </c>
      <c r="X26" s="534">
        <f>'6TotalEnr'!X26-'6bTotalDistanceEnr'!X26</f>
        <v>73</v>
      </c>
      <c r="Y26" s="534">
        <f>'6TotalEnr'!Y26-'6bTotalDistanceEnr'!Y26</f>
        <v>54</v>
      </c>
      <c r="Z26" s="534">
        <f>'6TotalEnr'!Z26-'6bTotalDistanceEnr'!Z26</f>
        <v>127</v>
      </c>
      <c r="AA26" s="534">
        <f>'6TotalEnr'!AA26-'6bTotalDistanceEnr'!AA26</f>
        <v>40497</v>
      </c>
      <c r="AB26" s="534">
        <f>'6TotalEnr'!AB26-'6bTotalDistanceEnr'!AB26</f>
        <v>51476</v>
      </c>
      <c r="AC26" s="534">
        <f>'6TotalEnr'!AC26-'6bTotalDistanceEnr'!AC26</f>
        <v>91973</v>
      </c>
      <c r="AD26" s="759">
        <v>5379</v>
      </c>
      <c r="AE26" s="761">
        <v>0.1107565647304069</v>
      </c>
    </row>
    <row r="27" spans="1:31" s="87" customFormat="1" ht="20.25" customHeight="1">
      <c r="A27" s="532">
        <v>23</v>
      </c>
      <c r="B27" s="535" t="s">
        <v>37</v>
      </c>
      <c r="C27" s="534">
        <f>'6TotalEnr'!C27-'6bTotalDistanceEnr'!C27</f>
        <v>551</v>
      </c>
      <c r="D27" s="534">
        <f>'6TotalEnr'!D27-'6bTotalDistanceEnr'!D27</f>
        <v>436</v>
      </c>
      <c r="E27" s="534">
        <f>'6TotalEnr'!E27-'6bTotalDistanceEnr'!E27</f>
        <v>987</v>
      </c>
      <c r="F27" s="534">
        <f>'6TotalEnr'!F27-'6bTotalDistanceEnr'!F27</f>
        <v>56</v>
      </c>
      <c r="G27" s="534">
        <f>'6TotalEnr'!G27-'6bTotalDistanceEnr'!G27</f>
        <v>59</v>
      </c>
      <c r="H27" s="534">
        <f>'6TotalEnr'!H27-'6bTotalDistanceEnr'!H27</f>
        <v>115</v>
      </c>
      <c r="I27" s="534">
        <f>'6TotalEnr'!I27-'6bTotalDistanceEnr'!I27</f>
        <v>1127</v>
      </c>
      <c r="J27" s="534">
        <f>'6TotalEnr'!J27-'6bTotalDistanceEnr'!J27</f>
        <v>1313</v>
      </c>
      <c r="K27" s="534">
        <f>'6TotalEnr'!K27-'6bTotalDistanceEnr'!K27</f>
        <v>2440</v>
      </c>
      <c r="L27" s="534">
        <f>'6TotalEnr'!L27-'6bTotalDistanceEnr'!L27</f>
        <v>13723</v>
      </c>
      <c r="M27" s="534">
        <f>'6TotalEnr'!M27-'6bTotalDistanceEnr'!M27</f>
        <v>12815</v>
      </c>
      <c r="N27" s="534">
        <f>'6TotalEnr'!N27-'6bTotalDistanceEnr'!N27</f>
        <v>26538</v>
      </c>
      <c r="O27" s="534">
        <f>'6TotalEnr'!O27-'6bTotalDistanceEnr'!O27</f>
        <v>0</v>
      </c>
      <c r="P27" s="534">
        <f>'6TotalEnr'!P27-'6bTotalDistanceEnr'!P27</f>
        <v>0</v>
      </c>
      <c r="Q27" s="534">
        <f>'6TotalEnr'!Q27-'6bTotalDistanceEnr'!Q27</f>
        <v>0</v>
      </c>
      <c r="R27" s="534">
        <f>'6TotalEnr'!R27-'6bTotalDistanceEnr'!R27</f>
        <v>698</v>
      </c>
      <c r="S27" s="534">
        <f>'6TotalEnr'!S27-'6bTotalDistanceEnr'!S27</f>
        <v>1435</v>
      </c>
      <c r="T27" s="534">
        <f>'6TotalEnr'!T27-'6bTotalDistanceEnr'!T27</f>
        <v>2133</v>
      </c>
      <c r="U27" s="534">
        <f>'6TotalEnr'!U27-'6bTotalDistanceEnr'!U27</f>
        <v>0</v>
      </c>
      <c r="V27" s="534">
        <f>'6TotalEnr'!V27-'6bTotalDistanceEnr'!V27</f>
        <v>20</v>
      </c>
      <c r="W27" s="534">
        <f>'6TotalEnr'!W27-'6bTotalDistanceEnr'!W27</f>
        <v>20</v>
      </c>
      <c r="X27" s="534">
        <f>'6TotalEnr'!X27-'6bTotalDistanceEnr'!X27</f>
        <v>29</v>
      </c>
      <c r="Y27" s="534">
        <f>'6TotalEnr'!Y27-'6bTotalDistanceEnr'!Y27</f>
        <v>23</v>
      </c>
      <c r="Z27" s="534">
        <f>'6TotalEnr'!Z27-'6bTotalDistanceEnr'!Z27</f>
        <v>52</v>
      </c>
      <c r="AA27" s="534">
        <f>'6TotalEnr'!AA27-'6bTotalDistanceEnr'!AA27</f>
        <v>16184</v>
      </c>
      <c r="AB27" s="534">
        <f>'6TotalEnr'!AB27-'6bTotalDistanceEnr'!AB27</f>
        <v>16101</v>
      </c>
      <c r="AC27" s="534">
        <f>'6TotalEnr'!AC27-'6bTotalDistanceEnr'!AC27</f>
        <v>32285</v>
      </c>
      <c r="AD27" s="759">
        <v>6425</v>
      </c>
      <c r="AE27" s="761">
        <v>0.13229427930709506</v>
      </c>
    </row>
    <row r="28" spans="1:31" s="87" customFormat="1" ht="20.25" customHeight="1">
      <c r="A28" s="532">
        <v>24</v>
      </c>
      <c r="B28" s="535" t="s">
        <v>38</v>
      </c>
      <c r="C28" s="534">
        <f>'6TotalEnr'!C28-'6bTotalDistanceEnr'!C28</f>
        <v>279</v>
      </c>
      <c r="D28" s="534">
        <f>'6TotalEnr'!D28-'6bTotalDistanceEnr'!D28</f>
        <v>314</v>
      </c>
      <c r="E28" s="534">
        <f>'6TotalEnr'!E28-'6bTotalDistanceEnr'!E28</f>
        <v>593</v>
      </c>
      <c r="F28" s="534">
        <f>'6TotalEnr'!F28-'6bTotalDistanceEnr'!F28</f>
        <v>23</v>
      </c>
      <c r="G28" s="534">
        <f>'6TotalEnr'!G28-'6bTotalDistanceEnr'!G28</f>
        <v>30</v>
      </c>
      <c r="H28" s="534">
        <f>'6TotalEnr'!H28-'6bTotalDistanceEnr'!H28</f>
        <v>53</v>
      </c>
      <c r="I28" s="534">
        <f>'6TotalEnr'!I28-'6bTotalDistanceEnr'!I28</f>
        <v>2077</v>
      </c>
      <c r="J28" s="534">
        <f>'6TotalEnr'!J28-'6bTotalDistanceEnr'!J28</f>
        <v>2865</v>
      </c>
      <c r="K28" s="534">
        <f>'6TotalEnr'!K28-'6bTotalDistanceEnr'!K28</f>
        <v>4942</v>
      </c>
      <c r="L28" s="534">
        <f>'6TotalEnr'!L28-'6bTotalDistanceEnr'!L28</f>
        <v>17094</v>
      </c>
      <c r="M28" s="534">
        <f>'6TotalEnr'!M28-'6bTotalDistanceEnr'!M28</f>
        <v>18734</v>
      </c>
      <c r="N28" s="534">
        <f>'6TotalEnr'!N28-'6bTotalDistanceEnr'!N28</f>
        <v>35828</v>
      </c>
      <c r="O28" s="534">
        <f>'6TotalEnr'!O28-'6bTotalDistanceEnr'!O28</f>
        <v>0</v>
      </c>
      <c r="P28" s="534">
        <f>'6TotalEnr'!P28-'6bTotalDistanceEnr'!P28</f>
        <v>19</v>
      </c>
      <c r="Q28" s="534">
        <f>'6TotalEnr'!Q28-'6bTotalDistanceEnr'!Q28</f>
        <v>19</v>
      </c>
      <c r="R28" s="534">
        <f>'6TotalEnr'!R28-'6bTotalDistanceEnr'!R28</f>
        <v>841</v>
      </c>
      <c r="S28" s="534">
        <f>'6TotalEnr'!S28-'6bTotalDistanceEnr'!S28</f>
        <v>1172</v>
      </c>
      <c r="T28" s="534">
        <f>'6TotalEnr'!T28-'6bTotalDistanceEnr'!T28</f>
        <v>2013</v>
      </c>
      <c r="U28" s="534">
        <f>'6TotalEnr'!U28-'6bTotalDistanceEnr'!U28</f>
        <v>98</v>
      </c>
      <c r="V28" s="534">
        <f>'6TotalEnr'!V28-'6bTotalDistanceEnr'!V28</f>
        <v>99</v>
      </c>
      <c r="W28" s="534">
        <f>'6TotalEnr'!W28-'6bTotalDistanceEnr'!W28</f>
        <v>197</v>
      </c>
      <c r="X28" s="534">
        <f>'6TotalEnr'!X28-'6bTotalDistanceEnr'!X28</f>
        <v>6</v>
      </c>
      <c r="Y28" s="534">
        <f>'6TotalEnr'!Y28-'6bTotalDistanceEnr'!Y28</f>
        <v>0</v>
      </c>
      <c r="Z28" s="534">
        <f>'6TotalEnr'!Z28-'6bTotalDistanceEnr'!Z28</f>
        <v>6</v>
      </c>
      <c r="AA28" s="534">
        <f>'6TotalEnr'!AA28-'6bTotalDistanceEnr'!AA28</f>
        <v>20418</v>
      </c>
      <c r="AB28" s="534">
        <f>'6TotalEnr'!AB28-'6bTotalDistanceEnr'!AB28</f>
        <v>23233</v>
      </c>
      <c r="AC28" s="534">
        <f>'6TotalEnr'!AC28-'6bTotalDistanceEnr'!AC28</f>
        <v>43651</v>
      </c>
      <c r="AD28" s="759">
        <v>3303</v>
      </c>
      <c r="AE28" s="761">
        <v>6.8010584365966534E-2</v>
      </c>
    </row>
    <row r="29" spans="1:31" s="87" customFormat="1" ht="20.25" customHeight="1">
      <c r="A29" s="532">
        <v>25</v>
      </c>
      <c r="B29" s="535" t="s">
        <v>39</v>
      </c>
      <c r="C29" s="534">
        <f>'6TotalEnr'!C29-'6bTotalDistanceEnr'!C29</f>
        <v>1947</v>
      </c>
      <c r="D29" s="534">
        <f>'6TotalEnr'!D29-'6bTotalDistanceEnr'!D29</f>
        <v>1324</v>
      </c>
      <c r="E29" s="534">
        <f>'6TotalEnr'!E29-'6bTotalDistanceEnr'!E29</f>
        <v>3271</v>
      </c>
      <c r="F29" s="534">
        <f>'6TotalEnr'!F29-'6bTotalDistanceEnr'!F29</f>
        <v>352</v>
      </c>
      <c r="G29" s="534">
        <f>'6TotalEnr'!G29-'6bTotalDistanceEnr'!G29</f>
        <v>378</v>
      </c>
      <c r="H29" s="534">
        <f>'6TotalEnr'!H29-'6bTotalDistanceEnr'!H29</f>
        <v>730</v>
      </c>
      <c r="I29" s="534">
        <f>'6TotalEnr'!I29-'6bTotalDistanceEnr'!I29</f>
        <v>38709</v>
      </c>
      <c r="J29" s="534">
        <f>'6TotalEnr'!J29-'6bTotalDistanceEnr'!J29</f>
        <v>36806</v>
      </c>
      <c r="K29" s="534">
        <f>'6TotalEnr'!K29-'6bTotalDistanceEnr'!K29</f>
        <v>75515</v>
      </c>
      <c r="L29" s="534">
        <f>'6TotalEnr'!L29-'6bTotalDistanceEnr'!L29</f>
        <v>353485</v>
      </c>
      <c r="M29" s="534">
        <f>'6TotalEnr'!M29-'6bTotalDistanceEnr'!M29</f>
        <v>354989</v>
      </c>
      <c r="N29" s="534">
        <f>'6TotalEnr'!N29-'6bTotalDistanceEnr'!N29</f>
        <v>708474</v>
      </c>
      <c r="O29" s="534">
        <f>'6TotalEnr'!O29-'6bTotalDistanceEnr'!O29</f>
        <v>1480</v>
      </c>
      <c r="P29" s="534">
        <f>'6TotalEnr'!P29-'6bTotalDistanceEnr'!P29</f>
        <v>866</v>
      </c>
      <c r="Q29" s="534">
        <f>'6TotalEnr'!Q29-'6bTotalDistanceEnr'!Q29</f>
        <v>2346</v>
      </c>
      <c r="R29" s="534">
        <f>'6TotalEnr'!R29-'6bTotalDistanceEnr'!R29</f>
        <v>92556</v>
      </c>
      <c r="S29" s="534">
        <f>'6TotalEnr'!S29-'6bTotalDistanceEnr'!S29</f>
        <v>40654</v>
      </c>
      <c r="T29" s="534">
        <f>'6TotalEnr'!T29-'6bTotalDistanceEnr'!T29</f>
        <v>133210</v>
      </c>
      <c r="U29" s="534">
        <f>'6TotalEnr'!U29-'6bTotalDistanceEnr'!U29</f>
        <v>1321</v>
      </c>
      <c r="V29" s="534">
        <f>'6TotalEnr'!V29-'6bTotalDistanceEnr'!V29</f>
        <v>2268</v>
      </c>
      <c r="W29" s="534">
        <f>'6TotalEnr'!W29-'6bTotalDistanceEnr'!W29</f>
        <v>3589</v>
      </c>
      <c r="X29" s="534">
        <f>'6TotalEnr'!X29-'6bTotalDistanceEnr'!X29</f>
        <v>5929</v>
      </c>
      <c r="Y29" s="534">
        <f>'6TotalEnr'!Y29-'6bTotalDistanceEnr'!Y29</f>
        <v>6369</v>
      </c>
      <c r="Z29" s="534">
        <f>'6TotalEnr'!Z29-'6bTotalDistanceEnr'!Z29</f>
        <v>12298</v>
      </c>
      <c r="AA29" s="534">
        <f>'6TotalEnr'!AA29-'6bTotalDistanceEnr'!AA29</f>
        <v>495779</v>
      </c>
      <c r="AB29" s="534">
        <f>'6TotalEnr'!AB29-'6bTotalDistanceEnr'!AB29</f>
        <v>443654</v>
      </c>
      <c r="AC29" s="534">
        <f>'6TotalEnr'!AC29-'6bTotalDistanceEnr'!AC29</f>
        <v>939433</v>
      </c>
      <c r="AD29" s="759">
        <v>67403</v>
      </c>
      <c r="AE29" s="761">
        <v>1.3878647950406426</v>
      </c>
    </row>
    <row r="30" spans="1:31" s="87" customFormat="1" ht="20.25" customHeight="1">
      <c r="A30" s="532">
        <v>26</v>
      </c>
      <c r="B30" s="535" t="s">
        <v>40</v>
      </c>
      <c r="C30" s="534">
        <f>'6TotalEnr'!C30-'6bTotalDistanceEnr'!C30</f>
        <v>271</v>
      </c>
      <c r="D30" s="534">
        <f>'6TotalEnr'!D30-'6bTotalDistanceEnr'!D30</f>
        <v>325</v>
      </c>
      <c r="E30" s="534">
        <f>'6TotalEnr'!E30-'6bTotalDistanceEnr'!E30</f>
        <v>596</v>
      </c>
      <c r="F30" s="534">
        <f>'6TotalEnr'!F30-'6bTotalDistanceEnr'!F30</f>
        <v>0</v>
      </c>
      <c r="G30" s="534">
        <f>'6TotalEnr'!G30-'6bTotalDistanceEnr'!G30</f>
        <v>2</v>
      </c>
      <c r="H30" s="534">
        <f>'6TotalEnr'!H30-'6bTotalDistanceEnr'!H30</f>
        <v>2</v>
      </c>
      <c r="I30" s="534">
        <f>'6TotalEnr'!I30-'6bTotalDistanceEnr'!I30</f>
        <v>5386</v>
      </c>
      <c r="J30" s="534">
        <f>'6TotalEnr'!J30-'6bTotalDistanceEnr'!J30</f>
        <v>7009</v>
      </c>
      <c r="K30" s="534">
        <f>'6TotalEnr'!K30-'6bTotalDistanceEnr'!K30</f>
        <v>12395</v>
      </c>
      <c r="L30" s="534">
        <f>'6TotalEnr'!L30-'6bTotalDistanceEnr'!L30</f>
        <v>26497</v>
      </c>
      <c r="M30" s="534">
        <f>'6TotalEnr'!M30-'6bTotalDistanceEnr'!M30</f>
        <v>32765</v>
      </c>
      <c r="N30" s="534">
        <f>'6TotalEnr'!N30-'6bTotalDistanceEnr'!N30</f>
        <v>59262</v>
      </c>
      <c r="O30" s="534">
        <f>'6TotalEnr'!O30-'6bTotalDistanceEnr'!O30</f>
        <v>15</v>
      </c>
      <c r="P30" s="534">
        <f>'6TotalEnr'!P30-'6bTotalDistanceEnr'!P30</f>
        <v>16</v>
      </c>
      <c r="Q30" s="534">
        <f>'6TotalEnr'!Q30-'6bTotalDistanceEnr'!Q30</f>
        <v>31</v>
      </c>
      <c r="R30" s="534">
        <f>'6TotalEnr'!R30-'6bTotalDistanceEnr'!R30</f>
        <v>2806</v>
      </c>
      <c r="S30" s="534">
        <f>'6TotalEnr'!S30-'6bTotalDistanceEnr'!S30</f>
        <v>1056</v>
      </c>
      <c r="T30" s="534">
        <f>'6TotalEnr'!T30-'6bTotalDistanceEnr'!T30</f>
        <v>3862</v>
      </c>
      <c r="U30" s="534">
        <f>'6TotalEnr'!U30-'6bTotalDistanceEnr'!U30</f>
        <v>1</v>
      </c>
      <c r="V30" s="534">
        <f>'6TotalEnr'!V30-'6bTotalDistanceEnr'!V30</f>
        <v>6</v>
      </c>
      <c r="W30" s="534">
        <f>'6TotalEnr'!W30-'6bTotalDistanceEnr'!W30</f>
        <v>7</v>
      </c>
      <c r="X30" s="534">
        <f>'6TotalEnr'!X30-'6bTotalDistanceEnr'!X30</f>
        <v>354</v>
      </c>
      <c r="Y30" s="534">
        <f>'6TotalEnr'!Y30-'6bTotalDistanceEnr'!Y30</f>
        <v>381</v>
      </c>
      <c r="Z30" s="534">
        <f>'6TotalEnr'!Z30-'6bTotalDistanceEnr'!Z30</f>
        <v>735</v>
      </c>
      <c r="AA30" s="534">
        <f>'6TotalEnr'!AA30-'6bTotalDistanceEnr'!AA30</f>
        <v>35330</v>
      </c>
      <c r="AB30" s="534">
        <f>'6TotalEnr'!AB30-'6bTotalDistanceEnr'!AB30</f>
        <v>41560</v>
      </c>
      <c r="AC30" s="534">
        <f>'6TotalEnr'!AC30-'6bTotalDistanceEnr'!AC30</f>
        <v>76890</v>
      </c>
      <c r="AD30" s="759">
        <v>14363</v>
      </c>
      <c r="AE30" s="761">
        <v>0.29574205971794654</v>
      </c>
    </row>
    <row r="31" spans="1:31" s="87" customFormat="1" ht="20.25" customHeight="1">
      <c r="A31" s="532">
        <v>27</v>
      </c>
      <c r="B31" s="535" t="s">
        <v>41</v>
      </c>
      <c r="C31" s="534">
        <f>'6TotalEnr'!C31-'6bTotalDistanceEnr'!C31</f>
        <v>4628</v>
      </c>
      <c r="D31" s="534">
        <f>'6TotalEnr'!D31-'6bTotalDistanceEnr'!D31</f>
        <v>4938</v>
      </c>
      <c r="E31" s="534">
        <f>'6TotalEnr'!E31-'6bTotalDistanceEnr'!E31</f>
        <v>9566</v>
      </c>
      <c r="F31" s="534">
        <f>'6TotalEnr'!F31-'6bTotalDistanceEnr'!F31</f>
        <v>142</v>
      </c>
      <c r="G31" s="534">
        <f>'6TotalEnr'!G31-'6bTotalDistanceEnr'!G31</f>
        <v>169</v>
      </c>
      <c r="H31" s="534">
        <f>'6TotalEnr'!H31-'6bTotalDistanceEnr'!H31</f>
        <v>311</v>
      </c>
      <c r="I31" s="534">
        <f>'6TotalEnr'!I31-'6bTotalDistanceEnr'!I31</f>
        <v>30225</v>
      </c>
      <c r="J31" s="534">
        <f>'6TotalEnr'!J31-'6bTotalDistanceEnr'!J31</f>
        <v>48376</v>
      </c>
      <c r="K31" s="534">
        <f>'6TotalEnr'!K31-'6bTotalDistanceEnr'!K31</f>
        <v>78601</v>
      </c>
      <c r="L31" s="534">
        <f>'6TotalEnr'!L31-'6bTotalDistanceEnr'!L31</f>
        <v>279028</v>
      </c>
      <c r="M31" s="534">
        <f>'6TotalEnr'!M31-'6bTotalDistanceEnr'!M31</f>
        <v>272962</v>
      </c>
      <c r="N31" s="534">
        <f>'6TotalEnr'!N31-'6bTotalDistanceEnr'!N31</f>
        <v>551990</v>
      </c>
      <c r="O31" s="534">
        <f>'6TotalEnr'!O31-'6bTotalDistanceEnr'!O31</f>
        <v>1514</v>
      </c>
      <c r="P31" s="534">
        <f>'6TotalEnr'!P31-'6bTotalDistanceEnr'!P31</f>
        <v>2207</v>
      </c>
      <c r="Q31" s="534">
        <f>'6TotalEnr'!Q31-'6bTotalDistanceEnr'!Q31</f>
        <v>3721</v>
      </c>
      <c r="R31" s="534">
        <f>'6TotalEnr'!R31-'6bTotalDistanceEnr'!R31</f>
        <v>48748</v>
      </c>
      <c r="S31" s="534">
        <f>'6TotalEnr'!S31-'6bTotalDistanceEnr'!S31</f>
        <v>37553</v>
      </c>
      <c r="T31" s="534">
        <f>'6TotalEnr'!T31-'6bTotalDistanceEnr'!T31</f>
        <v>86301</v>
      </c>
      <c r="U31" s="534">
        <f>'6TotalEnr'!U31-'6bTotalDistanceEnr'!U31</f>
        <v>603</v>
      </c>
      <c r="V31" s="534">
        <f>'6TotalEnr'!V31-'6bTotalDistanceEnr'!V31</f>
        <v>691</v>
      </c>
      <c r="W31" s="534">
        <f>'6TotalEnr'!W31-'6bTotalDistanceEnr'!W31</f>
        <v>1294</v>
      </c>
      <c r="X31" s="534">
        <f>'6TotalEnr'!X31-'6bTotalDistanceEnr'!X31</f>
        <v>8499</v>
      </c>
      <c r="Y31" s="534">
        <f>'6TotalEnr'!Y31-'6bTotalDistanceEnr'!Y31</f>
        <v>9348</v>
      </c>
      <c r="Z31" s="534">
        <f>'6TotalEnr'!Z31-'6bTotalDistanceEnr'!Z31</f>
        <v>17847</v>
      </c>
      <c r="AA31" s="534">
        <f>'6TotalEnr'!AA31-'6bTotalDistanceEnr'!AA31</f>
        <v>373387</v>
      </c>
      <c r="AB31" s="534">
        <f>'6TotalEnr'!AB31-'6bTotalDistanceEnr'!AB31</f>
        <v>376244</v>
      </c>
      <c r="AC31" s="534">
        <f>'6TotalEnr'!AC31-'6bTotalDistanceEnr'!AC31</f>
        <v>749631</v>
      </c>
      <c r="AD31" s="759">
        <v>83533</v>
      </c>
      <c r="AE31" s="761">
        <v>1.7199903553867038</v>
      </c>
    </row>
    <row r="32" spans="1:31" s="87" customFormat="1" ht="20.25" customHeight="1">
      <c r="A32" s="532">
        <v>28</v>
      </c>
      <c r="B32" s="535" t="s">
        <v>42</v>
      </c>
      <c r="C32" s="534">
        <f>'6TotalEnr'!C32-'6bTotalDistanceEnr'!C32</f>
        <v>6588</v>
      </c>
      <c r="D32" s="534">
        <f>'6TotalEnr'!D32-'6bTotalDistanceEnr'!D32</f>
        <v>6379</v>
      </c>
      <c r="E32" s="534">
        <f>'6TotalEnr'!E32-'6bTotalDistanceEnr'!E32</f>
        <v>12967</v>
      </c>
      <c r="F32" s="534">
        <f>'6TotalEnr'!F32-'6bTotalDistanceEnr'!F32</f>
        <v>166</v>
      </c>
      <c r="G32" s="534">
        <f>'6TotalEnr'!G32-'6bTotalDistanceEnr'!G32</f>
        <v>104</v>
      </c>
      <c r="H32" s="534">
        <f>'6TotalEnr'!H32-'6bTotalDistanceEnr'!H32</f>
        <v>270</v>
      </c>
      <c r="I32" s="534">
        <f>'6TotalEnr'!I32-'6bTotalDistanceEnr'!I32</f>
        <v>66114</v>
      </c>
      <c r="J32" s="534">
        <f>'6TotalEnr'!J32-'6bTotalDistanceEnr'!J32</f>
        <v>105900</v>
      </c>
      <c r="K32" s="534">
        <f>'6TotalEnr'!K32-'6bTotalDistanceEnr'!K32</f>
        <v>172014</v>
      </c>
      <c r="L32" s="534">
        <f>'6TotalEnr'!L32-'6bTotalDistanceEnr'!L32</f>
        <v>922456</v>
      </c>
      <c r="M32" s="534">
        <f>'6TotalEnr'!M32-'6bTotalDistanceEnr'!M32</f>
        <v>877498</v>
      </c>
      <c r="N32" s="534">
        <f>'6TotalEnr'!N32-'6bTotalDistanceEnr'!N32</f>
        <v>1799954</v>
      </c>
      <c r="O32" s="534">
        <f>'6TotalEnr'!O32-'6bTotalDistanceEnr'!O32</f>
        <v>4150</v>
      </c>
      <c r="P32" s="534">
        <f>'6TotalEnr'!P32-'6bTotalDistanceEnr'!P32</f>
        <v>3099</v>
      </c>
      <c r="Q32" s="534">
        <f>'6TotalEnr'!Q32-'6bTotalDistanceEnr'!Q32</f>
        <v>7249</v>
      </c>
      <c r="R32" s="534">
        <f>'6TotalEnr'!R32-'6bTotalDistanceEnr'!R32</f>
        <v>76632</v>
      </c>
      <c r="S32" s="534">
        <f>'6TotalEnr'!S32-'6bTotalDistanceEnr'!S32</f>
        <v>31699</v>
      </c>
      <c r="T32" s="534">
        <f>'6TotalEnr'!T32-'6bTotalDistanceEnr'!T32</f>
        <v>108331</v>
      </c>
      <c r="U32" s="534">
        <f>'6TotalEnr'!U32-'6bTotalDistanceEnr'!U32</f>
        <v>3930</v>
      </c>
      <c r="V32" s="534">
        <f>'6TotalEnr'!V32-'6bTotalDistanceEnr'!V32</f>
        <v>3916</v>
      </c>
      <c r="W32" s="534">
        <f>'6TotalEnr'!W32-'6bTotalDistanceEnr'!W32</f>
        <v>7846</v>
      </c>
      <c r="X32" s="534">
        <f>'6TotalEnr'!X32-'6bTotalDistanceEnr'!X32</f>
        <v>49141</v>
      </c>
      <c r="Y32" s="534">
        <f>'6TotalEnr'!Y32-'6bTotalDistanceEnr'!Y32</f>
        <v>43916</v>
      </c>
      <c r="Z32" s="534">
        <f>'6TotalEnr'!Z32-'6bTotalDistanceEnr'!Z32</f>
        <v>93057</v>
      </c>
      <c r="AA32" s="534">
        <f>'6TotalEnr'!AA32-'6bTotalDistanceEnr'!AA32</f>
        <v>1129177</v>
      </c>
      <c r="AB32" s="534">
        <f>'6TotalEnr'!AB32-'6bTotalDistanceEnr'!AB32</f>
        <v>1072511</v>
      </c>
      <c r="AC32" s="534">
        <f>'6TotalEnr'!AC32-'6bTotalDistanceEnr'!AC32</f>
        <v>2201688</v>
      </c>
      <c r="AD32" s="759">
        <v>363553</v>
      </c>
      <c r="AE32" s="761">
        <v>7.4857559727521137</v>
      </c>
    </row>
    <row r="33" spans="1:31" s="87" customFormat="1" ht="20.25" customHeight="1">
      <c r="A33" s="532">
        <v>29</v>
      </c>
      <c r="B33" s="535" t="s">
        <v>43</v>
      </c>
      <c r="C33" s="534">
        <f>'6TotalEnr'!C33-'6bTotalDistanceEnr'!C33</f>
        <v>115</v>
      </c>
      <c r="D33" s="534">
        <f>'6TotalEnr'!D33-'6bTotalDistanceEnr'!D33</f>
        <v>80</v>
      </c>
      <c r="E33" s="534">
        <f>'6TotalEnr'!E33-'6bTotalDistanceEnr'!E33</f>
        <v>195</v>
      </c>
      <c r="F33" s="534">
        <f>'6TotalEnr'!F33-'6bTotalDistanceEnr'!F33</f>
        <v>34</v>
      </c>
      <c r="G33" s="534">
        <f>'6TotalEnr'!G33-'6bTotalDistanceEnr'!G33</f>
        <v>30</v>
      </c>
      <c r="H33" s="534">
        <f>'6TotalEnr'!H33-'6bTotalDistanceEnr'!H33</f>
        <v>64</v>
      </c>
      <c r="I33" s="534">
        <f>'6TotalEnr'!I33-'6bTotalDistanceEnr'!I33</f>
        <v>1633</v>
      </c>
      <c r="J33" s="534">
        <f>'6TotalEnr'!J33-'6bTotalDistanceEnr'!J33</f>
        <v>2312</v>
      </c>
      <c r="K33" s="534">
        <f>'6TotalEnr'!K33-'6bTotalDistanceEnr'!K33</f>
        <v>3945</v>
      </c>
      <c r="L33" s="534">
        <f>'6TotalEnr'!L33-'6bTotalDistanceEnr'!L33</f>
        <v>10347</v>
      </c>
      <c r="M33" s="534">
        <f>'6TotalEnr'!M33-'6bTotalDistanceEnr'!M33</f>
        <v>10389</v>
      </c>
      <c r="N33" s="534">
        <f>'6TotalEnr'!N33-'6bTotalDistanceEnr'!N33</f>
        <v>20736</v>
      </c>
      <c r="O33" s="534">
        <f>'6TotalEnr'!O33-'6bTotalDistanceEnr'!O33</f>
        <v>0</v>
      </c>
      <c r="P33" s="534">
        <f>'6TotalEnr'!P33-'6bTotalDistanceEnr'!P33</f>
        <v>0</v>
      </c>
      <c r="Q33" s="534">
        <f>'6TotalEnr'!Q33-'6bTotalDistanceEnr'!Q33</f>
        <v>0</v>
      </c>
      <c r="R33" s="534">
        <f>'6TotalEnr'!R33-'6bTotalDistanceEnr'!R33</f>
        <v>1072</v>
      </c>
      <c r="S33" s="534">
        <f>'6TotalEnr'!S33-'6bTotalDistanceEnr'!S33</f>
        <v>1141</v>
      </c>
      <c r="T33" s="534">
        <f>'6TotalEnr'!T33-'6bTotalDistanceEnr'!T33</f>
        <v>2213</v>
      </c>
      <c r="U33" s="534">
        <f>'6TotalEnr'!U33-'6bTotalDistanceEnr'!U33</f>
        <v>61</v>
      </c>
      <c r="V33" s="534">
        <f>'6TotalEnr'!V33-'6bTotalDistanceEnr'!V33</f>
        <v>11</v>
      </c>
      <c r="W33" s="534">
        <f>'6TotalEnr'!W33-'6bTotalDistanceEnr'!W33</f>
        <v>72</v>
      </c>
      <c r="X33" s="534">
        <f>'6TotalEnr'!X33-'6bTotalDistanceEnr'!X33</f>
        <v>153</v>
      </c>
      <c r="Y33" s="534">
        <f>'6TotalEnr'!Y33-'6bTotalDistanceEnr'!Y33</f>
        <v>222</v>
      </c>
      <c r="Z33" s="534">
        <f>'6TotalEnr'!Z33-'6bTotalDistanceEnr'!Z33</f>
        <v>375</v>
      </c>
      <c r="AA33" s="534">
        <f>'6TotalEnr'!AA33-'6bTotalDistanceEnr'!AA33</f>
        <v>13415</v>
      </c>
      <c r="AB33" s="534">
        <f>'6TotalEnr'!AB33-'6bTotalDistanceEnr'!AB33</f>
        <v>14185</v>
      </c>
      <c r="AC33" s="534">
        <f>'6TotalEnr'!AC33-'6bTotalDistanceEnr'!AC33</f>
        <v>27600</v>
      </c>
      <c r="AD33" s="759">
        <v>7174</v>
      </c>
      <c r="AE33" s="761">
        <v>0.14771660073915954</v>
      </c>
    </row>
    <row r="34" spans="1:31" s="87" customFormat="1" ht="20.25" customHeight="1">
      <c r="A34" s="532">
        <v>30</v>
      </c>
      <c r="B34" s="535" t="s">
        <v>44</v>
      </c>
      <c r="C34" s="534">
        <f>'6TotalEnr'!C34-'6bTotalDistanceEnr'!C34</f>
        <v>17443</v>
      </c>
      <c r="D34" s="534">
        <f>'6TotalEnr'!D34-'6bTotalDistanceEnr'!D34</f>
        <v>16968</v>
      </c>
      <c r="E34" s="534">
        <f>'6TotalEnr'!E34-'6bTotalDistanceEnr'!E34</f>
        <v>34411</v>
      </c>
      <c r="F34" s="534">
        <f>'6TotalEnr'!F34-'6bTotalDistanceEnr'!F34</f>
        <v>1696</v>
      </c>
      <c r="G34" s="534">
        <f>'6TotalEnr'!G34-'6bTotalDistanceEnr'!G34</f>
        <v>5007</v>
      </c>
      <c r="H34" s="534">
        <f>'6TotalEnr'!H34-'6bTotalDistanceEnr'!H34</f>
        <v>6703</v>
      </c>
      <c r="I34" s="534">
        <f>'6TotalEnr'!I34-'6bTotalDistanceEnr'!I34</f>
        <v>106868</v>
      </c>
      <c r="J34" s="534">
        <f>'6TotalEnr'!J34-'6bTotalDistanceEnr'!J34</f>
        <v>175312</v>
      </c>
      <c r="K34" s="534">
        <f>'6TotalEnr'!K34-'6bTotalDistanceEnr'!K34</f>
        <v>282180</v>
      </c>
      <c r="L34" s="534">
        <f>'6TotalEnr'!L34-'6bTotalDistanceEnr'!L34</f>
        <v>1091024</v>
      </c>
      <c r="M34" s="534">
        <f>'6TotalEnr'!M34-'6bTotalDistanceEnr'!M34</f>
        <v>1186072</v>
      </c>
      <c r="N34" s="534">
        <f>'6TotalEnr'!N34-'6bTotalDistanceEnr'!N34</f>
        <v>2277096</v>
      </c>
      <c r="O34" s="534">
        <f>'6TotalEnr'!O34-'6bTotalDistanceEnr'!O34</f>
        <v>1232</v>
      </c>
      <c r="P34" s="534">
        <f>'6TotalEnr'!P34-'6bTotalDistanceEnr'!P34</f>
        <v>1292</v>
      </c>
      <c r="Q34" s="534">
        <f>'6TotalEnr'!Q34-'6bTotalDistanceEnr'!Q34</f>
        <v>2524</v>
      </c>
      <c r="R34" s="534">
        <f>'6TotalEnr'!R34-'6bTotalDistanceEnr'!R34</f>
        <v>238219</v>
      </c>
      <c r="S34" s="534">
        <f>'6TotalEnr'!S34-'6bTotalDistanceEnr'!S34</f>
        <v>50394</v>
      </c>
      <c r="T34" s="534">
        <f>'6TotalEnr'!T34-'6bTotalDistanceEnr'!T34</f>
        <v>288613</v>
      </c>
      <c r="U34" s="534">
        <f>'6TotalEnr'!U34-'6bTotalDistanceEnr'!U34</f>
        <v>2574</v>
      </c>
      <c r="V34" s="534">
        <f>'6TotalEnr'!V34-'6bTotalDistanceEnr'!V34</f>
        <v>4848</v>
      </c>
      <c r="W34" s="534">
        <f>'6TotalEnr'!W34-'6bTotalDistanceEnr'!W34</f>
        <v>7422</v>
      </c>
      <c r="X34" s="534">
        <f>'6TotalEnr'!X34-'6bTotalDistanceEnr'!X34</f>
        <v>11859</v>
      </c>
      <c r="Y34" s="534">
        <f>'6TotalEnr'!Y34-'6bTotalDistanceEnr'!Y34</f>
        <v>11193</v>
      </c>
      <c r="Z34" s="534">
        <f>'6TotalEnr'!Z34-'6bTotalDistanceEnr'!Z34</f>
        <v>23052</v>
      </c>
      <c r="AA34" s="534">
        <f>'6TotalEnr'!AA34-'6bTotalDistanceEnr'!AA34</f>
        <v>1470915</v>
      </c>
      <c r="AB34" s="534">
        <f>'6TotalEnr'!AB34-'6bTotalDistanceEnr'!AB34</f>
        <v>1451086</v>
      </c>
      <c r="AC34" s="534">
        <f>'6TotalEnr'!AC34-'6bTotalDistanceEnr'!AC34</f>
        <v>2922001</v>
      </c>
      <c r="AD34" s="759">
        <v>414402</v>
      </c>
      <c r="AE34" s="761">
        <v>8.5327648145398918</v>
      </c>
    </row>
    <row r="35" spans="1:31" s="87" customFormat="1" ht="20.25" customHeight="1">
      <c r="A35" s="532">
        <v>31</v>
      </c>
      <c r="B35" s="535" t="s">
        <v>142</v>
      </c>
      <c r="C35" s="534">
        <f>'6TotalEnr'!C35-'6bTotalDistanceEnr'!C35</f>
        <v>4228</v>
      </c>
      <c r="D35" s="534">
        <f>'6TotalEnr'!D35-'6bTotalDistanceEnr'!D35</f>
        <v>2487</v>
      </c>
      <c r="E35" s="534">
        <f>'6TotalEnr'!E35-'6bTotalDistanceEnr'!E35</f>
        <v>6715</v>
      </c>
      <c r="F35" s="534">
        <f>'6TotalEnr'!F35-'6bTotalDistanceEnr'!F35</f>
        <v>106</v>
      </c>
      <c r="G35" s="534">
        <f>'6TotalEnr'!G35-'6bTotalDistanceEnr'!G35</f>
        <v>74</v>
      </c>
      <c r="H35" s="534">
        <f>'6TotalEnr'!H35-'6bTotalDistanceEnr'!H35</f>
        <v>180</v>
      </c>
      <c r="I35" s="534">
        <f>'6TotalEnr'!I35-'6bTotalDistanceEnr'!I35</f>
        <v>68545</v>
      </c>
      <c r="J35" s="534">
        <f>'6TotalEnr'!J35-'6bTotalDistanceEnr'!J35</f>
        <v>87864</v>
      </c>
      <c r="K35" s="534">
        <f>'6TotalEnr'!K35-'6bTotalDistanceEnr'!K35</f>
        <v>156409</v>
      </c>
      <c r="L35" s="534">
        <f>'6TotalEnr'!L35-'6bTotalDistanceEnr'!L35</f>
        <v>561388</v>
      </c>
      <c r="M35" s="534">
        <f>'6TotalEnr'!M35-'6bTotalDistanceEnr'!M35</f>
        <v>593419</v>
      </c>
      <c r="N35" s="534">
        <f>'6TotalEnr'!N35-'6bTotalDistanceEnr'!N35</f>
        <v>1154807</v>
      </c>
      <c r="O35" s="534">
        <f>'6TotalEnr'!O35-'6bTotalDistanceEnr'!O35</f>
        <v>2111</v>
      </c>
      <c r="P35" s="534">
        <f>'6TotalEnr'!P35-'6bTotalDistanceEnr'!P35</f>
        <v>1740</v>
      </c>
      <c r="Q35" s="534">
        <f>'6TotalEnr'!Q35-'6bTotalDistanceEnr'!Q35</f>
        <v>3851</v>
      </c>
      <c r="R35" s="534">
        <f>'6TotalEnr'!R35-'6bTotalDistanceEnr'!R35</f>
        <v>55384</v>
      </c>
      <c r="S35" s="534">
        <f>'6TotalEnr'!S35-'6bTotalDistanceEnr'!S35</f>
        <v>42988</v>
      </c>
      <c r="T35" s="534">
        <f>'6TotalEnr'!T35-'6bTotalDistanceEnr'!T35</f>
        <v>98372</v>
      </c>
      <c r="U35" s="534">
        <f>'6TotalEnr'!U35-'6bTotalDistanceEnr'!U35</f>
        <v>858</v>
      </c>
      <c r="V35" s="534">
        <f>'6TotalEnr'!V35-'6bTotalDistanceEnr'!V35</f>
        <v>1017</v>
      </c>
      <c r="W35" s="534">
        <f>'6TotalEnr'!W35-'6bTotalDistanceEnr'!W35</f>
        <v>1875</v>
      </c>
      <c r="X35" s="534">
        <f>'6TotalEnr'!X35-'6bTotalDistanceEnr'!X35</f>
        <v>3866</v>
      </c>
      <c r="Y35" s="534">
        <f>'6TotalEnr'!Y35-'6bTotalDistanceEnr'!Y35</f>
        <v>2792</v>
      </c>
      <c r="Z35" s="534">
        <f>'6TotalEnr'!Z35-'6bTotalDistanceEnr'!Z35</f>
        <v>6658</v>
      </c>
      <c r="AA35" s="534">
        <f>'6TotalEnr'!AA35-'6bTotalDistanceEnr'!AA35</f>
        <v>696486</v>
      </c>
      <c r="AB35" s="534">
        <f>'6TotalEnr'!AB35-'6bTotalDistanceEnr'!AB35</f>
        <v>732381</v>
      </c>
      <c r="AC35" s="534">
        <f>'6TotalEnr'!AC35-'6bTotalDistanceEnr'!AC35</f>
        <v>1428867</v>
      </c>
      <c r="AD35" s="759">
        <v>144931</v>
      </c>
      <c r="AE35" s="761">
        <v>2.9842089018298203</v>
      </c>
    </row>
    <row r="36" spans="1:31" s="87" customFormat="1" ht="33.75" customHeight="1">
      <c r="A36" s="532">
        <v>32</v>
      </c>
      <c r="B36" s="533" t="s">
        <v>173</v>
      </c>
      <c r="C36" s="534">
        <f>'6TotalEnr'!C36-'6bTotalDistanceEnr'!C36</f>
        <v>0</v>
      </c>
      <c r="D36" s="534">
        <f>'6TotalEnr'!D36-'6bTotalDistanceEnr'!D36</f>
        <v>0</v>
      </c>
      <c r="E36" s="534">
        <f>'6TotalEnr'!E36-'6bTotalDistanceEnr'!E36</f>
        <v>0</v>
      </c>
      <c r="F36" s="534">
        <f>'6TotalEnr'!F36-'6bTotalDistanceEnr'!F36</f>
        <v>0</v>
      </c>
      <c r="G36" s="534">
        <f>'6TotalEnr'!G36-'6bTotalDistanceEnr'!G36</f>
        <v>0</v>
      </c>
      <c r="H36" s="534">
        <f>'6TotalEnr'!H36-'6bTotalDistanceEnr'!H36</f>
        <v>0</v>
      </c>
      <c r="I36" s="534">
        <f>'6TotalEnr'!I36-'6bTotalDistanceEnr'!I36</f>
        <v>259</v>
      </c>
      <c r="J36" s="534">
        <f>'6TotalEnr'!J36-'6bTotalDistanceEnr'!J36</f>
        <v>508</v>
      </c>
      <c r="K36" s="534">
        <f>'6TotalEnr'!K36-'6bTotalDistanceEnr'!K36</f>
        <v>767</v>
      </c>
      <c r="L36" s="534">
        <f>'6TotalEnr'!L36-'6bTotalDistanceEnr'!L36</f>
        <v>4020</v>
      </c>
      <c r="M36" s="534">
        <f>'6TotalEnr'!M36-'6bTotalDistanceEnr'!M36</f>
        <v>4681</v>
      </c>
      <c r="N36" s="534">
        <f>'6TotalEnr'!N36-'6bTotalDistanceEnr'!N36</f>
        <v>8701</v>
      </c>
      <c r="O36" s="534">
        <f>'6TotalEnr'!O36-'6bTotalDistanceEnr'!O36</f>
        <v>0</v>
      </c>
      <c r="P36" s="534">
        <f>'6TotalEnr'!P36-'6bTotalDistanceEnr'!P36</f>
        <v>0</v>
      </c>
      <c r="Q36" s="534">
        <f>'6TotalEnr'!Q36-'6bTotalDistanceEnr'!Q36</f>
        <v>0</v>
      </c>
      <c r="R36" s="534">
        <f>'6TotalEnr'!R36-'6bTotalDistanceEnr'!R36</f>
        <v>1647</v>
      </c>
      <c r="S36" s="534">
        <f>'6TotalEnr'!S36-'6bTotalDistanceEnr'!S36</f>
        <v>397</v>
      </c>
      <c r="T36" s="534">
        <f>'6TotalEnr'!T36-'6bTotalDistanceEnr'!T36</f>
        <v>2044</v>
      </c>
      <c r="U36" s="534">
        <f>'6TotalEnr'!U36-'6bTotalDistanceEnr'!U36</f>
        <v>0</v>
      </c>
      <c r="V36" s="534">
        <f>'6TotalEnr'!V36-'6bTotalDistanceEnr'!V36</f>
        <v>0</v>
      </c>
      <c r="W36" s="534">
        <f>'6TotalEnr'!W36-'6bTotalDistanceEnr'!W36</f>
        <v>0</v>
      </c>
      <c r="X36" s="534">
        <f>'6TotalEnr'!X36-'6bTotalDistanceEnr'!X36</f>
        <v>22</v>
      </c>
      <c r="Y36" s="534">
        <f>'6TotalEnr'!Y36-'6bTotalDistanceEnr'!Y36</f>
        <v>36</v>
      </c>
      <c r="Z36" s="534">
        <f>'6TotalEnr'!Z36-'6bTotalDistanceEnr'!Z36</f>
        <v>58</v>
      </c>
      <c r="AA36" s="534">
        <f>'6TotalEnr'!AA36-'6bTotalDistanceEnr'!AA36</f>
        <v>5948</v>
      </c>
      <c r="AB36" s="534">
        <f>'6TotalEnr'!AB36-'6bTotalDistanceEnr'!AB36</f>
        <v>5622</v>
      </c>
      <c r="AC36" s="534">
        <f>'6TotalEnr'!AC36-'6bTotalDistanceEnr'!AC36</f>
        <v>11570</v>
      </c>
      <c r="AD36" s="759"/>
      <c r="AE36" s="761"/>
    </row>
    <row r="37" spans="1:31" s="87" customFormat="1" ht="20.25" customHeight="1">
      <c r="A37" s="532">
        <v>33</v>
      </c>
      <c r="B37" s="535" t="s">
        <v>45</v>
      </c>
      <c r="C37" s="534">
        <f>'6TotalEnr'!C37-'6bTotalDistanceEnr'!C37</f>
        <v>452</v>
      </c>
      <c r="D37" s="534">
        <f>'6TotalEnr'!D37-'6bTotalDistanceEnr'!D37</f>
        <v>220</v>
      </c>
      <c r="E37" s="534">
        <f>'6TotalEnr'!E37-'6bTotalDistanceEnr'!E37</f>
        <v>672</v>
      </c>
      <c r="F37" s="534">
        <f>'6TotalEnr'!F37-'6bTotalDistanceEnr'!F37</f>
        <v>2</v>
      </c>
      <c r="G37" s="534">
        <f>'6TotalEnr'!G37-'6bTotalDistanceEnr'!G37</f>
        <v>10</v>
      </c>
      <c r="H37" s="534">
        <f>'6TotalEnr'!H37-'6bTotalDistanceEnr'!H37</f>
        <v>12</v>
      </c>
      <c r="I37" s="534">
        <f>'6TotalEnr'!I37-'6bTotalDistanceEnr'!I37</f>
        <v>2536</v>
      </c>
      <c r="J37" s="534">
        <f>'6TotalEnr'!J37-'6bTotalDistanceEnr'!J37</f>
        <v>2425</v>
      </c>
      <c r="K37" s="534">
        <f>'6TotalEnr'!K37-'6bTotalDistanceEnr'!K37</f>
        <v>4961</v>
      </c>
      <c r="L37" s="534">
        <f>'6TotalEnr'!L37-'6bTotalDistanceEnr'!L37</f>
        <v>35886</v>
      </c>
      <c r="M37" s="534">
        <f>'6TotalEnr'!M37-'6bTotalDistanceEnr'!M37</f>
        <v>32179</v>
      </c>
      <c r="N37" s="534">
        <f>'6TotalEnr'!N37-'6bTotalDistanceEnr'!N37</f>
        <v>68065</v>
      </c>
      <c r="O37" s="534">
        <f>'6TotalEnr'!O37-'6bTotalDistanceEnr'!O37</f>
        <v>47</v>
      </c>
      <c r="P37" s="534">
        <f>'6TotalEnr'!P37-'6bTotalDistanceEnr'!P37</f>
        <v>107</v>
      </c>
      <c r="Q37" s="534">
        <f>'6TotalEnr'!Q37-'6bTotalDistanceEnr'!Q37</f>
        <v>154</v>
      </c>
      <c r="R37" s="534">
        <f>'6TotalEnr'!R37-'6bTotalDistanceEnr'!R37</f>
        <v>2225</v>
      </c>
      <c r="S37" s="534">
        <f>'6TotalEnr'!S37-'6bTotalDistanceEnr'!S37</f>
        <v>2603</v>
      </c>
      <c r="T37" s="534">
        <f>'6TotalEnr'!T37-'6bTotalDistanceEnr'!T37</f>
        <v>4828</v>
      </c>
      <c r="U37" s="534">
        <f>'6TotalEnr'!U37-'6bTotalDistanceEnr'!U37</f>
        <v>15</v>
      </c>
      <c r="V37" s="534">
        <f>'6TotalEnr'!V37-'6bTotalDistanceEnr'!V37</f>
        <v>13</v>
      </c>
      <c r="W37" s="534">
        <f>'6TotalEnr'!W37-'6bTotalDistanceEnr'!W37</f>
        <v>28</v>
      </c>
      <c r="X37" s="534">
        <f>'6TotalEnr'!X37-'6bTotalDistanceEnr'!X37</f>
        <v>871</v>
      </c>
      <c r="Y37" s="534">
        <f>'6TotalEnr'!Y37-'6bTotalDistanceEnr'!Y37</f>
        <v>723</v>
      </c>
      <c r="Z37" s="534">
        <f>'6TotalEnr'!Z37-'6bTotalDistanceEnr'!Z37</f>
        <v>1594</v>
      </c>
      <c r="AA37" s="534">
        <f>'6TotalEnr'!AA37-'6bTotalDistanceEnr'!AA37</f>
        <v>42034</v>
      </c>
      <c r="AB37" s="534">
        <f>'6TotalEnr'!AB37-'6bTotalDistanceEnr'!AB37</f>
        <v>38280</v>
      </c>
      <c r="AC37" s="534">
        <f>'6TotalEnr'!AC37-'6bTotalDistanceEnr'!AC37</f>
        <v>80314</v>
      </c>
      <c r="AD37" s="759">
        <v>12346</v>
      </c>
      <c r="AE37" s="761">
        <v>0.25421092176270749</v>
      </c>
    </row>
    <row r="38" spans="1:31" s="87" customFormat="1" ht="20.25" customHeight="1">
      <c r="A38" s="532">
        <v>34</v>
      </c>
      <c r="B38" s="535" t="s">
        <v>47</v>
      </c>
      <c r="C38" s="534">
        <f>'6TotalEnr'!C38-'6bTotalDistanceEnr'!C38</f>
        <v>11560</v>
      </c>
      <c r="D38" s="534">
        <f>'6TotalEnr'!D38-'6bTotalDistanceEnr'!D38</f>
        <v>8246</v>
      </c>
      <c r="E38" s="534">
        <f>'6TotalEnr'!E38-'6bTotalDistanceEnr'!E38</f>
        <v>19806</v>
      </c>
      <c r="F38" s="534">
        <f>'6TotalEnr'!F38-'6bTotalDistanceEnr'!F38</f>
        <v>234</v>
      </c>
      <c r="G38" s="534">
        <f>'6TotalEnr'!G38-'6bTotalDistanceEnr'!G38</f>
        <v>381</v>
      </c>
      <c r="H38" s="534">
        <f>'6TotalEnr'!H38-'6bTotalDistanceEnr'!H38</f>
        <v>615</v>
      </c>
      <c r="I38" s="534">
        <f>'6TotalEnr'!I38-'6bTotalDistanceEnr'!I38</f>
        <v>250456</v>
      </c>
      <c r="J38" s="534">
        <f>'6TotalEnr'!J38-'6bTotalDistanceEnr'!J38</f>
        <v>332791</v>
      </c>
      <c r="K38" s="534">
        <f>'6TotalEnr'!K38-'6bTotalDistanceEnr'!K38</f>
        <v>583247</v>
      </c>
      <c r="L38" s="534">
        <f>'6TotalEnr'!L38-'6bTotalDistanceEnr'!L38</f>
        <v>2781718</v>
      </c>
      <c r="M38" s="534">
        <f>'6TotalEnr'!M38-'6bTotalDistanceEnr'!M38</f>
        <v>2708037</v>
      </c>
      <c r="N38" s="534">
        <f>'6TotalEnr'!N38-'6bTotalDistanceEnr'!N38</f>
        <v>5489755</v>
      </c>
      <c r="O38" s="534">
        <f>'6TotalEnr'!O38-'6bTotalDistanceEnr'!O38</f>
        <v>7063</v>
      </c>
      <c r="P38" s="534">
        <f>'6TotalEnr'!P38-'6bTotalDistanceEnr'!P38</f>
        <v>5107</v>
      </c>
      <c r="Q38" s="534">
        <f>'6TotalEnr'!Q38-'6bTotalDistanceEnr'!Q38</f>
        <v>12170</v>
      </c>
      <c r="R38" s="534">
        <f>'6TotalEnr'!R38-'6bTotalDistanceEnr'!R38</f>
        <v>213233</v>
      </c>
      <c r="S38" s="534">
        <f>'6TotalEnr'!S38-'6bTotalDistanceEnr'!S38</f>
        <v>110525</v>
      </c>
      <c r="T38" s="534">
        <f>'6TotalEnr'!T38-'6bTotalDistanceEnr'!T38</f>
        <v>323758</v>
      </c>
      <c r="U38" s="534">
        <f>'6TotalEnr'!U38-'6bTotalDistanceEnr'!U38</f>
        <v>7153</v>
      </c>
      <c r="V38" s="534">
        <f>'6TotalEnr'!V38-'6bTotalDistanceEnr'!V38</f>
        <v>8143</v>
      </c>
      <c r="W38" s="534">
        <f>'6TotalEnr'!W38-'6bTotalDistanceEnr'!W38</f>
        <v>15296</v>
      </c>
      <c r="X38" s="534">
        <f>'6TotalEnr'!X38-'6bTotalDistanceEnr'!X38</f>
        <v>32566</v>
      </c>
      <c r="Y38" s="534">
        <f>'6TotalEnr'!Y38-'6bTotalDistanceEnr'!Y38</f>
        <v>19340</v>
      </c>
      <c r="Z38" s="534">
        <f>'6TotalEnr'!Z38-'6bTotalDistanceEnr'!Z38</f>
        <v>51906</v>
      </c>
      <c r="AA38" s="534">
        <f>'6TotalEnr'!AA38-'6bTotalDistanceEnr'!AA38</f>
        <v>3303983</v>
      </c>
      <c r="AB38" s="534">
        <f>'6TotalEnr'!AB38-'6bTotalDistanceEnr'!AB38</f>
        <v>3192570</v>
      </c>
      <c r="AC38" s="534">
        <f>'6TotalEnr'!AC38-'6bTotalDistanceEnr'!AC38</f>
        <v>6496553</v>
      </c>
      <c r="AD38" s="759">
        <v>154519</v>
      </c>
      <c r="AE38" s="761">
        <v>3.1816310885996923</v>
      </c>
    </row>
    <row r="39" spans="1:31" s="87" customFormat="1" ht="20.25" customHeight="1">
      <c r="A39" s="532">
        <v>35</v>
      </c>
      <c r="B39" s="535" t="s">
        <v>46</v>
      </c>
      <c r="C39" s="534">
        <f>'6TotalEnr'!C39-'6bTotalDistanceEnr'!C39</f>
        <v>4099</v>
      </c>
      <c r="D39" s="534">
        <f>'6TotalEnr'!D39-'6bTotalDistanceEnr'!D39</f>
        <v>2533</v>
      </c>
      <c r="E39" s="534">
        <f>'6TotalEnr'!E39-'6bTotalDistanceEnr'!E39</f>
        <v>6632</v>
      </c>
      <c r="F39" s="534">
        <f>'6TotalEnr'!F39-'6bTotalDistanceEnr'!F39</f>
        <v>4</v>
      </c>
      <c r="G39" s="534">
        <f>'6TotalEnr'!G39-'6bTotalDistanceEnr'!G39</f>
        <v>1</v>
      </c>
      <c r="H39" s="534">
        <f>'6TotalEnr'!H39-'6bTotalDistanceEnr'!H39</f>
        <v>5</v>
      </c>
      <c r="I39" s="534">
        <f>'6TotalEnr'!I39-'6bTotalDistanceEnr'!I39</f>
        <v>31382</v>
      </c>
      <c r="J39" s="534">
        <f>'6TotalEnr'!J39-'6bTotalDistanceEnr'!J39</f>
        <v>40142</v>
      </c>
      <c r="K39" s="534">
        <f>'6TotalEnr'!K39-'6bTotalDistanceEnr'!K39</f>
        <v>71524</v>
      </c>
      <c r="L39" s="534">
        <f>'6TotalEnr'!L39-'6bTotalDistanceEnr'!L39</f>
        <v>194631</v>
      </c>
      <c r="M39" s="534">
        <f>'6TotalEnr'!M39-'6bTotalDistanceEnr'!M39</f>
        <v>207892</v>
      </c>
      <c r="N39" s="534">
        <f>'6TotalEnr'!N39-'6bTotalDistanceEnr'!N39</f>
        <v>402523</v>
      </c>
      <c r="O39" s="534">
        <f>'6TotalEnr'!O39-'6bTotalDistanceEnr'!O39</f>
        <v>772</v>
      </c>
      <c r="P39" s="534">
        <f>'6TotalEnr'!P39-'6bTotalDistanceEnr'!P39</f>
        <v>917</v>
      </c>
      <c r="Q39" s="534">
        <f>'6TotalEnr'!Q39-'6bTotalDistanceEnr'!Q39</f>
        <v>1689</v>
      </c>
      <c r="R39" s="534">
        <f>'6TotalEnr'!R39-'6bTotalDistanceEnr'!R39</f>
        <v>20453</v>
      </c>
      <c r="S39" s="534">
        <f>'6TotalEnr'!S39-'6bTotalDistanceEnr'!S39</f>
        <v>7620</v>
      </c>
      <c r="T39" s="534">
        <f>'6TotalEnr'!T39-'6bTotalDistanceEnr'!T39</f>
        <v>28073</v>
      </c>
      <c r="U39" s="534">
        <f>'6TotalEnr'!U39-'6bTotalDistanceEnr'!U39</f>
        <v>303</v>
      </c>
      <c r="V39" s="534">
        <f>'6TotalEnr'!V39-'6bTotalDistanceEnr'!V39</f>
        <v>75</v>
      </c>
      <c r="W39" s="534">
        <f>'6TotalEnr'!W39-'6bTotalDistanceEnr'!W39</f>
        <v>378</v>
      </c>
      <c r="X39" s="534">
        <f>'6TotalEnr'!X39-'6bTotalDistanceEnr'!X39</f>
        <v>3951</v>
      </c>
      <c r="Y39" s="534">
        <f>'6TotalEnr'!Y39-'6bTotalDistanceEnr'!Y39</f>
        <v>2549</v>
      </c>
      <c r="Z39" s="534">
        <f>'6TotalEnr'!Z39-'6bTotalDistanceEnr'!Z39</f>
        <v>6500</v>
      </c>
      <c r="AA39" s="534">
        <f>'6TotalEnr'!AA39-'6bTotalDistanceEnr'!AA39</f>
        <v>255595</v>
      </c>
      <c r="AB39" s="534">
        <f>'6TotalEnr'!AB39-'6bTotalDistanceEnr'!AB39</f>
        <v>261729</v>
      </c>
      <c r="AC39" s="534">
        <f>'6TotalEnr'!AC39-'6bTotalDistanceEnr'!AC39</f>
        <v>517324</v>
      </c>
      <c r="AD39" s="759">
        <v>186877</v>
      </c>
      <c r="AE39" s="761">
        <v>3.8479000831240473</v>
      </c>
    </row>
    <row r="40" spans="1:31" s="87" customFormat="1" ht="20.25" customHeight="1">
      <c r="A40" s="532">
        <v>36</v>
      </c>
      <c r="B40" s="535" t="s">
        <v>48</v>
      </c>
      <c r="C40" s="534">
        <f>'6TotalEnr'!C40-'6bTotalDistanceEnr'!C40</f>
        <v>8757</v>
      </c>
      <c r="D40" s="534">
        <f>'6TotalEnr'!D40-'6bTotalDistanceEnr'!D40</f>
        <v>5173</v>
      </c>
      <c r="E40" s="534">
        <f>'6TotalEnr'!E40-'6bTotalDistanceEnr'!E40</f>
        <v>13930</v>
      </c>
      <c r="F40" s="534">
        <f>'6TotalEnr'!F40-'6bTotalDistanceEnr'!F40</f>
        <v>1003</v>
      </c>
      <c r="G40" s="534">
        <f>'6TotalEnr'!G40-'6bTotalDistanceEnr'!G40</f>
        <v>963</v>
      </c>
      <c r="H40" s="534">
        <f>'6TotalEnr'!H40-'6bTotalDistanceEnr'!H40</f>
        <v>1966</v>
      </c>
      <c r="I40" s="534">
        <f>'6TotalEnr'!I40-'6bTotalDistanceEnr'!I40</f>
        <v>54306</v>
      </c>
      <c r="J40" s="534">
        <f>'6TotalEnr'!J40-'6bTotalDistanceEnr'!J40</f>
        <v>58050</v>
      </c>
      <c r="K40" s="534">
        <f>'6TotalEnr'!K40-'6bTotalDistanceEnr'!K40</f>
        <v>112356</v>
      </c>
      <c r="L40" s="534">
        <f>'6TotalEnr'!L40-'6bTotalDistanceEnr'!L40</f>
        <v>796648</v>
      </c>
      <c r="M40" s="534">
        <f>'6TotalEnr'!M40-'6bTotalDistanceEnr'!M40</f>
        <v>880729</v>
      </c>
      <c r="N40" s="534">
        <f>'6TotalEnr'!N40-'6bTotalDistanceEnr'!N40</f>
        <v>1677377</v>
      </c>
      <c r="O40" s="534">
        <f>'6TotalEnr'!O40-'6bTotalDistanceEnr'!O40</f>
        <v>2461</v>
      </c>
      <c r="P40" s="534">
        <f>'6TotalEnr'!P40-'6bTotalDistanceEnr'!P40</f>
        <v>1487</v>
      </c>
      <c r="Q40" s="534">
        <f>'6TotalEnr'!Q40-'6bTotalDistanceEnr'!Q40</f>
        <v>3948</v>
      </c>
      <c r="R40" s="534">
        <f>'6TotalEnr'!R40-'6bTotalDistanceEnr'!R40</f>
        <v>116546</v>
      </c>
      <c r="S40" s="534">
        <f>'6TotalEnr'!S40-'6bTotalDistanceEnr'!S40</f>
        <v>73976</v>
      </c>
      <c r="T40" s="534">
        <f>'6TotalEnr'!T40-'6bTotalDistanceEnr'!T40</f>
        <v>190522</v>
      </c>
      <c r="U40" s="534">
        <f>'6TotalEnr'!U40-'6bTotalDistanceEnr'!U40</f>
        <v>2050</v>
      </c>
      <c r="V40" s="534">
        <f>'6TotalEnr'!V40-'6bTotalDistanceEnr'!V40</f>
        <v>2631</v>
      </c>
      <c r="W40" s="534">
        <f>'6TotalEnr'!W40-'6bTotalDistanceEnr'!W40</f>
        <v>4681</v>
      </c>
      <c r="X40" s="534">
        <f>'6TotalEnr'!X40-'6bTotalDistanceEnr'!X40</f>
        <v>9939</v>
      </c>
      <c r="Y40" s="534">
        <f>'6TotalEnr'!Y40-'6bTotalDistanceEnr'!Y40</f>
        <v>5418</v>
      </c>
      <c r="Z40" s="534">
        <f>'6TotalEnr'!Z40-'6bTotalDistanceEnr'!Z40</f>
        <v>15357</v>
      </c>
      <c r="AA40" s="534">
        <f>'6TotalEnr'!AA40-'6bTotalDistanceEnr'!AA40</f>
        <v>991710</v>
      </c>
      <c r="AB40" s="534">
        <f>'6TotalEnr'!AB40-'6bTotalDistanceEnr'!AB40</f>
        <v>1028427</v>
      </c>
      <c r="AC40" s="534">
        <f>'6TotalEnr'!AC40-'6bTotalDistanceEnr'!AC40</f>
        <v>2020137</v>
      </c>
      <c r="AD40" s="759">
        <v>195404</v>
      </c>
      <c r="AE40" s="761">
        <v>4.023475697077604</v>
      </c>
    </row>
    <row r="41" spans="1:31" s="809" customFormat="1" ht="20.25" customHeight="1">
      <c r="A41" s="942" t="s">
        <v>49</v>
      </c>
      <c r="B41" s="942"/>
      <c r="C41" s="862">
        <f>'6TotalEnr'!C41-'6bTotalDistanceEnr'!C41</f>
        <v>116756</v>
      </c>
      <c r="D41" s="862">
        <f>'6TotalEnr'!D41-'6bTotalDistanceEnr'!D41</f>
        <v>95086</v>
      </c>
      <c r="E41" s="862">
        <f>'6TotalEnr'!E41-'6bTotalDistanceEnr'!E41</f>
        <v>211842</v>
      </c>
      <c r="F41" s="862">
        <f>'6TotalEnr'!F41-'6bTotalDistanceEnr'!F41</f>
        <v>6345</v>
      </c>
      <c r="G41" s="862">
        <f>'6TotalEnr'!G41-'6bTotalDistanceEnr'!G41</f>
        <v>10399</v>
      </c>
      <c r="H41" s="862">
        <f>'6TotalEnr'!H41-'6bTotalDistanceEnr'!H41</f>
        <v>16744</v>
      </c>
      <c r="I41" s="862">
        <f>'6TotalEnr'!I41-'6bTotalDistanceEnr'!I41</f>
        <v>1496213</v>
      </c>
      <c r="J41" s="862">
        <f>'6TotalEnr'!J41-'6bTotalDistanceEnr'!J41</f>
        <v>1955015</v>
      </c>
      <c r="K41" s="862">
        <f>'6TotalEnr'!K41-'6bTotalDistanceEnr'!K41</f>
        <v>3451228</v>
      </c>
      <c r="L41" s="862">
        <f>'6TotalEnr'!L41-'6bTotalDistanceEnr'!L41</f>
        <v>15009256</v>
      </c>
      <c r="M41" s="862">
        <f>'6TotalEnr'!M41-'6bTotalDistanceEnr'!M41</f>
        <v>14687217</v>
      </c>
      <c r="N41" s="862">
        <f>'6TotalEnr'!N41-'6bTotalDistanceEnr'!N41</f>
        <v>29696473</v>
      </c>
      <c r="O41" s="862">
        <f>'6TotalEnr'!O41-'6bTotalDistanceEnr'!O41</f>
        <v>69158</v>
      </c>
      <c r="P41" s="862">
        <f>'6TotalEnr'!P41-'6bTotalDistanceEnr'!P41</f>
        <v>60147</v>
      </c>
      <c r="Q41" s="862">
        <f>'6TotalEnr'!Q41-'6bTotalDistanceEnr'!Q41</f>
        <v>129305</v>
      </c>
      <c r="R41" s="862">
        <f>'6TotalEnr'!R41-'6bTotalDistanceEnr'!R41</f>
        <v>1797136</v>
      </c>
      <c r="S41" s="862">
        <f>'6TotalEnr'!S41-'6bTotalDistanceEnr'!S41</f>
        <v>1021519</v>
      </c>
      <c r="T41" s="862">
        <f>'6TotalEnr'!T41-'6bTotalDistanceEnr'!T41</f>
        <v>2818655</v>
      </c>
      <c r="U41" s="862">
        <f>'6TotalEnr'!U41-'6bTotalDistanceEnr'!U41</f>
        <v>52362</v>
      </c>
      <c r="V41" s="862">
        <f>'6TotalEnr'!V41-'6bTotalDistanceEnr'!V41</f>
        <v>47042</v>
      </c>
      <c r="W41" s="862">
        <f>'6TotalEnr'!W41-'6bTotalDistanceEnr'!W41</f>
        <v>99404</v>
      </c>
      <c r="X41" s="862">
        <f>'6TotalEnr'!X41-'6bTotalDistanceEnr'!X41</f>
        <v>211932</v>
      </c>
      <c r="Y41" s="862">
        <f>'6TotalEnr'!Y41-'6bTotalDistanceEnr'!Y41</f>
        <v>173256</v>
      </c>
      <c r="Z41" s="862">
        <f>'6TotalEnr'!Z41-'6bTotalDistanceEnr'!Z41</f>
        <v>385188</v>
      </c>
      <c r="AA41" s="862">
        <f>'6TotalEnr'!AA41-'6bTotalDistanceEnr'!AA41</f>
        <v>18759158</v>
      </c>
      <c r="AB41" s="862">
        <f>'6TotalEnr'!AB41-'6bTotalDistanceEnr'!AB41</f>
        <v>18049681</v>
      </c>
      <c r="AC41" s="862">
        <f>'6TotalEnr'!AC41-'6bTotalDistanceEnr'!AC41</f>
        <v>36808839</v>
      </c>
      <c r="AD41" s="759">
        <v>4856597</v>
      </c>
      <c r="AE41" s="761">
        <v>100</v>
      </c>
    </row>
    <row r="43" spans="1:31">
      <c r="C43" s="88">
        <v>8</v>
      </c>
      <c r="D43" s="88">
        <v>2</v>
      </c>
      <c r="E43" s="88">
        <v>10</v>
      </c>
      <c r="F43" s="88">
        <v>0</v>
      </c>
      <c r="G43" s="88">
        <v>0</v>
      </c>
      <c r="H43" s="88">
        <v>0</v>
      </c>
      <c r="I43" s="88">
        <v>611779</v>
      </c>
      <c r="J43" s="88">
        <v>751116</v>
      </c>
      <c r="K43" s="88">
        <v>1362895</v>
      </c>
      <c r="L43" s="88">
        <v>1838085</v>
      </c>
      <c r="M43" s="88">
        <v>1291801</v>
      </c>
      <c r="N43" s="88">
        <v>3129886</v>
      </c>
      <c r="O43" s="88">
        <v>76604</v>
      </c>
      <c r="P43" s="88">
        <v>54210</v>
      </c>
      <c r="Q43" s="88">
        <v>130814</v>
      </c>
      <c r="R43" s="88">
        <v>83348</v>
      </c>
      <c r="S43" s="88">
        <v>86442</v>
      </c>
      <c r="T43" s="88">
        <v>169790</v>
      </c>
      <c r="U43" s="88">
        <v>35631</v>
      </c>
      <c r="V43" s="88">
        <v>27218</v>
      </c>
      <c r="W43" s="88">
        <v>62849</v>
      </c>
      <c r="X43" s="88">
        <v>269</v>
      </c>
      <c r="Y43" s="88">
        <v>84</v>
      </c>
      <c r="Z43" s="88">
        <v>353</v>
      </c>
      <c r="AA43" s="88">
        <v>2645724</v>
      </c>
      <c r="AB43" s="88">
        <v>2210873</v>
      </c>
      <c r="AC43" s="88">
        <v>4856597</v>
      </c>
      <c r="AD43" s="863">
        <v>11.838181422545844</v>
      </c>
    </row>
    <row r="44" spans="1:31">
      <c r="C44" s="88" t="b">
        <v>1</v>
      </c>
      <c r="D44" s="88" t="b">
        <v>1</v>
      </c>
      <c r="E44" s="88" t="b">
        <v>1</v>
      </c>
      <c r="F44" s="88" t="b">
        <v>1</v>
      </c>
      <c r="G44" s="88" t="b">
        <v>1</v>
      </c>
      <c r="H44" s="88" t="b">
        <v>1</v>
      </c>
      <c r="I44" s="88" t="b">
        <v>1</v>
      </c>
      <c r="J44" s="88" t="b">
        <v>1</v>
      </c>
      <c r="K44" s="88" t="b">
        <v>1</v>
      </c>
      <c r="L44" s="88" t="b">
        <v>1</v>
      </c>
      <c r="M44" s="88" t="b">
        <v>1</v>
      </c>
      <c r="N44" s="88" t="b">
        <v>1</v>
      </c>
      <c r="O44" s="88" t="b">
        <v>1</v>
      </c>
      <c r="P44" s="88" t="b">
        <v>1</v>
      </c>
      <c r="Q44" s="88" t="b">
        <v>1</v>
      </c>
      <c r="R44" s="88" t="b">
        <v>1</v>
      </c>
      <c r="S44" s="88" t="b">
        <v>1</v>
      </c>
      <c r="T44" s="88" t="b">
        <v>1</v>
      </c>
      <c r="U44" s="88" t="b">
        <v>1</v>
      </c>
      <c r="V44" s="88" t="b">
        <v>1</v>
      </c>
      <c r="W44" s="88" t="b">
        <v>1</v>
      </c>
      <c r="X44" s="88" t="b">
        <v>1</v>
      </c>
      <c r="Y44" s="88" t="b">
        <v>1</v>
      </c>
      <c r="Z44" s="88" t="b">
        <v>1</v>
      </c>
      <c r="AA44" s="88" t="b">
        <v>1</v>
      </c>
      <c r="AB44" s="88" t="b">
        <v>1</v>
      </c>
      <c r="AC44" s="88" t="b">
        <v>1</v>
      </c>
    </row>
  </sheetData>
  <mergeCells count="12">
    <mergeCell ref="I2:K2"/>
    <mergeCell ref="L2:N2"/>
    <mergeCell ref="A41:B41"/>
    <mergeCell ref="A2:A3"/>
    <mergeCell ref="B2:B3"/>
    <mergeCell ref="C2:E2"/>
    <mergeCell ref="F2:H2"/>
    <mergeCell ref="O2:Q2"/>
    <mergeCell ref="R2:T2"/>
    <mergeCell ref="U2:W2"/>
    <mergeCell ref="X2:Z2"/>
    <mergeCell ref="AA2:AC2"/>
  </mergeCells>
  <printOptions horizontalCentered="1"/>
  <pageMargins left="0.70866141732283505" right="0.15748031496063" top="0.511811023622047" bottom="0.39370078740157499" header="0.196850393700787" footer="0.15748031496063"/>
  <pageSetup paperSize="9" scale="90" firstPageNumber="8" fitToWidth="0" orientation="portrait" useFirstPageNumber="1" r:id="rId1"/>
  <headerFooter>
    <oddFooter>&amp;L&amp;"Arial,Italic"&amp;9AISHE 2020-21&amp;CT-6a</oddFooter>
  </headerFooter>
  <colBreaks count="2" manualBreakCount="2">
    <brk id="11" max="40" man="1"/>
    <brk id="20" max="40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50"/>
  </sheetPr>
  <dimension ref="A1:AH56"/>
  <sheetViews>
    <sheetView view="pageBreakPreview" zoomScale="85" zoomScaleSheetLayoutView="85" workbookViewId="0">
      <pane xSplit="2" ySplit="3" topLeftCell="U29" activePane="bottomRight" state="frozen"/>
      <selection activeCell="H31" sqref="H31"/>
      <selection pane="topRight" activeCell="H31" sqref="H31"/>
      <selection pane="bottomLeft" activeCell="H31" sqref="H31"/>
      <selection pane="bottomRight" activeCell="AC41" sqref="AC41"/>
    </sheetView>
  </sheetViews>
  <sheetFormatPr defaultColWidth="9.1796875" defaultRowHeight="14"/>
  <cols>
    <col min="1" max="1" width="5.1796875" style="659" customWidth="1"/>
    <col min="2" max="2" width="23.453125" style="659" customWidth="1"/>
    <col min="3" max="3" width="7.7265625" style="659" customWidth="1"/>
    <col min="4" max="5" width="8.1796875" style="659" customWidth="1"/>
    <col min="6" max="6" width="7.26953125" style="659" customWidth="1"/>
    <col min="7" max="7" width="8.1796875" style="659" customWidth="1"/>
    <col min="8" max="8" width="6.7265625" style="659" customWidth="1"/>
    <col min="9" max="11" width="9.26953125" style="659" customWidth="1"/>
    <col min="12" max="12" width="10" style="659" customWidth="1"/>
    <col min="13" max="13" width="9.81640625" style="659" customWidth="1"/>
    <col min="14" max="14" width="10.1796875" style="659" customWidth="1"/>
    <col min="15" max="15" width="6.81640625" style="659" customWidth="1"/>
    <col min="16" max="16" width="8.26953125" style="659" bestFit="1" customWidth="1"/>
    <col min="17" max="17" width="8.1796875" style="659" bestFit="1" customWidth="1"/>
    <col min="18" max="18" width="8.1796875" style="659" customWidth="1"/>
    <col min="19" max="19" width="8.26953125" style="659" bestFit="1" customWidth="1"/>
    <col min="20" max="20" width="8" style="659" customWidth="1"/>
    <col min="21" max="21" width="6.81640625" style="659" customWidth="1"/>
    <col min="22" max="22" width="8.26953125" style="659" bestFit="1" customWidth="1"/>
    <col min="23" max="23" width="7.54296875" style="659" customWidth="1"/>
    <col min="24" max="24" width="6.81640625" style="659" customWidth="1"/>
    <col min="25" max="25" width="7.1796875" style="659" customWidth="1"/>
    <col min="26" max="26" width="7.54296875" style="659" customWidth="1"/>
    <col min="27" max="27" width="9.81640625" style="659" customWidth="1"/>
    <col min="28" max="28" width="10.453125" style="659" customWidth="1"/>
    <col min="29" max="30" width="10.26953125" style="659" customWidth="1"/>
    <col min="31" max="16384" width="9.1796875" style="659"/>
  </cols>
  <sheetData>
    <row r="1" spans="1:34" s="216" customFormat="1" ht="40.5" customHeight="1">
      <c r="B1" s="158" t="s">
        <v>178</v>
      </c>
      <c r="C1" s="950" t="s">
        <v>1003</v>
      </c>
      <c r="D1" s="950"/>
      <c r="E1" s="950"/>
      <c r="F1" s="950"/>
      <c r="G1" s="950"/>
      <c r="H1" s="950"/>
      <c r="I1" s="950"/>
      <c r="J1" s="950"/>
      <c r="K1" s="950"/>
      <c r="L1" s="950" t="s">
        <v>1003</v>
      </c>
      <c r="M1" s="950"/>
      <c r="N1" s="950"/>
      <c r="O1" s="950"/>
      <c r="P1" s="950"/>
      <c r="Q1" s="950"/>
      <c r="R1" s="950"/>
      <c r="S1" s="950"/>
      <c r="T1" s="950"/>
      <c r="U1" s="950" t="s">
        <v>1003</v>
      </c>
      <c r="V1" s="950"/>
      <c r="W1" s="950"/>
      <c r="X1" s="950"/>
      <c r="Y1" s="950"/>
      <c r="Z1" s="950"/>
      <c r="AA1" s="950"/>
      <c r="AB1" s="950"/>
      <c r="AC1" s="950"/>
    </row>
    <row r="2" spans="1:34" s="741" customFormat="1" ht="24.75" customHeight="1">
      <c r="A2" s="944" t="s">
        <v>84</v>
      </c>
      <c r="B2" s="946" t="s">
        <v>2</v>
      </c>
      <c r="C2" s="947" t="s">
        <v>89</v>
      </c>
      <c r="D2" s="948"/>
      <c r="E2" s="949"/>
      <c r="F2" s="947" t="s">
        <v>90</v>
      </c>
      <c r="G2" s="948"/>
      <c r="H2" s="949"/>
      <c r="I2" s="947" t="s">
        <v>85</v>
      </c>
      <c r="J2" s="948"/>
      <c r="K2" s="949"/>
      <c r="L2" s="947" t="s">
        <v>86</v>
      </c>
      <c r="M2" s="948"/>
      <c r="N2" s="949"/>
      <c r="O2" s="947" t="s">
        <v>91</v>
      </c>
      <c r="P2" s="948"/>
      <c r="Q2" s="949"/>
      <c r="R2" s="947" t="s">
        <v>92</v>
      </c>
      <c r="S2" s="948"/>
      <c r="T2" s="949"/>
      <c r="U2" s="947" t="s">
        <v>93</v>
      </c>
      <c r="V2" s="948"/>
      <c r="W2" s="949"/>
      <c r="X2" s="947" t="s">
        <v>94</v>
      </c>
      <c r="Y2" s="948"/>
      <c r="Z2" s="949"/>
      <c r="AA2" s="947" t="s">
        <v>60</v>
      </c>
      <c r="AB2" s="948"/>
      <c r="AC2" s="949"/>
      <c r="AD2" s="749"/>
    </row>
    <row r="3" spans="1:34" s="341" customFormat="1" ht="24.75" customHeight="1">
      <c r="A3" s="945"/>
      <c r="B3" s="946"/>
      <c r="C3" s="571" t="s">
        <v>87</v>
      </c>
      <c r="D3" s="571" t="s">
        <v>88</v>
      </c>
      <c r="E3" s="571" t="s">
        <v>12</v>
      </c>
      <c r="F3" s="571" t="s">
        <v>87</v>
      </c>
      <c r="G3" s="571" t="s">
        <v>88</v>
      </c>
      <c r="H3" s="571" t="s">
        <v>12</v>
      </c>
      <c r="I3" s="571" t="s">
        <v>87</v>
      </c>
      <c r="J3" s="571" t="s">
        <v>88</v>
      </c>
      <c r="K3" s="571" t="s">
        <v>12</v>
      </c>
      <c r="L3" s="571" t="s">
        <v>87</v>
      </c>
      <c r="M3" s="571" t="s">
        <v>88</v>
      </c>
      <c r="N3" s="571" t="s">
        <v>12</v>
      </c>
      <c r="O3" s="571" t="s">
        <v>87</v>
      </c>
      <c r="P3" s="571" t="s">
        <v>88</v>
      </c>
      <c r="Q3" s="571" t="s">
        <v>12</v>
      </c>
      <c r="R3" s="571" t="s">
        <v>87</v>
      </c>
      <c r="S3" s="571" t="s">
        <v>88</v>
      </c>
      <c r="T3" s="571" t="s">
        <v>12</v>
      </c>
      <c r="U3" s="571" t="s">
        <v>87</v>
      </c>
      <c r="V3" s="571" t="s">
        <v>88</v>
      </c>
      <c r="W3" s="571" t="s">
        <v>12</v>
      </c>
      <c r="X3" s="571" t="s">
        <v>87</v>
      </c>
      <c r="Y3" s="571" t="s">
        <v>88</v>
      </c>
      <c r="Z3" s="536" t="s">
        <v>12</v>
      </c>
      <c r="AA3" s="571" t="s">
        <v>87</v>
      </c>
      <c r="AB3" s="571" t="s">
        <v>88</v>
      </c>
      <c r="AC3" s="571" t="s">
        <v>12</v>
      </c>
      <c r="AD3" s="742"/>
    </row>
    <row r="4" spans="1:34" s="751" customFormat="1" ht="16.5" customHeight="1">
      <c r="A4" s="537">
        <v>1</v>
      </c>
      <c r="B4" s="537">
        <v>2</v>
      </c>
      <c r="C4" s="537">
        <v>3</v>
      </c>
      <c r="D4" s="537">
        <v>4</v>
      </c>
      <c r="E4" s="537">
        <v>5</v>
      </c>
      <c r="F4" s="537">
        <v>6</v>
      </c>
      <c r="G4" s="537">
        <v>7</v>
      </c>
      <c r="H4" s="537">
        <v>8</v>
      </c>
      <c r="I4" s="537">
        <v>9</v>
      </c>
      <c r="J4" s="537">
        <v>10</v>
      </c>
      <c r="K4" s="537">
        <v>11</v>
      </c>
      <c r="L4" s="537">
        <v>12</v>
      </c>
      <c r="M4" s="537">
        <v>13</v>
      </c>
      <c r="N4" s="537">
        <v>14</v>
      </c>
      <c r="O4" s="537">
        <v>15</v>
      </c>
      <c r="P4" s="537">
        <v>16</v>
      </c>
      <c r="Q4" s="537">
        <v>17</v>
      </c>
      <c r="R4" s="537">
        <v>18</v>
      </c>
      <c r="S4" s="537">
        <v>19</v>
      </c>
      <c r="T4" s="537">
        <v>20</v>
      </c>
      <c r="U4" s="537">
        <v>21</v>
      </c>
      <c r="V4" s="537">
        <v>22</v>
      </c>
      <c r="W4" s="537">
        <v>23</v>
      </c>
      <c r="X4" s="537">
        <v>24</v>
      </c>
      <c r="Y4" s="537">
        <v>25</v>
      </c>
      <c r="Z4" s="537">
        <v>26</v>
      </c>
      <c r="AA4" s="537">
        <v>27</v>
      </c>
      <c r="AB4" s="537">
        <v>28</v>
      </c>
      <c r="AC4" s="537">
        <v>29</v>
      </c>
      <c r="AD4" s="750"/>
    </row>
    <row r="5" spans="1:34" s="341" customFormat="1" ht="30.75" customHeight="1">
      <c r="A5" s="255">
        <v>1</v>
      </c>
      <c r="B5" s="538" t="s">
        <v>171</v>
      </c>
      <c r="C5" s="540">
        <v>0</v>
      </c>
      <c r="D5" s="540">
        <v>0</v>
      </c>
      <c r="E5" s="540">
        <v>0</v>
      </c>
      <c r="F5" s="540"/>
      <c r="G5" s="540">
        <v>0</v>
      </c>
      <c r="H5" s="540">
        <v>0</v>
      </c>
      <c r="I5" s="540">
        <v>513</v>
      </c>
      <c r="J5" s="540">
        <v>696</v>
      </c>
      <c r="K5" s="540">
        <v>1209</v>
      </c>
      <c r="L5" s="540">
        <v>1582</v>
      </c>
      <c r="M5" s="540">
        <v>1249</v>
      </c>
      <c r="N5" s="540">
        <v>2831</v>
      </c>
      <c r="O5" s="540">
        <v>71</v>
      </c>
      <c r="P5" s="540">
        <v>56</v>
      </c>
      <c r="Q5" s="540">
        <v>127</v>
      </c>
      <c r="R5" s="540">
        <v>20</v>
      </c>
      <c r="S5" s="540">
        <v>41</v>
      </c>
      <c r="T5" s="540">
        <v>61</v>
      </c>
      <c r="U5" s="540">
        <v>0</v>
      </c>
      <c r="V5" s="540">
        <v>0</v>
      </c>
      <c r="W5" s="540">
        <v>0</v>
      </c>
      <c r="X5" s="540">
        <v>0</v>
      </c>
      <c r="Y5" s="540">
        <v>0</v>
      </c>
      <c r="Z5" s="540">
        <v>0</v>
      </c>
      <c r="AA5" s="540">
        <f>C5+F5+I5+L5+O5+R5+U5+X5</f>
        <v>2186</v>
      </c>
      <c r="AB5" s="540">
        <f>D5+G5+J5+M5+P5+S5+V5+Y5</f>
        <v>2042</v>
      </c>
      <c r="AC5" s="540">
        <f>AA5+AB5</f>
        <v>4228</v>
      </c>
      <c r="AD5" s="343">
        <v>0</v>
      </c>
      <c r="AE5" s="752" t="s">
        <v>174</v>
      </c>
    </row>
    <row r="6" spans="1:34" s="341" customFormat="1" ht="20.25" customHeight="1">
      <c r="A6" s="255">
        <v>2</v>
      </c>
      <c r="B6" s="539" t="s">
        <v>15</v>
      </c>
      <c r="C6" s="540">
        <v>0</v>
      </c>
      <c r="D6" s="540">
        <v>0</v>
      </c>
      <c r="E6" s="540">
        <v>0</v>
      </c>
      <c r="F6" s="540"/>
      <c r="G6" s="540">
        <v>0</v>
      </c>
      <c r="H6" s="540">
        <v>0</v>
      </c>
      <c r="I6" s="540">
        <v>8915</v>
      </c>
      <c r="J6" s="540">
        <v>5797</v>
      </c>
      <c r="K6" s="540">
        <v>14712</v>
      </c>
      <c r="L6" s="540">
        <v>80708</v>
      </c>
      <c r="M6" s="540">
        <v>55086</v>
      </c>
      <c r="N6" s="540">
        <v>135794</v>
      </c>
      <c r="O6" s="540">
        <v>571</v>
      </c>
      <c r="P6" s="540">
        <v>296</v>
      </c>
      <c r="Q6" s="540">
        <v>867</v>
      </c>
      <c r="R6" s="540">
        <v>657</v>
      </c>
      <c r="S6" s="540">
        <v>588</v>
      </c>
      <c r="T6" s="540">
        <v>1245</v>
      </c>
      <c r="U6" s="540">
        <v>98</v>
      </c>
      <c r="V6" s="540">
        <v>254</v>
      </c>
      <c r="W6" s="540">
        <v>352</v>
      </c>
      <c r="X6" s="540">
        <v>0</v>
      </c>
      <c r="Y6" s="540">
        <v>0</v>
      </c>
      <c r="Z6" s="540">
        <v>0</v>
      </c>
      <c r="AA6" s="540">
        <f t="shared" ref="AA6:AA40" si="0">C6+F6+I6+L6+O6+R6+U6+X6</f>
        <v>90949</v>
      </c>
      <c r="AB6" s="540">
        <f t="shared" ref="AB6:AB40" si="1">D6+G6+J6+M6+P6+S6+V6+Y6</f>
        <v>62021</v>
      </c>
      <c r="AC6" s="540">
        <f t="shared" ref="AC6:AC40" si="2">AA6+AB6</f>
        <v>152970</v>
      </c>
      <c r="AD6" s="343">
        <v>442</v>
      </c>
      <c r="AE6" s="753">
        <v>12</v>
      </c>
      <c r="AF6" s="341" t="s">
        <v>34</v>
      </c>
      <c r="AG6" s="341">
        <v>809607</v>
      </c>
      <c r="AH6" s="754">
        <v>16.670252854004563</v>
      </c>
    </row>
    <row r="7" spans="1:34" s="341" customFormat="1" ht="20.25" customHeight="1">
      <c r="A7" s="255">
        <v>3</v>
      </c>
      <c r="B7" s="539" t="s">
        <v>16</v>
      </c>
      <c r="C7" s="540">
        <v>0</v>
      </c>
      <c r="D7" s="540">
        <v>0</v>
      </c>
      <c r="E7" s="540">
        <v>0</v>
      </c>
      <c r="F7" s="540"/>
      <c r="G7" s="540">
        <v>0</v>
      </c>
      <c r="H7" s="540">
        <v>0</v>
      </c>
      <c r="I7" s="540">
        <v>1342</v>
      </c>
      <c r="J7" s="540">
        <v>2136</v>
      </c>
      <c r="K7" s="540">
        <v>3478</v>
      </c>
      <c r="L7" s="540">
        <v>3219</v>
      </c>
      <c r="M7" s="540">
        <v>4122</v>
      </c>
      <c r="N7" s="540">
        <v>7341</v>
      </c>
      <c r="O7" s="540">
        <v>10</v>
      </c>
      <c r="P7" s="540">
        <v>12</v>
      </c>
      <c r="Q7" s="540">
        <v>22</v>
      </c>
      <c r="R7" s="540">
        <v>33</v>
      </c>
      <c r="S7" s="540">
        <v>58</v>
      </c>
      <c r="T7" s="540">
        <v>91</v>
      </c>
      <c r="U7" s="540">
        <v>0</v>
      </c>
      <c r="V7" s="540">
        <v>0</v>
      </c>
      <c r="W7" s="540">
        <v>0</v>
      </c>
      <c r="X7" s="540">
        <v>0</v>
      </c>
      <c r="Y7" s="540">
        <v>0</v>
      </c>
      <c r="Z7" s="540">
        <v>0</v>
      </c>
      <c r="AA7" s="540">
        <f t="shared" si="0"/>
        <v>4604</v>
      </c>
      <c r="AB7" s="540">
        <f t="shared" si="1"/>
        <v>6328</v>
      </c>
      <c r="AC7" s="540">
        <f t="shared" si="2"/>
        <v>10932</v>
      </c>
      <c r="AD7" s="343">
        <v>0</v>
      </c>
      <c r="AE7" s="753">
        <v>26</v>
      </c>
      <c r="AF7" s="341" t="s">
        <v>23</v>
      </c>
      <c r="AG7" s="341">
        <v>650527</v>
      </c>
      <c r="AH7" s="754">
        <v>13.394708270008815</v>
      </c>
    </row>
    <row r="8" spans="1:34" s="341" customFormat="1" ht="20.25" customHeight="1">
      <c r="A8" s="255">
        <v>4</v>
      </c>
      <c r="B8" s="539" t="s">
        <v>17</v>
      </c>
      <c r="C8" s="540">
        <v>0</v>
      </c>
      <c r="D8" s="540">
        <v>0</v>
      </c>
      <c r="E8" s="540">
        <v>0</v>
      </c>
      <c r="F8" s="540"/>
      <c r="G8" s="540">
        <v>0</v>
      </c>
      <c r="H8" s="540">
        <v>0</v>
      </c>
      <c r="I8" s="540">
        <v>9827</v>
      </c>
      <c r="J8" s="540">
        <v>13203</v>
      </c>
      <c r="K8" s="540">
        <v>23030</v>
      </c>
      <c r="L8" s="540">
        <v>15329</v>
      </c>
      <c r="M8" s="540">
        <v>9687</v>
      </c>
      <c r="N8" s="540">
        <v>25016</v>
      </c>
      <c r="O8" s="540">
        <v>595</v>
      </c>
      <c r="P8" s="540">
        <v>316</v>
      </c>
      <c r="Q8" s="540">
        <v>911</v>
      </c>
      <c r="R8" s="540">
        <v>345</v>
      </c>
      <c r="S8" s="540">
        <v>450</v>
      </c>
      <c r="T8" s="540">
        <v>795</v>
      </c>
      <c r="U8" s="540">
        <v>72</v>
      </c>
      <c r="V8" s="540">
        <v>81</v>
      </c>
      <c r="W8" s="540">
        <v>153</v>
      </c>
      <c r="X8" s="540">
        <v>0</v>
      </c>
      <c r="Y8" s="540">
        <v>0</v>
      </c>
      <c r="Z8" s="540">
        <v>0</v>
      </c>
      <c r="AA8" s="540">
        <f>C8+F8+I8+L8+O8+R8+U8+X8</f>
        <v>26168</v>
      </c>
      <c r="AB8" s="540">
        <f t="shared" si="1"/>
        <v>23737</v>
      </c>
      <c r="AC8" s="540">
        <f t="shared" si="2"/>
        <v>49905</v>
      </c>
      <c r="AD8" s="343">
        <v>0</v>
      </c>
      <c r="AE8" s="753">
        <v>22</v>
      </c>
      <c r="AF8" s="341" t="s">
        <v>44</v>
      </c>
      <c r="AG8" s="341">
        <v>414402</v>
      </c>
      <c r="AH8" s="754">
        <v>8.5327648145398918</v>
      </c>
    </row>
    <row r="9" spans="1:34" s="341" customFormat="1" ht="20.25" customHeight="1">
      <c r="A9" s="255">
        <v>5</v>
      </c>
      <c r="B9" s="539" t="s">
        <v>18</v>
      </c>
      <c r="C9" s="540">
        <v>0</v>
      </c>
      <c r="D9" s="540">
        <v>0</v>
      </c>
      <c r="E9" s="540">
        <v>0</v>
      </c>
      <c r="F9" s="540"/>
      <c r="G9" s="540">
        <v>0</v>
      </c>
      <c r="H9" s="540">
        <v>0</v>
      </c>
      <c r="I9" s="540">
        <v>49106</v>
      </c>
      <c r="J9" s="540">
        <v>36273</v>
      </c>
      <c r="K9" s="540">
        <v>85379</v>
      </c>
      <c r="L9" s="540">
        <v>83959</v>
      </c>
      <c r="M9" s="540">
        <v>46434</v>
      </c>
      <c r="N9" s="540">
        <v>130393</v>
      </c>
      <c r="O9" s="540">
        <v>1912</v>
      </c>
      <c r="P9" s="540">
        <v>618</v>
      </c>
      <c r="Q9" s="540">
        <v>2530</v>
      </c>
      <c r="R9" s="540">
        <v>652</v>
      </c>
      <c r="S9" s="540">
        <v>532</v>
      </c>
      <c r="T9" s="540">
        <v>1184</v>
      </c>
      <c r="U9" s="540">
        <v>0</v>
      </c>
      <c r="V9" s="540">
        <v>0</v>
      </c>
      <c r="W9" s="540">
        <v>0</v>
      </c>
      <c r="X9" s="540">
        <v>0</v>
      </c>
      <c r="Y9" s="540">
        <v>0</v>
      </c>
      <c r="Z9" s="540">
        <v>0</v>
      </c>
      <c r="AA9" s="540">
        <f t="shared" si="0"/>
        <v>135629</v>
      </c>
      <c r="AB9" s="540">
        <f t="shared" si="1"/>
        <v>83857</v>
      </c>
      <c r="AC9" s="540">
        <f t="shared" si="2"/>
        <v>219486</v>
      </c>
      <c r="AD9" s="343">
        <v>488</v>
      </c>
      <c r="AE9" s="753">
        <v>6</v>
      </c>
      <c r="AF9" s="341" t="s">
        <v>15</v>
      </c>
      <c r="AG9" s="341">
        <v>152975</v>
      </c>
      <c r="AH9" s="754">
        <v>3.1498392804673725</v>
      </c>
    </row>
    <row r="10" spans="1:34" s="341" customFormat="1" ht="20.25" customHeight="1">
      <c r="A10" s="255">
        <v>6</v>
      </c>
      <c r="B10" s="539" t="s">
        <v>19</v>
      </c>
      <c r="C10" s="540">
        <v>0</v>
      </c>
      <c r="D10" s="540">
        <v>0</v>
      </c>
      <c r="E10" s="540">
        <v>0</v>
      </c>
      <c r="F10" s="540"/>
      <c r="G10" s="540">
        <v>0</v>
      </c>
      <c r="H10" s="540">
        <v>0</v>
      </c>
      <c r="I10" s="540">
        <v>4425</v>
      </c>
      <c r="J10" s="540">
        <v>5573</v>
      </c>
      <c r="K10" s="540">
        <v>9998</v>
      </c>
      <c r="L10" s="540">
        <v>14253</v>
      </c>
      <c r="M10" s="540">
        <v>6622</v>
      </c>
      <c r="N10" s="540">
        <v>20875</v>
      </c>
      <c r="O10" s="540">
        <v>963</v>
      </c>
      <c r="P10" s="540">
        <v>762</v>
      </c>
      <c r="Q10" s="540">
        <v>1725</v>
      </c>
      <c r="R10" s="540">
        <v>1211</v>
      </c>
      <c r="S10" s="540">
        <v>2371</v>
      </c>
      <c r="T10" s="540">
        <v>3582</v>
      </c>
      <c r="U10" s="540">
        <v>23</v>
      </c>
      <c r="V10" s="540">
        <v>15</v>
      </c>
      <c r="W10" s="540">
        <v>38</v>
      </c>
      <c r="X10" s="540">
        <v>0</v>
      </c>
      <c r="Y10" s="540">
        <v>0</v>
      </c>
      <c r="Z10" s="540">
        <v>0</v>
      </c>
      <c r="AA10" s="540">
        <f t="shared" si="0"/>
        <v>20875</v>
      </c>
      <c r="AB10" s="540">
        <f t="shared" si="1"/>
        <v>15343</v>
      </c>
      <c r="AC10" s="540">
        <f t="shared" si="2"/>
        <v>36218</v>
      </c>
      <c r="AD10" s="343">
        <v>0</v>
      </c>
      <c r="AE10" s="753">
        <v>23</v>
      </c>
      <c r="AF10" s="341" t="s">
        <v>31</v>
      </c>
      <c r="AG10" s="341">
        <v>358800</v>
      </c>
      <c r="AH10" s="754">
        <v>7.3878890918888267</v>
      </c>
    </row>
    <row r="11" spans="1:34" s="341" customFormat="1" ht="20.25" customHeight="1">
      <c r="A11" s="255">
        <v>7</v>
      </c>
      <c r="B11" s="539" t="s">
        <v>20</v>
      </c>
      <c r="C11" s="540">
        <v>0</v>
      </c>
      <c r="D11" s="540">
        <v>0</v>
      </c>
      <c r="E11" s="540">
        <v>0</v>
      </c>
      <c r="F11" s="540"/>
      <c r="G11" s="540">
        <v>0</v>
      </c>
      <c r="H11" s="540">
        <v>0</v>
      </c>
      <c r="I11" s="540">
        <v>8171</v>
      </c>
      <c r="J11" s="540">
        <v>7108</v>
      </c>
      <c r="K11" s="540">
        <v>15279</v>
      </c>
      <c r="L11" s="540">
        <v>12014</v>
      </c>
      <c r="M11" s="540">
        <v>7965</v>
      </c>
      <c r="N11" s="540">
        <v>19979</v>
      </c>
      <c r="O11" s="540">
        <v>9993</v>
      </c>
      <c r="P11" s="540">
        <v>10030</v>
      </c>
      <c r="Q11" s="540">
        <v>20023</v>
      </c>
      <c r="R11" s="540">
        <v>14777</v>
      </c>
      <c r="S11" s="540">
        <v>11684</v>
      </c>
      <c r="T11" s="540">
        <v>26461</v>
      </c>
      <c r="U11" s="540">
        <v>27</v>
      </c>
      <c r="V11" s="540">
        <v>11</v>
      </c>
      <c r="W11" s="540">
        <v>38</v>
      </c>
      <c r="X11" s="540">
        <v>0</v>
      </c>
      <c r="Y11" s="540">
        <v>0</v>
      </c>
      <c r="Z11" s="540">
        <v>0</v>
      </c>
      <c r="AA11" s="540">
        <f t="shared" si="0"/>
        <v>44982</v>
      </c>
      <c r="AB11" s="540">
        <f t="shared" si="1"/>
        <v>36798</v>
      </c>
      <c r="AC11" s="540">
        <f t="shared" si="2"/>
        <v>81780</v>
      </c>
      <c r="AD11" s="343">
        <v>0</v>
      </c>
      <c r="AE11" s="753">
        <v>18</v>
      </c>
      <c r="AF11" s="341" t="s">
        <v>48</v>
      </c>
      <c r="AG11" s="341">
        <v>195404</v>
      </c>
      <c r="AH11" s="754">
        <v>4.023475697077604</v>
      </c>
    </row>
    <row r="12" spans="1:34" s="341" customFormat="1" ht="20.25" customHeight="1">
      <c r="A12" s="255">
        <v>8</v>
      </c>
      <c r="B12" s="539" t="s">
        <v>23</v>
      </c>
      <c r="C12" s="540">
        <v>0</v>
      </c>
      <c r="D12" s="540">
        <v>0</v>
      </c>
      <c r="E12" s="540">
        <v>0</v>
      </c>
      <c r="F12" s="540"/>
      <c r="G12" s="540">
        <v>0</v>
      </c>
      <c r="H12" s="540">
        <v>0</v>
      </c>
      <c r="I12" s="540">
        <v>48745</v>
      </c>
      <c r="J12" s="540">
        <v>75805</v>
      </c>
      <c r="K12" s="540">
        <v>124550</v>
      </c>
      <c r="L12" s="540">
        <v>287252</v>
      </c>
      <c r="M12" s="540">
        <v>224324</v>
      </c>
      <c r="N12" s="540">
        <v>511576</v>
      </c>
      <c r="O12" s="540">
        <v>5639</v>
      </c>
      <c r="P12" s="540">
        <v>4463</v>
      </c>
      <c r="Q12" s="540">
        <v>10102</v>
      </c>
      <c r="R12" s="540">
        <v>1782</v>
      </c>
      <c r="S12" s="540">
        <v>2750</v>
      </c>
      <c r="T12" s="540">
        <v>4532</v>
      </c>
      <c r="U12" s="540">
        <v>0</v>
      </c>
      <c r="V12" s="540">
        <v>0</v>
      </c>
      <c r="W12" s="540">
        <v>0</v>
      </c>
      <c r="X12" s="540">
        <v>0</v>
      </c>
      <c r="Y12" s="540">
        <v>0</v>
      </c>
      <c r="Z12" s="540">
        <v>0</v>
      </c>
      <c r="AA12" s="540">
        <f t="shared" si="0"/>
        <v>343418</v>
      </c>
      <c r="AB12" s="540">
        <f t="shared" si="1"/>
        <v>307342</v>
      </c>
      <c r="AC12" s="540">
        <f t="shared" si="2"/>
        <v>650760</v>
      </c>
      <c r="AD12" s="343">
        <v>523</v>
      </c>
      <c r="AE12" s="753">
        <v>2</v>
      </c>
    </row>
    <row r="13" spans="1:34" s="341" customFormat="1" ht="20.25" customHeight="1">
      <c r="A13" s="255">
        <v>9</v>
      </c>
      <c r="B13" s="539" t="s">
        <v>24</v>
      </c>
      <c r="C13" s="540">
        <v>0</v>
      </c>
      <c r="D13" s="540">
        <v>0</v>
      </c>
      <c r="E13" s="540">
        <v>0</v>
      </c>
      <c r="F13" s="540"/>
      <c r="G13" s="540">
        <v>0</v>
      </c>
      <c r="H13" s="540">
        <v>0</v>
      </c>
      <c r="I13" s="540">
        <v>944</v>
      </c>
      <c r="J13" s="540">
        <v>1088</v>
      </c>
      <c r="K13" s="540">
        <v>2032</v>
      </c>
      <c r="L13" s="540">
        <v>3068</v>
      </c>
      <c r="M13" s="540">
        <v>1609</v>
      </c>
      <c r="N13" s="540">
        <v>4677</v>
      </c>
      <c r="O13" s="540">
        <v>84</v>
      </c>
      <c r="P13" s="540">
        <v>68</v>
      </c>
      <c r="Q13" s="540">
        <v>152</v>
      </c>
      <c r="R13" s="540">
        <v>21</v>
      </c>
      <c r="S13" s="540">
        <v>59</v>
      </c>
      <c r="T13" s="540">
        <v>80</v>
      </c>
      <c r="U13" s="540">
        <v>0</v>
      </c>
      <c r="V13" s="540">
        <v>0</v>
      </c>
      <c r="W13" s="540">
        <v>0</v>
      </c>
      <c r="X13" s="540">
        <v>0</v>
      </c>
      <c r="Y13" s="540">
        <v>0</v>
      </c>
      <c r="Z13" s="540">
        <v>0</v>
      </c>
      <c r="AA13" s="540">
        <f t="shared" si="0"/>
        <v>4117</v>
      </c>
      <c r="AB13" s="540">
        <f t="shared" si="1"/>
        <v>2824</v>
      </c>
      <c r="AC13" s="540">
        <f t="shared" si="2"/>
        <v>6941</v>
      </c>
      <c r="AD13" s="343">
        <v>125</v>
      </c>
      <c r="AE13" s="753">
        <v>28</v>
      </c>
    </row>
    <row r="14" spans="1:34" s="341" customFormat="1" ht="20.25" customHeight="1">
      <c r="A14" s="255">
        <v>10</v>
      </c>
      <c r="B14" s="539" t="s">
        <v>25</v>
      </c>
      <c r="C14" s="540">
        <v>0</v>
      </c>
      <c r="D14" s="540">
        <v>0</v>
      </c>
      <c r="E14" s="540">
        <v>0</v>
      </c>
      <c r="F14" s="540"/>
      <c r="G14" s="540">
        <v>0</v>
      </c>
      <c r="H14" s="540">
        <v>0</v>
      </c>
      <c r="I14" s="540">
        <v>7393</v>
      </c>
      <c r="J14" s="540">
        <v>8326</v>
      </c>
      <c r="K14" s="540">
        <v>15719</v>
      </c>
      <c r="L14" s="540">
        <v>37140</v>
      </c>
      <c r="M14" s="540">
        <v>21910</v>
      </c>
      <c r="N14" s="540">
        <v>59050</v>
      </c>
      <c r="O14" s="540">
        <v>1211</v>
      </c>
      <c r="P14" s="540">
        <v>531</v>
      </c>
      <c r="Q14" s="540">
        <v>1742</v>
      </c>
      <c r="R14" s="540">
        <v>3289</v>
      </c>
      <c r="S14" s="540">
        <v>1378</v>
      </c>
      <c r="T14" s="540">
        <v>4667</v>
      </c>
      <c r="U14" s="540">
        <v>3983</v>
      </c>
      <c r="V14" s="540">
        <v>2092</v>
      </c>
      <c r="W14" s="540">
        <v>6075</v>
      </c>
      <c r="X14" s="540">
        <v>0</v>
      </c>
      <c r="Y14" s="540">
        <v>0</v>
      </c>
      <c r="Z14" s="540">
        <v>0</v>
      </c>
      <c r="AA14" s="540">
        <f t="shared" si="0"/>
        <v>53016</v>
      </c>
      <c r="AB14" s="540">
        <f t="shared" si="1"/>
        <v>34237</v>
      </c>
      <c r="AC14" s="540">
        <f t="shared" si="2"/>
        <v>87253</v>
      </c>
      <c r="AD14" s="343">
        <v>104</v>
      </c>
      <c r="AE14" s="753">
        <v>10</v>
      </c>
    </row>
    <row r="15" spans="1:34" s="341" customFormat="1" ht="20.25" customHeight="1">
      <c r="A15" s="255">
        <v>11</v>
      </c>
      <c r="B15" s="539" t="s">
        <v>26</v>
      </c>
      <c r="C15" s="540">
        <v>0</v>
      </c>
      <c r="D15" s="540">
        <v>0</v>
      </c>
      <c r="E15" s="540">
        <v>0</v>
      </c>
      <c r="F15" s="540"/>
      <c r="G15" s="540">
        <v>0</v>
      </c>
      <c r="H15" s="540">
        <v>0</v>
      </c>
      <c r="I15" s="540">
        <v>18570</v>
      </c>
      <c r="J15" s="540">
        <v>22439</v>
      </c>
      <c r="K15" s="540">
        <v>41009</v>
      </c>
      <c r="L15" s="540">
        <v>86602</v>
      </c>
      <c r="M15" s="540">
        <v>39824</v>
      </c>
      <c r="N15" s="540">
        <v>126426</v>
      </c>
      <c r="O15" s="540">
        <v>507</v>
      </c>
      <c r="P15" s="540">
        <v>222</v>
      </c>
      <c r="Q15" s="540">
        <v>729</v>
      </c>
      <c r="R15" s="540">
        <v>1358</v>
      </c>
      <c r="S15" s="540">
        <v>2170</v>
      </c>
      <c r="T15" s="540">
        <v>3528</v>
      </c>
      <c r="U15" s="540">
        <v>34</v>
      </c>
      <c r="V15" s="540">
        <v>7</v>
      </c>
      <c r="W15" s="540">
        <v>41</v>
      </c>
      <c r="X15" s="540">
        <v>65</v>
      </c>
      <c r="Y15" s="540">
        <v>29</v>
      </c>
      <c r="Z15" s="540">
        <v>94</v>
      </c>
      <c r="AA15" s="540">
        <f t="shared" si="0"/>
        <v>107136</v>
      </c>
      <c r="AB15" s="540">
        <f t="shared" si="1"/>
        <v>64691</v>
      </c>
      <c r="AC15" s="540">
        <f t="shared" si="2"/>
        <v>171827</v>
      </c>
      <c r="AD15" s="343">
        <v>284</v>
      </c>
      <c r="AE15" s="753">
        <v>9</v>
      </c>
    </row>
    <row r="16" spans="1:34" s="341" customFormat="1" ht="20.25" customHeight="1">
      <c r="A16" s="255">
        <v>12</v>
      </c>
      <c r="B16" s="539" t="s">
        <v>27</v>
      </c>
      <c r="C16" s="540">
        <v>0</v>
      </c>
      <c r="D16" s="540">
        <v>0</v>
      </c>
      <c r="E16" s="540">
        <v>0</v>
      </c>
      <c r="F16" s="540"/>
      <c r="G16" s="540">
        <v>0</v>
      </c>
      <c r="H16" s="540">
        <v>0</v>
      </c>
      <c r="I16" s="540">
        <v>5216</v>
      </c>
      <c r="J16" s="540">
        <v>4468</v>
      </c>
      <c r="K16" s="540">
        <v>9684</v>
      </c>
      <c r="L16" s="540">
        <v>21451</v>
      </c>
      <c r="M16" s="540">
        <v>17679</v>
      </c>
      <c r="N16" s="540">
        <v>39130</v>
      </c>
      <c r="O16" s="540">
        <v>366</v>
      </c>
      <c r="P16" s="540">
        <v>181</v>
      </c>
      <c r="Q16" s="540">
        <v>547</v>
      </c>
      <c r="R16" s="540">
        <v>118</v>
      </c>
      <c r="S16" s="540">
        <v>1182</v>
      </c>
      <c r="T16" s="540">
        <v>1300</v>
      </c>
      <c r="U16" s="540">
        <v>0</v>
      </c>
      <c r="V16" s="540">
        <v>0</v>
      </c>
      <c r="W16" s="540">
        <v>0</v>
      </c>
      <c r="X16" s="540">
        <v>0</v>
      </c>
      <c r="Y16" s="540">
        <v>0</v>
      </c>
      <c r="Z16" s="540">
        <v>0</v>
      </c>
      <c r="AA16" s="540">
        <f t="shared" si="0"/>
        <v>27151</v>
      </c>
      <c r="AB16" s="540">
        <f t="shared" si="1"/>
        <v>23510</v>
      </c>
      <c r="AC16" s="540">
        <f t="shared" si="2"/>
        <v>50661</v>
      </c>
      <c r="AD16" s="343">
        <v>96</v>
      </c>
      <c r="AE16" s="753">
        <v>21</v>
      </c>
    </row>
    <row r="17" spans="1:32" s="341" customFormat="1" ht="20.25" customHeight="1">
      <c r="A17" s="255">
        <v>13</v>
      </c>
      <c r="B17" s="539" t="s">
        <v>57</v>
      </c>
      <c r="C17" s="540">
        <v>0</v>
      </c>
      <c r="D17" s="540">
        <v>0</v>
      </c>
      <c r="E17" s="540">
        <v>0</v>
      </c>
      <c r="F17" s="540"/>
      <c r="G17" s="540">
        <v>0</v>
      </c>
      <c r="H17" s="540">
        <v>0</v>
      </c>
      <c r="I17" s="540">
        <v>20706</v>
      </c>
      <c r="J17" s="540">
        <v>25304</v>
      </c>
      <c r="K17" s="540">
        <v>46010</v>
      </c>
      <c r="L17" s="540">
        <v>31881</v>
      </c>
      <c r="M17" s="540">
        <v>26158</v>
      </c>
      <c r="N17" s="540">
        <v>58039</v>
      </c>
      <c r="O17" s="540">
        <v>1024</v>
      </c>
      <c r="P17" s="540">
        <v>548</v>
      </c>
      <c r="Q17" s="540">
        <v>1572</v>
      </c>
      <c r="R17" s="540">
        <v>480</v>
      </c>
      <c r="S17" s="540">
        <v>702</v>
      </c>
      <c r="T17" s="540">
        <v>1182</v>
      </c>
      <c r="U17" s="540">
        <v>35</v>
      </c>
      <c r="V17" s="540">
        <v>23</v>
      </c>
      <c r="W17" s="540">
        <v>58</v>
      </c>
      <c r="X17" s="540">
        <v>0</v>
      </c>
      <c r="Y17" s="540">
        <v>0</v>
      </c>
      <c r="Z17" s="540">
        <v>0</v>
      </c>
      <c r="AA17" s="540">
        <f t="shared" si="0"/>
        <v>54126</v>
      </c>
      <c r="AB17" s="540">
        <f t="shared" si="1"/>
        <v>52735</v>
      </c>
      <c r="AC17" s="540">
        <f t="shared" si="2"/>
        <v>106861</v>
      </c>
      <c r="AD17" s="343">
        <v>1517</v>
      </c>
      <c r="AE17" s="753">
        <v>16</v>
      </c>
    </row>
    <row r="18" spans="1:32" s="341" customFormat="1" ht="20.25" customHeight="1">
      <c r="A18" s="255">
        <v>14</v>
      </c>
      <c r="B18" s="539" t="s">
        <v>29</v>
      </c>
      <c r="C18" s="540">
        <v>0</v>
      </c>
      <c r="D18" s="540">
        <v>0</v>
      </c>
      <c r="E18" s="540">
        <v>0</v>
      </c>
      <c r="F18" s="540"/>
      <c r="G18" s="540">
        <v>0</v>
      </c>
      <c r="H18" s="540">
        <v>0</v>
      </c>
      <c r="I18" s="540">
        <v>10993</v>
      </c>
      <c r="J18" s="540">
        <v>13647</v>
      </c>
      <c r="K18" s="540">
        <v>24640</v>
      </c>
      <c r="L18" s="540">
        <v>27692</v>
      </c>
      <c r="M18" s="540">
        <v>13046</v>
      </c>
      <c r="N18" s="540">
        <v>40738</v>
      </c>
      <c r="O18" s="540">
        <v>2016</v>
      </c>
      <c r="P18" s="540">
        <v>665</v>
      </c>
      <c r="Q18" s="540">
        <v>2681</v>
      </c>
      <c r="R18" s="540">
        <v>203</v>
      </c>
      <c r="S18" s="540">
        <v>400</v>
      </c>
      <c r="T18" s="540">
        <v>603</v>
      </c>
      <c r="U18" s="540">
        <v>0</v>
      </c>
      <c r="V18" s="540">
        <v>0</v>
      </c>
      <c r="W18" s="540">
        <v>0</v>
      </c>
      <c r="X18" s="540">
        <v>0</v>
      </c>
      <c r="Y18" s="540">
        <v>0</v>
      </c>
      <c r="Z18" s="540">
        <v>0</v>
      </c>
      <c r="AA18" s="540">
        <f t="shared" si="0"/>
        <v>40904</v>
      </c>
      <c r="AB18" s="540">
        <f t="shared" si="1"/>
        <v>27758</v>
      </c>
      <c r="AC18" s="540">
        <f t="shared" si="2"/>
        <v>68662</v>
      </c>
      <c r="AD18" s="343">
        <v>22</v>
      </c>
      <c r="AE18" s="753">
        <v>19</v>
      </c>
    </row>
    <row r="19" spans="1:32" s="341" customFormat="1" ht="20.25" customHeight="1">
      <c r="A19" s="255">
        <v>15</v>
      </c>
      <c r="B19" s="539" t="s">
        <v>30</v>
      </c>
      <c r="C19" s="540">
        <v>0</v>
      </c>
      <c r="D19" s="540">
        <v>0</v>
      </c>
      <c r="E19" s="540">
        <v>0</v>
      </c>
      <c r="F19" s="540"/>
      <c r="G19" s="540">
        <v>0</v>
      </c>
      <c r="H19" s="540">
        <v>0</v>
      </c>
      <c r="I19" s="540">
        <v>23843</v>
      </c>
      <c r="J19" s="540">
        <v>33673</v>
      </c>
      <c r="K19" s="540">
        <v>57516</v>
      </c>
      <c r="L19" s="540">
        <v>35240</v>
      </c>
      <c r="M19" s="540">
        <v>21818</v>
      </c>
      <c r="N19" s="540">
        <v>57058</v>
      </c>
      <c r="O19" s="540">
        <v>1260</v>
      </c>
      <c r="P19" s="540">
        <v>764</v>
      </c>
      <c r="Q19" s="540">
        <v>2024</v>
      </c>
      <c r="R19" s="540">
        <v>1203</v>
      </c>
      <c r="S19" s="540">
        <v>1417</v>
      </c>
      <c r="T19" s="540">
        <f>R19+S19</f>
        <v>2620</v>
      </c>
      <c r="U19" s="540">
        <v>758</v>
      </c>
      <c r="V19" s="540">
        <v>532</v>
      </c>
      <c r="W19" s="540">
        <v>1290</v>
      </c>
      <c r="X19" s="540">
        <v>0</v>
      </c>
      <c r="Y19" s="540">
        <v>0</v>
      </c>
      <c r="Z19" s="540">
        <v>0</v>
      </c>
      <c r="AA19" s="540">
        <f t="shared" si="0"/>
        <v>62304</v>
      </c>
      <c r="AB19" s="540">
        <f t="shared" si="1"/>
        <v>58204</v>
      </c>
      <c r="AC19" s="540">
        <f t="shared" si="2"/>
        <v>120508</v>
      </c>
      <c r="AD19" s="343">
        <v>0</v>
      </c>
      <c r="AE19" s="753">
        <v>15</v>
      </c>
      <c r="AF19" s="755">
        <f>S19+36</f>
        <v>1453</v>
      </c>
    </row>
    <row r="20" spans="1:32" s="341" customFormat="1" ht="20.25" customHeight="1">
      <c r="A20" s="255">
        <v>16</v>
      </c>
      <c r="B20" s="539" t="s">
        <v>31</v>
      </c>
      <c r="C20" s="540">
        <v>0</v>
      </c>
      <c r="D20" s="540">
        <v>0</v>
      </c>
      <c r="E20" s="540">
        <v>0</v>
      </c>
      <c r="F20" s="540"/>
      <c r="G20" s="540">
        <v>0</v>
      </c>
      <c r="H20" s="540">
        <v>0</v>
      </c>
      <c r="I20" s="540">
        <v>20204</v>
      </c>
      <c r="J20" s="540">
        <v>40617</v>
      </c>
      <c r="K20" s="540">
        <v>60821</v>
      </c>
      <c r="L20" s="540">
        <v>125846</v>
      </c>
      <c r="M20" s="540">
        <v>169327</v>
      </c>
      <c r="N20" s="540">
        <v>295173</v>
      </c>
      <c r="O20" s="540">
        <v>927</v>
      </c>
      <c r="P20" s="540">
        <v>980</v>
      </c>
      <c r="Q20" s="540">
        <v>1907</v>
      </c>
      <c r="R20" s="540">
        <v>274</v>
      </c>
      <c r="S20" s="540">
        <v>572</v>
      </c>
      <c r="T20" s="540">
        <v>846</v>
      </c>
      <c r="U20" s="540">
        <v>52</v>
      </c>
      <c r="V20" s="540">
        <v>0</v>
      </c>
      <c r="W20" s="540">
        <v>52</v>
      </c>
      <c r="X20" s="540">
        <v>0</v>
      </c>
      <c r="Y20" s="540">
        <v>0</v>
      </c>
      <c r="Z20" s="540">
        <v>0</v>
      </c>
      <c r="AA20" s="540">
        <f t="shared" si="0"/>
        <v>147303</v>
      </c>
      <c r="AB20" s="540">
        <f t="shared" si="1"/>
        <v>211496</v>
      </c>
      <c r="AC20" s="540">
        <f t="shared" si="2"/>
        <v>358799</v>
      </c>
      <c r="AD20" s="343">
        <v>350</v>
      </c>
      <c r="AE20" s="753">
        <v>5</v>
      </c>
    </row>
    <row r="21" spans="1:32" s="341" customFormat="1" ht="20.25" customHeight="1">
      <c r="A21" s="255">
        <v>17</v>
      </c>
      <c r="B21" s="539" t="s">
        <v>172</v>
      </c>
      <c r="C21" s="540">
        <v>0</v>
      </c>
      <c r="D21" s="540">
        <v>0</v>
      </c>
      <c r="E21" s="540">
        <v>0</v>
      </c>
      <c r="F21" s="540"/>
      <c r="G21" s="540">
        <v>0</v>
      </c>
      <c r="H21" s="540">
        <v>0</v>
      </c>
      <c r="I21" s="540">
        <v>0</v>
      </c>
      <c r="J21" s="540">
        <v>0</v>
      </c>
      <c r="K21" s="540">
        <v>0</v>
      </c>
      <c r="L21" s="540">
        <v>0</v>
      </c>
      <c r="M21" s="540">
        <v>0</v>
      </c>
      <c r="N21" s="540">
        <v>0</v>
      </c>
      <c r="O21" s="540">
        <v>0</v>
      </c>
      <c r="P21" s="540">
        <v>0</v>
      </c>
      <c r="Q21" s="540">
        <v>0</v>
      </c>
      <c r="R21" s="540">
        <v>0</v>
      </c>
      <c r="S21" s="540">
        <v>0</v>
      </c>
      <c r="T21" s="540">
        <v>0</v>
      </c>
      <c r="U21" s="540">
        <v>0</v>
      </c>
      <c r="V21" s="540">
        <v>0</v>
      </c>
      <c r="W21" s="540">
        <v>0</v>
      </c>
      <c r="X21" s="540">
        <v>0</v>
      </c>
      <c r="Y21" s="540">
        <v>0</v>
      </c>
      <c r="Z21" s="540">
        <v>0</v>
      </c>
      <c r="AA21" s="540">
        <f t="shared" si="0"/>
        <v>0</v>
      </c>
      <c r="AB21" s="540">
        <f t="shared" si="1"/>
        <v>0</v>
      </c>
      <c r="AC21" s="540">
        <f t="shared" si="2"/>
        <v>0</v>
      </c>
      <c r="AD21" s="343">
        <v>2156</v>
      </c>
      <c r="AE21" s="753"/>
    </row>
    <row r="22" spans="1:32" s="341" customFormat="1" ht="20.25" customHeight="1">
      <c r="A22" s="255">
        <v>18</v>
      </c>
      <c r="B22" s="539" t="s">
        <v>32</v>
      </c>
      <c r="C22" s="540">
        <v>0</v>
      </c>
      <c r="D22" s="540">
        <v>0</v>
      </c>
      <c r="E22" s="540">
        <v>0</v>
      </c>
      <c r="F22" s="540"/>
      <c r="G22" s="540">
        <v>0</v>
      </c>
      <c r="H22" s="540">
        <v>0</v>
      </c>
      <c r="I22" s="540">
        <v>0</v>
      </c>
      <c r="J22" s="540">
        <v>0</v>
      </c>
      <c r="K22" s="540">
        <v>0</v>
      </c>
      <c r="L22" s="540">
        <v>0</v>
      </c>
      <c r="M22" s="540">
        <v>0</v>
      </c>
      <c r="N22" s="540">
        <v>0</v>
      </c>
      <c r="O22" s="540">
        <v>0</v>
      </c>
      <c r="P22" s="540">
        <v>0</v>
      </c>
      <c r="Q22" s="540">
        <v>0</v>
      </c>
      <c r="R22" s="540">
        <v>0</v>
      </c>
      <c r="S22" s="540">
        <v>0</v>
      </c>
      <c r="T22" s="540">
        <v>0</v>
      </c>
      <c r="U22" s="540">
        <v>0</v>
      </c>
      <c r="V22" s="540">
        <v>0</v>
      </c>
      <c r="W22" s="540">
        <v>0</v>
      </c>
      <c r="X22" s="540">
        <v>0</v>
      </c>
      <c r="Y22" s="540">
        <v>0</v>
      </c>
      <c r="Z22" s="540">
        <v>0</v>
      </c>
      <c r="AA22" s="540">
        <f t="shared" si="0"/>
        <v>0</v>
      </c>
      <c r="AB22" s="540">
        <f t="shared" si="1"/>
        <v>0</v>
      </c>
      <c r="AC22" s="540">
        <f t="shared" si="2"/>
        <v>0</v>
      </c>
      <c r="AD22" s="343">
        <v>70</v>
      </c>
      <c r="AE22" s="753">
        <v>34</v>
      </c>
    </row>
    <row r="23" spans="1:32" s="341" customFormat="1" ht="20.25" customHeight="1">
      <c r="A23" s="255">
        <v>19</v>
      </c>
      <c r="B23" s="539" t="s">
        <v>33</v>
      </c>
      <c r="C23" s="540">
        <v>0</v>
      </c>
      <c r="D23" s="540">
        <v>0</v>
      </c>
      <c r="E23" s="540">
        <v>0</v>
      </c>
      <c r="F23" s="540"/>
      <c r="G23" s="540">
        <v>0</v>
      </c>
      <c r="H23" s="540">
        <v>0</v>
      </c>
      <c r="I23" s="540">
        <v>10391</v>
      </c>
      <c r="J23" s="540">
        <v>8467</v>
      </c>
      <c r="K23" s="540">
        <v>18858</v>
      </c>
      <c r="L23" s="540">
        <v>68755</v>
      </c>
      <c r="M23" s="540">
        <v>43155</v>
      </c>
      <c r="N23" s="540">
        <v>111910</v>
      </c>
      <c r="O23" s="540">
        <v>1192</v>
      </c>
      <c r="P23" s="540">
        <v>620</v>
      </c>
      <c r="Q23" s="540">
        <v>1812</v>
      </c>
      <c r="R23" s="540">
        <v>1119</v>
      </c>
      <c r="S23" s="540">
        <v>1543</v>
      </c>
      <c r="T23" s="540">
        <v>2662</v>
      </c>
      <c r="U23" s="540">
        <v>29</v>
      </c>
      <c r="V23" s="540">
        <v>14</v>
      </c>
      <c r="W23" s="540">
        <v>43</v>
      </c>
      <c r="X23" s="540">
        <v>0</v>
      </c>
      <c r="Y23" s="540">
        <v>0</v>
      </c>
      <c r="Z23" s="540">
        <v>0</v>
      </c>
      <c r="AA23" s="540">
        <f t="shared" si="0"/>
        <v>81486</v>
      </c>
      <c r="AB23" s="540">
        <f t="shared" si="1"/>
        <v>53799</v>
      </c>
      <c r="AC23" s="540">
        <f t="shared" si="2"/>
        <v>135285</v>
      </c>
      <c r="AD23" s="343">
        <v>0</v>
      </c>
      <c r="AE23" s="753">
        <v>14</v>
      </c>
    </row>
    <row r="24" spans="1:32" s="341" customFormat="1" ht="20.25" customHeight="1">
      <c r="A24" s="255">
        <v>20</v>
      </c>
      <c r="B24" s="539" t="s">
        <v>34</v>
      </c>
      <c r="C24" s="540">
        <v>0</v>
      </c>
      <c r="D24" s="540">
        <v>0</v>
      </c>
      <c r="E24" s="540">
        <v>0</v>
      </c>
      <c r="F24" s="540"/>
      <c r="G24" s="540">
        <v>0</v>
      </c>
      <c r="H24" s="540">
        <v>0</v>
      </c>
      <c r="I24" s="540">
        <v>56344</v>
      </c>
      <c r="J24" s="540">
        <v>113531</v>
      </c>
      <c r="K24" s="540">
        <v>169875</v>
      </c>
      <c r="L24" s="540">
        <v>373969</v>
      </c>
      <c r="M24" s="540">
        <v>196329</v>
      </c>
      <c r="N24" s="540">
        <v>570298</v>
      </c>
      <c r="O24" s="540">
        <v>5421</v>
      </c>
      <c r="P24" s="540">
        <v>3915</v>
      </c>
      <c r="Q24" s="540">
        <v>9336</v>
      </c>
      <c r="R24" s="540">
        <v>20628</v>
      </c>
      <c r="S24" s="541">
        <f>12110+239</f>
        <v>12349</v>
      </c>
      <c r="T24" s="540">
        <f>R24+S24</f>
        <v>32977</v>
      </c>
      <c r="U24" s="540">
        <v>17797</v>
      </c>
      <c r="V24" s="540">
        <v>9613</v>
      </c>
      <c r="W24" s="540">
        <v>27410</v>
      </c>
      <c r="X24" s="540">
        <v>0</v>
      </c>
      <c r="Y24" s="540">
        <v>0</v>
      </c>
      <c r="Z24" s="540">
        <v>0</v>
      </c>
      <c r="AA24" s="540">
        <f t="shared" si="0"/>
        <v>474159</v>
      </c>
      <c r="AB24" s="540">
        <f t="shared" si="1"/>
        <v>335737</v>
      </c>
      <c r="AC24" s="540">
        <f t="shared" si="2"/>
        <v>809896</v>
      </c>
      <c r="AD24" s="343">
        <v>0</v>
      </c>
      <c r="AE24" s="753">
        <v>1</v>
      </c>
      <c r="AF24" s="755">
        <f>R24+52</f>
        <v>20680</v>
      </c>
    </row>
    <row r="25" spans="1:32" s="341" customFormat="1" ht="20.25" customHeight="1">
      <c r="A25" s="255">
        <v>21</v>
      </c>
      <c r="B25" s="539" t="s">
        <v>35</v>
      </c>
      <c r="C25" s="540">
        <v>0</v>
      </c>
      <c r="D25" s="540">
        <v>0</v>
      </c>
      <c r="E25" s="540">
        <v>0</v>
      </c>
      <c r="F25" s="540"/>
      <c r="G25" s="540">
        <v>0</v>
      </c>
      <c r="H25" s="540">
        <v>0</v>
      </c>
      <c r="I25" s="540">
        <v>1714</v>
      </c>
      <c r="J25" s="540">
        <v>1579</v>
      </c>
      <c r="K25" s="540">
        <v>3293</v>
      </c>
      <c r="L25" s="540">
        <v>1007</v>
      </c>
      <c r="M25" s="540">
        <v>666</v>
      </c>
      <c r="N25" s="540">
        <v>1673</v>
      </c>
      <c r="O25" s="540">
        <v>51</v>
      </c>
      <c r="P25" s="540">
        <v>47</v>
      </c>
      <c r="Q25" s="540">
        <v>98</v>
      </c>
      <c r="R25" s="540">
        <v>22</v>
      </c>
      <c r="S25" s="540">
        <v>32</v>
      </c>
      <c r="T25" s="540">
        <v>54</v>
      </c>
      <c r="U25" s="540">
        <v>40</v>
      </c>
      <c r="V25" s="540">
        <v>30</v>
      </c>
      <c r="W25" s="540">
        <v>70</v>
      </c>
      <c r="X25" s="540">
        <v>0</v>
      </c>
      <c r="Y25" s="540">
        <v>0</v>
      </c>
      <c r="Z25" s="540">
        <v>0</v>
      </c>
      <c r="AA25" s="540">
        <f t="shared" si="0"/>
        <v>2834</v>
      </c>
      <c r="AB25" s="540">
        <f t="shared" si="1"/>
        <v>2354</v>
      </c>
      <c r="AC25" s="540">
        <f t="shared" si="2"/>
        <v>5188</v>
      </c>
      <c r="AD25" s="343">
        <v>0</v>
      </c>
      <c r="AE25" s="753">
        <v>31</v>
      </c>
      <c r="AF25" s="755">
        <f>S24+239</f>
        <v>12588</v>
      </c>
    </row>
    <row r="26" spans="1:32" s="341" customFormat="1" ht="20.25" customHeight="1">
      <c r="A26" s="255">
        <v>22</v>
      </c>
      <c r="B26" s="539" t="s">
        <v>36</v>
      </c>
      <c r="C26" s="540">
        <v>0</v>
      </c>
      <c r="D26" s="540">
        <v>0</v>
      </c>
      <c r="E26" s="540">
        <v>0</v>
      </c>
      <c r="F26" s="540"/>
      <c r="G26" s="540">
        <v>0</v>
      </c>
      <c r="H26" s="540">
        <v>0</v>
      </c>
      <c r="I26" s="540">
        <v>914</v>
      </c>
      <c r="J26" s="540">
        <v>1242</v>
      </c>
      <c r="K26" s="540">
        <v>2156</v>
      </c>
      <c r="L26" s="540">
        <v>1524</v>
      </c>
      <c r="M26" s="540">
        <v>1628</v>
      </c>
      <c r="N26" s="540">
        <v>3152</v>
      </c>
      <c r="O26" s="540">
        <v>135</v>
      </c>
      <c r="P26" s="540">
        <v>92</v>
      </c>
      <c r="Q26" s="540">
        <v>227</v>
      </c>
      <c r="R26" s="540">
        <v>34</v>
      </c>
      <c r="S26" s="540">
        <v>42</v>
      </c>
      <c r="T26" s="540">
        <v>76</v>
      </c>
      <c r="U26" s="540">
        <v>0</v>
      </c>
      <c r="V26" s="540">
        <v>0</v>
      </c>
      <c r="W26" s="540">
        <v>0</v>
      </c>
      <c r="X26" s="540">
        <v>0</v>
      </c>
      <c r="Y26" s="540">
        <v>0</v>
      </c>
      <c r="Z26" s="540">
        <v>0</v>
      </c>
      <c r="AA26" s="540">
        <f>C26+F26+I26+L26+O26+R26+U26+X26</f>
        <v>2607</v>
      </c>
      <c r="AB26" s="540">
        <f t="shared" si="1"/>
        <v>3004</v>
      </c>
      <c r="AC26" s="540">
        <f t="shared" si="2"/>
        <v>5611</v>
      </c>
      <c r="AD26" s="343">
        <v>230</v>
      </c>
      <c r="AE26" s="753">
        <v>30</v>
      </c>
    </row>
    <row r="27" spans="1:32" s="341" customFormat="1" ht="20.25" customHeight="1">
      <c r="A27" s="255">
        <v>23</v>
      </c>
      <c r="B27" s="539" t="s">
        <v>37</v>
      </c>
      <c r="C27" s="540">
        <v>0</v>
      </c>
      <c r="D27" s="540">
        <v>0</v>
      </c>
      <c r="E27" s="540">
        <v>0</v>
      </c>
      <c r="F27" s="540"/>
      <c r="G27" s="540">
        <v>0</v>
      </c>
      <c r="H27" s="540">
        <v>0</v>
      </c>
      <c r="I27" s="540">
        <v>865</v>
      </c>
      <c r="J27" s="540">
        <v>1165</v>
      </c>
      <c r="K27" s="540">
        <v>2030</v>
      </c>
      <c r="L27" s="540">
        <v>2079</v>
      </c>
      <c r="M27" s="540">
        <v>2156</v>
      </c>
      <c r="N27" s="540">
        <v>4235</v>
      </c>
      <c r="O27" s="540">
        <v>61</v>
      </c>
      <c r="P27" s="540">
        <v>42</v>
      </c>
      <c r="Q27" s="540">
        <v>103</v>
      </c>
      <c r="R27" s="540">
        <v>12</v>
      </c>
      <c r="S27" s="540">
        <v>45</v>
      </c>
      <c r="T27" s="540">
        <v>57</v>
      </c>
      <c r="U27" s="540">
        <v>0</v>
      </c>
      <c r="V27" s="540">
        <v>0</v>
      </c>
      <c r="W27" s="540">
        <v>0</v>
      </c>
      <c r="X27" s="540">
        <v>0</v>
      </c>
      <c r="Y27" s="540">
        <v>0</v>
      </c>
      <c r="Z27" s="540">
        <v>0</v>
      </c>
      <c r="AA27" s="540">
        <f t="shared" si="0"/>
        <v>3017</v>
      </c>
      <c r="AB27" s="540">
        <f t="shared" si="1"/>
        <v>3408</v>
      </c>
      <c r="AC27" s="540">
        <f t="shared" si="2"/>
        <v>6425</v>
      </c>
      <c r="AD27" s="343">
        <v>0</v>
      </c>
      <c r="AE27" s="753">
        <v>29</v>
      </c>
    </row>
    <row r="28" spans="1:32" s="341" customFormat="1" ht="20.25" customHeight="1">
      <c r="A28" s="255">
        <v>24</v>
      </c>
      <c r="B28" s="539" t="s">
        <v>38</v>
      </c>
      <c r="C28" s="540">
        <v>0</v>
      </c>
      <c r="D28" s="540">
        <v>0</v>
      </c>
      <c r="E28" s="540">
        <v>0</v>
      </c>
      <c r="F28" s="540"/>
      <c r="G28" s="540">
        <v>0</v>
      </c>
      <c r="H28" s="540">
        <v>0</v>
      </c>
      <c r="I28" s="540">
        <v>766</v>
      </c>
      <c r="J28" s="540">
        <v>1387</v>
      </c>
      <c r="K28" s="540">
        <v>2153</v>
      </c>
      <c r="L28" s="540">
        <v>506</v>
      </c>
      <c r="M28" s="540">
        <v>494</v>
      </c>
      <c r="N28" s="540">
        <v>1000</v>
      </c>
      <c r="O28" s="540">
        <v>42</v>
      </c>
      <c r="P28" s="540">
        <v>52</v>
      </c>
      <c r="Q28" s="540">
        <v>94</v>
      </c>
      <c r="R28" s="540">
        <v>18</v>
      </c>
      <c r="S28" s="540">
        <v>38</v>
      </c>
      <c r="T28" s="540">
        <v>56</v>
      </c>
      <c r="U28" s="540">
        <v>0</v>
      </c>
      <c r="V28" s="540">
        <v>0</v>
      </c>
      <c r="W28" s="540">
        <v>0</v>
      </c>
      <c r="X28" s="540">
        <v>0</v>
      </c>
      <c r="Y28" s="540">
        <v>0</v>
      </c>
      <c r="Z28" s="540">
        <v>0</v>
      </c>
      <c r="AA28" s="540">
        <f t="shared" si="0"/>
        <v>1332</v>
      </c>
      <c r="AB28" s="540">
        <f t="shared" si="1"/>
        <v>1971</v>
      </c>
      <c r="AC28" s="540">
        <f t="shared" si="2"/>
        <v>3303</v>
      </c>
      <c r="AD28" s="343">
        <v>265</v>
      </c>
      <c r="AE28" s="753">
        <v>33</v>
      </c>
    </row>
    <row r="29" spans="1:32" s="341" customFormat="1" ht="20.25" customHeight="1">
      <c r="A29" s="255">
        <v>25</v>
      </c>
      <c r="B29" s="539" t="s">
        <v>39</v>
      </c>
      <c r="C29" s="540">
        <v>8</v>
      </c>
      <c r="D29" s="540">
        <v>2</v>
      </c>
      <c r="E29" s="540">
        <v>10</v>
      </c>
      <c r="F29" s="540"/>
      <c r="G29" s="540">
        <v>0</v>
      </c>
      <c r="H29" s="540">
        <v>0</v>
      </c>
      <c r="I29" s="540">
        <v>10165</v>
      </c>
      <c r="J29" s="540">
        <v>13538</v>
      </c>
      <c r="K29" s="540">
        <v>23703</v>
      </c>
      <c r="L29" s="540">
        <v>16827</v>
      </c>
      <c r="M29" s="540">
        <v>13187</v>
      </c>
      <c r="N29" s="540">
        <v>30014</v>
      </c>
      <c r="O29" s="540">
        <v>928</v>
      </c>
      <c r="P29" s="540">
        <v>528</v>
      </c>
      <c r="Q29" s="540">
        <v>1456</v>
      </c>
      <c r="R29" s="540">
        <v>2176</v>
      </c>
      <c r="S29" s="540">
        <v>10230</v>
      </c>
      <c r="T29" s="540">
        <v>12406</v>
      </c>
      <c r="U29" s="540">
        <v>0</v>
      </c>
      <c r="V29" s="540">
        <v>0</v>
      </c>
      <c r="W29" s="540">
        <v>0</v>
      </c>
      <c r="X29" s="540">
        <v>0</v>
      </c>
      <c r="Y29" s="540">
        <v>0</v>
      </c>
      <c r="Z29" s="540">
        <v>0</v>
      </c>
      <c r="AA29" s="540">
        <f t="shared" si="0"/>
        <v>30104</v>
      </c>
      <c r="AB29" s="540">
        <f t="shared" si="1"/>
        <v>37485</v>
      </c>
      <c r="AC29" s="540">
        <f t="shared" si="2"/>
        <v>67589</v>
      </c>
      <c r="AD29" s="343">
        <v>198</v>
      </c>
      <c r="AE29" s="753">
        <v>20</v>
      </c>
    </row>
    <row r="30" spans="1:32" s="341" customFormat="1" ht="20.25" customHeight="1">
      <c r="A30" s="255">
        <v>26</v>
      </c>
      <c r="B30" s="539" t="s">
        <v>40</v>
      </c>
      <c r="C30" s="540">
        <v>0</v>
      </c>
      <c r="D30" s="540">
        <v>0</v>
      </c>
      <c r="E30" s="540">
        <v>0</v>
      </c>
      <c r="F30" s="540"/>
      <c r="G30" s="540">
        <v>0</v>
      </c>
      <c r="H30" s="540">
        <v>0</v>
      </c>
      <c r="I30" s="540">
        <v>7479</v>
      </c>
      <c r="J30" s="540">
        <v>6350</v>
      </c>
      <c r="K30" s="540">
        <v>13829</v>
      </c>
      <c r="L30" s="540">
        <v>378</v>
      </c>
      <c r="M30" s="540">
        <v>156</v>
      </c>
      <c r="N30" s="540">
        <v>534</v>
      </c>
      <c r="O30" s="540">
        <v>0</v>
      </c>
      <c r="P30" s="540">
        <v>0</v>
      </c>
      <c r="Q30" s="540">
        <v>0</v>
      </c>
      <c r="R30" s="540">
        <v>0</v>
      </c>
      <c r="S30" s="540">
        <v>0</v>
      </c>
      <c r="T30" s="540">
        <v>0</v>
      </c>
      <c r="U30" s="540">
        <v>0</v>
      </c>
      <c r="V30" s="540">
        <v>0</v>
      </c>
      <c r="W30" s="540">
        <v>0</v>
      </c>
      <c r="X30" s="540">
        <v>0</v>
      </c>
      <c r="Y30" s="540">
        <v>0</v>
      </c>
      <c r="Z30" s="540">
        <v>0</v>
      </c>
      <c r="AA30" s="540">
        <f t="shared" si="0"/>
        <v>7857</v>
      </c>
      <c r="AB30" s="540">
        <f t="shared" si="1"/>
        <v>6506</v>
      </c>
      <c r="AC30" s="540">
        <f t="shared" si="2"/>
        <v>14363</v>
      </c>
      <c r="AD30" s="343">
        <v>0</v>
      </c>
      <c r="AE30" s="753">
        <v>24</v>
      </c>
    </row>
    <row r="31" spans="1:32" s="341" customFormat="1" ht="20.25" customHeight="1">
      <c r="A31" s="255">
        <v>27</v>
      </c>
      <c r="B31" s="539" t="s">
        <v>41</v>
      </c>
      <c r="C31" s="540">
        <v>0</v>
      </c>
      <c r="D31" s="540">
        <v>0</v>
      </c>
      <c r="E31" s="540">
        <v>0</v>
      </c>
      <c r="F31" s="540"/>
      <c r="G31" s="540">
        <v>0</v>
      </c>
      <c r="H31" s="540">
        <v>0</v>
      </c>
      <c r="I31" s="540">
        <v>13385</v>
      </c>
      <c r="J31" s="540">
        <v>12320</v>
      </c>
      <c r="K31" s="540">
        <v>25705</v>
      </c>
      <c r="L31" s="540">
        <v>23606</v>
      </c>
      <c r="M31" s="540">
        <v>11397</v>
      </c>
      <c r="N31" s="540">
        <v>35003</v>
      </c>
      <c r="O31" s="540">
        <v>391</v>
      </c>
      <c r="P31" s="540">
        <v>187</v>
      </c>
      <c r="Q31" s="540">
        <v>578</v>
      </c>
      <c r="R31" s="540">
        <v>7461</v>
      </c>
      <c r="S31" s="540">
        <v>14938</v>
      </c>
      <c r="T31" s="540">
        <v>22399</v>
      </c>
      <c r="U31" s="540">
        <v>14</v>
      </c>
      <c r="V31" s="540">
        <v>5</v>
      </c>
      <c r="W31" s="540">
        <v>19</v>
      </c>
      <c r="X31" s="540">
        <v>0</v>
      </c>
      <c r="Y31" s="540">
        <v>0</v>
      </c>
      <c r="Z31" s="540">
        <v>0</v>
      </c>
      <c r="AA31" s="540">
        <f t="shared" si="0"/>
        <v>44857</v>
      </c>
      <c r="AB31" s="540">
        <f t="shared" si="1"/>
        <v>38847</v>
      </c>
      <c r="AC31" s="540">
        <f t="shared" si="2"/>
        <v>83704</v>
      </c>
      <c r="AD31" s="343">
        <v>33</v>
      </c>
      <c r="AE31" s="753">
        <v>17</v>
      </c>
    </row>
    <row r="32" spans="1:32" s="341" customFormat="1" ht="20.25" customHeight="1">
      <c r="A32" s="255">
        <v>28</v>
      </c>
      <c r="B32" s="539" t="s">
        <v>42</v>
      </c>
      <c r="C32" s="540">
        <v>0</v>
      </c>
      <c r="D32" s="540">
        <v>0</v>
      </c>
      <c r="E32" s="540">
        <v>0</v>
      </c>
      <c r="F32" s="540"/>
      <c r="G32" s="540">
        <v>0</v>
      </c>
      <c r="H32" s="540">
        <v>0</v>
      </c>
      <c r="I32" s="540">
        <v>47385</v>
      </c>
      <c r="J32" s="540">
        <v>28919</v>
      </c>
      <c r="K32" s="540">
        <v>76304</v>
      </c>
      <c r="L32" s="540">
        <v>92012</v>
      </c>
      <c r="M32" s="540">
        <v>46755</v>
      </c>
      <c r="N32" s="540">
        <v>138767</v>
      </c>
      <c r="O32" s="540">
        <v>3586</v>
      </c>
      <c r="P32" s="540">
        <v>1455</v>
      </c>
      <c r="Q32" s="540">
        <v>5041</v>
      </c>
      <c r="R32" s="540">
        <v>6137</v>
      </c>
      <c r="S32" s="540">
        <v>4839</v>
      </c>
      <c r="T32" s="540">
        <v>10976</v>
      </c>
      <c r="U32" s="540">
        <v>0</v>
      </c>
      <c r="V32" s="540">
        <v>0</v>
      </c>
      <c r="W32" s="540">
        <v>0</v>
      </c>
      <c r="X32" s="540">
        <v>7</v>
      </c>
      <c r="Y32" s="540">
        <v>7</v>
      </c>
      <c r="Z32" s="540">
        <v>14</v>
      </c>
      <c r="AA32" s="540">
        <f t="shared" si="0"/>
        <v>149127</v>
      </c>
      <c r="AB32" s="540">
        <f t="shared" si="1"/>
        <v>81975</v>
      </c>
      <c r="AC32" s="540">
        <f t="shared" si="2"/>
        <v>231102</v>
      </c>
      <c r="AD32" s="343">
        <v>150</v>
      </c>
      <c r="AE32" s="753">
        <v>4</v>
      </c>
    </row>
    <row r="33" spans="1:31" s="341" customFormat="1" ht="20.25" customHeight="1">
      <c r="A33" s="255">
        <v>29</v>
      </c>
      <c r="B33" s="539" t="s">
        <v>43</v>
      </c>
      <c r="C33" s="540">
        <v>0</v>
      </c>
      <c r="D33" s="540">
        <v>0</v>
      </c>
      <c r="E33" s="540">
        <v>0</v>
      </c>
      <c r="F33" s="540"/>
      <c r="G33" s="540">
        <v>0</v>
      </c>
      <c r="H33" s="540">
        <v>0</v>
      </c>
      <c r="I33" s="540">
        <v>1296</v>
      </c>
      <c r="J33" s="540">
        <v>1689</v>
      </c>
      <c r="K33" s="540">
        <v>2985</v>
      </c>
      <c r="L33" s="540">
        <v>1948</v>
      </c>
      <c r="M33" s="540">
        <v>2144</v>
      </c>
      <c r="N33" s="540">
        <v>4092</v>
      </c>
      <c r="O33" s="540">
        <v>32</v>
      </c>
      <c r="P33" s="540">
        <v>11</v>
      </c>
      <c r="Q33" s="540">
        <v>43</v>
      </c>
      <c r="R33" s="540">
        <v>16</v>
      </c>
      <c r="S33" s="540">
        <v>38</v>
      </c>
      <c r="T33" s="540">
        <v>54</v>
      </c>
      <c r="U33" s="540">
        <v>0</v>
      </c>
      <c r="V33" s="540">
        <v>0</v>
      </c>
      <c r="W33" s="540">
        <v>0</v>
      </c>
      <c r="X33" s="540">
        <v>0</v>
      </c>
      <c r="Y33" s="540">
        <v>0</v>
      </c>
      <c r="Z33" s="540">
        <v>0</v>
      </c>
      <c r="AA33" s="540">
        <f t="shared" si="0"/>
        <v>3292</v>
      </c>
      <c r="AB33" s="540">
        <f>D33+G33+J33+M33+P33+S33+V33+Y33</f>
        <v>3882</v>
      </c>
      <c r="AC33" s="540">
        <f t="shared" si="2"/>
        <v>7174</v>
      </c>
      <c r="AD33" s="343">
        <v>0</v>
      </c>
      <c r="AE33" s="753">
        <v>27</v>
      </c>
    </row>
    <row r="34" spans="1:31" s="341" customFormat="1" ht="20.25" customHeight="1">
      <c r="A34" s="255">
        <v>30</v>
      </c>
      <c r="B34" s="539" t="s">
        <v>44</v>
      </c>
      <c r="C34" s="540">
        <v>0</v>
      </c>
      <c r="D34" s="540">
        <v>0</v>
      </c>
      <c r="E34" s="540">
        <v>0</v>
      </c>
      <c r="F34" s="540"/>
      <c r="G34" s="540">
        <v>0</v>
      </c>
      <c r="H34" s="540">
        <v>0</v>
      </c>
      <c r="I34" s="540">
        <v>78857</v>
      </c>
      <c r="J34" s="540">
        <v>103618</v>
      </c>
      <c r="K34" s="540">
        <v>182475</v>
      </c>
      <c r="L34" s="540">
        <v>91043</v>
      </c>
      <c r="M34" s="540">
        <v>94394</v>
      </c>
      <c r="N34" s="540">
        <v>185437</v>
      </c>
      <c r="O34" s="540">
        <v>7923</v>
      </c>
      <c r="P34" s="540">
        <v>5100</v>
      </c>
      <c r="Q34" s="540">
        <v>13023</v>
      </c>
      <c r="R34" s="540">
        <v>9116</v>
      </c>
      <c r="S34" s="540">
        <v>10780</v>
      </c>
      <c r="T34" s="540">
        <v>19896</v>
      </c>
      <c r="U34" s="540">
        <v>4102</v>
      </c>
      <c r="V34" s="540">
        <v>9260</v>
      </c>
      <c r="W34" s="540">
        <v>13362</v>
      </c>
      <c r="X34" s="540">
        <v>197</v>
      </c>
      <c r="Y34" s="540">
        <v>48</v>
      </c>
      <c r="Z34" s="540">
        <v>245</v>
      </c>
      <c r="AA34" s="540">
        <f t="shared" si="0"/>
        <v>191238</v>
      </c>
      <c r="AB34" s="540">
        <f t="shared" si="1"/>
        <v>223200</v>
      </c>
      <c r="AC34" s="540">
        <f t="shared" si="2"/>
        <v>414438</v>
      </c>
      <c r="AD34" s="782">
        <v>0</v>
      </c>
      <c r="AE34" s="753">
        <v>3</v>
      </c>
    </row>
    <row r="35" spans="1:31" s="341" customFormat="1" ht="20.25" customHeight="1">
      <c r="A35" s="255">
        <v>31</v>
      </c>
      <c r="B35" s="539" t="s">
        <v>142</v>
      </c>
      <c r="C35" s="540">
        <v>0</v>
      </c>
      <c r="D35" s="540">
        <v>0</v>
      </c>
      <c r="E35" s="540">
        <v>0</v>
      </c>
      <c r="F35" s="540"/>
      <c r="G35" s="540">
        <v>0</v>
      </c>
      <c r="H35" s="540">
        <v>0</v>
      </c>
      <c r="I35" s="540">
        <v>17880</v>
      </c>
      <c r="J35" s="540">
        <v>21949</v>
      </c>
      <c r="K35" s="540">
        <v>39829</v>
      </c>
      <c r="L35" s="540">
        <v>56175</v>
      </c>
      <c r="M35" s="540">
        <v>40879</v>
      </c>
      <c r="N35" s="540">
        <v>97054</v>
      </c>
      <c r="O35" s="540">
        <v>2680</v>
      </c>
      <c r="P35" s="540">
        <v>1440</v>
      </c>
      <c r="Q35" s="540">
        <v>4120</v>
      </c>
      <c r="R35" s="540">
        <v>670</v>
      </c>
      <c r="S35" s="540">
        <v>642</v>
      </c>
      <c r="T35" s="540">
        <v>1312</v>
      </c>
      <c r="U35" s="540">
        <v>1418</v>
      </c>
      <c r="V35" s="540">
        <v>1186</v>
      </c>
      <c r="W35" s="540">
        <v>2604</v>
      </c>
      <c r="X35" s="540">
        <v>0</v>
      </c>
      <c r="Y35" s="540">
        <v>0</v>
      </c>
      <c r="Z35" s="540">
        <v>0</v>
      </c>
      <c r="AA35" s="540">
        <f t="shared" si="0"/>
        <v>78823</v>
      </c>
      <c r="AB35" s="540">
        <f t="shared" si="1"/>
        <v>66096</v>
      </c>
      <c r="AC35" s="540">
        <f t="shared" si="2"/>
        <v>144919</v>
      </c>
      <c r="AD35" s="782">
        <v>7766</v>
      </c>
      <c r="AE35" s="753">
        <v>13</v>
      </c>
    </row>
    <row r="36" spans="1:31" s="341" customFormat="1" ht="43.5" customHeight="1">
      <c r="A36" s="255">
        <v>32</v>
      </c>
      <c r="B36" s="538" t="s">
        <v>173</v>
      </c>
      <c r="C36" s="540">
        <v>0</v>
      </c>
      <c r="D36" s="540">
        <v>0</v>
      </c>
      <c r="E36" s="540">
        <v>0</v>
      </c>
      <c r="F36" s="540"/>
      <c r="G36" s="540">
        <v>0</v>
      </c>
      <c r="H36" s="540">
        <v>0</v>
      </c>
      <c r="I36" s="540">
        <v>0</v>
      </c>
      <c r="J36" s="540">
        <v>0</v>
      </c>
      <c r="K36" s="540">
        <v>0</v>
      </c>
      <c r="L36" s="540">
        <v>0</v>
      </c>
      <c r="M36" s="540">
        <v>0</v>
      </c>
      <c r="N36" s="540">
        <v>0</v>
      </c>
      <c r="O36" s="540">
        <v>0</v>
      </c>
      <c r="P36" s="540">
        <v>0</v>
      </c>
      <c r="Q36" s="540">
        <v>0</v>
      </c>
      <c r="R36" s="540">
        <v>0</v>
      </c>
      <c r="S36" s="540">
        <v>0</v>
      </c>
      <c r="T36" s="540">
        <v>0</v>
      </c>
      <c r="U36" s="540">
        <v>0</v>
      </c>
      <c r="V36" s="540">
        <v>0</v>
      </c>
      <c r="W36" s="540">
        <v>0</v>
      </c>
      <c r="X36" s="540">
        <v>0</v>
      </c>
      <c r="Y36" s="540">
        <v>0</v>
      </c>
      <c r="Z36" s="540">
        <v>0</v>
      </c>
      <c r="AA36" s="540">
        <f t="shared" si="0"/>
        <v>0</v>
      </c>
      <c r="AB36" s="540">
        <f t="shared" si="1"/>
        <v>0</v>
      </c>
      <c r="AC36" s="540">
        <f t="shared" si="2"/>
        <v>0</v>
      </c>
      <c r="AD36" s="782"/>
      <c r="AE36" s="753"/>
    </row>
    <row r="37" spans="1:31" s="341" customFormat="1" ht="20.25" customHeight="1">
      <c r="A37" s="255">
        <v>33</v>
      </c>
      <c r="B37" s="539" t="s">
        <v>45</v>
      </c>
      <c r="C37" s="540">
        <v>0</v>
      </c>
      <c r="D37" s="540">
        <v>0</v>
      </c>
      <c r="E37" s="540">
        <v>0</v>
      </c>
      <c r="F37" s="540"/>
      <c r="G37" s="540">
        <v>0</v>
      </c>
      <c r="H37" s="540">
        <v>0</v>
      </c>
      <c r="I37" s="540">
        <v>3383</v>
      </c>
      <c r="J37" s="540">
        <v>3862</v>
      </c>
      <c r="K37" s="540">
        <v>7245</v>
      </c>
      <c r="L37" s="540">
        <v>2924</v>
      </c>
      <c r="M37" s="540">
        <v>2035</v>
      </c>
      <c r="N37" s="540">
        <v>4959</v>
      </c>
      <c r="O37" s="540">
        <v>69</v>
      </c>
      <c r="P37" s="540">
        <v>26</v>
      </c>
      <c r="Q37" s="540">
        <v>95</v>
      </c>
      <c r="R37" s="540">
        <v>18</v>
      </c>
      <c r="S37" s="540">
        <v>29</v>
      </c>
      <c r="T37" s="540">
        <v>47</v>
      </c>
      <c r="U37" s="540">
        <v>0</v>
      </c>
      <c r="V37" s="540">
        <v>0</v>
      </c>
      <c r="W37" s="540">
        <v>0</v>
      </c>
      <c r="X37" s="540">
        <v>0</v>
      </c>
      <c r="Y37" s="540">
        <v>0</v>
      </c>
      <c r="Z37" s="540">
        <v>0</v>
      </c>
      <c r="AA37" s="540">
        <f t="shared" si="0"/>
        <v>6394</v>
      </c>
      <c r="AB37" s="540">
        <f t="shared" si="1"/>
        <v>5952</v>
      </c>
      <c r="AC37" s="540">
        <f t="shared" si="2"/>
        <v>12346</v>
      </c>
      <c r="AD37" s="782">
        <v>0</v>
      </c>
      <c r="AE37" s="753">
        <v>25</v>
      </c>
    </row>
    <row r="38" spans="1:31" s="341" customFormat="1" ht="20.25" customHeight="1">
      <c r="A38" s="255">
        <v>34</v>
      </c>
      <c r="B38" s="539" t="s">
        <v>47</v>
      </c>
      <c r="C38" s="540">
        <v>0</v>
      </c>
      <c r="D38" s="540">
        <v>0</v>
      </c>
      <c r="E38" s="540">
        <v>0</v>
      </c>
      <c r="F38" s="540"/>
      <c r="G38" s="540">
        <v>0</v>
      </c>
      <c r="H38" s="540">
        <v>0</v>
      </c>
      <c r="I38" s="540">
        <v>27634</v>
      </c>
      <c r="J38" s="540">
        <v>20657</v>
      </c>
      <c r="K38" s="540">
        <v>48291</v>
      </c>
      <c r="L38" s="540">
        <v>38622</v>
      </c>
      <c r="M38" s="540">
        <v>19807</v>
      </c>
      <c r="N38" s="540">
        <v>58429</v>
      </c>
      <c r="O38" s="540">
        <v>23467</v>
      </c>
      <c r="P38" s="540">
        <v>18200</v>
      </c>
      <c r="Q38" s="540">
        <v>41667</v>
      </c>
      <c r="R38" s="540">
        <v>1787</v>
      </c>
      <c r="S38" s="540">
        <v>1505</v>
      </c>
      <c r="T38" s="540">
        <v>3292</v>
      </c>
      <c r="U38" s="540">
        <v>1519</v>
      </c>
      <c r="V38" s="540">
        <v>1316</v>
      </c>
      <c r="W38" s="540">
        <v>2835</v>
      </c>
      <c r="X38" s="540">
        <v>0</v>
      </c>
      <c r="Y38" s="540">
        <v>0</v>
      </c>
      <c r="Z38" s="540">
        <v>0</v>
      </c>
      <c r="AA38" s="540">
        <f t="shared" si="0"/>
        <v>93029</v>
      </c>
      <c r="AB38" s="540">
        <f t="shared" si="1"/>
        <v>61485</v>
      </c>
      <c r="AC38" s="540">
        <f t="shared" si="2"/>
        <v>154514</v>
      </c>
      <c r="AD38" s="782">
        <v>67</v>
      </c>
      <c r="AE38" s="753">
        <v>11</v>
      </c>
    </row>
    <row r="39" spans="1:31" s="341" customFormat="1" ht="20.25" customHeight="1">
      <c r="A39" s="255">
        <v>35</v>
      </c>
      <c r="B39" s="539" t="s">
        <v>46</v>
      </c>
      <c r="C39" s="540">
        <v>0</v>
      </c>
      <c r="D39" s="540">
        <v>0</v>
      </c>
      <c r="E39" s="540">
        <v>0</v>
      </c>
      <c r="F39" s="540"/>
      <c r="G39" s="540">
        <v>0</v>
      </c>
      <c r="H39" s="540">
        <v>0</v>
      </c>
      <c r="I39" s="540">
        <v>15111</v>
      </c>
      <c r="J39" s="540">
        <v>21413</v>
      </c>
      <c r="K39" s="540">
        <v>36524</v>
      </c>
      <c r="L39" s="540">
        <v>33065</v>
      </c>
      <c r="M39" s="540">
        <v>31527</v>
      </c>
      <c r="N39" s="540">
        <v>64592</v>
      </c>
      <c r="O39" s="540">
        <v>459</v>
      </c>
      <c r="P39" s="540">
        <v>205</v>
      </c>
      <c r="Q39" s="540">
        <v>664</v>
      </c>
      <c r="R39" s="540">
        <v>473</v>
      </c>
      <c r="S39" s="540">
        <v>326</v>
      </c>
      <c r="T39" s="540">
        <v>799</v>
      </c>
      <c r="U39" s="540">
        <v>147</v>
      </c>
      <c r="V39" s="540">
        <v>101</v>
      </c>
      <c r="W39" s="540">
        <v>248</v>
      </c>
      <c r="X39" s="540">
        <v>0</v>
      </c>
      <c r="Y39" s="540">
        <v>0</v>
      </c>
      <c r="Z39" s="540">
        <v>0</v>
      </c>
      <c r="AA39" s="540">
        <f t="shared" si="0"/>
        <v>49255</v>
      </c>
      <c r="AB39" s="540">
        <f t="shared" si="1"/>
        <v>53572</v>
      </c>
      <c r="AC39" s="540">
        <f t="shared" si="2"/>
        <v>102827</v>
      </c>
      <c r="AD39" s="782">
        <v>14886</v>
      </c>
      <c r="AE39" s="753">
        <v>8</v>
      </c>
    </row>
    <row r="40" spans="1:31" s="341" customFormat="1" ht="20.25" customHeight="1">
      <c r="A40" s="255">
        <v>36</v>
      </c>
      <c r="B40" s="539" t="s">
        <v>48</v>
      </c>
      <c r="C40" s="540">
        <v>0</v>
      </c>
      <c r="D40" s="540">
        <v>0</v>
      </c>
      <c r="E40" s="540">
        <v>0</v>
      </c>
      <c r="F40" s="540"/>
      <c r="G40" s="540">
        <v>0</v>
      </c>
      <c r="H40" s="540">
        <v>0</v>
      </c>
      <c r="I40" s="540">
        <v>25099</v>
      </c>
      <c r="J40" s="540">
        <v>50001</v>
      </c>
      <c r="K40" s="540">
        <v>75100</v>
      </c>
      <c r="L40" s="540">
        <v>66742</v>
      </c>
      <c r="M40" s="540">
        <v>49049</v>
      </c>
      <c r="N40" s="540">
        <v>115791</v>
      </c>
      <c r="O40" s="540">
        <v>979</v>
      </c>
      <c r="P40" s="540">
        <v>885</v>
      </c>
      <c r="Q40" s="540">
        <v>1864</v>
      </c>
      <c r="R40" s="540">
        <v>322</v>
      </c>
      <c r="S40" s="540">
        <v>503</v>
      </c>
      <c r="T40" s="540">
        <v>825</v>
      </c>
      <c r="U40" s="540">
        <v>1331</v>
      </c>
      <c r="V40" s="540">
        <v>488</v>
      </c>
      <c r="W40" s="540">
        <v>1819</v>
      </c>
      <c r="X40" s="540">
        <v>0</v>
      </c>
      <c r="Y40" s="540">
        <v>0</v>
      </c>
      <c r="Z40" s="540">
        <v>0</v>
      </c>
      <c r="AA40" s="540">
        <f t="shared" si="0"/>
        <v>94473</v>
      </c>
      <c r="AB40" s="540">
        <f t="shared" si="1"/>
        <v>100926</v>
      </c>
      <c r="AC40" s="540">
        <f t="shared" si="2"/>
        <v>195399</v>
      </c>
      <c r="AD40" s="782">
        <v>0</v>
      </c>
      <c r="AE40" s="753">
        <v>7</v>
      </c>
    </row>
    <row r="41" spans="1:31" s="824" customFormat="1" ht="20.25" customHeight="1">
      <c r="A41" s="943" t="s">
        <v>49</v>
      </c>
      <c r="B41" s="943"/>
      <c r="C41" s="859">
        <f>SUM(C5:C40)</f>
        <v>8</v>
      </c>
      <c r="D41" s="859">
        <f t="shared" ref="D41:AC41" si="3">SUM(D5:D40)</f>
        <v>2</v>
      </c>
      <c r="E41" s="859">
        <f t="shared" si="3"/>
        <v>10</v>
      </c>
      <c r="F41" s="859">
        <f t="shared" si="3"/>
        <v>0</v>
      </c>
      <c r="G41" s="859">
        <f t="shared" si="3"/>
        <v>0</v>
      </c>
      <c r="H41" s="859">
        <f t="shared" si="3"/>
        <v>0</v>
      </c>
      <c r="I41" s="859">
        <f t="shared" si="3"/>
        <v>557581</v>
      </c>
      <c r="J41" s="859">
        <f t="shared" si="3"/>
        <v>707840</v>
      </c>
      <c r="K41" s="859">
        <f t="shared" si="3"/>
        <v>1265421</v>
      </c>
      <c r="L41" s="859">
        <f t="shared" si="3"/>
        <v>1738418</v>
      </c>
      <c r="M41" s="859">
        <f t="shared" si="3"/>
        <v>1222618</v>
      </c>
      <c r="N41" s="859">
        <f t="shared" si="3"/>
        <v>2961036</v>
      </c>
      <c r="O41" s="859">
        <f t="shared" si="3"/>
        <v>74565</v>
      </c>
      <c r="P41" s="859">
        <f t="shared" si="3"/>
        <v>53317</v>
      </c>
      <c r="Q41" s="859">
        <f t="shared" si="3"/>
        <v>127882</v>
      </c>
      <c r="R41" s="859">
        <f t="shared" si="3"/>
        <v>76432</v>
      </c>
      <c r="S41" s="859">
        <f t="shared" si="3"/>
        <v>84233</v>
      </c>
      <c r="T41" s="859">
        <f t="shared" si="3"/>
        <v>160665</v>
      </c>
      <c r="U41" s="859">
        <f t="shared" si="3"/>
        <v>31479</v>
      </c>
      <c r="V41" s="859">
        <f t="shared" si="3"/>
        <v>25028</v>
      </c>
      <c r="W41" s="859">
        <f t="shared" si="3"/>
        <v>56507</v>
      </c>
      <c r="X41" s="859">
        <f t="shared" si="3"/>
        <v>269</v>
      </c>
      <c r="Y41" s="859">
        <f t="shared" si="3"/>
        <v>84</v>
      </c>
      <c r="Z41" s="859">
        <f t="shared" si="3"/>
        <v>353</v>
      </c>
      <c r="AA41" s="859">
        <f t="shared" si="3"/>
        <v>2478752</v>
      </c>
      <c r="AB41" s="859">
        <f t="shared" si="3"/>
        <v>2093122</v>
      </c>
      <c r="AC41" s="859">
        <f t="shared" si="3"/>
        <v>4571874</v>
      </c>
      <c r="AD41" s="782">
        <v>0</v>
      </c>
      <c r="AE41" s="753"/>
    </row>
    <row r="42" spans="1:31">
      <c r="C42" s="659">
        <v>8</v>
      </c>
      <c r="D42" s="659">
        <v>2</v>
      </c>
      <c r="E42" s="659">
        <v>10</v>
      </c>
      <c r="AC42" s="860">
        <f>AC41-327</f>
        <v>4571547</v>
      </c>
    </row>
    <row r="43" spans="1:31">
      <c r="AA43" s="659" t="b">
        <v>0</v>
      </c>
      <c r="AB43" s="659" t="b">
        <v>0</v>
      </c>
      <c r="AC43" s="659" t="b">
        <v>0</v>
      </c>
    </row>
    <row r="44" spans="1:31">
      <c r="AB44" s="659">
        <v>8437</v>
      </c>
      <c r="AC44" s="659">
        <f>'6TotalEnr'!AC41-'6aTotalRegularEnr'!AC41</f>
        <v>4571874</v>
      </c>
    </row>
    <row r="45" spans="1:31" ht="15.5">
      <c r="C45" s="756" t="s">
        <v>135</v>
      </c>
      <c r="D45" s="756" t="s">
        <v>87</v>
      </c>
      <c r="E45" s="756" t="s">
        <v>88</v>
      </c>
      <c r="F45" s="756" t="s">
        <v>175</v>
      </c>
      <c r="G45" s="216" t="s">
        <v>106</v>
      </c>
      <c r="H45" s="216" t="s">
        <v>176</v>
      </c>
    </row>
    <row r="46" spans="1:31" ht="15.5">
      <c r="C46" s="756" t="s">
        <v>89</v>
      </c>
      <c r="D46" s="756">
        <v>8</v>
      </c>
      <c r="E46" s="756">
        <v>2</v>
      </c>
      <c r="F46" s="756">
        <v>10</v>
      </c>
      <c r="G46" s="216">
        <v>10</v>
      </c>
      <c r="H46" s="216">
        <v>2.0590549308497288E-4</v>
      </c>
      <c r="AB46" s="861"/>
      <c r="AC46" s="861"/>
      <c r="AD46" s="861"/>
      <c r="AE46" s="861"/>
    </row>
    <row r="47" spans="1:31" ht="15.5">
      <c r="C47" s="756" t="s">
        <v>90</v>
      </c>
      <c r="D47" s="756">
        <v>0</v>
      </c>
      <c r="E47" s="756">
        <v>0</v>
      </c>
      <c r="F47" s="756">
        <v>0</v>
      </c>
      <c r="G47" s="216">
        <v>0</v>
      </c>
      <c r="H47" s="216">
        <v>0</v>
      </c>
    </row>
    <row r="48" spans="1:31" ht="15.5">
      <c r="C48" s="756" t="s">
        <v>85</v>
      </c>
      <c r="D48" s="756">
        <v>611779</v>
      </c>
      <c r="E48" s="756">
        <v>751116</v>
      </c>
      <c r="F48" s="756">
        <v>1362895</v>
      </c>
      <c r="G48" s="216">
        <v>1362895</v>
      </c>
      <c r="H48" s="216">
        <v>28.06275669980441</v>
      </c>
    </row>
    <row r="49" spans="3:8" ht="15.5">
      <c r="C49" s="756" t="s">
        <v>86</v>
      </c>
      <c r="D49" s="756">
        <v>1838085</v>
      </c>
      <c r="E49" s="756">
        <v>1291801</v>
      </c>
      <c r="F49" s="756">
        <v>3129886</v>
      </c>
      <c r="G49" s="216">
        <v>3129886</v>
      </c>
      <c r="H49" s="216">
        <v>64.446072012975335</v>
      </c>
    </row>
    <row r="50" spans="3:8" ht="15.5">
      <c r="C50" s="756" t="s">
        <v>91</v>
      </c>
      <c r="D50" s="756">
        <v>76604</v>
      </c>
      <c r="E50" s="756">
        <v>54210</v>
      </c>
      <c r="F50" s="756">
        <v>130814</v>
      </c>
      <c r="G50" s="216">
        <v>130814</v>
      </c>
      <c r="H50" s="216">
        <v>2.6935321172417641</v>
      </c>
    </row>
    <row r="51" spans="3:8" ht="15.5">
      <c r="C51" s="756" t="s">
        <v>92</v>
      </c>
      <c r="D51" s="756">
        <v>83348</v>
      </c>
      <c r="E51" s="756">
        <v>86442</v>
      </c>
      <c r="F51" s="756">
        <v>169790</v>
      </c>
      <c r="G51" s="216">
        <v>169790</v>
      </c>
      <c r="H51" s="216">
        <v>3.4960693670897545</v>
      </c>
    </row>
    <row r="52" spans="3:8" ht="15.5">
      <c r="C52" s="756" t="s">
        <v>93</v>
      </c>
      <c r="D52" s="756">
        <v>35631</v>
      </c>
      <c r="E52" s="756">
        <v>27218</v>
      </c>
      <c r="F52" s="756">
        <v>62849</v>
      </c>
      <c r="G52" s="216">
        <v>62849</v>
      </c>
      <c r="H52" s="216">
        <v>1.2940954334897459</v>
      </c>
    </row>
    <row r="53" spans="3:8" ht="15.5">
      <c r="C53" s="756" t="s">
        <v>94</v>
      </c>
      <c r="D53" s="756">
        <v>269</v>
      </c>
      <c r="E53" s="756">
        <v>84</v>
      </c>
      <c r="F53" s="756">
        <v>353</v>
      </c>
      <c r="G53" s="216">
        <v>353</v>
      </c>
      <c r="H53" s="216">
        <v>7.2684639058995422E-3</v>
      </c>
    </row>
    <row r="54" spans="3:8" ht="15.5">
      <c r="C54" s="756" t="s">
        <v>136</v>
      </c>
      <c r="D54" s="756">
        <v>2645724</v>
      </c>
      <c r="E54" s="756">
        <v>2210873</v>
      </c>
      <c r="F54" s="756">
        <v>4856597</v>
      </c>
      <c r="G54" s="216">
        <v>4856597</v>
      </c>
    </row>
    <row r="55" spans="3:8" ht="15.5">
      <c r="C55" s="216"/>
      <c r="D55" s="216">
        <v>54.476910478674675</v>
      </c>
      <c r="E55" s="216">
        <v>45.523089521325325</v>
      </c>
    </row>
    <row r="56" spans="3:8">
      <c r="C56" s="659" t="s">
        <v>177</v>
      </c>
      <c r="D56" s="659">
        <v>14.163195953416746</v>
      </c>
    </row>
  </sheetData>
  <mergeCells count="15">
    <mergeCell ref="C1:K1"/>
    <mergeCell ref="L1:T1"/>
    <mergeCell ref="U1:AC1"/>
    <mergeCell ref="I2:K2"/>
    <mergeCell ref="L2:N2"/>
    <mergeCell ref="O2:Q2"/>
    <mergeCell ref="R2:T2"/>
    <mergeCell ref="U2:W2"/>
    <mergeCell ref="X2:Z2"/>
    <mergeCell ref="AA2:AC2"/>
    <mergeCell ref="A41:B41"/>
    <mergeCell ref="A2:A3"/>
    <mergeCell ref="B2:B3"/>
    <mergeCell ref="C2:E2"/>
    <mergeCell ref="F2:H2"/>
  </mergeCells>
  <printOptions horizontalCentered="1"/>
  <pageMargins left="0.70866141732283472" right="0.15748031496062992" top="0.51181102362204722" bottom="0.39370078740157483" header="0.19685039370078741" footer="0.15748031496062992"/>
  <pageSetup paperSize="9" scale="88" firstPageNumber="15" orientation="portrait" useFirstPageNumber="1" r:id="rId1"/>
  <headerFooter>
    <oddFooter>&amp;L&amp;"Arial,Italic"&amp;9AISHE 2020-21&amp;CT-6b</oddFooter>
  </headerFooter>
  <colBreaks count="2" manualBreakCount="2">
    <brk id="11" max="39" man="1"/>
    <brk id="20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50"/>
  </sheetPr>
  <dimension ref="A1:AF54"/>
  <sheetViews>
    <sheetView view="pageBreakPreview" zoomScale="85" zoomScaleSheetLayoutView="85" workbookViewId="0">
      <pane xSplit="2" ySplit="3" topLeftCell="W4" activePane="bottomRight" state="frozen"/>
      <selection activeCell="H31" sqref="H31"/>
      <selection pane="topRight" activeCell="H31" sqref="H31"/>
      <selection pane="bottomLeft" activeCell="H31" sqref="H31"/>
      <selection pane="bottomRight" activeCell="AE41" sqref="AE41"/>
    </sheetView>
  </sheetViews>
  <sheetFormatPr defaultColWidth="9.1796875" defaultRowHeight="15.5"/>
  <cols>
    <col min="1" max="1" width="5.1796875" style="748" customWidth="1"/>
    <col min="2" max="2" width="22" style="748" customWidth="1"/>
    <col min="3" max="3" width="8.81640625" style="748" customWidth="1"/>
    <col min="4" max="4" width="13.54296875" style="748" bestFit="1" customWidth="1"/>
    <col min="5" max="5" width="8.26953125" style="748" customWidth="1"/>
    <col min="6" max="6" width="10.54296875" style="748" bestFit="1" customWidth="1"/>
    <col min="7" max="7" width="8.1796875" style="748" customWidth="1"/>
    <col min="8" max="8" width="6.54296875" style="748" customWidth="1"/>
    <col min="9" max="9" width="8.453125" style="748" bestFit="1" customWidth="1"/>
    <col min="10" max="10" width="8.1796875" style="748" customWidth="1"/>
    <col min="11" max="11" width="9.26953125" style="748" customWidth="1"/>
    <col min="12" max="12" width="9.54296875" style="748" bestFit="1" customWidth="1"/>
    <col min="13" max="13" width="9.26953125" style="748" customWidth="1"/>
    <col min="14" max="14" width="11.7265625" style="748" customWidth="1"/>
    <col min="15" max="15" width="11.26953125" style="748" customWidth="1"/>
    <col min="16" max="16" width="11.54296875" style="748" customWidth="1"/>
    <col min="17" max="17" width="10.453125" style="748" customWidth="1"/>
    <col min="18" max="18" width="10.26953125" style="748" customWidth="1"/>
    <col min="19" max="19" width="11" style="748" customWidth="1"/>
    <col min="20" max="20" width="10.26953125" style="748" customWidth="1"/>
    <col min="21" max="21" width="9.54296875" style="748" customWidth="1"/>
    <col min="22" max="23" width="10.26953125" style="748" customWidth="1"/>
    <col min="24" max="25" width="10" style="748" customWidth="1"/>
    <col min="26" max="26" width="11.1796875" style="748" customWidth="1"/>
    <col min="27" max="28" width="10.26953125" style="748" customWidth="1"/>
    <col min="29" max="31" width="11" style="748" customWidth="1"/>
    <col min="32" max="32" width="10.54296875" style="748" bestFit="1" customWidth="1"/>
    <col min="33" max="16384" width="9.1796875" style="748"/>
  </cols>
  <sheetData>
    <row r="1" spans="1:32" s="542" customFormat="1" ht="42.75" customHeight="1">
      <c r="B1" s="158" t="s">
        <v>99</v>
      </c>
      <c r="C1" s="958" t="s">
        <v>1021</v>
      </c>
      <c r="D1" s="958"/>
      <c r="E1" s="958"/>
      <c r="F1" s="958"/>
      <c r="G1" s="958"/>
      <c r="H1" s="958"/>
      <c r="I1" s="958"/>
      <c r="J1" s="958"/>
      <c r="K1" s="958"/>
      <c r="L1" s="958"/>
      <c r="M1" s="958"/>
      <c r="N1" s="958" t="str">
        <f>C1</f>
        <v>Enrolment in Universities Teaching Departments and it's Constituent Units/Off-campus Centres
(Based on Actual Response)</v>
      </c>
      <c r="O1" s="958"/>
      <c r="P1" s="958"/>
      <c r="Q1" s="958"/>
      <c r="R1" s="958"/>
      <c r="S1" s="958"/>
      <c r="T1" s="958"/>
      <c r="U1" s="958"/>
      <c r="V1" s="958"/>
      <c r="W1" s="958" t="str">
        <f>N1</f>
        <v>Enrolment in Universities Teaching Departments and it's Constituent Units/Off-campus Centres
(Based on Actual Response)</v>
      </c>
      <c r="X1" s="958"/>
      <c r="Y1" s="958"/>
      <c r="Z1" s="958"/>
      <c r="AA1" s="958"/>
      <c r="AB1" s="958"/>
      <c r="AC1" s="958"/>
      <c r="AD1" s="958"/>
      <c r="AE1" s="958"/>
    </row>
    <row r="2" spans="1:32" s="744" customFormat="1" ht="33" customHeight="1">
      <c r="A2" s="955" t="s">
        <v>84</v>
      </c>
      <c r="B2" s="957" t="s">
        <v>2</v>
      </c>
      <c r="C2" s="957" t="s">
        <v>96</v>
      </c>
      <c r="D2" s="957"/>
      <c r="E2" s="952" t="s">
        <v>89</v>
      </c>
      <c r="F2" s="953"/>
      <c r="G2" s="954"/>
      <c r="H2" s="952" t="s">
        <v>90</v>
      </c>
      <c r="I2" s="953"/>
      <c r="J2" s="954"/>
      <c r="K2" s="952" t="s">
        <v>85</v>
      </c>
      <c r="L2" s="953"/>
      <c r="M2" s="954"/>
      <c r="N2" s="952" t="s">
        <v>86</v>
      </c>
      <c r="O2" s="953"/>
      <c r="P2" s="954"/>
      <c r="Q2" s="952" t="s">
        <v>91</v>
      </c>
      <c r="R2" s="953"/>
      <c r="S2" s="954"/>
      <c r="T2" s="952" t="s">
        <v>92</v>
      </c>
      <c r="U2" s="953"/>
      <c r="V2" s="954"/>
      <c r="W2" s="952" t="s">
        <v>93</v>
      </c>
      <c r="X2" s="953"/>
      <c r="Y2" s="954"/>
      <c r="Z2" s="952" t="s">
        <v>94</v>
      </c>
      <c r="AA2" s="953"/>
      <c r="AB2" s="954"/>
      <c r="AC2" s="952" t="s">
        <v>60</v>
      </c>
      <c r="AD2" s="953"/>
      <c r="AE2" s="954"/>
    </row>
    <row r="3" spans="1:32" s="745" customFormat="1" ht="24.75" customHeight="1">
      <c r="A3" s="956"/>
      <c r="B3" s="957"/>
      <c r="C3" s="574" t="s">
        <v>12</v>
      </c>
      <c r="D3" s="574" t="s">
        <v>97</v>
      </c>
      <c r="E3" s="550" t="s">
        <v>87</v>
      </c>
      <c r="F3" s="550" t="s">
        <v>88</v>
      </c>
      <c r="G3" s="550" t="s">
        <v>12</v>
      </c>
      <c r="H3" s="550" t="s">
        <v>87</v>
      </c>
      <c r="I3" s="550" t="s">
        <v>88</v>
      </c>
      <c r="J3" s="550" t="s">
        <v>12</v>
      </c>
      <c r="K3" s="550" t="s">
        <v>87</v>
      </c>
      <c r="L3" s="550" t="s">
        <v>88</v>
      </c>
      <c r="M3" s="550" t="s">
        <v>12</v>
      </c>
      <c r="N3" s="550" t="s">
        <v>87</v>
      </c>
      <c r="O3" s="550" t="s">
        <v>88</v>
      </c>
      <c r="P3" s="550" t="s">
        <v>12</v>
      </c>
      <c r="Q3" s="550" t="s">
        <v>87</v>
      </c>
      <c r="R3" s="550" t="s">
        <v>88</v>
      </c>
      <c r="S3" s="550" t="s">
        <v>12</v>
      </c>
      <c r="T3" s="550" t="s">
        <v>87</v>
      </c>
      <c r="U3" s="550" t="s">
        <v>88</v>
      </c>
      <c r="V3" s="550" t="s">
        <v>12</v>
      </c>
      <c r="W3" s="550" t="s">
        <v>87</v>
      </c>
      <c r="X3" s="550" t="s">
        <v>88</v>
      </c>
      <c r="Y3" s="550" t="s">
        <v>12</v>
      </c>
      <c r="Z3" s="550" t="s">
        <v>87</v>
      </c>
      <c r="AA3" s="550" t="s">
        <v>88</v>
      </c>
      <c r="AB3" s="550" t="s">
        <v>12</v>
      </c>
      <c r="AC3" s="550" t="s">
        <v>87</v>
      </c>
      <c r="AD3" s="550" t="s">
        <v>88</v>
      </c>
      <c r="AE3" s="550" t="s">
        <v>12</v>
      </c>
    </row>
    <row r="4" spans="1:32" s="746" customFormat="1" ht="15" customHeight="1">
      <c r="A4" s="543">
        <v>1</v>
      </c>
      <c r="B4" s="543">
        <v>2</v>
      </c>
      <c r="C4" s="543">
        <v>3</v>
      </c>
      <c r="D4" s="543">
        <v>4</v>
      </c>
      <c r="E4" s="543">
        <v>5</v>
      </c>
      <c r="F4" s="543">
        <v>6</v>
      </c>
      <c r="G4" s="543">
        <v>7</v>
      </c>
      <c r="H4" s="543">
        <v>8</v>
      </c>
      <c r="I4" s="543">
        <v>9</v>
      </c>
      <c r="J4" s="543">
        <v>10</v>
      </c>
      <c r="K4" s="543">
        <v>11</v>
      </c>
      <c r="L4" s="543">
        <v>12</v>
      </c>
      <c r="M4" s="543">
        <v>13</v>
      </c>
      <c r="N4" s="543">
        <v>14</v>
      </c>
      <c r="O4" s="543">
        <v>15</v>
      </c>
      <c r="P4" s="543">
        <v>16</v>
      </c>
      <c r="Q4" s="543">
        <v>17</v>
      </c>
      <c r="R4" s="543">
        <v>18</v>
      </c>
      <c r="S4" s="543">
        <v>19</v>
      </c>
      <c r="T4" s="543">
        <v>20</v>
      </c>
      <c r="U4" s="543">
        <v>21</v>
      </c>
      <c r="V4" s="543">
        <v>22</v>
      </c>
      <c r="W4" s="543">
        <v>23</v>
      </c>
      <c r="X4" s="543">
        <v>24</v>
      </c>
      <c r="Y4" s="543">
        <v>25</v>
      </c>
      <c r="Z4" s="543">
        <v>26</v>
      </c>
      <c r="AA4" s="543">
        <v>27</v>
      </c>
      <c r="AB4" s="543">
        <v>28</v>
      </c>
      <c r="AC4" s="543">
        <v>29</v>
      </c>
      <c r="AD4" s="543">
        <v>30</v>
      </c>
      <c r="AE4" s="543">
        <v>31</v>
      </c>
    </row>
    <row r="5" spans="1:32" s="747" customFormat="1" ht="30.75" customHeight="1">
      <c r="A5" s="545">
        <v>1</v>
      </c>
      <c r="B5" s="546" t="s">
        <v>171</v>
      </c>
      <c r="C5" s="544">
        <v>0</v>
      </c>
      <c r="D5" s="544">
        <v>0</v>
      </c>
      <c r="E5" s="547">
        <v>0</v>
      </c>
      <c r="F5" s="547">
        <v>0</v>
      </c>
      <c r="G5" s="548">
        <v>0</v>
      </c>
      <c r="H5" s="547">
        <v>0</v>
      </c>
      <c r="I5" s="547">
        <v>0</v>
      </c>
      <c r="J5" s="548">
        <v>0</v>
      </c>
      <c r="K5" s="547">
        <v>513</v>
      </c>
      <c r="L5" s="547">
        <v>696</v>
      </c>
      <c r="M5" s="548">
        <v>1209</v>
      </c>
      <c r="N5" s="547">
        <v>1582</v>
      </c>
      <c r="O5" s="547">
        <v>1249</v>
      </c>
      <c r="P5" s="548">
        <v>2831</v>
      </c>
      <c r="Q5" s="547">
        <v>71</v>
      </c>
      <c r="R5" s="547">
        <v>56</v>
      </c>
      <c r="S5" s="548">
        <v>127</v>
      </c>
      <c r="T5" s="547">
        <v>20</v>
      </c>
      <c r="U5" s="547">
        <v>41</v>
      </c>
      <c r="V5" s="548">
        <v>61</v>
      </c>
      <c r="W5" s="547">
        <v>0</v>
      </c>
      <c r="X5" s="547">
        <v>0</v>
      </c>
      <c r="Y5" s="548">
        <v>0</v>
      </c>
      <c r="Z5" s="547">
        <v>0</v>
      </c>
      <c r="AA5" s="547">
        <v>0</v>
      </c>
      <c r="AB5" s="548">
        <v>0</v>
      </c>
      <c r="AC5" s="548">
        <v>2186</v>
      </c>
      <c r="AD5" s="548">
        <v>2042</v>
      </c>
      <c r="AE5" s="548">
        <v>4228</v>
      </c>
      <c r="AF5" s="747">
        <f>AE5-'6bTotalDistanceEnr'!AC5</f>
        <v>0</v>
      </c>
    </row>
    <row r="6" spans="1:32" s="747" customFormat="1" ht="21.75" customHeight="1">
      <c r="A6" s="545">
        <v>2</v>
      </c>
      <c r="B6" s="549" t="s">
        <v>15</v>
      </c>
      <c r="C6" s="544">
        <v>45</v>
      </c>
      <c r="D6" s="544">
        <v>45</v>
      </c>
      <c r="E6" s="547">
        <v>3784</v>
      </c>
      <c r="F6" s="547">
        <v>2358</v>
      </c>
      <c r="G6" s="548">
        <v>6142</v>
      </c>
      <c r="H6" s="547">
        <v>70</v>
      </c>
      <c r="I6" s="547">
        <v>48</v>
      </c>
      <c r="J6" s="548">
        <v>118</v>
      </c>
      <c r="K6" s="547">
        <v>31569</v>
      </c>
      <c r="L6" s="547">
        <v>30856</v>
      </c>
      <c r="M6" s="548">
        <v>62425</v>
      </c>
      <c r="N6" s="547">
        <v>168483</v>
      </c>
      <c r="O6" s="547">
        <v>123766</v>
      </c>
      <c r="P6" s="548">
        <v>292249</v>
      </c>
      <c r="Q6" s="547">
        <v>624</v>
      </c>
      <c r="R6" s="547">
        <v>317</v>
      </c>
      <c r="S6" s="548">
        <v>941</v>
      </c>
      <c r="T6" s="547">
        <v>1696</v>
      </c>
      <c r="U6" s="547">
        <v>1826</v>
      </c>
      <c r="V6" s="548">
        <v>3522</v>
      </c>
      <c r="W6" s="547">
        <v>190</v>
      </c>
      <c r="X6" s="547">
        <v>304</v>
      </c>
      <c r="Y6" s="548">
        <v>494</v>
      </c>
      <c r="Z6" s="547">
        <v>2734</v>
      </c>
      <c r="AA6" s="547">
        <v>2109</v>
      </c>
      <c r="AB6" s="548">
        <v>4843</v>
      </c>
      <c r="AC6" s="548">
        <v>209150</v>
      </c>
      <c r="AD6" s="548">
        <v>161584</v>
      </c>
      <c r="AE6" s="548">
        <v>370734</v>
      </c>
      <c r="AF6" s="747">
        <f>AE6-'6bTotalDistanceEnr'!AC6</f>
        <v>217764</v>
      </c>
    </row>
    <row r="7" spans="1:32" s="747" customFormat="1" ht="21.75" customHeight="1">
      <c r="A7" s="545">
        <v>3</v>
      </c>
      <c r="B7" s="549" t="s">
        <v>16</v>
      </c>
      <c r="C7" s="544">
        <v>10</v>
      </c>
      <c r="D7" s="544">
        <v>10</v>
      </c>
      <c r="E7" s="547">
        <v>466</v>
      </c>
      <c r="F7" s="547">
        <v>256</v>
      </c>
      <c r="G7" s="548">
        <v>722</v>
      </c>
      <c r="H7" s="547">
        <v>56</v>
      </c>
      <c r="I7" s="547">
        <v>74</v>
      </c>
      <c r="J7" s="548">
        <v>130</v>
      </c>
      <c r="K7" s="547">
        <v>5509</v>
      </c>
      <c r="L7" s="547">
        <v>5624</v>
      </c>
      <c r="M7" s="548">
        <v>11133</v>
      </c>
      <c r="N7" s="547">
        <v>11209</v>
      </c>
      <c r="O7" s="547">
        <v>8925</v>
      </c>
      <c r="P7" s="548">
        <v>20134</v>
      </c>
      <c r="Q7" s="547">
        <v>97</v>
      </c>
      <c r="R7" s="547">
        <v>78</v>
      </c>
      <c r="S7" s="548">
        <v>175</v>
      </c>
      <c r="T7" s="547">
        <v>725</v>
      </c>
      <c r="U7" s="547">
        <v>544</v>
      </c>
      <c r="V7" s="548">
        <v>1269</v>
      </c>
      <c r="W7" s="547">
        <v>310</v>
      </c>
      <c r="X7" s="547">
        <v>162</v>
      </c>
      <c r="Y7" s="548">
        <v>472</v>
      </c>
      <c r="Z7" s="547">
        <v>978</v>
      </c>
      <c r="AA7" s="547">
        <v>568</v>
      </c>
      <c r="AB7" s="548">
        <v>1546</v>
      </c>
      <c r="AC7" s="548">
        <v>19350</v>
      </c>
      <c r="AD7" s="548">
        <v>16231</v>
      </c>
      <c r="AE7" s="548">
        <v>35581</v>
      </c>
      <c r="AF7" s="747">
        <f>AE7-'6bTotalDistanceEnr'!AC7</f>
        <v>24649</v>
      </c>
    </row>
    <row r="8" spans="1:32" s="747" customFormat="1" ht="21.75" customHeight="1">
      <c r="A8" s="545">
        <v>4</v>
      </c>
      <c r="B8" s="549" t="s">
        <v>17</v>
      </c>
      <c r="C8" s="544">
        <v>28</v>
      </c>
      <c r="D8" s="544">
        <v>28</v>
      </c>
      <c r="E8" s="547">
        <v>3523</v>
      </c>
      <c r="F8" s="547">
        <v>2267</v>
      </c>
      <c r="G8" s="548">
        <v>5790</v>
      </c>
      <c r="H8" s="547">
        <v>122</v>
      </c>
      <c r="I8" s="547">
        <v>154</v>
      </c>
      <c r="J8" s="548">
        <v>276</v>
      </c>
      <c r="K8" s="547">
        <v>19059</v>
      </c>
      <c r="L8" s="547">
        <v>26532</v>
      </c>
      <c r="M8" s="548">
        <v>45591</v>
      </c>
      <c r="N8" s="547">
        <v>38308</v>
      </c>
      <c r="O8" s="547">
        <v>23615</v>
      </c>
      <c r="P8" s="548">
        <v>61923</v>
      </c>
      <c r="Q8" s="547">
        <v>703</v>
      </c>
      <c r="R8" s="547">
        <v>521</v>
      </c>
      <c r="S8" s="548">
        <v>1224</v>
      </c>
      <c r="T8" s="547">
        <v>1036</v>
      </c>
      <c r="U8" s="547">
        <v>1123</v>
      </c>
      <c r="V8" s="548">
        <v>2159</v>
      </c>
      <c r="W8" s="547">
        <v>82</v>
      </c>
      <c r="X8" s="547">
        <v>95</v>
      </c>
      <c r="Y8" s="548">
        <v>177</v>
      </c>
      <c r="Z8" s="547">
        <v>1150</v>
      </c>
      <c r="AA8" s="547">
        <v>1276</v>
      </c>
      <c r="AB8" s="548">
        <v>2426</v>
      </c>
      <c r="AC8" s="548">
        <v>63983</v>
      </c>
      <c r="AD8" s="548">
        <v>55583</v>
      </c>
      <c r="AE8" s="548">
        <v>119566</v>
      </c>
      <c r="AF8" s="747">
        <f>AE8-'6bTotalDistanceEnr'!AC8</f>
        <v>69661</v>
      </c>
    </row>
    <row r="9" spans="1:32" s="747" customFormat="1" ht="21.75" customHeight="1">
      <c r="A9" s="545">
        <v>5</v>
      </c>
      <c r="B9" s="549" t="s">
        <v>18</v>
      </c>
      <c r="C9" s="544">
        <v>37</v>
      </c>
      <c r="D9" s="544">
        <v>37</v>
      </c>
      <c r="E9" s="547">
        <v>2605</v>
      </c>
      <c r="F9" s="547">
        <v>1164</v>
      </c>
      <c r="G9" s="548">
        <v>3769</v>
      </c>
      <c r="H9" s="547">
        <v>50</v>
      </c>
      <c r="I9" s="547">
        <v>23</v>
      </c>
      <c r="J9" s="548">
        <v>73</v>
      </c>
      <c r="K9" s="547">
        <v>70925</v>
      </c>
      <c r="L9" s="547">
        <v>56017</v>
      </c>
      <c r="M9" s="548">
        <v>126942</v>
      </c>
      <c r="N9" s="547">
        <v>124685</v>
      </c>
      <c r="O9" s="547">
        <v>69558</v>
      </c>
      <c r="P9" s="548">
        <v>194243</v>
      </c>
      <c r="Q9" s="547">
        <v>2112</v>
      </c>
      <c r="R9" s="547">
        <v>726</v>
      </c>
      <c r="S9" s="548">
        <v>2838</v>
      </c>
      <c r="T9" s="547">
        <v>2514</v>
      </c>
      <c r="U9" s="547">
        <v>1572</v>
      </c>
      <c r="V9" s="548">
        <v>4086</v>
      </c>
      <c r="W9" s="547">
        <v>357</v>
      </c>
      <c r="X9" s="547">
        <v>202</v>
      </c>
      <c r="Y9" s="548">
        <v>559</v>
      </c>
      <c r="Z9" s="547">
        <v>1410</v>
      </c>
      <c r="AA9" s="547">
        <v>829</v>
      </c>
      <c r="AB9" s="548">
        <v>2239</v>
      </c>
      <c r="AC9" s="548">
        <v>204658</v>
      </c>
      <c r="AD9" s="548">
        <v>130091</v>
      </c>
      <c r="AE9" s="548">
        <v>334749</v>
      </c>
      <c r="AF9" s="747">
        <f>AE9-'6bTotalDistanceEnr'!AC9</f>
        <v>115263</v>
      </c>
    </row>
    <row r="10" spans="1:32" s="747" customFormat="1" ht="21.75" customHeight="1">
      <c r="A10" s="545">
        <v>6</v>
      </c>
      <c r="B10" s="549" t="s">
        <v>19</v>
      </c>
      <c r="C10" s="544">
        <v>3</v>
      </c>
      <c r="D10" s="544">
        <v>3</v>
      </c>
      <c r="E10" s="547">
        <v>314</v>
      </c>
      <c r="F10" s="547">
        <v>341</v>
      </c>
      <c r="G10" s="548">
        <v>655</v>
      </c>
      <c r="H10" s="547">
        <v>154</v>
      </c>
      <c r="I10" s="547">
        <v>28</v>
      </c>
      <c r="J10" s="548">
        <v>182</v>
      </c>
      <c r="K10" s="547">
        <v>7346</v>
      </c>
      <c r="L10" s="547">
        <v>9523</v>
      </c>
      <c r="M10" s="548">
        <v>16869</v>
      </c>
      <c r="N10" s="547">
        <v>21346</v>
      </c>
      <c r="O10" s="547">
        <v>10640</v>
      </c>
      <c r="P10" s="548">
        <v>31986</v>
      </c>
      <c r="Q10" s="547">
        <v>1015</v>
      </c>
      <c r="R10" s="547">
        <v>851</v>
      </c>
      <c r="S10" s="548">
        <v>1866</v>
      </c>
      <c r="T10" s="547">
        <v>1325</v>
      </c>
      <c r="U10" s="547">
        <v>2478</v>
      </c>
      <c r="V10" s="548">
        <v>3803</v>
      </c>
      <c r="W10" s="547">
        <v>192</v>
      </c>
      <c r="X10" s="547">
        <v>154</v>
      </c>
      <c r="Y10" s="548">
        <v>346</v>
      </c>
      <c r="Z10" s="547">
        <v>859</v>
      </c>
      <c r="AA10" s="547">
        <v>1023</v>
      </c>
      <c r="AB10" s="548">
        <v>1882</v>
      </c>
      <c r="AC10" s="548">
        <v>32551</v>
      </c>
      <c r="AD10" s="548">
        <v>25038</v>
      </c>
      <c r="AE10" s="548">
        <v>57589</v>
      </c>
      <c r="AF10" s="747">
        <f>AE10-'6bTotalDistanceEnr'!AC10</f>
        <v>21371</v>
      </c>
    </row>
    <row r="11" spans="1:32" s="747" customFormat="1" ht="21.75" customHeight="1">
      <c r="A11" s="545">
        <v>7</v>
      </c>
      <c r="B11" s="549" t="s">
        <v>20</v>
      </c>
      <c r="C11" s="544">
        <v>32</v>
      </c>
      <c r="D11" s="544">
        <v>32</v>
      </c>
      <c r="E11" s="547">
        <v>733</v>
      </c>
      <c r="F11" s="547">
        <v>579</v>
      </c>
      <c r="G11" s="548">
        <v>1312</v>
      </c>
      <c r="H11" s="547">
        <v>36</v>
      </c>
      <c r="I11" s="547">
        <v>22</v>
      </c>
      <c r="J11" s="548">
        <v>58</v>
      </c>
      <c r="K11" s="547">
        <v>14302</v>
      </c>
      <c r="L11" s="547">
        <v>12793</v>
      </c>
      <c r="M11" s="548">
        <v>27095</v>
      </c>
      <c r="N11" s="547">
        <v>31942</v>
      </c>
      <c r="O11" s="547">
        <v>19333</v>
      </c>
      <c r="P11" s="548">
        <v>51275</v>
      </c>
      <c r="Q11" s="547">
        <v>10549</v>
      </c>
      <c r="R11" s="547">
        <v>10424</v>
      </c>
      <c r="S11" s="548">
        <v>20973</v>
      </c>
      <c r="T11" s="547">
        <v>17037</v>
      </c>
      <c r="U11" s="547">
        <v>12388</v>
      </c>
      <c r="V11" s="548">
        <v>29425</v>
      </c>
      <c r="W11" s="547">
        <v>105</v>
      </c>
      <c r="X11" s="547">
        <v>66</v>
      </c>
      <c r="Y11" s="548">
        <v>171</v>
      </c>
      <c r="Z11" s="547">
        <v>941</v>
      </c>
      <c r="AA11" s="547">
        <v>881</v>
      </c>
      <c r="AB11" s="548">
        <v>1822</v>
      </c>
      <c r="AC11" s="548">
        <v>75645</v>
      </c>
      <c r="AD11" s="548">
        <v>56486</v>
      </c>
      <c r="AE11" s="548">
        <v>132131</v>
      </c>
      <c r="AF11" s="747">
        <f>AE11-'6bTotalDistanceEnr'!AC11</f>
        <v>50351</v>
      </c>
    </row>
    <row r="12" spans="1:32" s="747" customFormat="1" ht="21.75" customHeight="1">
      <c r="A12" s="545">
        <v>8</v>
      </c>
      <c r="B12" s="549" t="s">
        <v>23</v>
      </c>
      <c r="C12" s="544">
        <v>28</v>
      </c>
      <c r="D12" s="544">
        <v>27</v>
      </c>
      <c r="E12" s="547">
        <v>8048</v>
      </c>
      <c r="F12" s="547">
        <v>7297</v>
      </c>
      <c r="G12" s="548">
        <v>15345</v>
      </c>
      <c r="H12" s="547">
        <v>771</v>
      </c>
      <c r="I12" s="547">
        <v>749</v>
      </c>
      <c r="J12" s="548">
        <v>1520</v>
      </c>
      <c r="K12" s="547">
        <v>63583</v>
      </c>
      <c r="L12" s="547">
        <v>89123</v>
      </c>
      <c r="M12" s="548">
        <v>152706</v>
      </c>
      <c r="N12" s="547">
        <v>326550</v>
      </c>
      <c r="O12" s="547">
        <v>274862</v>
      </c>
      <c r="P12" s="548">
        <v>601412</v>
      </c>
      <c r="Q12" s="547">
        <v>6776</v>
      </c>
      <c r="R12" s="547">
        <v>5213</v>
      </c>
      <c r="S12" s="548">
        <v>11989</v>
      </c>
      <c r="T12" s="547">
        <v>4622</v>
      </c>
      <c r="U12" s="547">
        <v>3642</v>
      </c>
      <c r="V12" s="548">
        <v>8264</v>
      </c>
      <c r="W12" s="547">
        <v>556</v>
      </c>
      <c r="X12" s="547">
        <v>290</v>
      </c>
      <c r="Y12" s="548">
        <v>846</v>
      </c>
      <c r="Z12" s="547">
        <v>2196</v>
      </c>
      <c r="AA12" s="547">
        <v>1238</v>
      </c>
      <c r="AB12" s="548">
        <v>3434</v>
      </c>
      <c r="AC12" s="548">
        <v>413102</v>
      </c>
      <c r="AD12" s="548">
        <v>382414</v>
      </c>
      <c r="AE12" s="548">
        <v>795516</v>
      </c>
      <c r="AF12" s="747">
        <f>AE12-'6bTotalDistanceEnr'!AC12</f>
        <v>144756</v>
      </c>
    </row>
    <row r="13" spans="1:32" s="747" customFormat="1" ht="21.75" customHeight="1">
      <c r="A13" s="545">
        <v>9</v>
      </c>
      <c r="B13" s="549" t="s">
        <v>24</v>
      </c>
      <c r="C13" s="544">
        <v>3</v>
      </c>
      <c r="D13" s="544">
        <v>3</v>
      </c>
      <c r="E13" s="547">
        <v>216</v>
      </c>
      <c r="F13" s="547">
        <v>245</v>
      </c>
      <c r="G13" s="548">
        <v>461</v>
      </c>
      <c r="H13" s="547">
        <v>0</v>
      </c>
      <c r="I13" s="547">
        <v>0</v>
      </c>
      <c r="J13" s="548">
        <v>0</v>
      </c>
      <c r="K13" s="547">
        <v>1728</v>
      </c>
      <c r="L13" s="547">
        <v>2405</v>
      </c>
      <c r="M13" s="548">
        <v>4133</v>
      </c>
      <c r="N13" s="547">
        <v>3891</v>
      </c>
      <c r="O13" s="547">
        <v>1819</v>
      </c>
      <c r="P13" s="548">
        <v>5710</v>
      </c>
      <c r="Q13" s="547">
        <v>90</v>
      </c>
      <c r="R13" s="547">
        <v>91</v>
      </c>
      <c r="S13" s="548">
        <v>181</v>
      </c>
      <c r="T13" s="547">
        <v>21</v>
      </c>
      <c r="U13" s="547">
        <v>59</v>
      </c>
      <c r="V13" s="548">
        <v>80</v>
      </c>
      <c r="W13" s="547">
        <v>9</v>
      </c>
      <c r="X13" s="547">
        <v>14</v>
      </c>
      <c r="Y13" s="548">
        <v>23</v>
      </c>
      <c r="Z13" s="547">
        <v>76</v>
      </c>
      <c r="AA13" s="547">
        <v>44</v>
      </c>
      <c r="AB13" s="548">
        <v>120</v>
      </c>
      <c r="AC13" s="548">
        <v>6031</v>
      </c>
      <c r="AD13" s="548">
        <v>4677</v>
      </c>
      <c r="AE13" s="548">
        <v>10708</v>
      </c>
      <c r="AF13" s="747">
        <f>AE13-'6bTotalDistanceEnr'!AC13</f>
        <v>3767</v>
      </c>
    </row>
    <row r="14" spans="1:32" s="747" customFormat="1" ht="21.75" customHeight="1">
      <c r="A14" s="545">
        <v>10</v>
      </c>
      <c r="B14" s="549" t="s">
        <v>25</v>
      </c>
      <c r="C14" s="544">
        <v>83</v>
      </c>
      <c r="D14" s="544">
        <v>83</v>
      </c>
      <c r="E14" s="547">
        <v>4518</v>
      </c>
      <c r="F14" s="547">
        <v>2997</v>
      </c>
      <c r="G14" s="548">
        <v>7515</v>
      </c>
      <c r="H14" s="547">
        <v>130</v>
      </c>
      <c r="I14" s="547">
        <v>169</v>
      </c>
      <c r="J14" s="548">
        <v>299</v>
      </c>
      <c r="K14" s="547">
        <v>44089</v>
      </c>
      <c r="L14" s="547">
        <v>42453</v>
      </c>
      <c r="M14" s="548">
        <v>86542</v>
      </c>
      <c r="N14" s="547">
        <v>163393</v>
      </c>
      <c r="O14" s="547">
        <v>98858</v>
      </c>
      <c r="P14" s="548">
        <v>262251</v>
      </c>
      <c r="Q14" s="547">
        <v>2334</v>
      </c>
      <c r="R14" s="547">
        <v>1880</v>
      </c>
      <c r="S14" s="548">
        <v>4214</v>
      </c>
      <c r="T14" s="547">
        <v>17509</v>
      </c>
      <c r="U14" s="547">
        <v>6183</v>
      </c>
      <c r="V14" s="548">
        <v>23692</v>
      </c>
      <c r="W14" s="547">
        <v>14661</v>
      </c>
      <c r="X14" s="547">
        <v>2205</v>
      </c>
      <c r="Y14" s="548">
        <v>16866</v>
      </c>
      <c r="Z14" s="547">
        <v>7075</v>
      </c>
      <c r="AA14" s="547">
        <v>5845</v>
      </c>
      <c r="AB14" s="548">
        <v>12920</v>
      </c>
      <c r="AC14" s="548">
        <v>253709</v>
      </c>
      <c r="AD14" s="548">
        <v>160590</v>
      </c>
      <c r="AE14" s="548">
        <v>414299</v>
      </c>
      <c r="AF14" s="747">
        <f>AE14-'6bTotalDistanceEnr'!AC14</f>
        <v>327046</v>
      </c>
    </row>
    <row r="15" spans="1:32" s="747" customFormat="1" ht="21.75" customHeight="1">
      <c r="A15" s="545">
        <v>11</v>
      </c>
      <c r="B15" s="549" t="s">
        <v>26</v>
      </c>
      <c r="C15" s="544">
        <v>56</v>
      </c>
      <c r="D15" s="544">
        <v>56</v>
      </c>
      <c r="E15" s="547">
        <v>1906</v>
      </c>
      <c r="F15" s="547">
        <v>2161</v>
      </c>
      <c r="G15" s="548">
        <v>4067</v>
      </c>
      <c r="H15" s="547">
        <v>100</v>
      </c>
      <c r="I15" s="547">
        <v>125</v>
      </c>
      <c r="J15" s="548">
        <v>225</v>
      </c>
      <c r="K15" s="547">
        <v>34175</v>
      </c>
      <c r="L15" s="547">
        <v>44318</v>
      </c>
      <c r="M15" s="548">
        <v>78493</v>
      </c>
      <c r="N15" s="547">
        <v>147576</v>
      </c>
      <c r="O15" s="547">
        <v>76547</v>
      </c>
      <c r="P15" s="548">
        <v>224123</v>
      </c>
      <c r="Q15" s="547">
        <v>1032</v>
      </c>
      <c r="R15" s="547">
        <v>704</v>
      </c>
      <c r="S15" s="548">
        <v>1736</v>
      </c>
      <c r="T15" s="547">
        <v>4048</v>
      </c>
      <c r="U15" s="547">
        <v>2849</v>
      </c>
      <c r="V15" s="548">
        <v>6897</v>
      </c>
      <c r="W15" s="547">
        <v>178</v>
      </c>
      <c r="X15" s="547">
        <v>128</v>
      </c>
      <c r="Y15" s="548">
        <v>306</v>
      </c>
      <c r="Z15" s="547">
        <v>6696</v>
      </c>
      <c r="AA15" s="547">
        <v>5609</v>
      </c>
      <c r="AB15" s="548">
        <v>12305</v>
      </c>
      <c r="AC15" s="548">
        <v>195711</v>
      </c>
      <c r="AD15" s="548">
        <v>132441</v>
      </c>
      <c r="AE15" s="548">
        <v>328152</v>
      </c>
      <c r="AF15" s="747">
        <f>AE15-'6bTotalDistanceEnr'!AC15</f>
        <v>156325</v>
      </c>
    </row>
    <row r="16" spans="1:32" s="747" customFormat="1" ht="21.75" customHeight="1">
      <c r="A16" s="545">
        <v>12</v>
      </c>
      <c r="B16" s="549" t="s">
        <v>27</v>
      </c>
      <c r="C16" s="544">
        <v>29</v>
      </c>
      <c r="D16" s="544">
        <v>28</v>
      </c>
      <c r="E16" s="547">
        <v>1100</v>
      </c>
      <c r="F16" s="547">
        <v>1006</v>
      </c>
      <c r="G16" s="548">
        <v>2106</v>
      </c>
      <c r="H16" s="547">
        <v>136</v>
      </c>
      <c r="I16" s="547">
        <v>134</v>
      </c>
      <c r="J16" s="548">
        <v>270</v>
      </c>
      <c r="K16" s="547">
        <v>10786</v>
      </c>
      <c r="L16" s="547">
        <v>10000</v>
      </c>
      <c r="M16" s="548">
        <v>20786</v>
      </c>
      <c r="N16" s="547">
        <v>39130</v>
      </c>
      <c r="O16" s="547">
        <v>27654</v>
      </c>
      <c r="P16" s="548">
        <v>66784</v>
      </c>
      <c r="Q16" s="547">
        <v>541</v>
      </c>
      <c r="R16" s="547">
        <v>381</v>
      </c>
      <c r="S16" s="548">
        <v>922</v>
      </c>
      <c r="T16" s="547">
        <v>1125</v>
      </c>
      <c r="U16" s="547">
        <v>1370</v>
      </c>
      <c r="V16" s="548">
        <v>2495</v>
      </c>
      <c r="W16" s="547">
        <v>50</v>
      </c>
      <c r="X16" s="547">
        <v>32</v>
      </c>
      <c r="Y16" s="548">
        <v>82</v>
      </c>
      <c r="Z16" s="547">
        <v>1446</v>
      </c>
      <c r="AA16" s="547">
        <v>912</v>
      </c>
      <c r="AB16" s="548">
        <v>2358</v>
      </c>
      <c r="AC16" s="548">
        <v>54314</v>
      </c>
      <c r="AD16" s="548">
        <v>41489</v>
      </c>
      <c r="AE16" s="548">
        <v>95803</v>
      </c>
      <c r="AF16" s="747">
        <f>AE16-'6bTotalDistanceEnr'!AC16</f>
        <v>45142</v>
      </c>
    </row>
    <row r="17" spans="1:32" s="747" customFormat="1" ht="21.75" customHeight="1">
      <c r="A17" s="545">
        <v>13</v>
      </c>
      <c r="B17" s="549" t="s">
        <v>57</v>
      </c>
      <c r="C17" s="544">
        <v>15</v>
      </c>
      <c r="D17" s="544">
        <v>15</v>
      </c>
      <c r="E17" s="547">
        <v>2366</v>
      </c>
      <c r="F17" s="547">
        <v>1958</v>
      </c>
      <c r="G17" s="548">
        <v>4324</v>
      </c>
      <c r="H17" s="547">
        <v>117</v>
      </c>
      <c r="I17" s="547">
        <v>175</v>
      </c>
      <c r="J17" s="548">
        <v>292</v>
      </c>
      <c r="K17" s="547">
        <v>27951</v>
      </c>
      <c r="L17" s="547">
        <v>34014</v>
      </c>
      <c r="M17" s="548">
        <v>61965</v>
      </c>
      <c r="N17" s="547">
        <v>48001</v>
      </c>
      <c r="O17" s="547">
        <v>38746</v>
      </c>
      <c r="P17" s="548">
        <v>86747</v>
      </c>
      <c r="Q17" s="547">
        <v>1053</v>
      </c>
      <c r="R17" s="547">
        <v>566</v>
      </c>
      <c r="S17" s="548">
        <v>1619</v>
      </c>
      <c r="T17" s="547">
        <v>501</v>
      </c>
      <c r="U17" s="547">
        <v>735</v>
      </c>
      <c r="V17" s="548">
        <v>1236</v>
      </c>
      <c r="W17" s="547">
        <v>196</v>
      </c>
      <c r="X17" s="547">
        <v>227</v>
      </c>
      <c r="Y17" s="548">
        <v>423</v>
      </c>
      <c r="Z17" s="547">
        <v>2849</v>
      </c>
      <c r="AA17" s="547">
        <v>3329</v>
      </c>
      <c r="AB17" s="548">
        <v>6178</v>
      </c>
      <c r="AC17" s="548">
        <v>83034</v>
      </c>
      <c r="AD17" s="548">
        <v>79750</v>
      </c>
      <c r="AE17" s="548">
        <v>162784</v>
      </c>
      <c r="AF17" s="747">
        <f>AE17-'6bTotalDistanceEnr'!AC17</f>
        <v>55923</v>
      </c>
    </row>
    <row r="18" spans="1:32" s="747" customFormat="1" ht="21.75" customHeight="1">
      <c r="A18" s="545">
        <v>14</v>
      </c>
      <c r="B18" s="549" t="s">
        <v>29</v>
      </c>
      <c r="C18" s="544">
        <v>32</v>
      </c>
      <c r="D18" s="544">
        <v>32</v>
      </c>
      <c r="E18" s="547">
        <v>1706</v>
      </c>
      <c r="F18" s="547">
        <v>903</v>
      </c>
      <c r="G18" s="548">
        <v>2609</v>
      </c>
      <c r="H18" s="547">
        <v>0</v>
      </c>
      <c r="I18" s="547">
        <v>0</v>
      </c>
      <c r="J18" s="548">
        <v>0</v>
      </c>
      <c r="K18" s="547">
        <v>26624</v>
      </c>
      <c r="L18" s="547">
        <v>34196</v>
      </c>
      <c r="M18" s="548">
        <v>60820</v>
      </c>
      <c r="N18" s="547">
        <v>53545</v>
      </c>
      <c r="O18" s="547">
        <v>30610</v>
      </c>
      <c r="P18" s="548">
        <v>84155</v>
      </c>
      <c r="Q18" s="547">
        <v>2224</v>
      </c>
      <c r="R18" s="547">
        <v>830</v>
      </c>
      <c r="S18" s="548">
        <v>3054</v>
      </c>
      <c r="T18" s="547">
        <v>3441</v>
      </c>
      <c r="U18" s="547">
        <v>2057</v>
      </c>
      <c r="V18" s="548">
        <v>5498</v>
      </c>
      <c r="W18" s="547">
        <v>120</v>
      </c>
      <c r="X18" s="547">
        <v>25</v>
      </c>
      <c r="Y18" s="548">
        <v>145</v>
      </c>
      <c r="Z18" s="547">
        <v>1505</v>
      </c>
      <c r="AA18" s="547">
        <v>904</v>
      </c>
      <c r="AB18" s="548">
        <v>2409</v>
      </c>
      <c r="AC18" s="548">
        <v>89165</v>
      </c>
      <c r="AD18" s="548">
        <v>69525</v>
      </c>
      <c r="AE18" s="548">
        <v>158690</v>
      </c>
      <c r="AF18" s="747">
        <f>AE18-'6bTotalDistanceEnr'!AC18</f>
        <v>90028</v>
      </c>
    </row>
    <row r="19" spans="1:32" s="747" customFormat="1" ht="21.75" customHeight="1">
      <c r="A19" s="545">
        <v>15</v>
      </c>
      <c r="B19" s="549" t="s">
        <v>30</v>
      </c>
      <c r="C19" s="544">
        <v>72</v>
      </c>
      <c r="D19" s="544">
        <v>72</v>
      </c>
      <c r="E19" s="547">
        <v>4549</v>
      </c>
      <c r="F19" s="547">
        <v>4583</v>
      </c>
      <c r="G19" s="548">
        <v>9132</v>
      </c>
      <c r="H19" s="547">
        <v>47</v>
      </c>
      <c r="I19" s="547">
        <v>174</v>
      </c>
      <c r="J19" s="548">
        <v>221</v>
      </c>
      <c r="K19" s="547">
        <v>65900</v>
      </c>
      <c r="L19" s="547">
        <v>86815</v>
      </c>
      <c r="M19" s="548">
        <v>152715</v>
      </c>
      <c r="N19" s="547">
        <v>152827</v>
      </c>
      <c r="O19" s="547">
        <v>107279</v>
      </c>
      <c r="P19" s="548">
        <v>260106</v>
      </c>
      <c r="Q19" s="547">
        <v>2592</v>
      </c>
      <c r="R19" s="547">
        <v>1720</v>
      </c>
      <c r="S19" s="548">
        <v>4312</v>
      </c>
      <c r="T19" s="547">
        <v>1190</v>
      </c>
      <c r="U19" s="547">
        <v>934</v>
      </c>
      <c r="V19" s="548">
        <v>2124</v>
      </c>
      <c r="W19" s="547">
        <v>1444</v>
      </c>
      <c r="X19" s="547">
        <v>1487</v>
      </c>
      <c r="Y19" s="548">
        <v>2931</v>
      </c>
      <c r="Z19" s="547">
        <v>3853</v>
      </c>
      <c r="AA19" s="547">
        <v>3408</v>
      </c>
      <c r="AB19" s="548">
        <v>7261</v>
      </c>
      <c r="AC19" s="548">
        <v>232402</v>
      </c>
      <c r="AD19" s="548">
        <v>206400</v>
      </c>
      <c r="AE19" s="548">
        <v>438802</v>
      </c>
      <c r="AF19" s="747">
        <f>AE19-'6bTotalDistanceEnr'!AC19</f>
        <v>318294</v>
      </c>
    </row>
    <row r="20" spans="1:32" s="747" customFormat="1" ht="21.75" customHeight="1">
      <c r="A20" s="545">
        <v>16</v>
      </c>
      <c r="B20" s="549" t="s">
        <v>31</v>
      </c>
      <c r="C20" s="544">
        <v>23</v>
      </c>
      <c r="D20" s="544">
        <v>23</v>
      </c>
      <c r="E20" s="547">
        <v>2091</v>
      </c>
      <c r="F20" s="547">
        <v>2946</v>
      </c>
      <c r="G20" s="548">
        <v>5037</v>
      </c>
      <c r="H20" s="547">
        <v>176</v>
      </c>
      <c r="I20" s="547">
        <v>622</v>
      </c>
      <c r="J20" s="548">
        <v>798</v>
      </c>
      <c r="K20" s="547">
        <v>27181</v>
      </c>
      <c r="L20" s="547">
        <v>53111</v>
      </c>
      <c r="M20" s="548">
        <v>80292</v>
      </c>
      <c r="N20" s="547">
        <v>155267</v>
      </c>
      <c r="O20" s="547">
        <v>197843</v>
      </c>
      <c r="P20" s="548">
        <v>353110</v>
      </c>
      <c r="Q20" s="547">
        <v>1050</v>
      </c>
      <c r="R20" s="547">
        <v>1142</v>
      </c>
      <c r="S20" s="548">
        <v>2192</v>
      </c>
      <c r="T20" s="547">
        <v>407</v>
      </c>
      <c r="U20" s="547">
        <v>762</v>
      </c>
      <c r="V20" s="548">
        <v>1169</v>
      </c>
      <c r="W20" s="547">
        <v>727</v>
      </c>
      <c r="X20" s="547">
        <v>1860</v>
      </c>
      <c r="Y20" s="548">
        <v>2587</v>
      </c>
      <c r="Z20" s="547">
        <v>1132</v>
      </c>
      <c r="AA20" s="547">
        <v>1358</v>
      </c>
      <c r="AB20" s="548">
        <v>2490</v>
      </c>
      <c r="AC20" s="548">
        <v>188031</v>
      </c>
      <c r="AD20" s="548">
        <v>259644</v>
      </c>
      <c r="AE20" s="548">
        <v>447675</v>
      </c>
      <c r="AF20" s="747">
        <f>AE20-'6bTotalDistanceEnr'!AC20</f>
        <v>88876</v>
      </c>
    </row>
    <row r="21" spans="1:32" s="747" customFormat="1" ht="21.75" customHeight="1">
      <c r="A21" s="545">
        <v>17</v>
      </c>
      <c r="B21" s="182" t="s">
        <v>172</v>
      </c>
      <c r="C21" s="544">
        <v>2</v>
      </c>
      <c r="D21" s="544">
        <v>1</v>
      </c>
      <c r="E21" s="547">
        <v>6</v>
      </c>
      <c r="F21" s="547">
        <v>2</v>
      </c>
      <c r="G21" s="548">
        <v>8</v>
      </c>
      <c r="H21" s="547">
        <v>0</v>
      </c>
      <c r="I21" s="547">
        <v>0</v>
      </c>
      <c r="J21" s="548">
        <v>0</v>
      </c>
      <c r="K21" s="547">
        <v>17</v>
      </c>
      <c r="L21" s="547">
        <v>23</v>
      </c>
      <c r="M21" s="548">
        <v>40</v>
      </c>
      <c r="N21" s="547">
        <v>77</v>
      </c>
      <c r="O21" s="547">
        <v>69</v>
      </c>
      <c r="P21" s="548">
        <v>146</v>
      </c>
      <c r="Q21" s="547">
        <v>0</v>
      </c>
      <c r="R21" s="547">
        <v>0</v>
      </c>
      <c r="S21" s="548">
        <v>0</v>
      </c>
      <c r="T21" s="547">
        <v>0</v>
      </c>
      <c r="U21" s="547">
        <v>0</v>
      </c>
      <c r="V21" s="548">
        <v>0</v>
      </c>
      <c r="W21" s="547">
        <v>0</v>
      </c>
      <c r="X21" s="547">
        <v>0</v>
      </c>
      <c r="Y21" s="548">
        <v>0</v>
      </c>
      <c r="Z21" s="547">
        <v>47</v>
      </c>
      <c r="AA21" s="547">
        <v>91</v>
      </c>
      <c r="AB21" s="548">
        <v>138</v>
      </c>
      <c r="AC21" s="548">
        <v>147</v>
      </c>
      <c r="AD21" s="548">
        <v>185</v>
      </c>
      <c r="AE21" s="548">
        <v>332</v>
      </c>
      <c r="AF21" s="747">
        <f>AE21-'6bTotalDistanceEnr'!AC21</f>
        <v>332</v>
      </c>
    </row>
    <row r="22" spans="1:32" s="747" customFormat="1" ht="21.75" customHeight="1">
      <c r="A22" s="545">
        <v>18</v>
      </c>
      <c r="B22" s="549" t="s">
        <v>32</v>
      </c>
      <c r="C22" s="544">
        <v>0</v>
      </c>
      <c r="D22" s="544">
        <v>0</v>
      </c>
      <c r="E22" s="547">
        <v>0</v>
      </c>
      <c r="F22" s="547">
        <v>0</v>
      </c>
      <c r="G22" s="548">
        <v>0</v>
      </c>
      <c r="H22" s="547">
        <v>0</v>
      </c>
      <c r="I22" s="547">
        <v>0</v>
      </c>
      <c r="J22" s="548">
        <v>0</v>
      </c>
      <c r="K22" s="547">
        <v>0</v>
      </c>
      <c r="L22" s="547">
        <v>9</v>
      </c>
      <c r="M22" s="548">
        <v>9</v>
      </c>
      <c r="N22" s="547">
        <v>77</v>
      </c>
      <c r="O22" s="547">
        <v>236</v>
      </c>
      <c r="P22" s="548">
        <v>313</v>
      </c>
      <c r="Q22" s="547">
        <v>0</v>
      </c>
      <c r="R22" s="547">
        <v>0</v>
      </c>
      <c r="S22" s="548">
        <v>0</v>
      </c>
      <c r="T22" s="547">
        <v>0</v>
      </c>
      <c r="U22" s="547">
        <v>0</v>
      </c>
      <c r="V22" s="548">
        <v>0</v>
      </c>
      <c r="W22" s="547">
        <v>0</v>
      </c>
      <c r="X22" s="547">
        <v>0</v>
      </c>
      <c r="Y22" s="548">
        <v>0</v>
      </c>
      <c r="Z22" s="547">
        <v>0</v>
      </c>
      <c r="AA22" s="547">
        <v>0</v>
      </c>
      <c r="AB22" s="548">
        <v>0</v>
      </c>
      <c r="AC22" s="548">
        <v>77</v>
      </c>
      <c r="AD22" s="548">
        <v>245</v>
      </c>
      <c r="AE22" s="548">
        <v>322</v>
      </c>
      <c r="AF22" s="747">
        <f>AE22-'6bTotalDistanceEnr'!AC22</f>
        <v>322</v>
      </c>
    </row>
    <row r="23" spans="1:32" s="747" customFormat="1" ht="21.75" customHeight="1">
      <c r="A23" s="545">
        <v>19</v>
      </c>
      <c r="B23" s="549" t="s">
        <v>33</v>
      </c>
      <c r="C23" s="544">
        <v>74</v>
      </c>
      <c r="D23" s="544">
        <v>74</v>
      </c>
      <c r="E23" s="547">
        <v>3132</v>
      </c>
      <c r="F23" s="547">
        <v>1848</v>
      </c>
      <c r="G23" s="548">
        <v>4980</v>
      </c>
      <c r="H23" s="547">
        <v>37</v>
      </c>
      <c r="I23" s="547">
        <v>23</v>
      </c>
      <c r="J23" s="548">
        <v>60</v>
      </c>
      <c r="K23" s="547">
        <v>55445</v>
      </c>
      <c r="L23" s="547">
        <v>39447</v>
      </c>
      <c r="M23" s="548">
        <v>94892</v>
      </c>
      <c r="N23" s="547">
        <v>274298</v>
      </c>
      <c r="O23" s="547">
        <v>166916</v>
      </c>
      <c r="P23" s="548">
        <v>441214</v>
      </c>
      <c r="Q23" s="547">
        <v>12742</v>
      </c>
      <c r="R23" s="547">
        <v>12849</v>
      </c>
      <c r="S23" s="548">
        <v>25591</v>
      </c>
      <c r="T23" s="547">
        <v>37529</v>
      </c>
      <c r="U23" s="547">
        <v>17302</v>
      </c>
      <c r="V23" s="548">
        <v>54831</v>
      </c>
      <c r="W23" s="547">
        <v>819</v>
      </c>
      <c r="X23" s="547">
        <v>311</v>
      </c>
      <c r="Y23" s="548">
        <v>1130</v>
      </c>
      <c r="Z23" s="547">
        <v>8373</v>
      </c>
      <c r="AA23" s="547">
        <v>5092</v>
      </c>
      <c r="AB23" s="548">
        <v>13465</v>
      </c>
      <c r="AC23" s="548">
        <v>392375</v>
      </c>
      <c r="AD23" s="548">
        <v>243788</v>
      </c>
      <c r="AE23" s="548">
        <v>636163</v>
      </c>
      <c r="AF23" s="747">
        <f>AE23-'6bTotalDistanceEnr'!AC23</f>
        <v>500878</v>
      </c>
    </row>
    <row r="24" spans="1:32" s="747" customFormat="1" ht="21.75" customHeight="1">
      <c r="A24" s="545">
        <v>20</v>
      </c>
      <c r="B24" s="549" t="s">
        <v>34</v>
      </c>
      <c r="C24" s="544">
        <v>71</v>
      </c>
      <c r="D24" s="544">
        <v>71</v>
      </c>
      <c r="E24" s="547">
        <v>6491</v>
      </c>
      <c r="F24" s="547">
        <v>4272</v>
      </c>
      <c r="G24" s="548">
        <v>10763</v>
      </c>
      <c r="H24" s="547">
        <v>322</v>
      </c>
      <c r="I24" s="547">
        <v>296</v>
      </c>
      <c r="J24" s="548">
        <v>618</v>
      </c>
      <c r="K24" s="547">
        <v>113968</v>
      </c>
      <c r="L24" s="547">
        <v>161085</v>
      </c>
      <c r="M24" s="548">
        <v>275053</v>
      </c>
      <c r="N24" s="547">
        <v>459255</v>
      </c>
      <c r="O24" s="547">
        <v>256685</v>
      </c>
      <c r="P24" s="548">
        <v>715940</v>
      </c>
      <c r="Q24" s="547">
        <v>7159</v>
      </c>
      <c r="R24" s="547">
        <v>5654</v>
      </c>
      <c r="S24" s="548">
        <v>12813</v>
      </c>
      <c r="T24" s="547">
        <v>22623</v>
      </c>
      <c r="U24" s="547">
        <v>13192</v>
      </c>
      <c r="V24" s="548">
        <v>35815</v>
      </c>
      <c r="W24" s="547">
        <v>19356</v>
      </c>
      <c r="X24" s="547">
        <v>11376</v>
      </c>
      <c r="Y24" s="548">
        <v>30732</v>
      </c>
      <c r="Z24" s="547">
        <v>3567</v>
      </c>
      <c r="AA24" s="547">
        <v>2504</v>
      </c>
      <c r="AB24" s="548">
        <v>6071</v>
      </c>
      <c r="AC24" s="548">
        <v>632741</v>
      </c>
      <c r="AD24" s="548">
        <v>455064</v>
      </c>
      <c r="AE24" s="548">
        <v>1087805</v>
      </c>
      <c r="AF24" s="747">
        <f>AE24-'6bTotalDistanceEnr'!AC24</f>
        <v>277909</v>
      </c>
    </row>
    <row r="25" spans="1:32" s="747" customFormat="1" ht="21.75" customHeight="1">
      <c r="A25" s="545">
        <v>21</v>
      </c>
      <c r="B25" s="549" t="s">
        <v>35</v>
      </c>
      <c r="C25" s="544">
        <v>9</v>
      </c>
      <c r="D25" s="544">
        <v>8</v>
      </c>
      <c r="E25" s="547">
        <v>612</v>
      </c>
      <c r="F25" s="547">
        <v>566</v>
      </c>
      <c r="G25" s="548">
        <v>1178</v>
      </c>
      <c r="H25" s="547">
        <v>0</v>
      </c>
      <c r="I25" s="547">
        <v>0</v>
      </c>
      <c r="J25" s="548">
        <v>0</v>
      </c>
      <c r="K25" s="547">
        <v>4009</v>
      </c>
      <c r="L25" s="547">
        <v>4187</v>
      </c>
      <c r="M25" s="548">
        <v>8196</v>
      </c>
      <c r="N25" s="547">
        <v>3613</v>
      </c>
      <c r="O25" s="547">
        <v>2620</v>
      </c>
      <c r="P25" s="548">
        <v>6233</v>
      </c>
      <c r="Q25" s="547">
        <v>164</v>
      </c>
      <c r="R25" s="547">
        <v>117</v>
      </c>
      <c r="S25" s="548">
        <v>281</v>
      </c>
      <c r="T25" s="547">
        <v>232</v>
      </c>
      <c r="U25" s="547">
        <v>153</v>
      </c>
      <c r="V25" s="548">
        <v>385</v>
      </c>
      <c r="W25" s="547">
        <v>0</v>
      </c>
      <c r="X25" s="547">
        <v>0</v>
      </c>
      <c r="Y25" s="548">
        <v>0</v>
      </c>
      <c r="Z25" s="547">
        <v>0</v>
      </c>
      <c r="AA25" s="547">
        <v>0</v>
      </c>
      <c r="AB25" s="548">
        <v>0</v>
      </c>
      <c r="AC25" s="548">
        <v>8630</v>
      </c>
      <c r="AD25" s="548">
        <v>7643</v>
      </c>
      <c r="AE25" s="548">
        <v>16273</v>
      </c>
      <c r="AF25" s="747">
        <f>AE25-'6bTotalDistanceEnr'!AC25</f>
        <v>11085</v>
      </c>
    </row>
    <row r="26" spans="1:32" s="747" customFormat="1" ht="21.75" customHeight="1">
      <c r="A26" s="545">
        <v>22</v>
      </c>
      <c r="B26" s="549" t="s">
        <v>36</v>
      </c>
      <c r="C26" s="544">
        <v>11</v>
      </c>
      <c r="D26" s="544">
        <v>10</v>
      </c>
      <c r="E26" s="547">
        <v>469</v>
      </c>
      <c r="F26" s="547">
        <v>364</v>
      </c>
      <c r="G26" s="548">
        <v>833</v>
      </c>
      <c r="H26" s="547">
        <v>0</v>
      </c>
      <c r="I26" s="547">
        <v>0</v>
      </c>
      <c r="J26" s="548">
        <v>0</v>
      </c>
      <c r="K26" s="547">
        <v>3902</v>
      </c>
      <c r="L26" s="547">
        <v>5752</v>
      </c>
      <c r="M26" s="548">
        <v>9654</v>
      </c>
      <c r="N26" s="547">
        <v>4875</v>
      </c>
      <c r="O26" s="547">
        <v>4291</v>
      </c>
      <c r="P26" s="548">
        <v>9166</v>
      </c>
      <c r="Q26" s="547">
        <v>166</v>
      </c>
      <c r="R26" s="547">
        <v>122</v>
      </c>
      <c r="S26" s="548">
        <v>288</v>
      </c>
      <c r="T26" s="547">
        <v>127</v>
      </c>
      <c r="U26" s="547">
        <v>162</v>
      </c>
      <c r="V26" s="548">
        <v>289</v>
      </c>
      <c r="W26" s="547">
        <v>103</v>
      </c>
      <c r="X26" s="547">
        <v>122</v>
      </c>
      <c r="Y26" s="548">
        <v>225</v>
      </c>
      <c r="Z26" s="547">
        <v>73</v>
      </c>
      <c r="AA26" s="547">
        <v>54</v>
      </c>
      <c r="AB26" s="548">
        <v>127</v>
      </c>
      <c r="AC26" s="548">
        <v>9715</v>
      </c>
      <c r="AD26" s="548">
        <v>10867</v>
      </c>
      <c r="AE26" s="548">
        <v>20582</v>
      </c>
      <c r="AF26" s="747">
        <f>AE26-'6bTotalDistanceEnr'!AC26</f>
        <v>14971</v>
      </c>
    </row>
    <row r="27" spans="1:32" s="747" customFormat="1" ht="21.75" customHeight="1">
      <c r="A27" s="545">
        <v>23</v>
      </c>
      <c r="B27" s="549" t="s">
        <v>37</v>
      </c>
      <c r="C27" s="544">
        <v>3</v>
      </c>
      <c r="D27" s="544">
        <v>3</v>
      </c>
      <c r="E27" s="547">
        <v>542</v>
      </c>
      <c r="F27" s="547">
        <v>418</v>
      </c>
      <c r="G27" s="548">
        <v>960</v>
      </c>
      <c r="H27" s="547">
        <v>54</v>
      </c>
      <c r="I27" s="547">
        <v>53</v>
      </c>
      <c r="J27" s="548">
        <v>107</v>
      </c>
      <c r="K27" s="547">
        <v>1807</v>
      </c>
      <c r="L27" s="547">
        <v>2359</v>
      </c>
      <c r="M27" s="548">
        <v>4166</v>
      </c>
      <c r="N27" s="547">
        <v>2993</v>
      </c>
      <c r="O27" s="547">
        <v>2492</v>
      </c>
      <c r="P27" s="548">
        <v>5485</v>
      </c>
      <c r="Q27" s="547">
        <v>61</v>
      </c>
      <c r="R27" s="547">
        <v>42</v>
      </c>
      <c r="S27" s="548">
        <v>103</v>
      </c>
      <c r="T27" s="547">
        <v>12</v>
      </c>
      <c r="U27" s="547">
        <v>45</v>
      </c>
      <c r="V27" s="548">
        <v>57</v>
      </c>
      <c r="W27" s="547">
        <v>0</v>
      </c>
      <c r="X27" s="547">
        <v>0</v>
      </c>
      <c r="Y27" s="548">
        <v>0</v>
      </c>
      <c r="Z27" s="547">
        <v>29</v>
      </c>
      <c r="AA27" s="547">
        <v>23</v>
      </c>
      <c r="AB27" s="548">
        <v>52</v>
      </c>
      <c r="AC27" s="548">
        <v>5498</v>
      </c>
      <c r="AD27" s="548">
        <v>5432</v>
      </c>
      <c r="AE27" s="548">
        <v>10930</v>
      </c>
      <c r="AF27" s="747">
        <f>AE27-'6bTotalDistanceEnr'!AC27</f>
        <v>4505</v>
      </c>
    </row>
    <row r="28" spans="1:32" s="747" customFormat="1" ht="21.75" customHeight="1">
      <c r="A28" s="545">
        <v>24</v>
      </c>
      <c r="B28" s="549" t="s">
        <v>38</v>
      </c>
      <c r="C28" s="544">
        <v>5</v>
      </c>
      <c r="D28" s="544">
        <v>5</v>
      </c>
      <c r="E28" s="547">
        <v>274</v>
      </c>
      <c r="F28" s="547">
        <v>313</v>
      </c>
      <c r="G28" s="548">
        <v>587</v>
      </c>
      <c r="H28" s="547">
        <v>23</v>
      </c>
      <c r="I28" s="547">
        <v>30</v>
      </c>
      <c r="J28" s="548">
        <v>53</v>
      </c>
      <c r="K28" s="547">
        <v>2405</v>
      </c>
      <c r="L28" s="547">
        <v>3586</v>
      </c>
      <c r="M28" s="548">
        <v>5991</v>
      </c>
      <c r="N28" s="547">
        <v>3019</v>
      </c>
      <c r="O28" s="547">
        <v>1946</v>
      </c>
      <c r="P28" s="548">
        <v>4965</v>
      </c>
      <c r="Q28" s="547">
        <v>42</v>
      </c>
      <c r="R28" s="547">
        <v>71</v>
      </c>
      <c r="S28" s="548">
        <v>113</v>
      </c>
      <c r="T28" s="547">
        <v>18</v>
      </c>
      <c r="U28" s="547">
        <v>40</v>
      </c>
      <c r="V28" s="548">
        <v>58</v>
      </c>
      <c r="W28" s="547">
        <v>0</v>
      </c>
      <c r="X28" s="547">
        <v>0</v>
      </c>
      <c r="Y28" s="548">
        <v>0</v>
      </c>
      <c r="Z28" s="547">
        <v>6</v>
      </c>
      <c r="AA28" s="547">
        <v>0</v>
      </c>
      <c r="AB28" s="548">
        <v>6</v>
      </c>
      <c r="AC28" s="548">
        <v>5787</v>
      </c>
      <c r="AD28" s="548">
        <v>5986</v>
      </c>
      <c r="AE28" s="548">
        <v>11773</v>
      </c>
      <c r="AF28" s="747">
        <f>AE28-'6bTotalDistanceEnr'!AC28</f>
        <v>8470</v>
      </c>
    </row>
    <row r="29" spans="1:32" s="747" customFormat="1" ht="21.75" customHeight="1">
      <c r="A29" s="545">
        <v>25</v>
      </c>
      <c r="B29" s="549" t="s">
        <v>39</v>
      </c>
      <c r="C29" s="544">
        <v>36</v>
      </c>
      <c r="D29" s="544">
        <v>36</v>
      </c>
      <c r="E29" s="547">
        <v>1931</v>
      </c>
      <c r="F29" s="547">
        <v>1313</v>
      </c>
      <c r="G29" s="548">
        <v>3244</v>
      </c>
      <c r="H29" s="547">
        <v>318</v>
      </c>
      <c r="I29" s="547">
        <v>345</v>
      </c>
      <c r="J29" s="548">
        <v>663</v>
      </c>
      <c r="K29" s="547">
        <v>24463</v>
      </c>
      <c r="L29" s="547">
        <v>29028</v>
      </c>
      <c r="M29" s="548">
        <v>53491</v>
      </c>
      <c r="N29" s="547">
        <v>55561</v>
      </c>
      <c r="O29" s="547">
        <v>45319</v>
      </c>
      <c r="P29" s="548">
        <v>100880</v>
      </c>
      <c r="Q29" s="547">
        <v>975</v>
      </c>
      <c r="R29" s="547">
        <v>545</v>
      </c>
      <c r="S29" s="548">
        <v>1520</v>
      </c>
      <c r="T29" s="547">
        <v>2987</v>
      </c>
      <c r="U29" s="547">
        <v>10045</v>
      </c>
      <c r="V29" s="548">
        <v>13032</v>
      </c>
      <c r="W29" s="547">
        <v>143</v>
      </c>
      <c r="X29" s="547">
        <v>227</v>
      </c>
      <c r="Y29" s="548">
        <v>370</v>
      </c>
      <c r="Z29" s="547">
        <v>3866</v>
      </c>
      <c r="AA29" s="547">
        <v>3903</v>
      </c>
      <c r="AB29" s="548">
        <v>7769</v>
      </c>
      <c r="AC29" s="548">
        <v>90244</v>
      </c>
      <c r="AD29" s="548">
        <v>90725</v>
      </c>
      <c r="AE29" s="548">
        <v>180969</v>
      </c>
      <c r="AF29" s="747">
        <f>AE29-'6bTotalDistanceEnr'!AC29</f>
        <v>113380</v>
      </c>
    </row>
    <row r="30" spans="1:32" s="747" customFormat="1" ht="21.75" customHeight="1">
      <c r="A30" s="545">
        <v>26</v>
      </c>
      <c r="B30" s="549" t="s">
        <v>40</v>
      </c>
      <c r="C30" s="544">
        <v>4</v>
      </c>
      <c r="D30" s="544">
        <v>4</v>
      </c>
      <c r="E30" s="547">
        <v>191</v>
      </c>
      <c r="F30" s="547">
        <v>142</v>
      </c>
      <c r="G30" s="548">
        <v>333</v>
      </c>
      <c r="H30" s="547">
        <v>0</v>
      </c>
      <c r="I30" s="547">
        <v>0</v>
      </c>
      <c r="J30" s="548">
        <v>0</v>
      </c>
      <c r="K30" s="547">
        <v>11065</v>
      </c>
      <c r="L30" s="547">
        <v>9881</v>
      </c>
      <c r="M30" s="548">
        <v>20946</v>
      </c>
      <c r="N30" s="547">
        <v>4634</v>
      </c>
      <c r="O30" s="547">
        <v>4961</v>
      </c>
      <c r="P30" s="548">
        <v>9595</v>
      </c>
      <c r="Q30" s="547">
        <v>15</v>
      </c>
      <c r="R30" s="547">
        <v>16</v>
      </c>
      <c r="S30" s="548">
        <v>31</v>
      </c>
      <c r="T30" s="547">
        <v>27</v>
      </c>
      <c r="U30" s="547">
        <v>21</v>
      </c>
      <c r="V30" s="548">
        <v>48</v>
      </c>
      <c r="W30" s="547">
        <v>1</v>
      </c>
      <c r="X30" s="547">
        <v>6</v>
      </c>
      <c r="Y30" s="548">
        <v>7</v>
      </c>
      <c r="Z30" s="547">
        <v>349</v>
      </c>
      <c r="AA30" s="547">
        <v>348</v>
      </c>
      <c r="AB30" s="548">
        <v>697</v>
      </c>
      <c r="AC30" s="548">
        <v>16282</v>
      </c>
      <c r="AD30" s="548">
        <v>15375</v>
      </c>
      <c r="AE30" s="548">
        <v>31657</v>
      </c>
      <c r="AF30" s="747">
        <f>AE30-'6bTotalDistanceEnr'!AC30</f>
        <v>17294</v>
      </c>
    </row>
    <row r="31" spans="1:32" s="747" customFormat="1" ht="21.75" customHeight="1">
      <c r="A31" s="545">
        <v>27</v>
      </c>
      <c r="B31" s="549" t="s">
        <v>41</v>
      </c>
      <c r="C31" s="544">
        <v>34</v>
      </c>
      <c r="D31" s="544">
        <v>34</v>
      </c>
      <c r="E31" s="547">
        <v>4626</v>
      </c>
      <c r="F31" s="547">
        <v>4937</v>
      </c>
      <c r="G31" s="548">
        <v>9563</v>
      </c>
      <c r="H31" s="547">
        <v>138</v>
      </c>
      <c r="I31" s="547">
        <v>155</v>
      </c>
      <c r="J31" s="548">
        <v>293</v>
      </c>
      <c r="K31" s="547">
        <v>28872</v>
      </c>
      <c r="L31" s="547">
        <v>29031</v>
      </c>
      <c r="M31" s="548">
        <v>57903</v>
      </c>
      <c r="N31" s="547">
        <v>106750</v>
      </c>
      <c r="O31" s="547">
        <v>51464</v>
      </c>
      <c r="P31" s="548">
        <v>158214</v>
      </c>
      <c r="Q31" s="547">
        <v>589</v>
      </c>
      <c r="R31" s="547">
        <v>603</v>
      </c>
      <c r="S31" s="548">
        <v>1192</v>
      </c>
      <c r="T31" s="547">
        <v>10928</v>
      </c>
      <c r="U31" s="547">
        <v>15799</v>
      </c>
      <c r="V31" s="548">
        <v>26727</v>
      </c>
      <c r="W31" s="547">
        <v>276</v>
      </c>
      <c r="X31" s="547">
        <v>190</v>
      </c>
      <c r="Y31" s="548">
        <v>466</v>
      </c>
      <c r="Z31" s="547">
        <v>5039</v>
      </c>
      <c r="AA31" s="547">
        <v>4811</v>
      </c>
      <c r="AB31" s="548">
        <v>9850</v>
      </c>
      <c r="AC31" s="548">
        <v>157218</v>
      </c>
      <c r="AD31" s="548">
        <v>106990</v>
      </c>
      <c r="AE31" s="548">
        <v>264208</v>
      </c>
      <c r="AF31" s="747">
        <f>AE31-'6bTotalDistanceEnr'!AC31</f>
        <v>180504</v>
      </c>
    </row>
    <row r="32" spans="1:32" s="747" customFormat="1" ht="21.75" customHeight="1">
      <c r="A32" s="545">
        <v>28</v>
      </c>
      <c r="B32" s="549" t="s">
        <v>42</v>
      </c>
      <c r="C32" s="544">
        <v>92</v>
      </c>
      <c r="D32" s="544">
        <v>88</v>
      </c>
      <c r="E32" s="547">
        <v>5987</v>
      </c>
      <c r="F32" s="547">
        <v>6083</v>
      </c>
      <c r="G32" s="548">
        <v>12070</v>
      </c>
      <c r="H32" s="547">
        <v>163</v>
      </c>
      <c r="I32" s="547">
        <v>103</v>
      </c>
      <c r="J32" s="548">
        <v>266</v>
      </c>
      <c r="K32" s="547">
        <v>69679</v>
      </c>
      <c r="L32" s="547">
        <v>48603</v>
      </c>
      <c r="M32" s="548">
        <v>118282</v>
      </c>
      <c r="N32" s="547">
        <v>211315</v>
      </c>
      <c r="O32" s="547">
        <v>113942</v>
      </c>
      <c r="P32" s="548">
        <v>325257</v>
      </c>
      <c r="Q32" s="547">
        <v>5753</v>
      </c>
      <c r="R32" s="547">
        <v>2368</v>
      </c>
      <c r="S32" s="548">
        <v>8121</v>
      </c>
      <c r="T32" s="547">
        <v>19542</v>
      </c>
      <c r="U32" s="547">
        <v>6793</v>
      </c>
      <c r="V32" s="548">
        <v>26335</v>
      </c>
      <c r="W32" s="547">
        <v>431</v>
      </c>
      <c r="X32" s="547">
        <v>272</v>
      </c>
      <c r="Y32" s="548">
        <v>703</v>
      </c>
      <c r="Z32" s="547">
        <v>12001</v>
      </c>
      <c r="AA32" s="547">
        <v>8198</v>
      </c>
      <c r="AB32" s="548">
        <v>20199</v>
      </c>
      <c r="AC32" s="548">
        <v>324871</v>
      </c>
      <c r="AD32" s="548">
        <v>186362</v>
      </c>
      <c r="AE32" s="548">
        <v>511233</v>
      </c>
      <c r="AF32" s="747">
        <f>AE32-'6bTotalDistanceEnr'!AC32</f>
        <v>280131</v>
      </c>
    </row>
    <row r="33" spans="1:32" s="747" customFormat="1" ht="21.75" customHeight="1">
      <c r="A33" s="545">
        <v>29</v>
      </c>
      <c r="B33" s="549" t="s">
        <v>43</v>
      </c>
      <c r="C33" s="544">
        <v>8</v>
      </c>
      <c r="D33" s="544">
        <v>7</v>
      </c>
      <c r="E33" s="547">
        <v>111</v>
      </c>
      <c r="F33" s="547">
        <v>72</v>
      </c>
      <c r="G33" s="548">
        <v>183</v>
      </c>
      <c r="H33" s="547">
        <v>34</v>
      </c>
      <c r="I33" s="547">
        <v>30</v>
      </c>
      <c r="J33" s="548">
        <v>64</v>
      </c>
      <c r="K33" s="547">
        <v>2774</v>
      </c>
      <c r="L33" s="547">
        <v>3798</v>
      </c>
      <c r="M33" s="548">
        <v>6572</v>
      </c>
      <c r="N33" s="547">
        <v>6186</v>
      </c>
      <c r="O33" s="547">
        <v>5686</v>
      </c>
      <c r="P33" s="548">
        <v>11872</v>
      </c>
      <c r="Q33" s="547">
        <v>32</v>
      </c>
      <c r="R33" s="547">
        <v>11</v>
      </c>
      <c r="S33" s="548">
        <v>43</v>
      </c>
      <c r="T33" s="547">
        <v>130</v>
      </c>
      <c r="U33" s="547">
        <v>386</v>
      </c>
      <c r="V33" s="548">
        <v>516</v>
      </c>
      <c r="W33" s="547">
        <v>1</v>
      </c>
      <c r="X33" s="547">
        <v>1</v>
      </c>
      <c r="Y33" s="548">
        <v>2</v>
      </c>
      <c r="Z33" s="547">
        <v>52</v>
      </c>
      <c r="AA33" s="547">
        <v>57</v>
      </c>
      <c r="AB33" s="548">
        <v>109</v>
      </c>
      <c r="AC33" s="548">
        <v>9320</v>
      </c>
      <c r="AD33" s="548">
        <v>10041</v>
      </c>
      <c r="AE33" s="548">
        <v>19361</v>
      </c>
      <c r="AF33" s="747">
        <f>AE33-'6bTotalDistanceEnr'!AC33</f>
        <v>12187</v>
      </c>
    </row>
    <row r="34" spans="1:32" s="747" customFormat="1" ht="21.75" customHeight="1">
      <c r="A34" s="545">
        <v>30</v>
      </c>
      <c r="B34" s="549" t="s">
        <v>44</v>
      </c>
      <c r="C34" s="544">
        <v>59</v>
      </c>
      <c r="D34" s="544">
        <v>59</v>
      </c>
      <c r="E34" s="547">
        <v>11807</v>
      </c>
      <c r="F34" s="547">
        <v>10128</v>
      </c>
      <c r="G34" s="548">
        <v>21935</v>
      </c>
      <c r="H34" s="547">
        <v>359</v>
      </c>
      <c r="I34" s="547">
        <v>2513</v>
      </c>
      <c r="J34" s="548">
        <v>2872</v>
      </c>
      <c r="K34" s="547">
        <v>107314</v>
      </c>
      <c r="L34" s="547">
        <v>134704</v>
      </c>
      <c r="M34" s="548">
        <v>242018</v>
      </c>
      <c r="N34" s="547">
        <v>274974</v>
      </c>
      <c r="O34" s="547">
        <v>197227</v>
      </c>
      <c r="P34" s="548">
        <v>472201</v>
      </c>
      <c r="Q34" s="547">
        <v>8058</v>
      </c>
      <c r="R34" s="547">
        <v>5284</v>
      </c>
      <c r="S34" s="548">
        <v>13342</v>
      </c>
      <c r="T34" s="547">
        <v>9952</v>
      </c>
      <c r="U34" s="547">
        <v>11306</v>
      </c>
      <c r="V34" s="548">
        <v>21258</v>
      </c>
      <c r="W34" s="547">
        <v>4133</v>
      </c>
      <c r="X34" s="547">
        <v>9263</v>
      </c>
      <c r="Y34" s="548">
        <v>13396</v>
      </c>
      <c r="Z34" s="547">
        <v>9483</v>
      </c>
      <c r="AA34" s="547">
        <v>7879</v>
      </c>
      <c r="AB34" s="548">
        <v>17362</v>
      </c>
      <c r="AC34" s="548">
        <v>426080</v>
      </c>
      <c r="AD34" s="548">
        <v>378304</v>
      </c>
      <c r="AE34" s="548">
        <v>804384</v>
      </c>
      <c r="AF34" s="747">
        <f>AE34-'6bTotalDistanceEnr'!AC34</f>
        <v>389946</v>
      </c>
    </row>
    <row r="35" spans="1:32" s="747" customFormat="1" ht="21.75" customHeight="1">
      <c r="A35" s="545">
        <v>31</v>
      </c>
      <c r="B35" s="549" t="s">
        <v>142</v>
      </c>
      <c r="C35" s="544">
        <v>31</v>
      </c>
      <c r="D35" s="544">
        <v>30</v>
      </c>
      <c r="E35" s="547">
        <v>4206</v>
      </c>
      <c r="F35" s="547">
        <v>2451</v>
      </c>
      <c r="G35" s="548">
        <v>6657</v>
      </c>
      <c r="H35" s="547">
        <v>71</v>
      </c>
      <c r="I35" s="547">
        <v>37</v>
      </c>
      <c r="J35" s="548">
        <v>108</v>
      </c>
      <c r="K35" s="547">
        <v>32539</v>
      </c>
      <c r="L35" s="547">
        <v>34359</v>
      </c>
      <c r="M35" s="548">
        <v>66898</v>
      </c>
      <c r="N35" s="547">
        <v>82354</v>
      </c>
      <c r="O35" s="547">
        <v>59663</v>
      </c>
      <c r="P35" s="548">
        <v>142017</v>
      </c>
      <c r="Q35" s="547">
        <v>2815</v>
      </c>
      <c r="R35" s="547">
        <v>1529</v>
      </c>
      <c r="S35" s="548">
        <v>4344</v>
      </c>
      <c r="T35" s="547">
        <v>1458</v>
      </c>
      <c r="U35" s="547">
        <v>681</v>
      </c>
      <c r="V35" s="548">
        <v>2139</v>
      </c>
      <c r="W35" s="547">
        <v>2119</v>
      </c>
      <c r="X35" s="547">
        <v>1349</v>
      </c>
      <c r="Y35" s="548">
        <v>3468</v>
      </c>
      <c r="Z35" s="547">
        <v>2252</v>
      </c>
      <c r="AA35" s="547">
        <v>1569</v>
      </c>
      <c r="AB35" s="548">
        <v>3821</v>
      </c>
      <c r="AC35" s="548">
        <v>127814</v>
      </c>
      <c r="AD35" s="548">
        <v>101638</v>
      </c>
      <c r="AE35" s="548">
        <v>229452</v>
      </c>
      <c r="AF35" s="747">
        <f>AE35-'6bTotalDistanceEnr'!AC35</f>
        <v>84533</v>
      </c>
    </row>
    <row r="36" spans="1:32" s="747" customFormat="1" ht="49.5" customHeight="1">
      <c r="A36" s="545">
        <v>32</v>
      </c>
      <c r="B36" s="546" t="s">
        <v>173</v>
      </c>
      <c r="C36" s="544">
        <v>0</v>
      </c>
      <c r="D36" s="544">
        <v>0</v>
      </c>
      <c r="E36" s="547">
        <v>0</v>
      </c>
      <c r="F36" s="547">
        <v>0</v>
      </c>
      <c r="G36" s="548">
        <v>0</v>
      </c>
      <c r="H36" s="547">
        <v>0</v>
      </c>
      <c r="I36" s="547">
        <v>0</v>
      </c>
      <c r="J36" s="548">
        <v>0</v>
      </c>
      <c r="K36" s="547">
        <v>53</v>
      </c>
      <c r="L36" s="547">
        <v>61</v>
      </c>
      <c r="M36" s="548">
        <v>114</v>
      </c>
      <c r="N36" s="547">
        <v>0</v>
      </c>
      <c r="O36" s="547">
        <v>0</v>
      </c>
      <c r="P36" s="548">
        <v>0</v>
      </c>
      <c r="Q36" s="547">
        <v>0</v>
      </c>
      <c r="R36" s="547">
        <v>0</v>
      </c>
      <c r="S36" s="548">
        <v>0</v>
      </c>
      <c r="T36" s="547">
        <v>0</v>
      </c>
      <c r="U36" s="547">
        <v>0</v>
      </c>
      <c r="V36" s="548">
        <v>0</v>
      </c>
      <c r="W36" s="547">
        <v>0</v>
      </c>
      <c r="X36" s="547">
        <v>0</v>
      </c>
      <c r="Y36" s="548">
        <v>0</v>
      </c>
      <c r="Z36" s="547">
        <v>0</v>
      </c>
      <c r="AA36" s="547">
        <v>0</v>
      </c>
      <c r="AB36" s="548">
        <v>0</v>
      </c>
      <c r="AC36" s="548">
        <v>53</v>
      </c>
      <c r="AD36" s="548">
        <v>61</v>
      </c>
      <c r="AE36" s="548">
        <v>114</v>
      </c>
      <c r="AF36" s="747">
        <f>AE36-'6bTotalDistanceEnr'!AC36</f>
        <v>114</v>
      </c>
    </row>
    <row r="37" spans="1:32" s="747" customFormat="1" ht="21.75" customHeight="1">
      <c r="A37" s="545">
        <v>33</v>
      </c>
      <c r="B37" s="549" t="s">
        <v>45</v>
      </c>
      <c r="C37" s="544">
        <v>5</v>
      </c>
      <c r="D37" s="544">
        <v>5</v>
      </c>
      <c r="E37" s="547">
        <v>445</v>
      </c>
      <c r="F37" s="547">
        <v>216</v>
      </c>
      <c r="G37" s="548">
        <v>661</v>
      </c>
      <c r="H37" s="547">
        <v>2</v>
      </c>
      <c r="I37" s="547">
        <v>10</v>
      </c>
      <c r="J37" s="548">
        <v>12</v>
      </c>
      <c r="K37" s="547">
        <v>5715</v>
      </c>
      <c r="L37" s="547">
        <v>6091</v>
      </c>
      <c r="M37" s="548">
        <v>11806</v>
      </c>
      <c r="N37" s="547">
        <v>7944</v>
      </c>
      <c r="O37" s="547">
        <v>4583</v>
      </c>
      <c r="P37" s="548">
        <v>12527</v>
      </c>
      <c r="Q37" s="547">
        <v>116</v>
      </c>
      <c r="R37" s="547">
        <v>133</v>
      </c>
      <c r="S37" s="548">
        <v>249</v>
      </c>
      <c r="T37" s="547">
        <v>60</v>
      </c>
      <c r="U37" s="547">
        <v>90</v>
      </c>
      <c r="V37" s="548">
        <v>150</v>
      </c>
      <c r="W37" s="547">
        <v>0</v>
      </c>
      <c r="X37" s="547">
        <v>0</v>
      </c>
      <c r="Y37" s="548">
        <v>0</v>
      </c>
      <c r="Z37" s="547">
        <v>513</v>
      </c>
      <c r="AA37" s="547">
        <v>297</v>
      </c>
      <c r="AB37" s="548">
        <v>810</v>
      </c>
      <c r="AC37" s="548">
        <v>14795</v>
      </c>
      <c r="AD37" s="548">
        <v>11420</v>
      </c>
      <c r="AE37" s="548">
        <v>26215</v>
      </c>
      <c r="AF37" s="747">
        <f>AE37-'6bTotalDistanceEnr'!AC37</f>
        <v>13869</v>
      </c>
    </row>
    <row r="38" spans="1:32" s="747" customFormat="1" ht="21.75" customHeight="1">
      <c r="A38" s="545">
        <v>34</v>
      </c>
      <c r="B38" s="549" t="s">
        <v>47</v>
      </c>
      <c r="C38" s="544">
        <v>84</v>
      </c>
      <c r="D38" s="544">
        <v>81</v>
      </c>
      <c r="E38" s="547">
        <v>10588</v>
      </c>
      <c r="F38" s="547">
        <v>7617</v>
      </c>
      <c r="G38" s="548">
        <v>18205</v>
      </c>
      <c r="H38" s="547">
        <v>234</v>
      </c>
      <c r="I38" s="547">
        <v>381</v>
      </c>
      <c r="J38" s="548">
        <v>615</v>
      </c>
      <c r="K38" s="547">
        <v>79625</v>
      </c>
      <c r="L38" s="547">
        <v>62380</v>
      </c>
      <c r="M38" s="548">
        <v>142005</v>
      </c>
      <c r="N38" s="547">
        <v>237867</v>
      </c>
      <c r="O38" s="547">
        <v>121968</v>
      </c>
      <c r="P38" s="548">
        <v>359835</v>
      </c>
      <c r="Q38" s="547">
        <v>21167</v>
      </c>
      <c r="R38" s="547">
        <v>17063</v>
      </c>
      <c r="S38" s="548">
        <v>38230</v>
      </c>
      <c r="T38" s="547">
        <v>20810</v>
      </c>
      <c r="U38" s="547">
        <v>7224</v>
      </c>
      <c r="V38" s="548">
        <v>28034</v>
      </c>
      <c r="W38" s="547">
        <v>2037</v>
      </c>
      <c r="X38" s="547">
        <v>1541</v>
      </c>
      <c r="Y38" s="548">
        <v>3578</v>
      </c>
      <c r="Z38" s="547">
        <v>11233</v>
      </c>
      <c r="AA38" s="547">
        <v>7181</v>
      </c>
      <c r="AB38" s="548">
        <v>18414</v>
      </c>
      <c r="AC38" s="548">
        <v>383561</v>
      </c>
      <c r="AD38" s="548">
        <v>225355</v>
      </c>
      <c r="AE38" s="548">
        <v>608916</v>
      </c>
      <c r="AF38" s="747">
        <f>AE38-'6bTotalDistanceEnr'!AC38</f>
        <v>454402</v>
      </c>
    </row>
    <row r="39" spans="1:32" s="747" customFormat="1" ht="21.75" customHeight="1">
      <c r="A39" s="545">
        <v>35</v>
      </c>
      <c r="B39" s="549" t="s">
        <v>46</v>
      </c>
      <c r="C39" s="544">
        <v>37</v>
      </c>
      <c r="D39" s="544">
        <v>37</v>
      </c>
      <c r="E39" s="547">
        <v>3622</v>
      </c>
      <c r="F39" s="547">
        <v>1989</v>
      </c>
      <c r="G39" s="548">
        <v>5611</v>
      </c>
      <c r="H39" s="547">
        <v>4</v>
      </c>
      <c r="I39" s="547">
        <v>1</v>
      </c>
      <c r="J39" s="548">
        <v>5</v>
      </c>
      <c r="K39" s="547">
        <v>30807</v>
      </c>
      <c r="L39" s="547">
        <v>39120</v>
      </c>
      <c r="M39" s="548">
        <v>69927</v>
      </c>
      <c r="N39" s="547">
        <v>108375</v>
      </c>
      <c r="O39" s="547">
        <v>93835</v>
      </c>
      <c r="P39" s="548">
        <v>202210</v>
      </c>
      <c r="Q39" s="547">
        <v>803</v>
      </c>
      <c r="R39" s="547">
        <v>474</v>
      </c>
      <c r="S39" s="548">
        <v>1277</v>
      </c>
      <c r="T39" s="547">
        <v>3080</v>
      </c>
      <c r="U39" s="547">
        <v>1080</v>
      </c>
      <c r="V39" s="548">
        <v>4160</v>
      </c>
      <c r="W39" s="547">
        <v>232</v>
      </c>
      <c r="X39" s="547">
        <v>135</v>
      </c>
      <c r="Y39" s="548">
        <v>367</v>
      </c>
      <c r="Z39" s="547">
        <v>3270</v>
      </c>
      <c r="AA39" s="547">
        <v>2235</v>
      </c>
      <c r="AB39" s="548">
        <v>5505</v>
      </c>
      <c r="AC39" s="548">
        <v>150193</v>
      </c>
      <c r="AD39" s="548">
        <v>138869</v>
      </c>
      <c r="AE39" s="548">
        <v>289062</v>
      </c>
      <c r="AF39" s="747">
        <f>AE39-'6bTotalDistanceEnr'!AC39</f>
        <v>186235</v>
      </c>
    </row>
    <row r="40" spans="1:32" s="747" customFormat="1" ht="21.75" customHeight="1">
      <c r="A40" s="545">
        <v>36</v>
      </c>
      <c r="B40" s="549" t="s">
        <v>48</v>
      </c>
      <c r="C40" s="544">
        <v>52</v>
      </c>
      <c r="D40" s="544">
        <v>52</v>
      </c>
      <c r="E40" s="547">
        <v>8485</v>
      </c>
      <c r="F40" s="547">
        <v>5088</v>
      </c>
      <c r="G40" s="548">
        <v>13573</v>
      </c>
      <c r="H40" s="547">
        <v>930</v>
      </c>
      <c r="I40" s="547">
        <v>949</v>
      </c>
      <c r="J40" s="548">
        <v>1879</v>
      </c>
      <c r="K40" s="547">
        <v>62185</v>
      </c>
      <c r="L40" s="547">
        <v>84321</v>
      </c>
      <c r="M40" s="548">
        <v>146506</v>
      </c>
      <c r="N40" s="547">
        <v>116232</v>
      </c>
      <c r="O40" s="547">
        <v>74812</v>
      </c>
      <c r="P40" s="548">
        <v>191044</v>
      </c>
      <c r="Q40" s="547">
        <v>1557</v>
      </c>
      <c r="R40" s="547">
        <v>1180</v>
      </c>
      <c r="S40" s="548">
        <v>2737</v>
      </c>
      <c r="T40" s="547">
        <v>1680</v>
      </c>
      <c r="U40" s="547">
        <v>1337</v>
      </c>
      <c r="V40" s="548">
        <v>3017</v>
      </c>
      <c r="W40" s="547">
        <v>2014</v>
      </c>
      <c r="X40" s="547">
        <v>1352</v>
      </c>
      <c r="Y40" s="548">
        <v>3366</v>
      </c>
      <c r="Z40" s="547">
        <v>6978</v>
      </c>
      <c r="AA40" s="547">
        <v>2334</v>
      </c>
      <c r="AB40" s="548">
        <v>9312</v>
      </c>
      <c r="AC40" s="548">
        <v>200061</v>
      </c>
      <c r="AD40" s="548">
        <v>171373</v>
      </c>
      <c r="AE40" s="548">
        <v>371434</v>
      </c>
      <c r="AF40" s="747">
        <f>AE40-'6bTotalDistanceEnr'!AC40</f>
        <v>176035</v>
      </c>
    </row>
    <row r="41" spans="1:32" s="852" customFormat="1" ht="21.75" customHeight="1">
      <c r="A41" s="951" t="s">
        <v>49</v>
      </c>
      <c r="B41" s="951"/>
      <c r="C41" s="849">
        <v>1113</v>
      </c>
      <c r="D41" s="850">
        <v>1099</v>
      </c>
      <c r="E41" s="851">
        <v>101450</v>
      </c>
      <c r="F41" s="851">
        <v>78880</v>
      </c>
      <c r="G41" s="851">
        <v>180330</v>
      </c>
      <c r="H41" s="851">
        <v>4654</v>
      </c>
      <c r="I41" s="851">
        <v>7423</v>
      </c>
      <c r="J41" s="851">
        <v>12077</v>
      </c>
      <c r="K41" s="851">
        <v>1087884</v>
      </c>
      <c r="L41" s="851">
        <v>1236301</v>
      </c>
      <c r="M41" s="851">
        <v>2324185</v>
      </c>
      <c r="N41" s="851">
        <v>3448134</v>
      </c>
      <c r="O41" s="851">
        <v>2320019</v>
      </c>
      <c r="P41" s="851">
        <v>5768153</v>
      </c>
      <c r="Q41" s="851">
        <v>95077</v>
      </c>
      <c r="R41" s="851">
        <v>73561</v>
      </c>
      <c r="S41" s="851">
        <v>168638</v>
      </c>
      <c r="T41" s="851">
        <v>188412</v>
      </c>
      <c r="U41" s="851">
        <v>124219</v>
      </c>
      <c r="V41" s="851">
        <v>312631</v>
      </c>
      <c r="W41" s="851">
        <v>50842</v>
      </c>
      <c r="X41" s="851">
        <v>33396</v>
      </c>
      <c r="Y41" s="851">
        <v>84238</v>
      </c>
      <c r="Z41" s="851">
        <v>102031</v>
      </c>
      <c r="AA41" s="851">
        <v>75909</v>
      </c>
      <c r="AB41" s="851">
        <v>177940</v>
      </c>
      <c r="AC41" s="851">
        <v>5078484</v>
      </c>
      <c r="AD41" s="851">
        <v>3949708</v>
      </c>
      <c r="AE41" s="851">
        <v>9028192</v>
      </c>
      <c r="AF41" s="747">
        <f>AE41-'6bTotalDistanceEnr'!AC41</f>
        <v>4456318</v>
      </c>
    </row>
    <row r="42" spans="1:32">
      <c r="B42" s="853"/>
      <c r="C42" s="854" t="s">
        <v>98</v>
      </c>
      <c r="D42" s="853"/>
      <c r="E42" s="853"/>
      <c r="F42" s="853"/>
      <c r="G42" s="853"/>
      <c r="H42" s="853"/>
      <c r="I42" s="853"/>
      <c r="J42" s="853"/>
      <c r="K42" s="853"/>
      <c r="L42" s="853"/>
      <c r="M42" s="853"/>
      <c r="N42" s="854" t="s">
        <v>98</v>
      </c>
      <c r="O42" s="853"/>
      <c r="P42" s="853"/>
      <c r="Q42" s="853"/>
      <c r="R42" s="853"/>
      <c r="S42" s="853"/>
      <c r="T42" s="853"/>
      <c r="U42" s="853"/>
      <c r="V42" s="853"/>
      <c r="W42" s="854" t="s">
        <v>98</v>
      </c>
      <c r="X42" s="853"/>
      <c r="Y42" s="853"/>
      <c r="Z42" s="853"/>
      <c r="AA42" s="853"/>
      <c r="AB42" s="853"/>
      <c r="AC42" s="853"/>
      <c r="AD42" s="853"/>
      <c r="AE42" s="853"/>
    </row>
    <row r="44" spans="1:32">
      <c r="D44" s="855"/>
      <c r="E44" s="856"/>
      <c r="F44" s="856"/>
      <c r="G44" s="856"/>
      <c r="H44" s="856"/>
      <c r="I44" s="856"/>
      <c r="J44" s="856"/>
      <c r="K44" s="856"/>
      <c r="L44" s="856"/>
      <c r="M44" s="856"/>
      <c r="N44" s="856"/>
      <c r="O44" s="856"/>
      <c r="P44" s="856"/>
      <c r="Q44" s="856"/>
      <c r="R44" s="856"/>
      <c r="S44" s="856"/>
      <c r="T44" s="856"/>
      <c r="U44" s="856"/>
      <c r="V44" s="856"/>
      <c r="W44" s="856"/>
      <c r="X44" s="856"/>
      <c r="Y44" s="856"/>
      <c r="Z44" s="856"/>
      <c r="AA44" s="856"/>
      <c r="AB44" s="856"/>
      <c r="AC44" s="856"/>
      <c r="AD44" s="856"/>
      <c r="AE44" s="856"/>
    </row>
    <row r="45" spans="1:32">
      <c r="E45" s="216" t="s">
        <v>135</v>
      </c>
      <c r="F45" s="659" t="s">
        <v>87</v>
      </c>
      <c r="G45" s="659" t="s">
        <v>88</v>
      </c>
      <c r="H45" s="216" t="s">
        <v>106</v>
      </c>
      <c r="W45" s="748">
        <v>54826</v>
      </c>
      <c r="X45" s="748">
        <v>34165</v>
      </c>
      <c r="Y45" s="748">
        <v>88992</v>
      </c>
      <c r="AE45" s="857">
        <v>633730</v>
      </c>
    </row>
    <row r="46" spans="1:32">
      <c r="E46" s="216" t="s">
        <v>89</v>
      </c>
      <c r="F46" s="216">
        <v>101545</v>
      </c>
      <c r="G46" s="216">
        <v>79151</v>
      </c>
      <c r="H46" s="216">
        <v>180696</v>
      </c>
      <c r="AE46" s="858">
        <v>1.5779590677417828E-6</v>
      </c>
    </row>
    <row r="47" spans="1:32">
      <c r="E47" s="216" t="s">
        <v>90</v>
      </c>
      <c r="F47" s="216">
        <v>5011</v>
      </c>
      <c r="G47" s="216">
        <v>7913</v>
      </c>
      <c r="H47" s="216">
        <v>12924</v>
      </c>
    </row>
    <row r="48" spans="1:32">
      <c r="E48" s="216" t="s">
        <v>85</v>
      </c>
      <c r="F48" s="216">
        <v>1144797</v>
      </c>
      <c r="G48" s="216">
        <v>1287696</v>
      </c>
      <c r="H48" s="216">
        <v>2432493</v>
      </c>
    </row>
    <row r="49" spans="5:8">
      <c r="E49" s="216" t="s">
        <v>86</v>
      </c>
      <c r="F49" s="216">
        <v>3574251</v>
      </c>
      <c r="G49" s="216">
        <v>2402981</v>
      </c>
      <c r="H49" s="216">
        <v>5977232</v>
      </c>
    </row>
    <row r="50" spans="5:8">
      <c r="E50" s="216" t="s">
        <v>91</v>
      </c>
      <c r="F50" s="216">
        <v>97143</v>
      </c>
      <c r="G50" s="216">
        <v>74473</v>
      </c>
      <c r="H50" s="216">
        <v>171616</v>
      </c>
    </row>
    <row r="51" spans="5:8">
      <c r="E51" s="216" t="s">
        <v>92</v>
      </c>
      <c r="F51" s="216">
        <v>195734</v>
      </c>
      <c r="G51" s="216">
        <v>126954</v>
      </c>
      <c r="H51" s="216">
        <v>322688</v>
      </c>
    </row>
    <row r="52" spans="5:8">
      <c r="E52" s="216" t="s">
        <v>93</v>
      </c>
      <c r="F52" s="216">
        <v>54827</v>
      </c>
      <c r="G52" s="216">
        <v>34166</v>
      </c>
      <c r="H52" s="216">
        <v>88993</v>
      </c>
    </row>
    <row r="53" spans="5:8">
      <c r="E53" s="216" t="s">
        <v>94</v>
      </c>
      <c r="F53" s="216">
        <v>102613</v>
      </c>
      <c r="G53" s="216">
        <v>76208</v>
      </c>
      <c r="H53" s="216">
        <v>178821</v>
      </c>
    </row>
    <row r="54" spans="5:8">
      <c r="E54" s="216" t="s">
        <v>136</v>
      </c>
      <c r="F54" s="216">
        <v>5275921</v>
      </c>
      <c r="G54" s="216">
        <v>4089542</v>
      </c>
      <c r="H54" s="216">
        <v>9365463</v>
      </c>
    </row>
  </sheetData>
  <mergeCells count="16">
    <mergeCell ref="C1:M1"/>
    <mergeCell ref="N1:V1"/>
    <mergeCell ref="W1:AE1"/>
    <mergeCell ref="Z2:AB2"/>
    <mergeCell ref="AC2:AE2"/>
    <mergeCell ref="K2:M2"/>
    <mergeCell ref="A41:B41"/>
    <mergeCell ref="N2:P2"/>
    <mergeCell ref="Q2:S2"/>
    <mergeCell ref="T2:V2"/>
    <mergeCell ref="W2:Y2"/>
    <mergeCell ref="A2:A3"/>
    <mergeCell ref="B2:B3"/>
    <mergeCell ref="C2:D2"/>
    <mergeCell ref="E2:G2"/>
    <mergeCell ref="H2:J2"/>
  </mergeCells>
  <printOptions horizontalCentered="1"/>
  <pageMargins left="0.43307086614173201" right="0.15748031496063" top="0.511811023622047" bottom="0.36" header="0.196850393700787" footer="0.15748031496063"/>
  <pageSetup paperSize="9" scale="75" firstPageNumber="13" orientation="portrait" useFirstPageNumber="1" r:id="rId1"/>
  <headerFooter>
    <oddFooter>&amp;L&amp;"Arial,Italic"&amp;9AISHE 2020-21&amp;CT-7</oddFooter>
  </headerFooter>
  <colBreaks count="2" manualBreakCount="2">
    <brk id="13" max="1048575" man="1"/>
    <brk id="22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50"/>
  </sheetPr>
  <dimension ref="A1:AI42"/>
  <sheetViews>
    <sheetView view="pageBreakPreview" zoomScaleSheetLayoutView="100" workbookViewId="0">
      <pane xSplit="2" ySplit="4" topLeftCell="W5" activePane="bottomRight" state="frozen"/>
      <selection activeCell="H31" sqref="H31"/>
      <selection pane="topRight" activeCell="H31" sqref="H31"/>
      <selection pane="bottomLeft" activeCell="H31" sqref="H31"/>
      <selection pane="bottomRight" activeCell="AF41" sqref="AF41"/>
    </sheetView>
  </sheetViews>
  <sheetFormatPr defaultColWidth="9.1796875" defaultRowHeight="15.5"/>
  <cols>
    <col min="1" max="1" width="5.1796875" style="605" customWidth="1"/>
    <col min="2" max="2" width="22.26953125" style="605" customWidth="1"/>
    <col min="3" max="3" width="8.7265625" style="605" customWidth="1"/>
    <col min="4" max="4" width="11" style="605" customWidth="1"/>
    <col min="5" max="5" width="6.81640625" style="605" customWidth="1"/>
    <col min="6" max="7" width="7.81640625" style="605" customWidth="1"/>
    <col min="8" max="8" width="6.54296875" style="605" customWidth="1"/>
    <col min="9" max="9" width="7.81640625" style="605" customWidth="1"/>
    <col min="10" max="10" width="6.453125" style="605" customWidth="1"/>
    <col min="11" max="11" width="8.54296875" style="605" customWidth="1"/>
    <col min="12" max="12" width="9.7265625" style="605" customWidth="1"/>
    <col min="13" max="13" width="9.54296875" style="605" customWidth="1"/>
    <col min="14" max="14" width="11.81640625" style="605" customWidth="1"/>
    <col min="15" max="15" width="12" style="605" customWidth="1"/>
    <col min="16" max="16" width="10.26953125" style="605" customWidth="1"/>
    <col min="17" max="17" width="11.1796875" style="605" customWidth="1"/>
    <col min="18" max="18" width="8.453125" style="605" customWidth="1"/>
    <col min="19" max="19" width="10.54296875" style="605" customWidth="1"/>
    <col min="20" max="20" width="7.7265625" style="605" customWidth="1"/>
    <col min="21" max="22" width="8.453125" style="605" customWidth="1"/>
    <col min="23" max="23" width="6.81640625" style="605" customWidth="1"/>
    <col min="24" max="25" width="8.453125" style="605" customWidth="1"/>
    <col min="26" max="26" width="9.1796875" style="605" customWidth="1"/>
    <col min="27" max="28" width="8.453125" style="605" customWidth="1"/>
    <col min="29" max="30" width="10.7265625" style="605" customWidth="1"/>
    <col min="31" max="31" width="11.1796875" style="605" customWidth="1"/>
    <col min="32" max="32" width="12.1796875" style="605" customWidth="1"/>
    <col min="33" max="16384" width="9.1796875" style="605"/>
  </cols>
  <sheetData>
    <row r="1" spans="1:35" s="551" customFormat="1" ht="36.75" customHeight="1">
      <c r="B1" s="158" t="s">
        <v>169</v>
      </c>
      <c r="C1" s="959" t="s">
        <v>1004</v>
      </c>
      <c r="D1" s="960"/>
      <c r="E1" s="960"/>
      <c r="F1" s="960"/>
      <c r="G1" s="960"/>
      <c r="H1" s="960"/>
      <c r="I1" s="960"/>
      <c r="J1" s="960"/>
      <c r="K1" s="960"/>
      <c r="L1" s="960"/>
      <c r="M1" s="960"/>
      <c r="N1" s="959" t="s">
        <v>1004</v>
      </c>
      <c r="O1" s="959"/>
      <c r="P1" s="959"/>
      <c r="Q1" s="959"/>
      <c r="R1" s="959"/>
      <c r="S1" s="959"/>
      <c r="T1" s="959"/>
      <c r="U1" s="959"/>
      <c r="V1" s="959"/>
      <c r="W1" s="959" t="s">
        <v>1004</v>
      </c>
      <c r="X1" s="959"/>
      <c r="Y1" s="959"/>
      <c r="Z1" s="959"/>
      <c r="AA1" s="959"/>
      <c r="AB1" s="959"/>
      <c r="AC1" s="959"/>
      <c r="AD1" s="959"/>
      <c r="AE1" s="959"/>
      <c r="AF1" s="959"/>
    </row>
    <row r="2" spans="1:35" s="743" customFormat="1" ht="27" customHeight="1">
      <c r="A2" s="966" t="s">
        <v>84</v>
      </c>
      <c r="B2" s="961" t="s">
        <v>2</v>
      </c>
      <c r="C2" s="962" t="s">
        <v>100</v>
      </c>
      <c r="D2" s="964"/>
      <c r="E2" s="962" t="s">
        <v>89</v>
      </c>
      <c r="F2" s="963"/>
      <c r="G2" s="964"/>
      <c r="H2" s="962" t="s">
        <v>90</v>
      </c>
      <c r="I2" s="963"/>
      <c r="J2" s="964"/>
      <c r="K2" s="962" t="s">
        <v>85</v>
      </c>
      <c r="L2" s="963"/>
      <c r="M2" s="964"/>
      <c r="N2" s="962" t="s">
        <v>86</v>
      </c>
      <c r="O2" s="963"/>
      <c r="P2" s="964"/>
      <c r="Q2" s="962" t="s">
        <v>91</v>
      </c>
      <c r="R2" s="963"/>
      <c r="S2" s="964"/>
      <c r="T2" s="962" t="s">
        <v>92</v>
      </c>
      <c r="U2" s="963"/>
      <c r="V2" s="964"/>
      <c r="W2" s="962" t="s">
        <v>93</v>
      </c>
      <c r="X2" s="963"/>
      <c r="Y2" s="964"/>
      <c r="Z2" s="962" t="s">
        <v>94</v>
      </c>
      <c r="AA2" s="963"/>
      <c r="AB2" s="964"/>
      <c r="AC2" s="962" t="s">
        <v>60</v>
      </c>
      <c r="AD2" s="963"/>
      <c r="AE2" s="964"/>
      <c r="AF2" s="961" t="s">
        <v>101</v>
      </c>
    </row>
    <row r="3" spans="1:35" s="740" customFormat="1" ht="27" customHeight="1">
      <c r="A3" s="967"/>
      <c r="B3" s="961"/>
      <c r="C3" s="575" t="s">
        <v>12</v>
      </c>
      <c r="D3" s="575" t="s">
        <v>102</v>
      </c>
      <c r="E3" s="570" t="s">
        <v>87</v>
      </c>
      <c r="F3" s="570" t="s">
        <v>88</v>
      </c>
      <c r="G3" s="570" t="s">
        <v>12</v>
      </c>
      <c r="H3" s="570" t="s">
        <v>87</v>
      </c>
      <c r="I3" s="570" t="s">
        <v>88</v>
      </c>
      <c r="J3" s="570" t="s">
        <v>12</v>
      </c>
      <c r="K3" s="570" t="s">
        <v>87</v>
      </c>
      <c r="L3" s="570" t="s">
        <v>88</v>
      </c>
      <c r="M3" s="570" t="s">
        <v>12</v>
      </c>
      <c r="N3" s="570" t="s">
        <v>87</v>
      </c>
      <c r="O3" s="570" t="s">
        <v>88</v>
      </c>
      <c r="P3" s="570" t="s">
        <v>12</v>
      </c>
      <c r="Q3" s="570" t="s">
        <v>87</v>
      </c>
      <c r="R3" s="570" t="s">
        <v>88</v>
      </c>
      <c r="S3" s="570" t="s">
        <v>12</v>
      </c>
      <c r="T3" s="570" t="s">
        <v>87</v>
      </c>
      <c r="U3" s="570" t="s">
        <v>88</v>
      </c>
      <c r="V3" s="570" t="s">
        <v>12</v>
      </c>
      <c r="W3" s="570" t="s">
        <v>87</v>
      </c>
      <c r="X3" s="570" t="s">
        <v>88</v>
      </c>
      <c r="Y3" s="570" t="s">
        <v>12</v>
      </c>
      <c r="Z3" s="570" t="s">
        <v>87</v>
      </c>
      <c r="AA3" s="570" t="s">
        <v>88</v>
      </c>
      <c r="AB3" s="570" t="s">
        <v>12</v>
      </c>
      <c r="AC3" s="570" t="s">
        <v>87</v>
      </c>
      <c r="AD3" s="570" t="s">
        <v>88</v>
      </c>
      <c r="AE3" s="570" t="s">
        <v>12</v>
      </c>
      <c r="AF3" s="961"/>
    </row>
    <row r="4" spans="1:35" s="740" customFormat="1" ht="15" customHeight="1">
      <c r="A4" s="530">
        <v>1</v>
      </c>
      <c r="B4" s="530">
        <v>2</v>
      </c>
      <c r="C4" s="530">
        <v>3</v>
      </c>
      <c r="D4" s="530">
        <v>4</v>
      </c>
      <c r="E4" s="530">
        <v>5</v>
      </c>
      <c r="F4" s="530">
        <v>6</v>
      </c>
      <c r="G4" s="530">
        <v>7</v>
      </c>
      <c r="H4" s="530">
        <v>8</v>
      </c>
      <c r="I4" s="530">
        <v>9</v>
      </c>
      <c r="J4" s="530">
        <v>10</v>
      </c>
      <c r="K4" s="530">
        <v>11</v>
      </c>
      <c r="L4" s="530">
        <v>12</v>
      </c>
      <c r="M4" s="530">
        <v>13</v>
      </c>
      <c r="N4" s="530">
        <v>14</v>
      </c>
      <c r="O4" s="530">
        <v>15</v>
      </c>
      <c r="P4" s="530">
        <v>16</v>
      </c>
      <c r="Q4" s="530">
        <v>17</v>
      </c>
      <c r="R4" s="530">
        <v>18</v>
      </c>
      <c r="S4" s="530">
        <v>19</v>
      </c>
      <c r="T4" s="530">
        <v>20</v>
      </c>
      <c r="U4" s="530">
        <v>21</v>
      </c>
      <c r="V4" s="530">
        <v>22</v>
      </c>
      <c r="W4" s="530">
        <v>23</v>
      </c>
      <c r="X4" s="530">
        <v>24</v>
      </c>
      <c r="Y4" s="530">
        <v>25</v>
      </c>
      <c r="Z4" s="530">
        <v>26</v>
      </c>
      <c r="AA4" s="530">
        <v>27</v>
      </c>
      <c r="AB4" s="530">
        <v>28</v>
      </c>
      <c r="AC4" s="530">
        <v>29</v>
      </c>
      <c r="AD4" s="530">
        <v>30</v>
      </c>
      <c r="AE4" s="530">
        <v>31</v>
      </c>
      <c r="AF4" s="530">
        <v>32</v>
      </c>
    </row>
    <row r="5" spans="1:35" s="740" customFormat="1" ht="34.5" customHeight="1">
      <c r="A5" s="553">
        <v>1</v>
      </c>
      <c r="B5" s="554" t="s">
        <v>171</v>
      </c>
      <c r="C5" s="555">
        <v>9</v>
      </c>
      <c r="D5" s="552">
        <v>9</v>
      </c>
      <c r="E5" s="515">
        <v>5</v>
      </c>
      <c r="F5" s="515">
        <v>9</v>
      </c>
      <c r="G5" s="515">
        <v>14</v>
      </c>
      <c r="H5" s="515">
        <v>0</v>
      </c>
      <c r="I5" s="515">
        <v>0</v>
      </c>
      <c r="J5" s="515">
        <v>0</v>
      </c>
      <c r="K5" s="515">
        <v>69</v>
      </c>
      <c r="L5" s="515">
        <v>283</v>
      </c>
      <c r="M5" s="515">
        <v>352</v>
      </c>
      <c r="N5" s="515">
        <v>2473</v>
      </c>
      <c r="O5" s="515">
        <v>3423</v>
      </c>
      <c r="P5" s="515">
        <v>5896</v>
      </c>
      <c r="Q5" s="515">
        <v>14</v>
      </c>
      <c r="R5" s="515">
        <v>0</v>
      </c>
      <c r="S5" s="515">
        <v>14</v>
      </c>
      <c r="T5" s="515">
        <v>569</v>
      </c>
      <c r="U5" s="515">
        <v>322</v>
      </c>
      <c r="V5" s="515">
        <v>891</v>
      </c>
      <c r="W5" s="515">
        <v>39</v>
      </c>
      <c r="X5" s="515">
        <v>33</v>
      </c>
      <c r="Y5" s="515">
        <v>72</v>
      </c>
      <c r="Z5" s="515">
        <v>145</v>
      </c>
      <c r="AA5" s="515">
        <v>224</v>
      </c>
      <c r="AB5" s="515">
        <v>369</v>
      </c>
      <c r="AC5" s="515">
        <v>3314</v>
      </c>
      <c r="AD5" s="515">
        <v>4294</v>
      </c>
      <c r="AE5" s="515">
        <v>7608</v>
      </c>
      <c r="AF5" s="515">
        <v>845.33333333333337</v>
      </c>
      <c r="AG5" s="740" t="b">
        <v>1</v>
      </c>
      <c r="AH5" s="740" t="b">
        <v>1</v>
      </c>
      <c r="AI5" s="740" t="b">
        <v>1</v>
      </c>
    </row>
    <row r="6" spans="1:35" s="740" customFormat="1" ht="21.75" customHeight="1">
      <c r="A6" s="553">
        <v>2</v>
      </c>
      <c r="B6" s="556" t="s">
        <v>15</v>
      </c>
      <c r="C6" s="555">
        <v>2601</v>
      </c>
      <c r="D6" s="552">
        <v>2554</v>
      </c>
      <c r="E6" s="515">
        <v>499</v>
      </c>
      <c r="F6" s="515">
        <v>350</v>
      </c>
      <c r="G6" s="515">
        <v>849</v>
      </c>
      <c r="H6" s="515">
        <v>0</v>
      </c>
      <c r="I6" s="515">
        <v>0</v>
      </c>
      <c r="J6" s="515">
        <v>0</v>
      </c>
      <c r="K6" s="515">
        <v>61340</v>
      </c>
      <c r="L6" s="515">
        <v>61296</v>
      </c>
      <c r="M6" s="515">
        <v>122636</v>
      </c>
      <c r="N6" s="515">
        <v>639796</v>
      </c>
      <c r="O6" s="515">
        <v>596913</v>
      </c>
      <c r="P6" s="515">
        <v>1236709</v>
      </c>
      <c r="Q6" s="515">
        <v>95</v>
      </c>
      <c r="R6" s="515">
        <v>76</v>
      </c>
      <c r="S6" s="515">
        <v>171</v>
      </c>
      <c r="T6" s="515">
        <v>28069</v>
      </c>
      <c r="U6" s="515">
        <v>8922</v>
      </c>
      <c r="V6" s="515">
        <v>36991</v>
      </c>
      <c r="W6" s="515">
        <v>264</v>
      </c>
      <c r="X6" s="515">
        <v>291</v>
      </c>
      <c r="Y6" s="515">
        <v>555</v>
      </c>
      <c r="Z6" s="515">
        <v>5676</v>
      </c>
      <c r="AA6" s="515">
        <v>2396</v>
      </c>
      <c r="AB6" s="515">
        <v>8072</v>
      </c>
      <c r="AC6" s="515">
        <v>735739</v>
      </c>
      <c r="AD6" s="515">
        <v>670244</v>
      </c>
      <c r="AE6" s="515">
        <v>1405983</v>
      </c>
      <c r="AF6" s="515">
        <v>540.55478662053054</v>
      </c>
      <c r="AG6" s="740" t="b">
        <v>1</v>
      </c>
      <c r="AH6" s="740" t="b">
        <v>1</v>
      </c>
      <c r="AI6" s="740" t="b">
        <v>1</v>
      </c>
    </row>
    <row r="7" spans="1:35" s="740" customFormat="1" ht="21.75" customHeight="1">
      <c r="A7" s="553">
        <v>3</v>
      </c>
      <c r="B7" s="556" t="s">
        <v>16</v>
      </c>
      <c r="C7" s="555">
        <v>42</v>
      </c>
      <c r="D7" s="552">
        <v>41</v>
      </c>
      <c r="E7" s="515">
        <v>4</v>
      </c>
      <c r="F7" s="515">
        <v>2</v>
      </c>
      <c r="G7" s="515">
        <v>6</v>
      </c>
      <c r="H7" s="515">
        <v>0</v>
      </c>
      <c r="I7" s="515">
        <v>0</v>
      </c>
      <c r="J7" s="515">
        <v>0</v>
      </c>
      <c r="K7" s="515">
        <v>114</v>
      </c>
      <c r="L7" s="515">
        <v>190</v>
      </c>
      <c r="M7" s="515">
        <v>304</v>
      </c>
      <c r="N7" s="515">
        <v>11055</v>
      </c>
      <c r="O7" s="515">
        <v>10977</v>
      </c>
      <c r="P7" s="515">
        <v>22032</v>
      </c>
      <c r="Q7" s="515">
        <v>0</v>
      </c>
      <c r="R7" s="515">
        <v>2</v>
      </c>
      <c r="S7" s="515">
        <v>2</v>
      </c>
      <c r="T7" s="515">
        <v>0</v>
      </c>
      <c r="U7" s="515">
        <v>259</v>
      </c>
      <c r="V7" s="515">
        <v>259</v>
      </c>
      <c r="W7" s="515">
        <v>0</v>
      </c>
      <c r="X7" s="515">
        <v>0</v>
      </c>
      <c r="Y7" s="515">
        <v>0</v>
      </c>
      <c r="Z7" s="515">
        <v>218</v>
      </c>
      <c r="AA7" s="515">
        <v>158</v>
      </c>
      <c r="AB7" s="515">
        <v>376</v>
      </c>
      <c r="AC7" s="515">
        <v>11391</v>
      </c>
      <c r="AD7" s="515">
        <v>11588</v>
      </c>
      <c r="AE7" s="515">
        <v>22979</v>
      </c>
      <c r="AF7" s="515">
        <v>547.11904761904759</v>
      </c>
      <c r="AG7" s="740" t="b">
        <v>1</v>
      </c>
      <c r="AH7" s="740" t="b">
        <v>1</v>
      </c>
      <c r="AI7" s="740" t="b">
        <v>1</v>
      </c>
    </row>
    <row r="8" spans="1:35" s="740" customFormat="1" ht="21.75" customHeight="1">
      <c r="A8" s="553">
        <v>4</v>
      </c>
      <c r="B8" s="556" t="s">
        <v>17</v>
      </c>
      <c r="C8" s="555">
        <v>595</v>
      </c>
      <c r="D8" s="552">
        <v>560</v>
      </c>
      <c r="E8" s="515">
        <v>125</v>
      </c>
      <c r="F8" s="515">
        <v>89</v>
      </c>
      <c r="G8" s="515">
        <v>214</v>
      </c>
      <c r="H8" s="515">
        <v>4</v>
      </c>
      <c r="I8" s="515">
        <v>26</v>
      </c>
      <c r="J8" s="515">
        <v>30</v>
      </c>
      <c r="K8" s="515">
        <v>3695</v>
      </c>
      <c r="L8" s="515">
        <v>5808</v>
      </c>
      <c r="M8" s="515">
        <v>9503</v>
      </c>
      <c r="N8" s="515">
        <v>219765</v>
      </c>
      <c r="O8" s="515">
        <v>237050</v>
      </c>
      <c r="P8" s="515">
        <v>456815</v>
      </c>
      <c r="Q8" s="515">
        <v>257</v>
      </c>
      <c r="R8" s="515">
        <v>420</v>
      </c>
      <c r="S8" s="515">
        <v>677</v>
      </c>
      <c r="T8" s="515">
        <v>1476</v>
      </c>
      <c r="U8" s="515">
        <v>1321</v>
      </c>
      <c r="V8" s="515">
        <v>2797</v>
      </c>
      <c r="W8" s="515">
        <v>116</v>
      </c>
      <c r="X8" s="515">
        <v>443</v>
      </c>
      <c r="Y8" s="515">
        <v>559</v>
      </c>
      <c r="Z8" s="515">
        <v>1231</v>
      </c>
      <c r="AA8" s="515">
        <v>1454</v>
      </c>
      <c r="AB8" s="515">
        <v>2685</v>
      </c>
      <c r="AC8" s="515">
        <v>226669</v>
      </c>
      <c r="AD8" s="515">
        <v>246611</v>
      </c>
      <c r="AE8" s="515">
        <v>473280</v>
      </c>
      <c r="AF8" s="515">
        <v>795.42857142857144</v>
      </c>
      <c r="AG8" s="740" t="b">
        <v>1</v>
      </c>
      <c r="AH8" s="740" t="b">
        <v>1</v>
      </c>
      <c r="AI8" s="740" t="b">
        <v>1</v>
      </c>
    </row>
    <row r="9" spans="1:35" s="740" customFormat="1" ht="21.75" customHeight="1">
      <c r="A9" s="553">
        <v>5</v>
      </c>
      <c r="B9" s="556" t="s">
        <v>18</v>
      </c>
      <c r="C9" s="555">
        <v>1035</v>
      </c>
      <c r="D9" s="552">
        <v>1032</v>
      </c>
      <c r="E9" s="515">
        <v>18</v>
      </c>
      <c r="F9" s="515">
        <v>17</v>
      </c>
      <c r="G9" s="515">
        <v>35</v>
      </c>
      <c r="H9" s="515">
        <v>0</v>
      </c>
      <c r="I9" s="515">
        <v>0</v>
      </c>
      <c r="J9" s="515">
        <v>0</v>
      </c>
      <c r="K9" s="515">
        <v>28178</v>
      </c>
      <c r="L9" s="515">
        <v>28399</v>
      </c>
      <c r="M9" s="515">
        <v>56577</v>
      </c>
      <c r="N9" s="515">
        <v>1011640</v>
      </c>
      <c r="O9" s="515">
        <v>838163</v>
      </c>
      <c r="P9" s="515">
        <v>1849803</v>
      </c>
      <c r="Q9" s="515">
        <v>215</v>
      </c>
      <c r="R9" s="515">
        <v>144</v>
      </c>
      <c r="S9" s="515">
        <v>359</v>
      </c>
      <c r="T9" s="515">
        <v>14782</v>
      </c>
      <c r="U9" s="515">
        <v>18352</v>
      </c>
      <c r="V9" s="515">
        <v>33134</v>
      </c>
      <c r="W9" s="515">
        <v>2715</v>
      </c>
      <c r="X9" s="515">
        <v>2143</v>
      </c>
      <c r="Y9" s="515">
        <v>4858</v>
      </c>
      <c r="Z9" s="515">
        <v>1182</v>
      </c>
      <c r="AA9" s="515">
        <v>504</v>
      </c>
      <c r="AB9" s="515">
        <v>1686</v>
      </c>
      <c r="AC9" s="515">
        <v>1058730</v>
      </c>
      <c r="AD9" s="515">
        <v>887722</v>
      </c>
      <c r="AE9" s="515">
        <v>1946452</v>
      </c>
      <c r="AF9" s="515">
        <v>1880.6299516908211</v>
      </c>
      <c r="AG9" s="740" t="b">
        <v>1</v>
      </c>
      <c r="AH9" s="740" t="b">
        <v>1</v>
      </c>
      <c r="AI9" s="740" t="b">
        <v>1</v>
      </c>
    </row>
    <row r="10" spans="1:35" s="740" customFormat="1" ht="21.75" customHeight="1">
      <c r="A10" s="553">
        <v>6</v>
      </c>
      <c r="B10" s="556" t="s">
        <v>19</v>
      </c>
      <c r="C10" s="555">
        <v>26</v>
      </c>
      <c r="D10" s="552">
        <v>26</v>
      </c>
      <c r="E10" s="515">
        <v>9</v>
      </c>
      <c r="F10" s="515">
        <v>86</v>
      </c>
      <c r="G10" s="515">
        <v>95</v>
      </c>
      <c r="H10" s="515">
        <v>4</v>
      </c>
      <c r="I10" s="515">
        <v>1</v>
      </c>
      <c r="J10" s="515">
        <v>5</v>
      </c>
      <c r="K10" s="515">
        <v>1323</v>
      </c>
      <c r="L10" s="515">
        <v>4192</v>
      </c>
      <c r="M10" s="515">
        <v>5515</v>
      </c>
      <c r="N10" s="515">
        <v>18231</v>
      </c>
      <c r="O10" s="515">
        <v>24467</v>
      </c>
      <c r="P10" s="515">
        <v>42698</v>
      </c>
      <c r="Q10" s="515">
        <v>105</v>
      </c>
      <c r="R10" s="515">
        <v>314</v>
      </c>
      <c r="S10" s="515">
        <v>419</v>
      </c>
      <c r="T10" s="515">
        <v>63</v>
      </c>
      <c r="U10" s="515">
        <v>127</v>
      </c>
      <c r="V10" s="515">
        <v>190</v>
      </c>
      <c r="W10" s="515">
        <v>53</v>
      </c>
      <c r="X10" s="515">
        <v>83</v>
      </c>
      <c r="Y10" s="515">
        <v>136</v>
      </c>
      <c r="Z10" s="515">
        <v>24</v>
      </c>
      <c r="AA10" s="515">
        <v>64</v>
      </c>
      <c r="AB10" s="515">
        <v>88</v>
      </c>
      <c r="AC10" s="515">
        <v>19812</v>
      </c>
      <c r="AD10" s="515">
        <v>29334</v>
      </c>
      <c r="AE10" s="515">
        <v>49146</v>
      </c>
      <c r="AF10" s="515">
        <v>1890.2307692307693</v>
      </c>
      <c r="AG10" s="740" t="b">
        <v>1</v>
      </c>
      <c r="AH10" s="740" t="b">
        <v>1</v>
      </c>
      <c r="AI10" s="740" t="b">
        <v>1</v>
      </c>
    </row>
    <row r="11" spans="1:35" s="740" customFormat="1" ht="21.75" customHeight="1">
      <c r="A11" s="553">
        <v>7</v>
      </c>
      <c r="B11" s="556" t="s">
        <v>20</v>
      </c>
      <c r="C11" s="555">
        <v>870</v>
      </c>
      <c r="D11" s="552">
        <v>849</v>
      </c>
      <c r="E11" s="515">
        <v>177</v>
      </c>
      <c r="F11" s="515">
        <v>165</v>
      </c>
      <c r="G11" s="515">
        <v>342</v>
      </c>
      <c r="H11" s="515">
        <v>0</v>
      </c>
      <c r="I11" s="515">
        <v>0</v>
      </c>
      <c r="J11" s="515">
        <v>0</v>
      </c>
      <c r="K11" s="515">
        <v>18182</v>
      </c>
      <c r="L11" s="515">
        <v>31707</v>
      </c>
      <c r="M11" s="515">
        <v>49889</v>
      </c>
      <c r="N11" s="515">
        <v>168588</v>
      </c>
      <c r="O11" s="515">
        <v>220045</v>
      </c>
      <c r="P11" s="515">
        <v>388633</v>
      </c>
      <c r="Q11" s="515">
        <v>3618</v>
      </c>
      <c r="R11" s="515">
        <v>3961</v>
      </c>
      <c r="S11" s="515">
        <v>7579</v>
      </c>
      <c r="T11" s="515">
        <v>16613</v>
      </c>
      <c r="U11" s="515">
        <v>10058</v>
      </c>
      <c r="V11" s="515">
        <v>26671</v>
      </c>
      <c r="W11" s="515">
        <v>186</v>
      </c>
      <c r="X11" s="515">
        <v>334</v>
      </c>
      <c r="Y11" s="515">
        <v>520</v>
      </c>
      <c r="Z11" s="515">
        <v>523</v>
      </c>
      <c r="AA11" s="515">
        <v>538</v>
      </c>
      <c r="AB11" s="515">
        <v>1061</v>
      </c>
      <c r="AC11" s="515">
        <v>207887</v>
      </c>
      <c r="AD11" s="515">
        <v>266808</v>
      </c>
      <c r="AE11" s="515">
        <v>474695</v>
      </c>
      <c r="AF11" s="515">
        <v>545.62643678160919</v>
      </c>
      <c r="AG11" s="740" t="b">
        <v>1</v>
      </c>
      <c r="AH11" s="740" t="b">
        <v>1</v>
      </c>
      <c r="AI11" s="740" t="b">
        <v>1</v>
      </c>
    </row>
    <row r="12" spans="1:35" s="740" customFormat="1" ht="21.75" customHeight="1">
      <c r="A12" s="553">
        <v>8</v>
      </c>
      <c r="B12" s="556" t="s">
        <v>23</v>
      </c>
      <c r="C12" s="555">
        <v>180</v>
      </c>
      <c r="D12" s="552">
        <v>173</v>
      </c>
      <c r="E12" s="515">
        <v>42</v>
      </c>
      <c r="F12" s="515">
        <v>31</v>
      </c>
      <c r="G12" s="515">
        <v>73</v>
      </c>
      <c r="H12" s="515">
        <v>0</v>
      </c>
      <c r="I12" s="515">
        <v>0</v>
      </c>
      <c r="J12" s="515">
        <v>0</v>
      </c>
      <c r="K12" s="515">
        <v>5752</v>
      </c>
      <c r="L12" s="515">
        <v>7761</v>
      </c>
      <c r="M12" s="515">
        <v>13513</v>
      </c>
      <c r="N12" s="515">
        <v>126127</v>
      </c>
      <c r="O12" s="515">
        <v>133335</v>
      </c>
      <c r="P12" s="515">
        <v>259462</v>
      </c>
      <c r="Q12" s="515">
        <v>431</v>
      </c>
      <c r="R12" s="515">
        <v>463</v>
      </c>
      <c r="S12" s="515">
        <v>894</v>
      </c>
      <c r="T12" s="515">
        <v>1370</v>
      </c>
      <c r="U12" s="515">
        <v>3062</v>
      </c>
      <c r="V12" s="515">
        <v>4432</v>
      </c>
      <c r="W12" s="515">
        <v>491</v>
      </c>
      <c r="X12" s="515">
        <v>589</v>
      </c>
      <c r="Y12" s="515">
        <v>1080</v>
      </c>
      <c r="Z12" s="515">
        <v>1539</v>
      </c>
      <c r="AA12" s="515">
        <v>990</v>
      </c>
      <c r="AB12" s="515">
        <v>2529</v>
      </c>
      <c r="AC12" s="515">
        <v>135752</v>
      </c>
      <c r="AD12" s="515">
        <v>146231</v>
      </c>
      <c r="AE12" s="515">
        <v>281983</v>
      </c>
      <c r="AF12" s="515">
        <v>1566.5722222222223</v>
      </c>
      <c r="AG12" s="740" t="b">
        <v>1</v>
      </c>
      <c r="AH12" s="740" t="b">
        <v>1</v>
      </c>
      <c r="AI12" s="740" t="b">
        <v>1</v>
      </c>
    </row>
    <row r="13" spans="1:35" s="740" customFormat="1" ht="21.75" customHeight="1">
      <c r="A13" s="553">
        <v>9</v>
      </c>
      <c r="B13" s="556" t="s">
        <v>24</v>
      </c>
      <c r="C13" s="555">
        <v>61</v>
      </c>
      <c r="D13" s="552">
        <v>61</v>
      </c>
      <c r="E13" s="515">
        <v>59</v>
      </c>
      <c r="F13" s="515">
        <v>90</v>
      </c>
      <c r="G13" s="515">
        <v>149</v>
      </c>
      <c r="H13" s="515">
        <v>6</v>
      </c>
      <c r="I13" s="515">
        <v>2</v>
      </c>
      <c r="J13" s="515">
        <v>8</v>
      </c>
      <c r="K13" s="515">
        <v>782</v>
      </c>
      <c r="L13" s="515">
        <v>1697</v>
      </c>
      <c r="M13" s="515">
        <v>2479</v>
      </c>
      <c r="N13" s="515">
        <v>16073</v>
      </c>
      <c r="O13" s="515">
        <v>21404</v>
      </c>
      <c r="P13" s="515">
        <v>37477</v>
      </c>
      <c r="Q13" s="515">
        <v>18</v>
      </c>
      <c r="R13" s="515">
        <v>48</v>
      </c>
      <c r="S13" s="515">
        <v>66</v>
      </c>
      <c r="T13" s="515">
        <v>80</v>
      </c>
      <c r="U13" s="515">
        <v>233</v>
      </c>
      <c r="V13" s="515">
        <v>313</v>
      </c>
      <c r="W13" s="515">
        <v>8</v>
      </c>
      <c r="X13" s="515">
        <v>0</v>
      </c>
      <c r="Y13" s="515">
        <v>8</v>
      </c>
      <c r="Z13" s="515">
        <v>346</v>
      </c>
      <c r="AA13" s="515">
        <v>879</v>
      </c>
      <c r="AB13" s="515">
        <v>1225</v>
      </c>
      <c r="AC13" s="515">
        <v>17372</v>
      </c>
      <c r="AD13" s="515">
        <v>24353</v>
      </c>
      <c r="AE13" s="515">
        <v>41725</v>
      </c>
      <c r="AF13" s="515">
        <v>684.01639344262298</v>
      </c>
      <c r="AG13" s="740" t="b">
        <v>1</v>
      </c>
      <c r="AH13" s="740" t="b">
        <v>1</v>
      </c>
      <c r="AI13" s="740" t="b">
        <v>1</v>
      </c>
    </row>
    <row r="14" spans="1:35" s="740" customFormat="1" ht="21.75" customHeight="1">
      <c r="A14" s="553">
        <v>10</v>
      </c>
      <c r="B14" s="556" t="s">
        <v>25</v>
      </c>
      <c r="C14" s="555">
        <v>2267</v>
      </c>
      <c r="D14" s="552">
        <v>2248</v>
      </c>
      <c r="E14" s="515">
        <v>263</v>
      </c>
      <c r="F14" s="515">
        <v>155</v>
      </c>
      <c r="G14" s="515">
        <v>418</v>
      </c>
      <c r="H14" s="515">
        <v>0</v>
      </c>
      <c r="I14" s="515">
        <v>0</v>
      </c>
      <c r="J14" s="515">
        <v>0</v>
      </c>
      <c r="K14" s="515">
        <v>41572</v>
      </c>
      <c r="L14" s="515">
        <v>55613</v>
      </c>
      <c r="M14" s="515">
        <v>97185</v>
      </c>
      <c r="N14" s="515">
        <v>541623</v>
      </c>
      <c r="O14" s="515">
        <v>439583</v>
      </c>
      <c r="P14" s="515">
        <v>981206</v>
      </c>
      <c r="Q14" s="515">
        <v>830</v>
      </c>
      <c r="R14" s="515">
        <v>824</v>
      </c>
      <c r="S14" s="515">
        <v>1654</v>
      </c>
      <c r="T14" s="515">
        <v>78773</v>
      </c>
      <c r="U14" s="515">
        <v>25966</v>
      </c>
      <c r="V14" s="515">
        <v>104739</v>
      </c>
      <c r="W14" s="515">
        <v>1902</v>
      </c>
      <c r="X14" s="515">
        <v>1298</v>
      </c>
      <c r="Y14" s="515">
        <v>3200</v>
      </c>
      <c r="Z14" s="515">
        <v>2321</v>
      </c>
      <c r="AA14" s="515">
        <v>1730</v>
      </c>
      <c r="AB14" s="515">
        <v>4051</v>
      </c>
      <c r="AC14" s="515">
        <v>667284</v>
      </c>
      <c r="AD14" s="515">
        <v>525169</v>
      </c>
      <c r="AE14" s="515">
        <v>1192453</v>
      </c>
      <c r="AF14" s="515">
        <v>526.00485222761358</v>
      </c>
      <c r="AG14" s="740" t="b">
        <v>1</v>
      </c>
      <c r="AH14" s="740" t="b">
        <v>1</v>
      </c>
      <c r="AI14" s="740" t="b">
        <v>1</v>
      </c>
    </row>
    <row r="15" spans="1:35" s="740" customFormat="1" ht="21.75" customHeight="1">
      <c r="A15" s="553">
        <v>11</v>
      </c>
      <c r="B15" s="556" t="s">
        <v>26</v>
      </c>
      <c r="C15" s="555">
        <v>1083</v>
      </c>
      <c r="D15" s="552">
        <v>1081</v>
      </c>
      <c r="E15" s="515">
        <v>131</v>
      </c>
      <c r="F15" s="515">
        <v>328</v>
      </c>
      <c r="G15" s="515">
        <v>459</v>
      </c>
      <c r="H15" s="515">
        <v>4</v>
      </c>
      <c r="I15" s="515">
        <v>17</v>
      </c>
      <c r="J15" s="515">
        <v>21</v>
      </c>
      <c r="K15" s="515">
        <v>15665</v>
      </c>
      <c r="L15" s="515">
        <v>35794</v>
      </c>
      <c r="M15" s="515">
        <v>51459</v>
      </c>
      <c r="N15" s="515">
        <v>241025</v>
      </c>
      <c r="O15" s="515">
        <v>308732</v>
      </c>
      <c r="P15" s="515">
        <v>549757</v>
      </c>
      <c r="Q15" s="515">
        <v>227</v>
      </c>
      <c r="R15" s="515">
        <v>552</v>
      </c>
      <c r="S15" s="515">
        <v>779</v>
      </c>
      <c r="T15" s="515">
        <v>12358</v>
      </c>
      <c r="U15" s="515">
        <v>11780</v>
      </c>
      <c r="V15" s="515">
        <v>24138</v>
      </c>
      <c r="W15" s="515">
        <v>291</v>
      </c>
      <c r="X15" s="515">
        <v>845</v>
      </c>
      <c r="Y15" s="515">
        <v>1136</v>
      </c>
      <c r="Z15" s="515">
        <v>3100</v>
      </c>
      <c r="AA15" s="515">
        <v>1932</v>
      </c>
      <c r="AB15" s="515">
        <v>5032</v>
      </c>
      <c r="AC15" s="515">
        <v>272801</v>
      </c>
      <c r="AD15" s="515">
        <v>359980</v>
      </c>
      <c r="AE15" s="515">
        <v>632781</v>
      </c>
      <c r="AF15" s="515">
        <v>584.2853185595568</v>
      </c>
      <c r="AG15" s="740" t="b">
        <v>1</v>
      </c>
      <c r="AH15" s="740" t="b">
        <v>1</v>
      </c>
      <c r="AI15" s="740" t="b">
        <v>1</v>
      </c>
    </row>
    <row r="16" spans="1:35" s="740" customFormat="1" ht="21.75" customHeight="1">
      <c r="A16" s="553">
        <v>12</v>
      </c>
      <c r="B16" s="556" t="s">
        <v>27</v>
      </c>
      <c r="C16" s="555">
        <v>348</v>
      </c>
      <c r="D16" s="552">
        <v>348</v>
      </c>
      <c r="E16" s="515">
        <v>0</v>
      </c>
      <c r="F16" s="515">
        <v>6</v>
      </c>
      <c r="G16" s="515">
        <v>6</v>
      </c>
      <c r="H16" s="515">
        <v>0</v>
      </c>
      <c r="I16" s="515">
        <v>0</v>
      </c>
      <c r="J16" s="515">
        <v>0</v>
      </c>
      <c r="K16" s="515">
        <v>2673</v>
      </c>
      <c r="L16" s="515">
        <v>6071</v>
      </c>
      <c r="M16" s="515">
        <v>8744</v>
      </c>
      <c r="N16" s="515">
        <v>66317</v>
      </c>
      <c r="O16" s="515">
        <v>98394</v>
      </c>
      <c r="P16" s="515">
        <v>164711</v>
      </c>
      <c r="Q16" s="515">
        <v>188</v>
      </c>
      <c r="R16" s="515">
        <v>369</v>
      </c>
      <c r="S16" s="515">
        <v>557</v>
      </c>
      <c r="T16" s="515">
        <v>1129</v>
      </c>
      <c r="U16" s="515">
        <v>2264</v>
      </c>
      <c r="V16" s="515">
        <v>3393</v>
      </c>
      <c r="W16" s="515">
        <v>7</v>
      </c>
      <c r="X16" s="515">
        <v>23</v>
      </c>
      <c r="Y16" s="515">
        <v>30</v>
      </c>
      <c r="Z16" s="515">
        <v>58</v>
      </c>
      <c r="AA16" s="515">
        <v>53</v>
      </c>
      <c r="AB16" s="515">
        <v>111</v>
      </c>
      <c r="AC16" s="515">
        <v>70372</v>
      </c>
      <c r="AD16" s="515">
        <v>107180</v>
      </c>
      <c r="AE16" s="515">
        <v>177552</v>
      </c>
      <c r="AF16" s="515">
        <v>510.20689655172413</v>
      </c>
      <c r="AG16" s="740" t="b">
        <v>1</v>
      </c>
      <c r="AH16" s="740" t="b">
        <v>1</v>
      </c>
      <c r="AI16" s="740" t="b">
        <v>1</v>
      </c>
    </row>
    <row r="17" spans="1:35" s="740" customFormat="1" ht="21.75" customHeight="1">
      <c r="A17" s="553">
        <v>13</v>
      </c>
      <c r="B17" s="556" t="s">
        <v>57</v>
      </c>
      <c r="C17" s="555">
        <v>348</v>
      </c>
      <c r="D17" s="552">
        <v>342</v>
      </c>
      <c r="E17" s="515">
        <v>46</v>
      </c>
      <c r="F17" s="515">
        <v>75</v>
      </c>
      <c r="G17" s="515">
        <v>121</v>
      </c>
      <c r="H17" s="515">
        <v>0</v>
      </c>
      <c r="I17" s="515">
        <v>5</v>
      </c>
      <c r="J17" s="515">
        <v>5</v>
      </c>
      <c r="K17" s="515">
        <v>1969</v>
      </c>
      <c r="L17" s="515">
        <v>2308</v>
      </c>
      <c r="M17" s="515">
        <v>4277</v>
      </c>
      <c r="N17" s="515">
        <v>91258</v>
      </c>
      <c r="O17" s="515">
        <v>106570</v>
      </c>
      <c r="P17" s="515">
        <v>197828</v>
      </c>
      <c r="Q17" s="515">
        <v>117</v>
      </c>
      <c r="R17" s="515">
        <v>73</v>
      </c>
      <c r="S17" s="515">
        <v>190</v>
      </c>
      <c r="T17" s="515">
        <v>120</v>
      </c>
      <c r="U17" s="515">
        <v>300</v>
      </c>
      <c r="V17" s="515">
        <v>420</v>
      </c>
      <c r="W17" s="515">
        <v>22</v>
      </c>
      <c r="X17" s="515">
        <v>21</v>
      </c>
      <c r="Y17" s="515">
        <v>43</v>
      </c>
      <c r="Z17" s="515">
        <v>1660</v>
      </c>
      <c r="AA17" s="515">
        <v>2072</v>
      </c>
      <c r="AB17" s="515">
        <v>3732</v>
      </c>
      <c r="AC17" s="515">
        <v>95192</v>
      </c>
      <c r="AD17" s="515">
        <v>111424</v>
      </c>
      <c r="AE17" s="515">
        <v>206616</v>
      </c>
      <c r="AF17" s="515">
        <v>593.72413793103453</v>
      </c>
      <c r="AG17" s="740" t="b">
        <v>1</v>
      </c>
      <c r="AH17" s="740" t="b">
        <v>1</v>
      </c>
      <c r="AI17" s="740" t="b">
        <v>1</v>
      </c>
    </row>
    <row r="18" spans="1:35" s="740" customFormat="1" ht="21.75" customHeight="1">
      <c r="A18" s="553">
        <v>14</v>
      </c>
      <c r="B18" s="556" t="s">
        <v>29</v>
      </c>
      <c r="C18" s="555">
        <v>336</v>
      </c>
      <c r="D18" s="552">
        <v>336</v>
      </c>
      <c r="E18" s="515">
        <v>12</v>
      </c>
      <c r="F18" s="515">
        <v>6</v>
      </c>
      <c r="G18" s="515">
        <v>18</v>
      </c>
      <c r="H18" s="515">
        <v>18</v>
      </c>
      <c r="I18" s="515">
        <v>63</v>
      </c>
      <c r="J18" s="515">
        <v>81</v>
      </c>
      <c r="K18" s="515">
        <v>15904</v>
      </c>
      <c r="L18" s="515">
        <v>27878</v>
      </c>
      <c r="M18" s="515">
        <v>43782</v>
      </c>
      <c r="N18" s="515">
        <v>260220</v>
      </c>
      <c r="O18" s="515">
        <v>279334</v>
      </c>
      <c r="P18" s="515">
        <v>539554</v>
      </c>
      <c r="Q18" s="515">
        <v>1</v>
      </c>
      <c r="R18" s="515">
        <v>17</v>
      </c>
      <c r="S18" s="515">
        <v>18</v>
      </c>
      <c r="T18" s="515">
        <v>3678</v>
      </c>
      <c r="U18" s="515">
        <v>3430</v>
      </c>
      <c r="V18" s="515">
        <v>7108</v>
      </c>
      <c r="W18" s="515">
        <v>259</v>
      </c>
      <c r="X18" s="515">
        <v>469</v>
      </c>
      <c r="Y18" s="515">
        <v>728</v>
      </c>
      <c r="Z18" s="515">
        <v>310</v>
      </c>
      <c r="AA18" s="515">
        <v>126</v>
      </c>
      <c r="AB18" s="515">
        <v>436</v>
      </c>
      <c r="AC18" s="515">
        <v>280402</v>
      </c>
      <c r="AD18" s="515">
        <v>311323</v>
      </c>
      <c r="AE18" s="515">
        <v>591725</v>
      </c>
      <c r="AF18" s="515">
        <v>1761.0863095238101</v>
      </c>
      <c r="AG18" s="740" t="b">
        <v>1</v>
      </c>
      <c r="AH18" s="740" t="b">
        <v>1</v>
      </c>
      <c r="AI18" s="740" t="b">
        <v>1</v>
      </c>
    </row>
    <row r="19" spans="1:35" s="740" customFormat="1" ht="21.75" customHeight="1">
      <c r="A19" s="553">
        <v>15</v>
      </c>
      <c r="B19" s="556" t="s">
        <v>30</v>
      </c>
      <c r="C19" s="555">
        <v>4233</v>
      </c>
      <c r="D19" s="552">
        <v>4109</v>
      </c>
      <c r="E19" s="515">
        <v>1188</v>
      </c>
      <c r="F19" s="515">
        <v>685</v>
      </c>
      <c r="G19" s="515">
        <v>1873</v>
      </c>
      <c r="H19" s="515">
        <v>1</v>
      </c>
      <c r="I19" s="515">
        <v>9</v>
      </c>
      <c r="J19" s="515">
        <v>10</v>
      </c>
      <c r="K19" s="515">
        <v>49278</v>
      </c>
      <c r="L19" s="515">
        <v>67708</v>
      </c>
      <c r="M19" s="515">
        <v>116986</v>
      </c>
      <c r="N19" s="515">
        <v>743465</v>
      </c>
      <c r="O19" s="515">
        <v>774166</v>
      </c>
      <c r="P19" s="515">
        <v>1517631</v>
      </c>
      <c r="Q19" s="515">
        <v>599</v>
      </c>
      <c r="R19" s="515">
        <v>759</v>
      </c>
      <c r="S19" s="515">
        <v>1358</v>
      </c>
      <c r="T19" s="515">
        <v>7396</v>
      </c>
      <c r="U19" s="515">
        <v>7603</v>
      </c>
      <c r="V19" s="515">
        <v>14999</v>
      </c>
      <c r="W19" s="515">
        <v>1211</v>
      </c>
      <c r="X19" s="515">
        <v>734</v>
      </c>
      <c r="Y19" s="515">
        <v>1945</v>
      </c>
      <c r="Z19" s="515">
        <v>3285</v>
      </c>
      <c r="AA19" s="515">
        <v>3164</v>
      </c>
      <c r="AB19" s="515">
        <v>6449</v>
      </c>
      <c r="AC19" s="515">
        <v>806423</v>
      </c>
      <c r="AD19" s="515">
        <v>854828</v>
      </c>
      <c r="AE19" s="515">
        <v>1661251</v>
      </c>
      <c r="AF19" s="515">
        <v>392.45239782660099</v>
      </c>
      <c r="AG19" s="740" t="b">
        <v>1</v>
      </c>
      <c r="AH19" s="740" t="b">
        <v>1</v>
      </c>
      <c r="AI19" s="740" t="b">
        <v>1</v>
      </c>
    </row>
    <row r="20" spans="1:35" s="740" customFormat="1" ht="21.75" customHeight="1">
      <c r="A20" s="553">
        <v>16</v>
      </c>
      <c r="B20" s="556" t="s">
        <v>31</v>
      </c>
      <c r="C20" s="555">
        <v>1448</v>
      </c>
      <c r="D20" s="552">
        <v>1328</v>
      </c>
      <c r="E20" s="515">
        <v>1089</v>
      </c>
      <c r="F20" s="515">
        <v>2592</v>
      </c>
      <c r="G20" s="515">
        <v>3681</v>
      </c>
      <c r="H20" s="515">
        <v>31</v>
      </c>
      <c r="I20" s="515">
        <v>123</v>
      </c>
      <c r="J20" s="515">
        <v>154</v>
      </c>
      <c r="K20" s="515">
        <v>17278</v>
      </c>
      <c r="L20" s="515">
        <v>62788</v>
      </c>
      <c r="M20" s="515">
        <v>80066</v>
      </c>
      <c r="N20" s="515">
        <v>270789</v>
      </c>
      <c r="O20" s="515">
        <v>399398</v>
      </c>
      <c r="P20" s="515">
        <v>670187</v>
      </c>
      <c r="Q20" s="515">
        <v>67</v>
      </c>
      <c r="R20" s="515">
        <v>145</v>
      </c>
      <c r="S20" s="515">
        <v>212</v>
      </c>
      <c r="T20" s="515">
        <v>2757</v>
      </c>
      <c r="U20" s="515">
        <v>3105</v>
      </c>
      <c r="V20" s="515">
        <v>5862</v>
      </c>
      <c r="W20" s="515">
        <v>385</v>
      </c>
      <c r="X20" s="515">
        <v>856</v>
      </c>
      <c r="Y20" s="515">
        <v>1241</v>
      </c>
      <c r="Z20" s="515">
        <v>3094</v>
      </c>
      <c r="AA20" s="515">
        <v>4147</v>
      </c>
      <c r="AB20" s="515">
        <v>7241</v>
      </c>
      <c r="AC20" s="515">
        <v>295490</v>
      </c>
      <c r="AD20" s="515">
        <v>473154</v>
      </c>
      <c r="AE20" s="515">
        <v>768644</v>
      </c>
      <c r="AF20" s="515">
        <v>530.83149171270713</v>
      </c>
      <c r="AG20" s="740" t="b">
        <v>1</v>
      </c>
      <c r="AH20" s="740" t="b">
        <v>1</v>
      </c>
      <c r="AI20" s="740" t="b">
        <v>1</v>
      </c>
    </row>
    <row r="21" spans="1:35" s="740" customFormat="1" ht="21.75" customHeight="1">
      <c r="A21" s="553">
        <v>17</v>
      </c>
      <c r="B21" s="182" t="s">
        <v>172</v>
      </c>
      <c r="C21" s="555">
        <v>3</v>
      </c>
      <c r="D21" s="552">
        <v>3</v>
      </c>
      <c r="E21" s="515">
        <v>0</v>
      </c>
      <c r="F21" s="515">
        <v>0</v>
      </c>
      <c r="G21" s="515">
        <v>0</v>
      </c>
      <c r="H21" s="515">
        <v>0</v>
      </c>
      <c r="I21" s="515">
        <v>0</v>
      </c>
      <c r="J21" s="515">
        <v>0</v>
      </c>
      <c r="K21" s="515">
        <v>0</v>
      </c>
      <c r="L21" s="515">
        <v>0</v>
      </c>
      <c r="M21" s="515">
        <v>0</v>
      </c>
      <c r="N21" s="515">
        <v>663</v>
      </c>
      <c r="O21" s="515">
        <v>1669</v>
      </c>
      <c r="P21" s="515">
        <v>2332</v>
      </c>
      <c r="Q21" s="515">
        <v>0</v>
      </c>
      <c r="R21" s="515">
        <v>0</v>
      </c>
      <c r="S21" s="515">
        <v>0</v>
      </c>
      <c r="T21" s="515">
        <v>0</v>
      </c>
      <c r="U21" s="515">
        <v>0</v>
      </c>
      <c r="V21" s="515">
        <v>0</v>
      </c>
      <c r="W21" s="515">
        <v>0</v>
      </c>
      <c r="X21" s="515">
        <v>0</v>
      </c>
      <c r="Y21" s="515">
        <v>0</v>
      </c>
      <c r="Z21" s="515">
        <v>0</v>
      </c>
      <c r="AA21" s="515">
        <v>0</v>
      </c>
      <c r="AB21" s="515">
        <v>0</v>
      </c>
      <c r="AC21" s="515">
        <v>663</v>
      </c>
      <c r="AD21" s="515">
        <v>1669</v>
      </c>
      <c r="AE21" s="515">
        <v>2332</v>
      </c>
      <c r="AF21" s="515">
        <v>777.33333333333337</v>
      </c>
      <c r="AG21" s="740" t="b">
        <v>1</v>
      </c>
      <c r="AH21" s="740" t="b">
        <v>1</v>
      </c>
      <c r="AI21" s="740" t="b">
        <v>1</v>
      </c>
    </row>
    <row r="22" spans="1:35" s="740" customFormat="1" ht="21.75" customHeight="1">
      <c r="A22" s="553">
        <v>18</v>
      </c>
      <c r="B22" s="556" t="s">
        <v>32</v>
      </c>
      <c r="C22" s="555">
        <v>0</v>
      </c>
      <c r="D22" s="552">
        <v>0</v>
      </c>
      <c r="E22" s="515">
        <v>0</v>
      </c>
      <c r="F22" s="515">
        <v>0</v>
      </c>
      <c r="G22" s="515">
        <v>0</v>
      </c>
      <c r="H22" s="515">
        <v>0</v>
      </c>
      <c r="I22" s="515">
        <v>0</v>
      </c>
      <c r="J22" s="515">
        <v>0</v>
      </c>
      <c r="K22" s="515">
        <v>0</v>
      </c>
      <c r="L22" s="515">
        <v>0</v>
      </c>
      <c r="M22" s="515">
        <v>0</v>
      </c>
      <c r="N22" s="515">
        <v>0</v>
      </c>
      <c r="O22" s="515">
        <v>0</v>
      </c>
      <c r="P22" s="515">
        <v>0</v>
      </c>
      <c r="Q22" s="515">
        <v>0</v>
      </c>
      <c r="R22" s="515">
        <v>0</v>
      </c>
      <c r="S22" s="515">
        <v>0</v>
      </c>
      <c r="T22" s="515">
        <v>0</v>
      </c>
      <c r="U22" s="515">
        <v>0</v>
      </c>
      <c r="V22" s="515">
        <v>0</v>
      </c>
      <c r="W22" s="515">
        <v>0</v>
      </c>
      <c r="X22" s="515">
        <v>0</v>
      </c>
      <c r="Y22" s="515">
        <v>0</v>
      </c>
      <c r="Z22" s="515">
        <v>0</v>
      </c>
      <c r="AA22" s="515">
        <v>0</v>
      </c>
      <c r="AB22" s="515">
        <v>0</v>
      </c>
      <c r="AC22" s="515">
        <v>0</v>
      </c>
      <c r="AD22" s="515">
        <v>0</v>
      </c>
      <c r="AE22" s="515">
        <v>0</v>
      </c>
      <c r="AF22" s="515"/>
    </row>
    <row r="23" spans="1:35" s="740" customFormat="1" ht="21.75" customHeight="1">
      <c r="A23" s="553">
        <v>19</v>
      </c>
      <c r="B23" s="556" t="s">
        <v>33</v>
      </c>
      <c r="C23" s="555">
        <v>2610</v>
      </c>
      <c r="D23" s="552">
        <v>2319</v>
      </c>
      <c r="E23" s="515">
        <v>544</v>
      </c>
      <c r="F23" s="515">
        <v>629</v>
      </c>
      <c r="G23" s="515">
        <v>1173</v>
      </c>
      <c r="H23" s="515">
        <v>54</v>
      </c>
      <c r="I23" s="515">
        <v>35</v>
      </c>
      <c r="J23" s="515">
        <v>89</v>
      </c>
      <c r="K23" s="515">
        <v>94108</v>
      </c>
      <c r="L23" s="515">
        <v>136330</v>
      </c>
      <c r="M23" s="515">
        <v>230438</v>
      </c>
      <c r="N23" s="515">
        <v>719862</v>
      </c>
      <c r="O23" s="515">
        <v>708105</v>
      </c>
      <c r="P23" s="515">
        <v>1427967</v>
      </c>
      <c r="Q23" s="515">
        <v>3283</v>
      </c>
      <c r="R23" s="515">
        <v>3220</v>
      </c>
      <c r="S23" s="515">
        <v>6503</v>
      </c>
      <c r="T23" s="515">
        <v>35586</v>
      </c>
      <c r="U23" s="515">
        <v>18084</v>
      </c>
      <c r="V23" s="515">
        <v>53670</v>
      </c>
      <c r="W23" s="515">
        <v>1449</v>
      </c>
      <c r="X23" s="515">
        <v>840</v>
      </c>
      <c r="Y23" s="515">
        <v>2289</v>
      </c>
      <c r="Z23" s="515">
        <v>7784</v>
      </c>
      <c r="AA23" s="515">
        <v>7772</v>
      </c>
      <c r="AB23" s="515">
        <v>15556</v>
      </c>
      <c r="AC23" s="515">
        <v>862670</v>
      </c>
      <c r="AD23" s="515">
        <v>875015</v>
      </c>
      <c r="AE23" s="515">
        <v>1737685</v>
      </c>
      <c r="AF23" s="515">
        <v>665.77969348659008</v>
      </c>
      <c r="AG23" s="740" t="b">
        <v>1</v>
      </c>
      <c r="AH23" s="740" t="b">
        <v>1</v>
      </c>
      <c r="AI23" s="740" t="b">
        <v>1</v>
      </c>
    </row>
    <row r="24" spans="1:35" s="740" customFormat="1" ht="21.75" customHeight="1">
      <c r="A24" s="553">
        <v>20</v>
      </c>
      <c r="B24" s="556" t="s">
        <v>34</v>
      </c>
      <c r="C24" s="555">
        <v>4532</v>
      </c>
      <c r="D24" s="552">
        <v>4531</v>
      </c>
      <c r="E24" s="515">
        <v>2835</v>
      </c>
      <c r="F24" s="515">
        <v>2096</v>
      </c>
      <c r="G24" s="515">
        <v>4931</v>
      </c>
      <c r="H24" s="515">
        <v>52</v>
      </c>
      <c r="I24" s="515">
        <v>40</v>
      </c>
      <c r="J24" s="515">
        <v>92</v>
      </c>
      <c r="K24" s="515">
        <v>126772</v>
      </c>
      <c r="L24" s="515">
        <v>154662</v>
      </c>
      <c r="M24" s="515">
        <v>281434</v>
      </c>
      <c r="N24" s="515">
        <v>1460956</v>
      </c>
      <c r="O24" s="515">
        <v>1246303</v>
      </c>
      <c r="P24" s="515">
        <v>2707259</v>
      </c>
      <c r="Q24" s="515">
        <v>1856</v>
      </c>
      <c r="R24" s="515">
        <v>1645</v>
      </c>
      <c r="S24" s="515">
        <v>3501</v>
      </c>
      <c r="T24" s="515">
        <v>20261</v>
      </c>
      <c r="U24" s="515">
        <v>12668</v>
      </c>
      <c r="V24" s="515">
        <v>32929</v>
      </c>
      <c r="W24" s="515">
        <v>2111</v>
      </c>
      <c r="X24" s="515">
        <v>1691</v>
      </c>
      <c r="Y24" s="515">
        <v>3802</v>
      </c>
      <c r="Z24" s="515">
        <v>4603</v>
      </c>
      <c r="AA24" s="515">
        <v>4784</v>
      </c>
      <c r="AB24" s="515">
        <v>9387</v>
      </c>
      <c r="AC24" s="515">
        <v>1619446</v>
      </c>
      <c r="AD24" s="515">
        <v>1423889</v>
      </c>
      <c r="AE24" s="515">
        <v>3043335</v>
      </c>
      <c r="AF24" s="515">
        <v>671.52140335392767</v>
      </c>
      <c r="AG24" s="740" t="b">
        <v>1</v>
      </c>
      <c r="AH24" s="740" t="b">
        <v>1</v>
      </c>
      <c r="AI24" s="740" t="b">
        <v>1</v>
      </c>
    </row>
    <row r="25" spans="1:35" s="740" customFormat="1" ht="21.75" customHeight="1">
      <c r="A25" s="553">
        <v>21</v>
      </c>
      <c r="B25" s="556" t="s">
        <v>35</v>
      </c>
      <c r="C25" s="555">
        <v>105</v>
      </c>
      <c r="D25" s="552">
        <v>103</v>
      </c>
      <c r="E25" s="515">
        <v>12</v>
      </c>
      <c r="F25" s="515">
        <v>3</v>
      </c>
      <c r="G25" s="515">
        <v>15</v>
      </c>
      <c r="H25" s="515">
        <v>0</v>
      </c>
      <c r="I25" s="515">
        <v>12</v>
      </c>
      <c r="J25" s="515">
        <v>12</v>
      </c>
      <c r="K25" s="515">
        <v>804</v>
      </c>
      <c r="L25" s="515">
        <v>1462</v>
      </c>
      <c r="M25" s="515">
        <v>2266</v>
      </c>
      <c r="N25" s="515">
        <v>55357</v>
      </c>
      <c r="O25" s="515">
        <v>55488</v>
      </c>
      <c r="P25" s="515">
        <v>110845</v>
      </c>
      <c r="Q25" s="515">
        <v>49</v>
      </c>
      <c r="R25" s="515">
        <v>13</v>
      </c>
      <c r="S25" s="515">
        <v>62</v>
      </c>
      <c r="T25" s="515">
        <v>717</v>
      </c>
      <c r="U25" s="515">
        <v>490</v>
      </c>
      <c r="V25" s="515">
        <v>1207</v>
      </c>
      <c r="W25" s="515">
        <v>0</v>
      </c>
      <c r="X25" s="515">
        <v>0</v>
      </c>
      <c r="Y25" s="515">
        <v>0</v>
      </c>
      <c r="Z25" s="515">
        <v>0</v>
      </c>
      <c r="AA25" s="515">
        <v>0</v>
      </c>
      <c r="AB25" s="515">
        <v>0</v>
      </c>
      <c r="AC25" s="515">
        <v>56939</v>
      </c>
      <c r="AD25" s="515">
        <v>57468</v>
      </c>
      <c r="AE25" s="515">
        <v>114407</v>
      </c>
      <c r="AF25" s="515">
        <v>1089.5904761904762</v>
      </c>
      <c r="AG25" s="740" t="b">
        <v>1</v>
      </c>
      <c r="AH25" s="740" t="b">
        <v>1</v>
      </c>
      <c r="AI25" s="740" t="b">
        <v>1</v>
      </c>
    </row>
    <row r="26" spans="1:35" s="740" customFormat="1" ht="21.75" customHeight="1">
      <c r="A26" s="553">
        <v>22</v>
      </c>
      <c r="B26" s="556" t="s">
        <v>36</v>
      </c>
      <c r="C26" s="555">
        <v>75</v>
      </c>
      <c r="D26" s="552">
        <v>62</v>
      </c>
      <c r="E26" s="515">
        <v>0</v>
      </c>
      <c r="F26" s="515">
        <v>0</v>
      </c>
      <c r="G26" s="515">
        <v>0</v>
      </c>
      <c r="H26" s="515">
        <v>0</v>
      </c>
      <c r="I26" s="515">
        <v>0</v>
      </c>
      <c r="J26" s="515">
        <v>0</v>
      </c>
      <c r="K26" s="515">
        <v>126</v>
      </c>
      <c r="L26" s="515">
        <v>334</v>
      </c>
      <c r="M26" s="515">
        <v>460</v>
      </c>
      <c r="N26" s="515">
        <v>27098</v>
      </c>
      <c r="O26" s="515">
        <v>33540</v>
      </c>
      <c r="P26" s="515">
        <v>60638</v>
      </c>
      <c r="Q26" s="515">
        <v>11</v>
      </c>
      <c r="R26" s="515">
        <v>7</v>
      </c>
      <c r="S26" s="515">
        <v>18</v>
      </c>
      <c r="T26" s="515">
        <v>0</v>
      </c>
      <c r="U26" s="515">
        <v>0</v>
      </c>
      <c r="V26" s="515">
        <v>0</v>
      </c>
      <c r="W26" s="515">
        <v>69</v>
      </c>
      <c r="X26" s="515">
        <v>92</v>
      </c>
      <c r="Y26" s="515">
        <v>161</v>
      </c>
      <c r="Z26" s="515">
        <v>0</v>
      </c>
      <c r="AA26" s="515">
        <v>0</v>
      </c>
      <c r="AB26" s="515">
        <v>0</v>
      </c>
      <c r="AC26" s="515">
        <v>27304</v>
      </c>
      <c r="AD26" s="515">
        <v>33973</v>
      </c>
      <c r="AE26" s="515">
        <v>61277</v>
      </c>
      <c r="AF26" s="515">
        <v>817.02666666666664</v>
      </c>
      <c r="AG26" s="740" t="b">
        <v>1</v>
      </c>
      <c r="AH26" s="740" t="b">
        <v>1</v>
      </c>
      <c r="AI26" s="740" t="b">
        <v>1</v>
      </c>
    </row>
    <row r="27" spans="1:35" s="740" customFormat="1" ht="21.75" customHeight="1">
      <c r="A27" s="553">
        <v>23</v>
      </c>
      <c r="B27" s="556" t="s">
        <v>37</v>
      </c>
      <c r="C27" s="555">
        <v>39</v>
      </c>
      <c r="D27" s="552">
        <v>39</v>
      </c>
      <c r="E27" s="515">
        <v>9</v>
      </c>
      <c r="F27" s="515">
        <v>18</v>
      </c>
      <c r="G27" s="515">
        <v>27</v>
      </c>
      <c r="H27" s="515">
        <v>2</v>
      </c>
      <c r="I27" s="515">
        <v>6</v>
      </c>
      <c r="J27" s="515">
        <v>8</v>
      </c>
      <c r="K27" s="515">
        <v>185</v>
      </c>
      <c r="L27" s="515">
        <v>119</v>
      </c>
      <c r="M27" s="515">
        <v>304</v>
      </c>
      <c r="N27" s="515">
        <v>12727</v>
      </c>
      <c r="O27" s="515">
        <v>12225</v>
      </c>
      <c r="P27" s="515">
        <v>24952</v>
      </c>
      <c r="Q27" s="515">
        <v>0</v>
      </c>
      <c r="R27" s="515">
        <v>0</v>
      </c>
      <c r="S27" s="515">
        <v>0</v>
      </c>
      <c r="T27" s="515">
        <v>71</v>
      </c>
      <c r="U27" s="515">
        <v>6</v>
      </c>
      <c r="V27" s="515">
        <v>77</v>
      </c>
      <c r="W27" s="515">
        <v>0</v>
      </c>
      <c r="X27" s="515">
        <v>0</v>
      </c>
      <c r="Y27" s="515">
        <v>0</v>
      </c>
      <c r="Z27" s="515">
        <v>0</v>
      </c>
      <c r="AA27" s="515">
        <v>0</v>
      </c>
      <c r="AB27" s="515">
        <v>0</v>
      </c>
      <c r="AC27" s="515">
        <v>12994</v>
      </c>
      <c r="AD27" s="515">
        <v>12374</v>
      </c>
      <c r="AE27" s="515">
        <v>25368</v>
      </c>
      <c r="AF27" s="515">
        <v>650.46153846153845</v>
      </c>
      <c r="AG27" s="740" t="b">
        <v>1</v>
      </c>
      <c r="AH27" s="740" t="b">
        <v>1</v>
      </c>
      <c r="AI27" s="740" t="b">
        <v>1</v>
      </c>
    </row>
    <row r="28" spans="1:35" s="740" customFormat="1" ht="21.75" customHeight="1">
      <c r="A28" s="553">
        <v>24</v>
      </c>
      <c r="B28" s="556" t="s">
        <v>38</v>
      </c>
      <c r="C28" s="555">
        <v>68</v>
      </c>
      <c r="D28" s="552">
        <v>67</v>
      </c>
      <c r="E28" s="515">
        <v>5</v>
      </c>
      <c r="F28" s="515">
        <v>1</v>
      </c>
      <c r="G28" s="515">
        <v>6</v>
      </c>
      <c r="H28" s="515">
        <v>0</v>
      </c>
      <c r="I28" s="515">
        <v>0</v>
      </c>
      <c r="J28" s="515">
        <v>0</v>
      </c>
      <c r="K28" s="515">
        <v>438</v>
      </c>
      <c r="L28" s="515">
        <v>666</v>
      </c>
      <c r="M28" s="515">
        <v>1104</v>
      </c>
      <c r="N28" s="515">
        <v>14581</v>
      </c>
      <c r="O28" s="515">
        <v>17282</v>
      </c>
      <c r="P28" s="515">
        <v>31863</v>
      </c>
      <c r="Q28" s="515">
        <v>0</v>
      </c>
      <c r="R28" s="515">
        <v>0</v>
      </c>
      <c r="S28" s="515">
        <v>0</v>
      </c>
      <c r="T28" s="515">
        <v>43</v>
      </c>
      <c r="U28" s="515">
        <v>83</v>
      </c>
      <c r="V28" s="515">
        <v>126</v>
      </c>
      <c r="W28" s="515">
        <v>98</v>
      </c>
      <c r="X28" s="515">
        <v>99</v>
      </c>
      <c r="Y28" s="515">
        <v>197</v>
      </c>
      <c r="Z28" s="515">
        <v>0</v>
      </c>
      <c r="AA28" s="515">
        <v>0</v>
      </c>
      <c r="AB28" s="515">
        <v>0</v>
      </c>
      <c r="AC28" s="515">
        <v>15165</v>
      </c>
      <c r="AD28" s="515">
        <v>18131</v>
      </c>
      <c r="AE28" s="515">
        <v>33296</v>
      </c>
      <c r="AF28" s="515">
        <v>489.64705882352939</v>
      </c>
      <c r="AG28" s="740" t="b">
        <v>1</v>
      </c>
      <c r="AH28" s="740" t="b">
        <v>1</v>
      </c>
      <c r="AI28" s="740" t="b">
        <v>1</v>
      </c>
    </row>
    <row r="29" spans="1:35" s="740" customFormat="1" ht="21.75" customHeight="1">
      <c r="A29" s="553">
        <v>25</v>
      </c>
      <c r="B29" s="556" t="s">
        <v>39</v>
      </c>
      <c r="C29" s="555">
        <v>1206</v>
      </c>
      <c r="D29" s="552">
        <v>1195</v>
      </c>
      <c r="E29" s="515">
        <v>22</v>
      </c>
      <c r="F29" s="515">
        <v>8</v>
      </c>
      <c r="G29" s="515">
        <v>30</v>
      </c>
      <c r="H29" s="515">
        <v>34</v>
      </c>
      <c r="I29" s="515">
        <v>33</v>
      </c>
      <c r="J29" s="515">
        <v>67</v>
      </c>
      <c r="K29" s="515">
        <v>23853</v>
      </c>
      <c r="L29" s="515">
        <v>20970</v>
      </c>
      <c r="M29" s="515">
        <v>44823</v>
      </c>
      <c r="N29" s="515">
        <v>312043</v>
      </c>
      <c r="O29" s="515">
        <v>318852</v>
      </c>
      <c r="P29" s="515">
        <v>630895</v>
      </c>
      <c r="Q29" s="515">
        <v>231</v>
      </c>
      <c r="R29" s="515">
        <v>222</v>
      </c>
      <c r="S29" s="515">
        <v>453</v>
      </c>
      <c r="T29" s="515">
        <v>7541</v>
      </c>
      <c r="U29" s="515">
        <v>2443</v>
      </c>
      <c r="V29" s="515">
        <v>9984</v>
      </c>
      <c r="W29" s="515">
        <v>298</v>
      </c>
      <c r="X29" s="515">
        <v>337</v>
      </c>
      <c r="Y29" s="515">
        <v>635</v>
      </c>
      <c r="Z29" s="515">
        <v>2063</v>
      </c>
      <c r="AA29" s="515">
        <v>2466</v>
      </c>
      <c r="AB29" s="515">
        <v>4529</v>
      </c>
      <c r="AC29" s="515">
        <v>346085</v>
      </c>
      <c r="AD29" s="515">
        <v>345331</v>
      </c>
      <c r="AE29" s="515">
        <v>691416</v>
      </c>
      <c r="AF29" s="515">
        <v>573.31343283582089</v>
      </c>
      <c r="AG29" s="740" t="b">
        <v>1</v>
      </c>
      <c r="AH29" s="740" t="b">
        <v>1</v>
      </c>
      <c r="AI29" s="740" t="b">
        <v>1</v>
      </c>
    </row>
    <row r="30" spans="1:35" s="740" customFormat="1" ht="21.75" customHeight="1">
      <c r="A30" s="553">
        <v>26</v>
      </c>
      <c r="B30" s="556" t="s">
        <v>40</v>
      </c>
      <c r="C30" s="555">
        <v>81</v>
      </c>
      <c r="D30" s="552">
        <v>70</v>
      </c>
      <c r="E30" s="515">
        <v>80</v>
      </c>
      <c r="F30" s="515">
        <v>183</v>
      </c>
      <c r="G30" s="515">
        <v>263</v>
      </c>
      <c r="H30" s="515">
        <v>0</v>
      </c>
      <c r="I30" s="515">
        <v>2</v>
      </c>
      <c r="J30" s="515">
        <v>2</v>
      </c>
      <c r="K30" s="515">
        <v>1570</v>
      </c>
      <c r="L30" s="515">
        <v>2937</v>
      </c>
      <c r="M30" s="515">
        <v>4507</v>
      </c>
      <c r="N30" s="515">
        <v>19743</v>
      </c>
      <c r="O30" s="515">
        <v>24693</v>
      </c>
      <c r="P30" s="515">
        <v>44436</v>
      </c>
      <c r="Q30" s="515">
        <v>0</v>
      </c>
      <c r="R30" s="515">
        <v>0</v>
      </c>
      <c r="S30" s="515">
        <v>0</v>
      </c>
      <c r="T30" s="515">
        <v>81</v>
      </c>
      <c r="U30" s="515">
        <v>136</v>
      </c>
      <c r="V30" s="515">
        <v>217</v>
      </c>
      <c r="W30" s="515">
        <v>0</v>
      </c>
      <c r="X30" s="515">
        <v>0</v>
      </c>
      <c r="Y30" s="515">
        <v>0</v>
      </c>
      <c r="Z30" s="515">
        <v>5</v>
      </c>
      <c r="AA30" s="515">
        <v>33</v>
      </c>
      <c r="AB30" s="515">
        <v>38</v>
      </c>
      <c r="AC30" s="515">
        <v>21479</v>
      </c>
      <c r="AD30" s="515">
        <v>27984</v>
      </c>
      <c r="AE30" s="515">
        <v>49463</v>
      </c>
      <c r="AF30" s="515">
        <v>610.65432098765427</v>
      </c>
      <c r="AG30" s="740" t="b">
        <v>1</v>
      </c>
      <c r="AH30" s="740" t="b">
        <v>1</v>
      </c>
      <c r="AI30" s="740" t="b">
        <v>1</v>
      </c>
    </row>
    <row r="31" spans="1:35" s="740" customFormat="1" ht="21.75" customHeight="1">
      <c r="A31" s="553">
        <v>27</v>
      </c>
      <c r="B31" s="556" t="s">
        <v>41</v>
      </c>
      <c r="C31" s="555">
        <v>1039</v>
      </c>
      <c r="D31" s="552">
        <v>1030</v>
      </c>
      <c r="E31" s="515">
        <v>2</v>
      </c>
      <c r="F31" s="515">
        <v>1</v>
      </c>
      <c r="G31" s="515">
        <v>3</v>
      </c>
      <c r="H31" s="515">
        <v>4</v>
      </c>
      <c r="I31" s="515">
        <v>14</v>
      </c>
      <c r="J31" s="515">
        <v>18</v>
      </c>
      <c r="K31" s="515">
        <v>14703</v>
      </c>
      <c r="L31" s="515">
        <v>31564</v>
      </c>
      <c r="M31" s="515">
        <v>46267</v>
      </c>
      <c r="N31" s="515">
        <v>193420</v>
      </c>
      <c r="O31" s="515">
        <v>229443</v>
      </c>
      <c r="P31" s="515">
        <v>422863</v>
      </c>
      <c r="Q31" s="515">
        <v>1270</v>
      </c>
      <c r="R31" s="515">
        <v>1774</v>
      </c>
      <c r="S31" s="515">
        <v>3044</v>
      </c>
      <c r="T31" s="515">
        <v>8429</v>
      </c>
      <c r="U31" s="515">
        <v>14152</v>
      </c>
      <c r="V31" s="515">
        <v>22581</v>
      </c>
      <c r="W31" s="515">
        <v>325</v>
      </c>
      <c r="X31" s="515">
        <v>437</v>
      </c>
      <c r="Y31" s="515">
        <v>762</v>
      </c>
      <c r="Z31" s="515">
        <v>3323</v>
      </c>
      <c r="AA31" s="515">
        <v>4461</v>
      </c>
      <c r="AB31" s="515">
        <v>7784</v>
      </c>
      <c r="AC31" s="515">
        <v>221476</v>
      </c>
      <c r="AD31" s="515">
        <v>281846</v>
      </c>
      <c r="AE31" s="515">
        <v>503322</v>
      </c>
      <c r="AF31" s="515">
        <v>484.42925890279116</v>
      </c>
      <c r="AG31" s="740" t="b">
        <v>1</v>
      </c>
      <c r="AH31" s="740" t="b">
        <v>1</v>
      </c>
      <c r="AI31" s="740" t="b">
        <v>1</v>
      </c>
    </row>
    <row r="32" spans="1:35" s="740" customFormat="1" ht="21.75" customHeight="1">
      <c r="A32" s="553">
        <v>28</v>
      </c>
      <c r="B32" s="556" t="s">
        <v>42</v>
      </c>
      <c r="C32" s="555">
        <v>3694</v>
      </c>
      <c r="D32" s="552">
        <v>3339</v>
      </c>
      <c r="E32" s="515">
        <v>601</v>
      </c>
      <c r="F32" s="515">
        <v>296</v>
      </c>
      <c r="G32" s="515">
        <v>897</v>
      </c>
      <c r="H32" s="515">
        <v>3</v>
      </c>
      <c r="I32" s="515">
        <v>1</v>
      </c>
      <c r="J32" s="515">
        <v>4</v>
      </c>
      <c r="K32" s="515">
        <v>41746</v>
      </c>
      <c r="L32" s="515">
        <v>82120</v>
      </c>
      <c r="M32" s="515">
        <v>123866</v>
      </c>
      <c r="N32" s="515">
        <v>750502</v>
      </c>
      <c r="O32" s="515">
        <v>744907</v>
      </c>
      <c r="P32" s="515">
        <v>1495409</v>
      </c>
      <c r="Q32" s="515">
        <v>1369</v>
      </c>
      <c r="R32" s="515">
        <v>1695</v>
      </c>
      <c r="S32" s="515">
        <v>3064</v>
      </c>
      <c r="T32" s="515">
        <v>16298</v>
      </c>
      <c r="U32" s="515">
        <v>7863</v>
      </c>
      <c r="V32" s="515">
        <v>24161</v>
      </c>
      <c r="W32" s="515">
        <v>2562</v>
      </c>
      <c r="X32" s="515">
        <v>2696</v>
      </c>
      <c r="Y32" s="515">
        <v>5258</v>
      </c>
      <c r="Z32" s="515">
        <v>36571</v>
      </c>
      <c r="AA32" s="515">
        <v>35024</v>
      </c>
      <c r="AB32" s="515">
        <v>71595</v>
      </c>
      <c r="AC32" s="515">
        <v>849652</v>
      </c>
      <c r="AD32" s="515">
        <v>874602</v>
      </c>
      <c r="AE32" s="515">
        <v>1724254</v>
      </c>
      <c r="AF32" s="515">
        <v>466.7715213860314</v>
      </c>
      <c r="AG32" s="740" t="b">
        <v>1</v>
      </c>
      <c r="AH32" s="740" t="b">
        <v>1</v>
      </c>
      <c r="AI32" s="740" t="b">
        <v>1</v>
      </c>
    </row>
    <row r="33" spans="1:35" s="740" customFormat="1" ht="21.75" customHeight="1">
      <c r="A33" s="553">
        <v>29</v>
      </c>
      <c r="B33" s="556" t="s">
        <v>43</v>
      </c>
      <c r="C33" s="555">
        <v>23</v>
      </c>
      <c r="D33" s="552">
        <v>19</v>
      </c>
      <c r="E33" s="515">
        <v>4</v>
      </c>
      <c r="F33" s="515">
        <v>8</v>
      </c>
      <c r="G33" s="515">
        <v>12</v>
      </c>
      <c r="H33" s="515">
        <v>0</v>
      </c>
      <c r="I33" s="515">
        <v>0</v>
      </c>
      <c r="J33" s="515">
        <v>0</v>
      </c>
      <c r="K33" s="515">
        <v>155</v>
      </c>
      <c r="L33" s="515">
        <v>203</v>
      </c>
      <c r="M33" s="515">
        <v>358</v>
      </c>
      <c r="N33" s="515">
        <v>5855</v>
      </c>
      <c r="O33" s="515">
        <v>6611</v>
      </c>
      <c r="P33" s="515">
        <v>12466</v>
      </c>
      <c r="Q33" s="515">
        <v>0</v>
      </c>
      <c r="R33" s="515">
        <v>0</v>
      </c>
      <c r="S33" s="515">
        <v>0</v>
      </c>
      <c r="T33" s="515">
        <v>85</v>
      </c>
      <c r="U33" s="515">
        <v>34</v>
      </c>
      <c r="V33" s="515">
        <v>119</v>
      </c>
      <c r="W33" s="515">
        <v>60</v>
      </c>
      <c r="X33" s="515">
        <v>10</v>
      </c>
      <c r="Y33" s="515">
        <v>70</v>
      </c>
      <c r="Z33" s="515">
        <v>101</v>
      </c>
      <c r="AA33" s="515">
        <v>165</v>
      </c>
      <c r="AB33" s="515">
        <v>266</v>
      </c>
      <c r="AC33" s="515">
        <v>6260</v>
      </c>
      <c r="AD33" s="515">
        <v>7031</v>
      </c>
      <c r="AE33" s="515">
        <v>13291</v>
      </c>
      <c r="AF33" s="515">
        <v>577.86956521739125</v>
      </c>
      <c r="AG33" s="740" t="b">
        <v>1</v>
      </c>
      <c r="AH33" s="740" t="b">
        <v>1</v>
      </c>
      <c r="AI33" s="740" t="b">
        <v>1</v>
      </c>
    </row>
    <row r="34" spans="1:35" s="740" customFormat="1" ht="21.75" customHeight="1">
      <c r="A34" s="553">
        <v>30</v>
      </c>
      <c r="B34" s="556" t="s">
        <v>44</v>
      </c>
      <c r="C34" s="555">
        <v>2667</v>
      </c>
      <c r="D34" s="552">
        <v>2657</v>
      </c>
      <c r="E34" s="515">
        <v>3089</v>
      </c>
      <c r="F34" s="515">
        <v>5204</v>
      </c>
      <c r="G34" s="515">
        <v>8293</v>
      </c>
      <c r="H34" s="515">
        <v>1334</v>
      </c>
      <c r="I34" s="515">
        <v>2494</v>
      </c>
      <c r="J34" s="515">
        <v>3828</v>
      </c>
      <c r="K34" s="515">
        <v>77617</v>
      </c>
      <c r="L34" s="515">
        <v>143283</v>
      </c>
      <c r="M34" s="515">
        <v>220900</v>
      </c>
      <c r="N34" s="515">
        <v>901346</v>
      </c>
      <c r="O34" s="515">
        <v>1071997</v>
      </c>
      <c r="P34" s="515">
        <v>1973343</v>
      </c>
      <c r="Q34" s="515">
        <v>627</v>
      </c>
      <c r="R34" s="515">
        <v>821</v>
      </c>
      <c r="S34" s="515">
        <v>1448</v>
      </c>
      <c r="T34" s="515">
        <v>4570</v>
      </c>
      <c r="U34" s="515">
        <v>11036</v>
      </c>
      <c r="V34" s="515">
        <v>15606</v>
      </c>
      <c r="W34" s="515">
        <v>1937</v>
      </c>
      <c r="X34" s="515">
        <v>4734</v>
      </c>
      <c r="Y34" s="515">
        <v>6671</v>
      </c>
      <c r="Z34" s="515">
        <v>2458</v>
      </c>
      <c r="AA34" s="515">
        <v>2815</v>
      </c>
      <c r="AB34" s="515">
        <v>5273</v>
      </c>
      <c r="AC34" s="515">
        <v>992978</v>
      </c>
      <c r="AD34" s="515">
        <v>1242384</v>
      </c>
      <c r="AE34" s="515">
        <v>2235362</v>
      </c>
      <c r="AF34" s="515">
        <v>838.15598050243716</v>
      </c>
      <c r="AG34" s="740" t="b">
        <v>1</v>
      </c>
      <c r="AH34" s="740" t="b">
        <v>1</v>
      </c>
      <c r="AI34" s="740" t="b">
        <v>1</v>
      </c>
    </row>
    <row r="35" spans="1:35" s="740" customFormat="1" ht="21.75" customHeight="1">
      <c r="A35" s="553">
        <v>31</v>
      </c>
      <c r="B35" s="556" t="s">
        <v>142</v>
      </c>
      <c r="C35" s="555">
        <v>2062</v>
      </c>
      <c r="D35" s="552">
        <v>2025</v>
      </c>
      <c r="E35" s="515">
        <v>22</v>
      </c>
      <c r="F35" s="515">
        <v>36</v>
      </c>
      <c r="G35" s="515">
        <v>58</v>
      </c>
      <c r="H35" s="515">
        <v>35</v>
      </c>
      <c r="I35" s="515">
        <v>37</v>
      </c>
      <c r="J35" s="515">
        <v>72</v>
      </c>
      <c r="K35" s="515">
        <v>48799</v>
      </c>
      <c r="L35" s="515">
        <v>68666</v>
      </c>
      <c r="M35" s="515">
        <v>117465</v>
      </c>
      <c r="N35" s="515">
        <v>488848</v>
      </c>
      <c r="O35" s="515">
        <v>526542</v>
      </c>
      <c r="P35" s="515">
        <v>1015390</v>
      </c>
      <c r="Q35" s="515">
        <v>237</v>
      </c>
      <c r="R35" s="515">
        <v>274</v>
      </c>
      <c r="S35" s="515">
        <v>511</v>
      </c>
      <c r="T35" s="515">
        <v>6464</v>
      </c>
      <c r="U35" s="515">
        <v>2558</v>
      </c>
      <c r="V35" s="515">
        <v>9022</v>
      </c>
      <c r="W35" s="515">
        <v>27</v>
      </c>
      <c r="X35" s="515">
        <v>271</v>
      </c>
      <c r="Y35" s="515">
        <v>298</v>
      </c>
      <c r="Z35" s="515">
        <v>1614</v>
      </c>
      <c r="AA35" s="515">
        <v>1223</v>
      </c>
      <c r="AB35" s="515">
        <v>2837</v>
      </c>
      <c r="AC35" s="515">
        <v>546046</v>
      </c>
      <c r="AD35" s="515">
        <v>599607</v>
      </c>
      <c r="AE35" s="515">
        <v>1145653</v>
      </c>
      <c r="AF35" s="515">
        <v>555.6028128031038</v>
      </c>
      <c r="AG35" s="740" t="b">
        <v>1</v>
      </c>
      <c r="AH35" s="740" t="b">
        <v>1</v>
      </c>
      <c r="AI35" s="740" t="b">
        <v>1</v>
      </c>
    </row>
    <row r="36" spans="1:35" s="740" customFormat="1" ht="54" customHeight="1">
      <c r="A36" s="553">
        <v>32</v>
      </c>
      <c r="B36" s="546" t="s">
        <v>173</v>
      </c>
      <c r="C36" s="555">
        <v>19</v>
      </c>
      <c r="D36" s="552">
        <v>19</v>
      </c>
      <c r="E36" s="515">
        <v>0</v>
      </c>
      <c r="F36" s="515">
        <v>0</v>
      </c>
      <c r="G36" s="515">
        <v>0</v>
      </c>
      <c r="H36" s="515">
        <v>0</v>
      </c>
      <c r="I36" s="515">
        <v>0</v>
      </c>
      <c r="J36" s="515">
        <v>0</v>
      </c>
      <c r="K36" s="515">
        <v>206</v>
      </c>
      <c r="L36" s="515">
        <v>447</v>
      </c>
      <c r="M36" s="515">
        <v>653</v>
      </c>
      <c r="N36" s="515">
        <v>3885</v>
      </c>
      <c r="O36" s="515">
        <v>4551</v>
      </c>
      <c r="P36" s="515">
        <v>8436</v>
      </c>
      <c r="Q36" s="515">
        <v>0</v>
      </c>
      <c r="R36" s="515">
        <v>0</v>
      </c>
      <c r="S36" s="515">
        <v>0</v>
      </c>
      <c r="T36" s="515">
        <v>1647</v>
      </c>
      <c r="U36" s="515">
        <v>397</v>
      </c>
      <c r="V36" s="515">
        <v>2044</v>
      </c>
      <c r="W36" s="515">
        <v>0</v>
      </c>
      <c r="X36" s="515">
        <v>0</v>
      </c>
      <c r="Y36" s="515">
        <v>0</v>
      </c>
      <c r="Z36" s="515">
        <v>22</v>
      </c>
      <c r="AA36" s="515">
        <v>36</v>
      </c>
      <c r="AB36" s="515">
        <v>58</v>
      </c>
      <c r="AC36" s="515">
        <v>5760</v>
      </c>
      <c r="AD36" s="515">
        <v>5431</v>
      </c>
      <c r="AE36" s="515">
        <v>11191</v>
      </c>
      <c r="AF36" s="515">
        <v>589</v>
      </c>
      <c r="AG36" s="740" t="b">
        <v>1</v>
      </c>
      <c r="AH36" s="740" t="b">
        <v>1</v>
      </c>
      <c r="AI36" s="740" t="b">
        <v>1</v>
      </c>
    </row>
    <row r="37" spans="1:35" s="740" customFormat="1" ht="21.75" customHeight="1">
      <c r="A37" s="553">
        <v>33</v>
      </c>
      <c r="B37" s="556" t="s">
        <v>45</v>
      </c>
      <c r="C37" s="555">
        <v>54</v>
      </c>
      <c r="D37" s="552">
        <v>53</v>
      </c>
      <c r="E37" s="515">
        <v>7</v>
      </c>
      <c r="F37" s="515">
        <v>4</v>
      </c>
      <c r="G37" s="515">
        <v>11</v>
      </c>
      <c r="H37" s="515">
        <v>0</v>
      </c>
      <c r="I37" s="515">
        <v>0</v>
      </c>
      <c r="J37" s="515">
        <v>0</v>
      </c>
      <c r="K37" s="515">
        <v>204</v>
      </c>
      <c r="L37" s="515">
        <v>196</v>
      </c>
      <c r="M37" s="515">
        <v>400</v>
      </c>
      <c r="N37" s="515">
        <v>30828</v>
      </c>
      <c r="O37" s="515">
        <v>29591</v>
      </c>
      <c r="P37" s="515">
        <v>60419</v>
      </c>
      <c r="Q37" s="515">
        <v>0</v>
      </c>
      <c r="R37" s="515">
        <v>0</v>
      </c>
      <c r="S37" s="515">
        <v>0</v>
      </c>
      <c r="T37" s="515">
        <v>1692</v>
      </c>
      <c r="U37" s="515">
        <v>1351</v>
      </c>
      <c r="V37" s="515">
        <v>3043</v>
      </c>
      <c r="W37" s="515">
        <v>3</v>
      </c>
      <c r="X37" s="515">
        <v>5</v>
      </c>
      <c r="Y37" s="515">
        <v>8</v>
      </c>
      <c r="Z37" s="515">
        <v>358</v>
      </c>
      <c r="AA37" s="515">
        <v>426</v>
      </c>
      <c r="AB37" s="515">
        <v>784</v>
      </c>
      <c r="AC37" s="515">
        <v>33092</v>
      </c>
      <c r="AD37" s="515">
        <v>31573</v>
      </c>
      <c r="AE37" s="515">
        <v>64665</v>
      </c>
      <c r="AF37" s="515">
        <v>1197.5</v>
      </c>
      <c r="AG37" s="740" t="b">
        <v>1</v>
      </c>
      <c r="AH37" s="740" t="b">
        <v>1</v>
      </c>
      <c r="AI37" s="740" t="b">
        <v>1</v>
      </c>
    </row>
    <row r="38" spans="1:35" s="740" customFormat="1" ht="21.75" customHeight="1">
      <c r="A38" s="553">
        <v>34</v>
      </c>
      <c r="B38" s="556" t="s">
        <v>47</v>
      </c>
      <c r="C38" s="555">
        <v>8114</v>
      </c>
      <c r="D38" s="552">
        <v>7127</v>
      </c>
      <c r="E38" s="515">
        <v>966</v>
      </c>
      <c r="F38" s="515">
        <v>625</v>
      </c>
      <c r="G38" s="515">
        <v>1591</v>
      </c>
      <c r="H38" s="515">
        <v>0</v>
      </c>
      <c r="I38" s="515">
        <v>0</v>
      </c>
      <c r="J38" s="515">
        <v>0</v>
      </c>
      <c r="K38" s="515">
        <v>172443</v>
      </c>
      <c r="L38" s="515">
        <v>252834</v>
      </c>
      <c r="M38" s="515">
        <v>425277</v>
      </c>
      <c r="N38" s="515">
        <v>2221218</v>
      </c>
      <c r="O38" s="515">
        <v>2228407</v>
      </c>
      <c r="P38" s="515">
        <v>4449625</v>
      </c>
      <c r="Q38" s="515">
        <v>2197</v>
      </c>
      <c r="R38" s="515">
        <v>1791</v>
      </c>
      <c r="S38" s="515">
        <v>3988</v>
      </c>
      <c r="T38" s="515">
        <v>40827</v>
      </c>
      <c r="U38" s="515">
        <v>19780</v>
      </c>
      <c r="V38" s="515">
        <v>60607</v>
      </c>
      <c r="W38" s="515">
        <v>3327</v>
      </c>
      <c r="X38" s="515">
        <v>3983</v>
      </c>
      <c r="Y38" s="515">
        <v>7310</v>
      </c>
      <c r="Z38" s="515">
        <v>20753</v>
      </c>
      <c r="AA38" s="515">
        <v>11762</v>
      </c>
      <c r="AB38" s="515">
        <v>32515</v>
      </c>
      <c r="AC38" s="515">
        <v>2461731</v>
      </c>
      <c r="AD38" s="515">
        <v>2519182</v>
      </c>
      <c r="AE38" s="515">
        <v>4980913</v>
      </c>
      <c r="AF38" s="515">
        <v>613.866526990387</v>
      </c>
      <c r="AG38" s="740" t="b">
        <v>1</v>
      </c>
      <c r="AH38" s="740" t="b">
        <v>1</v>
      </c>
      <c r="AI38" s="740" t="b">
        <v>1</v>
      </c>
    </row>
    <row r="39" spans="1:35" s="740" customFormat="1" ht="21.75" customHeight="1">
      <c r="A39" s="553">
        <v>35</v>
      </c>
      <c r="B39" s="556" t="s">
        <v>46</v>
      </c>
      <c r="C39" s="555">
        <v>477</v>
      </c>
      <c r="D39" s="552">
        <v>403</v>
      </c>
      <c r="E39" s="515">
        <v>477</v>
      </c>
      <c r="F39" s="515">
        <v>544</v>
      </c>
      <c r="G39" s="515">
        <v>1021</v>
      </c>
      <c r="H39" s="515">
        <v>0</v>
      </c>
      <c r="I39" s="515">
        <v>0</v>
      </c>
      <c r="J39" s="515">
        <v>0</v>
      </c>
      <c r="K39" s="515">
        <v>13304</v>
      </c>
      <c r="L39" s="515">
        <v>19186</v>
      </c>
      <c r="M39" s="515">
        <v>32490</v>
      </c>
      <c r="N39" s="515">
        <v>99119</v>
      </c>
      <c r="O39" s="515">
        <v>120716</v>
      </c>
      <c r="P39" s="515">
        <v>219835</v>
      </c>
      <c r="Q39" s="515">
        <v>181</v>
      </c>
      <c r="R39" s="515">
        <v>157</v>
      </c>
      <c r="S39" s="515">
        <v>338</v>
      </c>
      <c r="T39" s="515">
        <v>3830</v>
      </c>
      <c r="U39" s="515">
        <v>1708</v>
      </c>
      <c r="V39" s="515">
        <v>5538</v>
      </c>
      <c r="W39" s="515">
        <v>5</v>
      </c>
      <c r="X39" s="515">
        <v>6</v>
      </c>
      <c r="Y39" s="515">
        <v>11</v>
      </c>
      <c r="Z39" s="515">
        <v>681</v>
      </c>
      <c r="AA39" s="515">
        <v>314</v>
      </c>
      <c r="AB39" s="515">
        <v>995</v>
      </c>
      <c r="AC39" s="515">
        <v>117597</v>
      </c>
      <c r="AD39" s="515">
        <v>142631</v>
      </c>
      <c r="AE39" s="515">
        <v>260228</v>
      </c>
      <c r="AF39" s="515">
        <v>545.55136268343813</v>
      </c>
      <c r="AG39" s="740" t="b">
        <v>1</v>
      </c>
      <c r="AH39" s="740" t="b">
        <v>1</v>
      </c>
      <c r="AI39" s="740" t="b">
        <v>1</v>
      </c>
    </row>
    <row r="40" spans="1:35" s="740" customFormat="1" ht="21.75" customHeight="1">
      <c r="A40" s="553">
        <v>36</v>
      </c>
      <c r="B40" s="556" t="s">
        <v>48</v>
      </c>
      <c r="C40" s="555">
        <v>1446</v>
      </c>
      <c r="D40" s="552">
        <v>1442</v>
      </c>
      <c r="E40" s="515">
        <v>266</v>
      </c>
      <c r="F40" s="515">
        <v>80</v>
      </c>
      <c r="G40" s="515">
        <v>346</v>
      </c>
      <c r="H40" s="515">
        <v>73</v>
      </c>
      <c r="I40" s="515">
        <v>14</v>
      </c>
      <c r="J40" s="515">
        <v>87</v>
      </c>
      <c r="K40" s="515">
        <v>16831</v>
      </c>
      <c r="L40" s="515">
        <v>23409</v>
      </c>
      <c r="M40" s="515">
        <v>40240</v>
      </c>
      <c r="N40" s="515">
        <v>734220</v>
      </c>
      <c r="O40" s="515">
        <v>842299</v>
      </c>
      <c r="P40" s="515">
        <v>1576519</v>
      </c>
      <c r="Q40" s="515">
        <v>604</v>
      </c>
      <c r="R40" s="515">
        <v>471</v>
      </c>
      <c r="S40" s="515">
        <v>1075</v>
      </c>
      <c r="T40" s="515">
        <v>25174</v>
      </c>
      <c r="U40" s="515">
        <v>27205</v>
      </c>
      <c r="V40" s="515">
        <v>52379</v>
      </c>
      <c r="W40" s="515">
        <v>1269</v>
      </c>
      <c r="X40" s="515">
        <v>1603</v>
      </c>
      <c r="Y40" s="515">
        <v>2872</v>
      </c>
      <c r="Z40" s="515">
        <v>2744</v>
      </c>
      <c r="AA40" s="515">
        <v>2966</v>
      </c>
      <c r="AB40" s="515">
        <v>5710</v>
      </c>
      <c r="AC40" s="515">
        <v>781181</v>
      </c>
      <c r="AD40" s="515">
        <v>898047</v>
      </c>
      <c r="AE40" s="515">
        <v>1679228</v>
      </c>
      <c r="AF40" s="515">
        <v>1161.2918395573997</v>
      </c>
      <c r="AG40" s="740" t="b">
        <v>1</v>
      </c>
      <c r="AH40" s="740" t="b">
        <v>1</v>
      </c>
      <c r="AI40" s="740" t="b">
        <v>1</v>
      </c>
    </row>
    <row r="41" spans="1:35" s="844" customFormat="1" ht="21.75" customHeight="1">
      <c r="A41" s="965" t="s">
        <v>49</v>
      </c>
      <c r="B41" s="965"/>
      <c r="C41" s="557">
        <v>43796</v>
      </c>
      <c r="D41" s="557">
        <v>41600</v>
      </c>
      <c r="E41" s="557">
        <v>12608</v>
      </c>
      <c r="F41" s="557">
        <v>14422</v>
      </c>
      <c r="G41" s="557">
        <v>27030</v>
      </c>
      <c r="H41" s="557">
        <v>1659</v>
      </c>
      <c r="I41" s="557">
        <v>2934</v>
      </c>
      <c r="J41" s="557">
        <v>4593</v>
      </c>
      <c r="K41" s="557">
        <v>897638</v>
      </c>
      <c r="L41" s="557">
        <v>1338881</v>
      </c>
      <c r="M41" s="557">
        <v>2236519</v>
      </c>
      <c r="N41" s="557">
        <v>12480716</v>
      </c>
      <c r="O41" s="557">
        <v>12715175</v>
      </c>
      <c r="P41" s="557">
        <v>25195891</v>
      </c>
      <c r="Q41" s="557">
        <v>18697</v>
      </c>
      <c r="R41" s="557">
        <v>20257</v>
      </c>
      <c r="S41" s="557">
        <v>38954</v>
      </c>
      <c r="T41" s="557">
        <v>342549</v>
      </c>
      <c r="U41" s="557">
        <v>217098</v>
      </c>
      <c r="V41" s="557">
        <v>559647</v>
      </c>
      <c r="W41" s="557">
        <v>21489</v>
      </c>
      <c r="X41" s="557">
        <v>24966</v>
      </c>
      <c r="Y41" s="557">
        <v>46455</v>
      </c>
      <c r="Z41" s="557">
        <v>107792</v>
      </c>
      <c r="AA41" s="557">
        <v>94678</v>
      </c>
      <c r="AB41" s="557">
        <v>202470</v>
      </c>
      <c r="AC41" s="557">
        <v>13883148</v>
      </c>
      <c r="AD41" s="557">
        <v>14428411</v>
      </c>
      <c r="AE41" s="557">
        <v>28311559</v>
      </c>
      <c r="AF41" s="515">
        <v>646.44166133893498</v>
      </c>
      <c r="AG41" s="740" t="b">
        <v>1</v>
      </c>
      <c r="AH41" s="740" t="b">
        <v>1</v>
      </c>
      <c r="AI41" s="740" t="b">
        <v>1</v>
      </c>
    </row>
    <row r="42" spans="1:35">
      <c r="E42" s="605" t="b">
        <v>1</v>
      </c>
      <c r="F42" s="605" t="b">
        <v>1</v>
      </c>
      <c r="H42" s="605" t="b">
        <v>1</v>
      </c>
      <c r="I42" s="605" t="b">
        <v>1</v>
      </c>
      <c r="K42" s="605" t="b">
        <v>1</v>
      </c>
      <c r="L42" s="605" t="b">
        <v>1</v>
      </c>
      <c r="N42" s="605" t="b">
        <v>1</v>
      </c>
      <c r="O42" s="605" t="b">
        <v>1</v>
      </c>
      <c r="Q42" s="605" t="b">
        <v>1</v>
      </c>
      <c r="R42" s="605" t="b">
        <v>1</v>
      </c>
      <c r="T42" s="605" t="b">
        <v>1</v>
      </c>
      <c r="U42" s="605" t="b">
        <v>1</v>
      </c>
      <c r="W42" s="605" t="b">
        <v>1</v>
      </c>
      <c r="X42" s="605" t="b">
        <v>1</v>
      </c>
      <c r="Z42" s="605" t="b">
        <v>1</v>
      </c>
      <c r="AA42" s="605" t="b">
        <v>1</v>
      </c>
      <c r="AC42" s="605" t="b">
        <v>1</v>
      </c>
      <c r="AD42" s="605" t="b">
        <v>1</v>
      </c>
      <c r="AE42" s="605" t="b">
        <v>1</v>
      </c>
    </row>
  </sheetData>
  <mergeCells count="17">
    <mergeCell ref="A41:B41"/>
    <mergeCell ref="N2:P2"/>
    <mergeCell ref="Q2:S2"/>
    <mergeCell ref="T2:V2"/>
    <mergeCell ref="W2:Y2"/>
    <mergeCell ref="A2:A3"/>
    <mergeCell ref="B2:B3"/>
    <mergeCell ref="C2:D2"/>
    <mergeCell ref="E2:G2"/>
    <mergeCell ref="H2:J2"/>
    <mergeCell ref="K2:M2"/>
    <mergeCell ref="C1:M1"/>
    <mergeCell ref="N1:V1"/>
    <mergeCell ref="W1:AF1"/>
    <mergeCell ref="AF2:AF3"/>
    <mergeCell ref="Z2:AB2"/>
    <mergeCell ref="AC2:AE2"/>
  </mergeCells>
  <conditionalFormatting sqref="AF5:AF41">
    <cfRule type="cellIs" dxfId="1" priority="1" operator="lessThan">
      <formula>0</formula>
    </cfRule>
  </conditionalFormatting>
  <pageMargins left="0.43307086614173229" right="0.15748031496062992" top="0.51181102362204722" bottom="0.36" header="0.19685039370078741" footer="0.15748031496062992"/>
  <pageSetup paperSize="9" scale="80" firstPageNumber="14" orientation="portrait" useFirstPageNumber="1" r:id="rId1"/>
  <headerFooter>
    <oddFooter>&amp;L&amp;"Arial,Italic"&amp;9AISHE 2020-21&amp;CT-8</oddFooter>
  </headerFooter>
  <colBreaks count="2" manualBreakCount="2">
    <brk id="13" max="38" man="1"/>
    <brk id="22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AX66"/>
  <sheetViews>
    <sheetView showZeros="0" view="pageBreakPreview" zoomScale="80" zoomScaleSheetLayoutView="80" workbookViewId="0">
      <pane xSplit="2" ySplit="5" topLeftCell="AM33" activePane="bottomRight" state="frozen"/>
      <selection activeCell="H31" sqref="H31"/>
      <selection pane="topRight" activeCell="H31" sqref="H31"/>
      <selection pane="bottomLeft" activeCell="H31" sqref="H31"/>
      <selection pane="bottomRight" activeCell="AM42" sqref="AM42"/>
    </sheetView>
  </sheetViews>
  <sheetFormatPr defaultColWidth="9.1796875" defaultRowHeight="14"/>
  <cols>
    <col min="1" max="1" width="5.1796875" style="659" customWidth="1"/>
    <col min="2" max="2" width="20.453125" style="659" customWidth="1"/>
    <col min="3" max="3" width="7.26953125" style="659" customWidth="1"/>
    <col min="4" max="4" width="11.54296875" style="659" customWidth="1"/>
    <col min="5" max="5" width="9" style="659" customWidth="1"/>
    <col min="6" max="6" width="7.81640625" style="659" customWidth="1"/>
    <col min="7" max="7" width="9.26953125" style="659" customWidth="1"/>
    <col min="8" max="8" width="7.81640625" style="659" customWidth="1"/>
    <col min="9" max="9" width="6.7265625" style="659" customWidth="1"/>
    <col min="10" max="10" width="11.26953125" style="659" customWidth="1"/>
    <col min="11" max="11" width="6.54296875" style="659" customWidth="1"/>
    <col min="12" max="12" width="8.453125" style="659" bestFit="1" customWidth="1"/>
    <col min="13" max="13" width="7.453125" style="659" customWidth="1"/>
    <col min="14" max="14" width="9" style="659" customWidth="1"/>
    <col min="15" max="15" width="6.7265625" style="659" customWidth="1"/>
    <col min="16" max="16" width="11.26953125" style="659" customWidth="1"/>
    <col min="17" max="17" width="6.7265625" style="659" customWidth="1"/>
    <col min="18" max="18" width="7.54296875" style="659" customWidth="1"/>
    <col min="19" max="19" width="8.54296875" style="659" customWidth="1"/>
    <col min="20" max="20" width="8" style="659" customWidth="1"/>
    <col min="21" max="21" width="6.54296875" style="659" customWidth="1"/>
    <col min="22" max="22" width="11.26953125" style="659" bestFit="1" customWidth="1"/>
    <col min="23" max="23" width="7.54296875" style="659" customWidth="1"/>
    <col min="24" max="25" width="7.81640625" style="659" customWidth="1"/>
    <col min="26" max="26" width="7.7265625" style="659" customWidth="1"/>
    <col min="27" max="27" width="6.54296875" style="659" customWidth="1"/>
    <col min="28" max="28" width="11.26953125" style="659" bestFit="1" customWidth="1"/>
    <col min="29" max="29" width="7.1796875" style="659" customWidth="1"/>
    <col min="30" max="30" width="7.81640625" style="659" customWidth="1"/>
    <col min="31" max="31" width="7.1796875" style="659" customWidth="1"/>
    <col min="32" max="33" width="7.7265625" style="659" customWidth="1"/>
    <col min="34" max="34" width="11.26953125" style="659" bestFit="1" customWidth="1"/>
    <col min="35" max="37" width="7.7265625" style="659" customWidth="1"/>
    <col min="38" max="38" width="8.54296875" style="659" customWidth="1"/>
    <col min="39" max="39" width="7.7265625" style="659" customWidth="1"/>
    <col min="40" max="40" width="11.26953125" style="659" bestFit="1" customWidth="1"/>
    <col min="41" max="44" width="7.7265625" style="659" customWidth="1"/>
    <col min="45" max="45" width="7.26953125" style="659" customWidth="1"/>
    <col min="46" max="46" width="11.26953125" style="659" bestFit="1" customWidth="1"/>
    <col min="47" max="47" width="9.453125" style="659" customWidth="1"/>
    <col min="48" max="48" width="7.81640625" style="659" customWidth="1"/>
    <col min="49" max="49" width="9.81640625" style="659" customWidth="1"/>
    <col min="50" max="50" width="7.7265625" style="659" customWidth="1"/>
    <col min="51" max="16384" width="9.1796875" style="659"/>
  </cols>
  <sheetData>
    <row r="1" spans="1:50" s="542" customFormat="1" ht="42" customHeight="1">
      <c r="A1" s="558"/>
      <c r="B1" s="559" t="s">
        <v>170</v>
      </c>
      <c r="C1" s="973" t="s">
        <v>1043</v>
      </c>
      <c r="D1" s="973"/>
      <c r="E1" s="973"/>
      <c r="F1" s="973"/>
      <c r="G1" s="973"/>
      <c r="H1" s="973"/>
      <c r="I1" s="973"/>
      <c r="J1" s="973"/>
      <c r="K1" s="973"/>
      <c r="L1" s="973"/>
      <c r="M1" s="973"/>
      <c r="N1" s="973"/>
      <c r="O1" s="973" t="str">
        <f>C1</f>
        <v>Number and Enrolment in different types of Standalone Institutions
(Based on Actual Response)</v>
      </c>
      <c r="P1" s="973"/>
      <c r="Q1" s="973"/>
      <c r="R1" s="973"/>
      <c r="S1" s="973"/>
      <c r="T1" s="973"/>
      <c r="U1" s="973"/>
      <c r="V1" s="973"/>
      <c r="W1" s="973"/>
      <c r="X1" s="973"/>
      <c r="Y1" s="973"/>
      <c r="Z1" s="973"/>
      <c r="AA1" s="973" t="str">
        <f>O1</f>
        <v>Number and Enrolment in different types of Standalone Institutions
(Based on Actual Response)</v>
      </c>
      <c r="AB1" s="973"/>
      <c r="AC1" s="973"/>
      <c r="AD1" s="973"/>
      <c r="AE1" s="973"/>
      <c r="AF1" s="973"/>
      <c r="AG1" s="973"/>
      <c r="AH1" s="973"/>
      <c r="AI1" s="973"/>
      <c r="AJ1" s="973"/>
      <c r="AK1" s="973"/>
      <c r="AL1" s="973"/>
      <c r="AM1" s="973" t="str">
        <f>AA1</f>
        <v>Number and Enrolment in different types of Standalone Institutions
(Based on Actual Response)</v>
      </c>
      <c r="AN1" s="973"/>
      <c r="AO1" s="973"/>
      <c r="AP1" s="973"/>
      <c r="AQ1" s="973"/>
      <c r="AR1" s="973"/>
      <c r="AS1" s="973"/>
      <c r="AT1" s="973"/>
      <c r="AU1" s="973"/>
      <c r="AV1" s="973"/>
      <c r="AW1" s="973"/>
      <c r="AX1" s="973"/>
    </row>
    <row r="2" spans="1:50" s="699" customFormat="1" ht="21.75" customHeight="1">
      <c r="A2" s="968" t="s">
        <v>84</v>
      </c>
      <c r="B2" s="968" t="s">
        <v>2</v>
      </c>
      <c r="C2" s="972" t="s">
        <v>103</v>
      </c>
      <c r="D2" s="972"/>
      <c r="E2" s="972"/>
      <c r="F2" s="972"/>
      <c r="G2" s="972"/>
      <c r="H2" s="972"/>
      <c r="I2" s="972" t="s">
        <v>77</v>
      </c>
      <c r="J2" s="972"/>
      <c r="K2" s="972"/>
      <c r="L2" s="972"/>
      <c r="M2" s="972"/>
      <c r="N2" s="972"/>
      <c r="O2" s="972" t="s">
        <v>76</v>
      </c>
      <c r="P2" s="972"/>
      <c r="Q2" s="972"/>
      <c r="R2" s="972"/>
      <c r="S2" s="972"/>
      <c r="T2" s="972"/>
      <c r="U2" s="972" t="s">
        <v>75</v>
      </c>
      <c r="V2" s="972"/>
      <c r="W2" s="972"/>
      <c r="X2" s="972"/>
      <c r="Y2" s="972"/>
      <c r="Z2" s="972"/>
      <c r="AA2" s="972" t="s">
        <v>123</v>
      </c>
      <c r="AB2" s="972"/>
      <c r="AC2" s="972"/>
      <c r="AD2" s="972"/>
      <c r="AE2" s="972"/>
      <c r="AF2" s="972"/>
      <c r="AG2" s="974" t="s">
        <v>189</v>
      </c>
      <c r="AH2" s="975"/>
      <c r="AI2" s="975"/>
      <c r="AJ2" s="975"/>
      <c r="AK2" s="975"/>
      <c r="AL2" s="976"/>
      <c r="AM2" s="974" t="s">
        <v>190</v>
      </c>
      <c r="AN2" s="975"/>
      <c r="AO2" s="975"/>
      <c r="AP2" s="975"/>
      <c r="AQ2" s="975"/>
      <c r="AR2" s="976"/>
      <c r="AS2" s="972" t="s">
        <v>104</v>
      </c>
      <c r="AT2" s="972"/>
      <c r="AU2" s="972"/>
      <c r="AV2" s="972"/>
      <c r="AW2" s="972"/>
      <c r="AX2" s="972"/>
    </row>
    <row r="3" spans="1:50" s="741" customFormat="1" ht="34.5" customHeight="1">
      <c r="A3" s="968"/>
      <c r="B3" s="968"/>
      <c r="C3" s="968" t="s">
        <v>105</v>
      </c>
      <c r="D3" s="968"/>
      <c r="E3" s="968" t="s">
        <v>106</v>
      </c>
      <c r="F3" s="968"/>
      <c r="G3" s="968"/>
      <c r="H3" s="969" t="s">
        <v>107</v>
      </c>
      <c r="I3" s="968" t="s">
        <v>105</v>
      </c>
      <c r="J3" s="968"/>
      <c r="K3" s="968" t="s">
        <v>106</v>
      </c>
      <c r="L3" s="968"/>
      <c r="M3" s="968"/>
      <c r="N3" s="969" t="s">
        <v>107</v>
      </c>
      <c r="O3" s="968" t="s">
        <v>105</v>
      </c>
      <c r="P3" s="968"/>
      <c r="Q3" s="968" t="s">
        <v>106</v>
      </c>
      <c r="R3" s="968"/>
      <c r="S3" s="968"/>
      <c r="T3" s="969" t="s">
        <v>107</v>
      </c>
      <c r="U3" s="968" t="s">
        <v>105</v>
      </c>
      <c r="V3" s="968"/>
      <c r="W3" s="968" t="s">
        <v>106</v>
      </c>
      <c r="X3" s="968"/>
      <c r="Y3" s="968"/>
      <c r="Z3" s="969" t="s">
        <v>107</v>
      </c>
      <c r="AA3" s="968" t="s">
        <v>105</v>
      </c>
      <c r="AB3" s="968"/>
      <c r="AC3" s="968" t="s">
        <v>106</v>
      </c>
      <c r="AD3" s="968"/>
      <c r="AE3" s="968"/>
      <c r="AF3" s="969" t="s">
        <v>107</v>
      </c>
      <c r="AG3" s="968" t="s">
        <v>105</v>
      </c>
      <c r="AH3" s="968"/>
      <c r="AI3" s="968" t="s">
        <v>106</v>
      </c>
      <c r="AJ3" s="968"/>
      <c r="AK3" s="968"/>
      <c r="AL3" s="969" t="s">
        <v>107</v>
      </c>
      <c r="AM3" s="968" t="s">
        <v>105</v>
      </c>
      <c r="AN3" s="968"/>
      <c r="AO3" s="968" t="s">
        <v>106</v>
      </c>
      <c r="AP3" s="968"/>
      <c r="AQ3" s="968"/>
      <c r="AR3" s="969" t="s">
        <v>107</v>
      </c>
      <c r="AS3" s="968" t="s">
        <v>105</v>
      </c>
      <c r="AT3" s="968"/>
      <c r="AU3" s="968" t="s">
        <v>106</v>
      </c>
      <c r="AV3" s="968"/>
      <c r="AW3" s="968"/>
      <c r="AX3" s="969" t="s">
        <v>107</v>
      </c>
    </row>
    <row r="4" spans="1:50" s="742" customFormat="1" ht="24.75" customHeight="1">
      <c r="A4" s="968"/>
      <c r="B4" s="968"/>
      <c r="C4" s="577" t="s">
        <v>12</v>
      </c>
      <c r="D4" s="577" t="s">
        <v>102</v>
      </c>
      <c r="E4" s="576" t="s">
        <v>87</v>
      </c>
      <c r="F4" s="576" t="s">
        <v>88</v>
      </c>
      <c r="G4" s="577" t="s">
        <v>12</v>
      </c>
      <c r="H4" s="970"/>
      <c r="I4" s="577" t="s">
        <v>12</v>
      </c>
      <c r="J4" s="577" t="s">
        <v>102</v>
      </c>
      <c r="K4" s="576" t="s">
        <v>87</v>
      </c>
      <c r="L4" s="576" t="s">
        <v>88</v>
      </c>
      <c r="M4" s="577" t="s">
        <v>12</v>
      </c>
      <c r="N4" s="970"/>
      <c r="O4" s="577" t="s">
        <v>12</v>
      </c>
      <c r="P4" s="577" t="s">
        <v>102</v>
      </c>
      <c r="Q4" s="576" t="s">
        <v>87</v>
      </c>
      <c r="R4" s="576" t="s">
        <v>88</v>
      </c>
      <c r="S4" s="577" t="s">
        <v>12</v>
      </c>
      <c r="T4" s="970"/>
      <c r="U4" s="577" t="s">
        <v>12</v>
      </c>
      <c r="V4" s="577" t="s">
        <v>102</v>
      </c>
      <c r="W4" s="576" t="s">
        <v>87</v>
      </c>
      <c r="X4" s="576" t="s">
        <v>88</v>
      </c>
      <c r="Y4" s="577" t="s">
        <v>12</v>
      </c>
      <c r="Z4" s="970"/>
      <c r="AA4" s="577" t="s">
        <v>12</v>
      </c>
      <c r="AB4" s="577" t="s">
        <v>102</v>
      </c>
      <c r="AC4" s="576" t="s">
        <v>87</v>
      </c>
      <c r="AD4" s="576" t="s">
        <v>88</v>
      </c>
      <c r="AE4" s="577" t="s">
        <v>12</v>
      </c>
      <c r="AF4" s="970"/>
      <c r="AG4" s="577" t="s">
        <v>12</v>
      </c>
      <c r="AH4" s="577" t="s">
        <v>102</v>
      </c>
      <c r="AI4" s="576" t="s">
        <v>87</v>
      </c>
      <c r="AJ4" s="576" t="s">
        <v>88</v>
      </c>
      <c r="AK4" s="577" t="s">
        <v>12</v>
      </c>
      <c r="AL4" s="970"/>
      <c r="AM4" s="577" t="s">
        <v>12</v>
      </c>
      <c r="AN4" s="577" t="s">
        <v>102</v>
      </c>
      <c r="AO4" s="576" t="s">
        <v>87</v>
      </c>
      <c r="AP4" s="576" t="s">
        <v>88</v>
      </c>
      <c r="AQ4" s="577" t="s">
        <v>12</v>
      </c>
      <c r="AR4" s="970"/>
      <c r="AS4" s="577" t="s">
        <v>12</v>
      </c>
      <c r="AT4" s="577" t="s">
        <v>102</v>
      </c>
      <c r="AU4" s="576" t="s">
        <v>87</v>
      </c>
      <c r="AV4" s="576" t="s">
        <v>88</v>
      </c>
      <c r="AW4" s="577" t="s">
        <v>12</v>
      </c>
      <c r="AX4" s="970"/>
    </row>
    <row r="5" spans="1:50" s="742" customFormat="1" ht="11.25" customHeight="1">
      <c r="A5" s="560">
        <v>1</v>
      </c>
      <c r="B5" s="560">
        <v>2</v>
      </c>
      <c r="C5" s="560">
        <v>3</v>
      </c>
      <c r="D5" s="560">
        <v>4</v>
      </c>
      <c r="E5" s="560">
        <v>5</v>
      </c>
      <c r="F5" s="560">
        <v>6</v>
      </c>
      <c r="G5" s="560">
        <v>7</v>
      </c>
      <c r="H5" s="560">
        <v>8</v>
      </c>
      <c r="I5" s="560">
        <v>9</v>
      </c>
      <c r="J5" s="560">
        <v>10</v>
      </c>
      <c r="K5" s="560">
        <v>11</v>
      </c>
      <c r="L5" s="560">
        <v>12</v>
      </c>
      <c r="M5" s="560">
        <v>13</v>
      </c>
      <c r="N5" s="560">
        <v>14</v>
      </c>
      <c r="O5" s="560">
        <v>15</v>
      </c>
      <c r="P5" s="560">
        <v>16</v>
      </c>
      <c r="Q5" s="560">
        <v>17</v>
      </c>
      <c r="R5" s="560">
        <v>18</v>
      </c>
      <c r="S5" s="560">
        <v>19</v>
      </c>
      <c r="T5" s="560">
        <v>20</v>
      </c>
      <c r="U5" s="560">
        <v>21</v>
      </c>
      <c r="V5" s="560">
        <v>22</v>
      </c>
      <c r="W5" s="560">
        <v>23</v>
      </c>
      <c r="X5" s="560">
        <v>24</v>
      </c>
      <c r="Y5" s="560">
        <v>25</v>
      </c>
      <c r="Z5" s="560">
        <v>26</v>
      </c>
      <c r="AA5" s="560">
        <v>27</v>
      </c>
      <c r="AB5" s="560">
        <v>28</v>
      </c>
      <c r="AC5" s="560">
        <v>29</v>
      </c>
      <c r="AD5" s="560">
        <v>30</v>
      </c>
      <c r="AE5" s="560">
        <v>31</v>
      </c>
      <c r="AF5" s="560">
        <v>32</v>
      </c>
      <c r="AG5" s="560">
        <v>33</v>
      </c>
      <c r="AH5" s="560">
        <v>34</v>
      </c>
      <c r="AI5" s="560">
        <v>35</v>
      </c>
      <c r="AJ5" s="560">
        <v>36</v>
      </c>
      <c r="AK5" s="560">
        <v>37</v>
      </c>
      <c r="AL5" s="560">
        <v>38</v>
      </c>
      <c r="AM5" s="560">
        <v>39</v>
      </c>
      <c r="AN5" s="560">
        <v>40</v>
      </c>
      <c r="AO5" s="560">
        <v>41</v>
      </c>
      <c r="AP5" s="560">
        <v>42</v>
      </c>
      <c r="AQ5" s="560">
        <v>43</v>
      </c>
      <c r="AR5" s="560">
        <v>44</v>
      </c>
      <c r="AS5" s="560">
        <v>45</v>
      </c>
      <c r="AT5" s="560">
        <v>46</v>
      </c>
      <c r="AU5" s="560">
        <v>47</v>
      </c>
      <c r="AV5" s="560">
        <v>48</v>
      </c>
      <c r="AW5" s="560">
        <v>49</v>
      </c>
      <c r="AX5" s="560">
        <v>50</v>
      </c>
    </row>
    <row r="6" spans="1:50" s="341" customFormat="1" ht="30.75" customHeight="1">
      <c r="A6" s="522">
        <v>1</v>
      </c>
      <c r="B6" s="561" t="s">
        <v>171</v>
      </c>
      <c r="C6" s="562">
        <v>0</v>
      </c>
      <c r="D6" s="563">
        <v>0</v>
      </c>
      <c r="E6" s="563">
        <v>0</v>
      </c>
      <c r="F6" s="563">
        <v>0</v>
      </c>
      <c r="G6" s="563">
        <v>0</v>
      </c>
      <c r="H6" s="562"/>
      <c r="I6" s="562">
        <v>0</v>
      </c>
      <c r="J6" s="563">
        <v>0</v>
      </c>
      <c r="K6" s="563">
        <v>0</v>
      </c>
      <c r="L6" s="563">
        <v>0</v>
      </c>
      <c r="M6" s="563">
        <v>0</v>
      </c>
      <c r="N6" s="562"/>
      <c r="O6" s="562">
        <v>0</v>
      </c>
      <c r="P6" s="563">
        <v>0</v>
      </c>
      <c r="Q6" s="563">
        <v>0</v>
      </c>
      <c r="R6" s="563">
        <v>0</v>
      </c>
      <c r="S6" s="563">
        <v>0</v>
      </c>
      <c r="T6" s="562"/>
      <c r="U6" s="562">
        <v>1</v>
      </c>
      <c r="V6" s="563">
        <v>1</v>
      </c>
      <c r="W6" s="563">
        <v>32</v>
      </c>
      <c r="X6" s="563">
        <v>92</v>
      </c>
      <c r="Y6" s="563">
        <v>124</v>
      </c>
      <c r="Z6" s="562">
        <v>124</v>
      </c>
      <c r="AA6" s="562">
        <v>0</v>
      </c>
      <c r="AB6" s="563">
        <v>0</v>
      </c>
      <c r="AC6" s="563">
        <v>0</v>
      </c>
      <c r="AD6" s="563">
        <v>0</v>
      </c>
      <c r="AE6" s="563">
        <v>0</v>
      </c>
      <c r="AF6" s="562"/>
      <c r="AG6" s="562">
        <v>0</v>
      </c>
      <c r="AH6" s="562">
        <v>0</v>
      </c>
      <c r="AI6" s="562">
        <v>0</v>
      </c>
      <c r="AJ6" s="562">
        <v>0</v>
      </c>
      <c r="AK6" s="562">
        <v>0</v>
      </c>
      <c r="AL6" s="562"/>
      <c r="AM6" s="562">
        <v>0</v>
      </c>
      <c r="AN6" s="562">
        <v>0</v>
      </c>
      <c r="AO6" s="562">
        <v>0</v>
      </c>
      <c r="AP6" s="562">
        <v>0</v>
      </c>
      <c r="AQ6" s="562">
        <v>0</v>
      </c>
      <c r="AR6" s="562"/>
      <c r="AS6" s="563">
        <f t="shared" ref="AS6:AT6" si="0">C6+I6+O6+U6+AA6+AG6+AM6</f>
        <v>1</v>
      </c>
      <c r="AT6" s="563">
        <f t="shared" si="0"/>
        <v>1</v>
      </c>
      <c r="AU6" s="563">
        <f>E6+K6+Q6+W6+AC6+AI6+AO6</f>
        <v>32</v>
      </c>
      <c r="AV6" s="563">
        <f>F6+L6+R6+X6+AD6+AJ6+AP6</f>
        <v>92</v>
      </c>
      <c r="AW6" s="563">
        <f>AU6+AV6</f>
        <v>124</v>
      </c>
      <c r="AX6" s="564">
        <f>AW6/AS6</f>
        <v>124</v>
      </c>
    </row>
    <row r="7" spans="1:50" s="341" customFormat="1" ht="21.75" customHeight="1">
      <c r="A7" s="522">
        <v>2</v>
      </c>
      <c r="B7" s="565" t="s">
        <v>15</v>
      </c>
      <c r="C7" s="562">
        <v>153</v>
      </c>
      <c r="D7" s="563">
        <v>146</v>
      </c>
      <c r="E7" s="563">
        <v>55434</v>
      </c>
      <c r="F7" s="563">
        <v>17170</v>
      </c>
      <c r="G7" s="563">
        <v>72604</v>
      </c>
      <c r="H7" s="562">
        <v>475</v>
      </c>
      <c r="I7" s="562">
        <v>5</v>
      </c>
      <c r="J7" s="563">
        <v>4</v>
      </c>
      <c r="K7" s="563">
        <v>124</v>
      </c>
      <c r="L7" s="563">
        <v>69</v>
      </c>
      <c r="M7" s="563">
        <v>193</v>
      </c>
      <c r="N7" s="562">
        <v>39</v>
      </c>
      <c r="O7" s="562">
        <v>241</v>
      </c>
      <c r="P7" s="563">
        <v>239</v>
      </c>
      <c r="Q7" s="563">
        <v>2294</v>
      </c>
      <c r="R7" s="563">
        <v>22711</v>
      </c>
      <c r="S7" s="563">
        <v>25005</v>
      </c>
      <c r="T7" s="562">
        <v>104</v>
      </c>
      <c r="U7" s="562">
        <v>296</v>
      </c>
      <c r="V7" s="563">
        <v>262</v>
      </c>
      <c r="W7" s="563">
        <v>7443</v>
      </c>
      <c r="X7" s="563">
        <v>12574</v>
      </c>
      <c r="Y7" s="563">
        <v>20017</v>
      </c>
      <c r="Z7" s="562">
        <v>68</v>
      </c>
      <c r="AA7" s="562">
        <v>3</v>
      </c>
      <c r="AB7" s="563">
        <v>3</v>
      </c>
      <c r="AC7" s="563">
        <v>416</v>
      </c>
      <c r="AD7" s="563">
        <v>93</v>
      </c>
      <c r="AE7" s="563">
        <v>509</v>
      </c>
      <c r="AF7" s="562">
        <v>170</v>
      </c>
      <c r="AG7" s="562">
        <v>0</v>
      </c>
      <c r="AH7" s="562">
        <v>0</v>
      </c>
      <c r="AI7" s="562">
        <v>0</v>
      </c>
      <c r="AJ7" s="562">
        <v>0</v>
      </c>
      <c r="AK7" s="562">
        <v>0</v>
      </c>
      <c r="AL7" s="562"/>
      <c r="AM7" s="562">
        <v>0</v>
      </c>
      <c r="AN7" s="562">
        <v>0</v>
      </c>
      <c r="AO7" s="562">
        <v>0</v>
      </c>
      <c r="AP7" s="562">
        <v>0</v>
      </c>
      <c r="AQ7" s="562">
        <v>0</v>
      </c>
      <c r="AR7" s="562"/>
      <c r="AS7" s="563">
        <f t="shared" ref="AS7:AS41" si="1">C7+I7+O7+U7+AA7+AG7+AM7</f>
        <v>698</v>
      </c>
      <c r="AT7" s="563">
        <f t="shared" ref="AT7:AT41" si="2">D7+J7+P7+V7+AB7+AH7+AN7</f>
        <v>654</v>
      </c>
      <c r="AU7" s="563">
        <f t="shared" ref="AU7:AU41" si="3">E7+K7+Q7+W7+AC7+AI7+AO7</f>
        <v>65711</v>
      </c>
      <c r="AV7" s="563">
        <f t="shared" ref="AV7:AV41" si="4">F7+L7+R7+X7+AD7+AJ7+AP7</f>
        <v>52617</v>
      </c>
      <c r="AW7" s="563">
        <f t="shared" ref="AW7:AW41" si="5">AU7+AV7</f>
        <v>118328</v>
      </c>
      <c r="AX7" s="564">
        <f t="shared" ref="AX7:AX42" si="6">AW7/AS7</f>
        <v>169.52435530085961</v>
      </c>
    </row>
    <row r="8" spans="1:50" s="341" customFormat="1" ht="21.75" customHeight="1">
      <c r="A8" s="522">
        <v>3</v>
      </c>
      <c r="B8" s="565" t="s">
        <v>16</v>
      </c>
      <c r="C8" s="562">
        <v>8</v>
      </c>
      <c r="D8" s="563">
        <v>8</v>
      </c>
      <c r="E8" s="563">
        <v>543</v>
      </c>
      <c r="F8" s="563">
        <v>110</v>
      </c>
      <c r="G8" s="563">
        <v>653</v>
      </c>
      <c r="H8" s="562">
        <v>82</v>
      </c>
      <c r="I8" s="562">
        <v>0</v>
      </c>
      <c r="J8" s="563">
        <v>0</v>
      </c>
      <c r="K8" s="563">
        <v>0</v>
      </c>
      <c r="L8" s="563">
        <v>0</v>
      </c>
      <c r="M8" s="563">
        <v>0</v>
      </c>
      <c r="N8" s="562"/>
      <c r="O8" s="562">
        <v>0</v>
      </c>
      <c r="P8" s="563">
        <v>0</v>
      </c>
      <c r="Q8" s="563">
        <v>0</v>
      </c>
      <c r="R8" s="563">
        <v>0</v>
      </c>
      <c r="S8" s="563">
        <v>0</v>
      </c>
      <c r="T8" s="562"/>
      <c r="U8" s="562">
        <v>6</v>
      </c>
      <c r="V8" s="563">
        <v>6</v>
      </c>
      <c r="W8" s="563">
        <v>135</v>
      </c>
      <c r="X8" s="563">
        <v>226</v>
      </c>
      <c r="Y8" s="563">
        <v>361</v>
      </c>
      <c r="Z8" s="562">
        <v>60</v>
      </c>
      <c r="AA8" s="562">
        <v>0</v>
      </c>
      <c r="AB8" s="563">
        <v>0</v>
      </c>
      <c r="AC8" s="563">
        <v>0</v>
      </c>
      <c r="AD8" s="563">
        <v>0</v>
      </c>
      <c r="AE8" s="563">
        <v>0</v>
      </c>
      <c r="AF8" s="562"/>
      <c r="AG8" s="562">
        <v>0</v>
      </c>
      <c r="AH8" s="562">
        <v>0</v>
      </c>
      <c r="AI8" s="562">
        <v>0</v>
      </c>
      <c r="AJ8" s="562">
        <v>0</v>
      </c>
      <c r="AK8" s="562">
        <v>0</v>
      </c>
      <c r="AL8" s="562"/>
      <c r="AM8" s="562">
        <v>0</v>
      </c>
      <c r="AN8" s="562">
        <v>0</v>
      </c>
      <c r="AO8" s="562">
        <v>0</v>
      </c>
      <c r="AP8" s="562">
        <v>0</v>
      </c>
      <c r="AQ8" s="562">
        <v>0</v>
      </c>
      <c r="AR8" s="562"/>
      <c r="AS8" s="563">
        <f t="shared" si="1"/>
        <v>14</v>
      </c>
      <c r="AT8" s="563">
        <f t="shared" si="2"/>
        <v>14</v>
      </c>
      <c r="AU8" s="563">
        <f t="shared" si="3"/>
        <v>678</v>
      </c>
      <c r="AV8" s="563">
        <f t="shared" si="4"/>
        <v>336</v>
      </c>
      <c r="AW8" s="563">
        <f t="shared" si="5"/>
        <v>1014</v>
      </c>
      <c r="AX8" s="564">
        <f t="shared" si="6"/>
        <v>72.428571428571431</v>
      </c>
    </row>
    <row r="9" spans="1:50" s="341" customFormat="1" ht="21.75" customHeight="1">
      <c r="A9" s="522">
        <v>4</v>
      </c>
      <c r="B9" s="565" t="s">
        <v>17</v>
      </c>
      <c r="C9" s="562">
        <v>28</v>
      </c>
      <c r="D9" s="563">
        <v>28</v>
      </c>
      <c r="E9" s="563">
        <v>7140</v>
      </c>
      <c r="F9" s="563">
        <v>1952</v>
      </c>
      <c r="G9" s="563">
        <v>9092</v>
      </c>
      <c r="H9" s="562">
        <v>325</v>
      </c>
      <c r="I9" s="562">
        <v>1</v>
      </c>
      <c r="J9" s="563">
        <v>1</v>
      </c>
      <c r="K9" s="563">
        <v>79</v>
      </c>
      <c r="L9" s="563">
        <v>49</v>
      </c>
      <c r="M9" s="563">
        <v>128</v>
      </c>
      <c r="N9" s="562">
        <v>128</v>
      </c>
      <c r="O9" s="562">
        <v>23</v>
      </c>
      <c r="P9" s="563">
        <v>17</v>
      </c>
      <c r="Q9" s="563">
        <v>105</v>
      </c>
      <c r="R9" s="563">
        <v>2012</v>
      </c>
      <c r="S9" s="563">
        <v>2117</v>
      </c>
      <c r="T9" s="562">
        <v>92</v>
      </c>
      <c r="U9" s="562">
        <v>37</v>
      </c>
      <c r="V9" s="563">
        <v>36</v>
      </c>
      <c r="W9" s="563">
        <v>2518</v>
      </c>
      <c r="X9" s="563">
        <v>3452</v>
      </c>
      <c r="Y9" s="563">
        <v>5970</v>
      </c>
      <c r="Z9" s="562">
        <v>161</v>
      </c>
      <c r="AA9" s="562">
        <v>2</v>
      </c>
      <c r="AB9" s="563">
        <v>1</v>
      </c>
      <c r="AC9" s="563">
        <v>51</v>
      </c>
      <c r="AD9" s="563">
        <v>95</v>
      </c>
      <c r="AE9" s="563">
        <v>146</v>
      </c>
      <c r="AF9" s="562">
        <v>73</v>
      </c>
      <c r="AG9" s="562">
        <v>1</v>
      </c>
      <c r="AH9" s="562">
        <v>0</v>
      </c>
      <c r="AI9" s="562">
        <v>0</v>
      </c>
      <c r="AJ9" s="562">
        <v>0</v>
      </c>
      <c r="AK9" s="562">
        <v>0</v>
      </c>
      <c r="AL9" s="562">
        <v>0</v>
      </c>
      <c r="AM9" s="562">
        <v>1</v>
      </c>
      <c r="AN9" s="562">
        <v>0</v>
      </c>
      <c r="AO9" s="562">
        <v>0</v>
      </c>
      <c r="AP9" s="562">
        <v>0</v>
      </c>
      <c r="AQ9" s="562">
        <v>0</v>
      </c>
      <c r="AR9" s="562">
        <v>0</v>
      </c>
      <c r="AS9" s="563">
        <f t="shared" si="1"/>
        <v>93</v>
      </c>
      <c r="AT9" s="563">
        <f t="shared" si="2"/>
        <v>83</v>
      </c>
      <c r="AU9" s="563">
        <f t="shared" si="3"/>
        <v>9893</v>
      </c>
      <c r="AV9" s="563">
        <f t="shared" si="4"/>
        <v>7560</v>
      </c>
      <c r="AW9" s="563">
        <f t="shared" si="5"/>
        <v>17453</v>
      </c>
      <c r="AX9" s="564">
        <f t="shared" si="6"/>
        <v>187.66666666666666</v>
      </c>
    </row>
    <row r="10" spans="1:50" s="341" customFormat="1" ht="21.75" customHeight="1">
      <c r="A10" s="522">
        <v>5</v>
      </c>
      <c r="B10" s="565" t="s">
        <v>18</v>
      </c>
      <c r="C10" s="562">
        <v>64</v>
      </c>
      <c r="D10" s="563">
        <v>64</v>
      </c>
      <c r="E10" s="563">
        <v>29298</v>
      </c>
      <c r="F10" s="563">
        <v>5002</v>
      </c>
      <c r="G10" s="563">
        <v>34300</v>
      </c>
      <c r="H10" s="562">
        <v>536</v>
      </c>
      <c r="I10" s="562">
        <v>4</v>
      </c>
      <c r="J10" s="563">
        <v>4</v>
      </c>
      <c r="K10" s="563">
        <v>534</v>
      </c>
      <c r="L10" s="563">
        <v>263</v>
      </c>
      <c r="M10" s="563">
        <v>797</v>
      </c>
      <c r="N10" s="562">
        <v>199</v>
      </c>
      <c r="O10" s="562">
        <v>151</v>
      </c>
      <c r="P10" s="563">
        <v>132</v>
      </c>
      <c r="Q10" s="563">
        <v>2574</v>
      </c>
      <c r="R10" s="563">
        <v>14529</v>
      </c>
      <c r="S10" s="563">
        <v>17103</v>
      </c>
      <c r="T10" s="562">
        <v>113</v>
      </c>
      <c r="U10" s="562">
        <v>60</v>
      </c>
      <c r="V10" s="563">
        <v>60</v>
      </c>
      <c r="W10" s="563">
        <v>7644</v>
      </c>
      <c r="X10" s="563">
        <v>9159</v>
      </c>
      <c r="Y10" s="563">
        <v>16803</v>
      </c>
      <c r="Z10" s="562">
        <v>280</v>
      </c>
      <c r="AA10" s="562">
        <v>1</v>
      </c>
      <c r="AB10" s="563">
        <v>1</v>
      </c>
      <c r="AC10" s="563">
        <v>56</v>
      </c>
      <c r="AD10" s="563">
        <v>4</v>
      </c>
      <c r="AE10" s="563">
        <v>60</v>
      </c>
      <c r="AF10" s="562">
        <v>60</v>
      </c>
      <c r="AG10" s="562">
        <v>1</v>
      </c>
      <c r="AH10" s="562">
        <v>1</v>
      </c>
      <c r="AI10" s="562">
        <v>322</v>
      </c>
      <c r="AJ10" s="562">
        <v>278</v>
      </c>
      <c r="AK10" s="562">
        <v>600</v>
      </c>
      <c r="AL10" s="562">
        <v>600</v>
      </c>
      <c r="AM10" s="562">
        <v>2</v>
      </c>
      <c r="AN10" s="562">
        <v>2</v>
      </c>
      <c r="AO10" s="562">
        <v>555</v>
      </c>
      <c r="AP10" s="562">
        <v>85</v>
      </c>
      <c r="AQ10" s="562">
        <v>640</v>
      </c>
      <c r="AR10" s="562">
        <v>320</v>
      </c>
      <c r="AS10" s="563">
        <f t="shared" si="1"/>
        <v>283</v>
      </c>
      <c r="AT10" s="563">
        <f t="shared" si="2"/>
        <v>264</v>
      </c>
      <c r="AU10" s="563">
        <f t="shared" si="3"/>
        <v>40983</v>
      </c>
      <c r="AV10" s="563">
        <f t="shared" si="4"/>
        <v>29320</v>
      </c>
      <c r="AW10" s="563">
        <f t="shared" si="5"/>
        <v>70303</v>
      </c>
      <c r="AX10" s="564">
        <f t="shared" si="6"/>
        <v>248.42049469964664</v>
      </c>
    </row>
    <row r="11" spans="1:50" s="341" customFormat="1" ht="21.75" customHeight="1">
      <c r="A11" s="522">
        <v>6</v>
      </c>
      <c r="B11" s="565" t="s">
        <v>19</v>
      </c>
      <c r="C11" s="562">
        <v>3</v>
      </c>
      <c r="D11" s="563">
        <v>3</v>
      </c>
      <c r="E11" s="563">
        <v>1113</v>
      </c>
      <c r="F11" s="563">
        <v>674</v>
      </c>
      <c r="G11" s="563">
        <v>1787</v>
      </c>
      <c r="H11" s="562">
        <v>596</v>
      </c>
      <c r="I11" s="562">
        <v>1</v>
      </c>
      <c r="J11" s="563">
        <v>1</v>
      </c>
      <c r="K11" s="563">
        <v>18</v>
      </c>
      <c r="L11" s="563">
        <v>16</v>
      </c>
      <c r="M11" s="563">
        <v>34</v>
      </c>
      <c r="N11" s="562">
        <v>34</v>
      </c>
      <c r="O11" s="562">
        <v>0</v>
      </c>
      <c r="P11" s="563">
        <v>0</v>
      </c>
      <c r="Q11" s="563">
        <v>0</v>
      </c>
      <c r="R11" s="563">
        <v>0</v>
      </c>
      <c r="S11" s="563">
        <v>0</v>
      </c>
      <c r="T11" s="562"/>
      <c r="U11" s="562">
        <v>3</v>
      </c>
      <c r="V11" s="563">
        <v>3</v>
      </c>
      <c r="W11" s="563">
        <v>8</v>
      </c>
      <c r="X11" s="563">
        <v>280</v>
      </c>
      <c r="Y11" s="563">
        <v>288</v>
      </c>
      <c r="Z11" s="562">
        <v>96</v>
      </c>
      <c r="AA11" s="562">
        <v>1</v>
      </c>
      <c r="AB11" s="563">
        <v>1</v>
      </c>
      <c r="AC11" s="563">
        <v>411</v>
      </c>
      <c r="AD11" s="563">
        <v>41</v>
      </c>
      <c r="AE11" s="563">
        <v>452</v>
      </c>
      <c r="AF11" s="562">
        <v>452</v>
      </c>
      <c r="AG11" s="562">
        <v>0</v>
      </c>
      <c r="AH11" s="562">
        <v>0</v>
      </c>
      <c r="AI11" s="562">
        <v>0</v>
      </c>
      <c r="AJ11" s="562">
        <v>0</v>
      </c>
      <c r="AK11" s="562">
        <v>0</v>
      </c>
      <c r="AL11" s="562"/>
      <c r="AM11" s="562">
        <v>2</v>
      </c>
      <c r="AN11" s="562">
        <v>2</v>
      </c>
      <c r="AO11" s="562">
        <v>896</v>
      </c>
      <c r="AP11" s="562">
        <v>273</v>
      </c>
      <c r="AQ11" s="562">
        <v>1169</v>
      </c>
      <c r="AR11" s="562">
        <v>585</v>
      </c>
      <c r="AS11" s="563">
        <f t="shared" si="1"/>
        <v>10</v>
      </c>
      <c r="AT11" s="563">
        <f t="shared" si="2"/>
        <v>10</v>
      </c>
      <c r="AU11" s="563">
        <f t="shared" si="3"/>
        <v>2446</v>
      </c>
      <c r="AV11" s="563">
        <f t="shared" si="4"/>
        <v>1284</v>
      </c>
      <c r="AW11" s="563">
        <f t="shared" si="5"/>
        <v>3730</v>
      </c>
      <c r="AX11" s="564">
        <f t="shared" si="6"/>
        <v>373</v>
      </c>
    </row>
    <row r="12" spans="1:50" s="341" customFormat="1" ht="21.75" customHeight="1">
      <c r="A12" s="522">
        <v>7</v>
      </c>
      <c r="B12" s="565" t="s">
        <v>20</v>
      </c>
      <c r="C12" s="562">
        <v>3</v>
      </c>
      <c r="D12" s="563">
        <v>2</v>
      </c>
      <c r="E12" s="563">
        <v>67</v>
      </c>
      <c r="F12" s="563">
        <v>5</v>
      </c>
      <c r="G12" s="563">
        <v>72</v>
      </c>
      <c r="H12" s="562">
        <v>24</v>
      </c>
      <c r="I12" s="562">
        <v>3</v>
      </c>
      <c r="J12" s="563">
        <v>3</v>
      </c>
      <c r="K12" s="563">
        <v>250</v>
      </c>
      <c r="L12" s="563">
        <v>174</v>
      </c>
      <c r="M12" s="563">
        <v>424</v>
      </c>
      <c r="N12" s="562">
        <v>141</v>
      </c>
      <c r="O12" s="562">
        <v>40</v>
      </c>
      <c r="P12" s="563">
        <v>38</v>
      </c>
      <c r="Q12" s="563">
        <v>171</v>
      </c>
      <c r="R12" s="563">
        <v>1969</v>
      </c>
      <c r="S12" s="563">
        <v>2140</v>
      </c>
      <c r="T12" s="562">
        <v>54</v>
      </c>
      <c r="U12" s="562">
        <v>32</v>
      </c>
      <c r="V12" s="563">
        <v>26</v>
      </c>
      <c r="W12" s="563">
        <v>1686</v>
      </c>
      <c r="X12" s="563">
        <v>2151</v>
      </c>
      <c r="Y12" s="563">
        <v>3837</v>
      </c>
      <c r="Z12" s="562">
        <v>120</v>
      </c>
      <c r="AA12" s="562">
        <v>1</v>
      </c>
      <c r="AB12" s="563">
        <v>1</v>
      </c>
      <c r="AC12" s="563">
        <v>68</v>
      </c>
      <c r="AD12" s="563">
        <v>17</v>
      </c>
      <c r="AE12" s="563">
        <v>85</v>
      </c>
      <c r="AF12" s="562">
        <v>85</v>
      </c>
      <c r="AG12" s="562">
        <v>0</v>
      </c>
      <c r="AH12" s="562">
        <v>0</v>
      </c>
      <c r="AI12" s="562">
        <v>0</v>
      </c>
      <c r="AJ12" s="562">
        <v>0</v>
      </c>
      <c r="AK12" s="562">
        <v>0</v>
      </c>
      <c r="AL12" s="562"/>
      <c r="AM12" s="562">
        <v>0</v>
      </c>
      <c r="AN12" s="562">
        <v>0</v>
      </c>
      <c r="AO12" s="562">
        <v>0</v>
      </c>
      <c r="AP12" s="562">
        <v>0</v>
      </c>
      <c r="AQ12" s="562">
        <v>0</v>
      </c>
      <c r="AR12" s="562"/>
      <c r="AS12" s="563">
        <f t="shared" si="1"/>
        <v>79</v>
      </c>
      <c r="AT12" s="563">
        <f t="shared" si="2"/>
        <v>70</v>
      </c>
      <c r="AU12" s="563">
        <f t="shared" si="3"/>
        <v>2242</v>
      </c>
      <c r="AV12" s="563">
        <f t="shared" si="4"/>
        <v>4316</v>
      </c>
      <c r="AW12" s="563">
        <f t="shared" si="5"/>
        <v>6558</v>
      </c>
      <c r="AX12" s="564">
        <f t="shared" si="6"/>
        <v>83.012658227848107</v>
      </c>
    </row>
    <row r="13" spans="1:50" s="341" customFormat="1" ht="21.75" customHeight="1">
      <c r="A13" s="522">
        <v>8</v>
      </c>
      <c r="B13" s="565" t="s">
        <v>23</v>
      </c>
      <c r="C13" s="562">
        <v>16</v>
      </c>
      <c r="D13" s="563">
        <v>15</v>
      </c>
      <c r="E13" s="563">
        <v>10338</v>
      </c>
      <c r="F13" s="563">
        <v>1215</v>
      </c>
      <c r="G13" s="563">
        <v>11553</v>
      </c>
      <c r="H13" s="562">
        <v>722</v>
      </c>
      <c r="I13" s="562">
        <v>13</v>
      </c>
      <c r="J13" s="563">
        <v>11</v>
      </c>
      <c r="K13" s="563">
        <v>2602</v>
      </c>
      <c r="L13" s="563">
        <v>1940</v>
      </c>
      <c r="M13" s="563">
        <v>4542</v>
      </c>
      <c r="N13" s="562">
        <v>349</v>
      </c>
      <c r="O13" s="562">
        <v>23</v>
      </c>
      <c r="P13" s="563">
        <v>21</v>
      </c>
      <c r="Q13" s="563">
        <v>35</v>
      </c>
      <c r="R13" s="563">
        <v>1689</v>
      </c>
      <c r="S13" s="563">
        <v>1724</v>
      </c>
      <c r="T13" s="562">
        <v>75</v>
      </c>
      <c r="U13" s="562">
        <v>39</v>
      </c>
      <c r="V13" s="563">
        <v>37</v>
      </c>
      <c r="W13" s="563">
        <v>816</v>
      </c>
      <c r="X13" s="563">
        <v>5592</v>
      </c>
      <c r="Y13" s="563">
        <v>6408</v>
      </c>
      <c r="Z13" s="562">
        <v>164</v>
      </c>
      <c r="AA13" s="562">
        <v>2</v>
      </c>
      <c r="AB13" s="563">
        <v>0</v>
      </c>
      <c r="AC13" s="563">
        <v>0</v>
      </c>
      <c r="AD13" s="563">
        <v>0</v>
      </c>
      <c r="AE13" s="563">
        <v>0</v>
      </c>
      <c r="AF13" s="562">
        <v>0</v>
      </c>
      <c r="AG13" s="562">
        <v>1</v>
      </c>
      <c r="AH13" s="562">
        <v>1</v>
      </c>
      <c r="AI13" s="562">
        <v>357</v>
      </c>
      <c r="AJ13" s="562">
        <v>233</v>
      </c>
      <c r="AK13" s="562">
        <v>590</v>
      </c>
      <c r="AL13" s="562">
        <v>590</v>
      </c>
      <c r="AM13" s="562">
        <v>3</v>
      </c>
      <c r="AN13" s="562">
        <v>0</v>
      </c>
      <c r="AO13" s="562">
        <v>0</v>
      </c>
      <c r="AP13" s="562">
        <v>0</v>
      </c>
      <c r="AQ13" s="562">
        <v>0</v>
      </c>
      <c r="AR13" s="562">
        <v>0</v>
      </c>
      <c r="AS13" s="563">
        <f t="shared" si="1"/>
        <v>97</v>
      </c>
      <c r="AT13" s="563">
        <f t="shared" si="2"/>
        <v>85</v>
      </c>
      <c r="AU13" s="563">
        <f t="shared" si="3"/>
        <v>14148</v>
      </c>
      <c r="AV13" s="563">
        <f t="shared" si="4"/>
        <v>10669</v>
      </c>
      <c r="AW13" s="563">
        <f t="shared" si="5"/>
        <v>24817</v>
      </c>
      <c r="AX13" s="564">
        <f t="shared" si="6"/>
        <v>255.84536082474227</v>
      </c>
    </row>
    <row r="14" spans="1:50" s="341" customFormat="1" ht="21.75" customHeight="1">
      <c r="A14" s="522">
        <v>9</v>
      </c>
      <c r="B14" s="565" t="s">
        <v>24</v>
      </c>
      <c r="C14" s="562">
        <v>8</v>
      </c>
      <c r="D14" s="563">
        <v>8</v>
      </c>
      <c r="E14" s="563">
        <v>4394</v>
      </c>
      <c r="F14" s="563">
        <v>339</v>
      </c>
      <c r="G14" s="563">
        <v>4733</v>
      </c>
      <c r="H14" s="562">
        <v>592</v>
      </c>
      <c r="I14" s="562">
        <v>1</v>
      </c>
      <c r="J14" s="563">
        <v>1</v>
      </c>
      <c r="K14" s="563">
        <v>593</v>
      </c>
      <c r="L14" s="563">
        <v>365</v>
      </c>
      <c r="M14" s="563">
        <v>958</v>
      </c>
      <c r="N14" s="562">
        <v>958</v>
      </c>
      <c r="O14" s="562">
        <v>1</v>
      </c>
      <c r="P14" s="563">
        <v>1</v>
      </c>
      <c r="Q14" s="563">
        <v>0</v>
      </c>
      <c r="R14" s="563">
        <v>80</v>
      </c>
      <c r="S14" s="563">
        <v>80</v>
      </c>
      <c r="T14" s="562">
        <v>80</v>
      </c>
      <c r="U14" s="562">
        <v>3</v>
      </c>
      <c r="V14" s="563">
        <v>3</v>
      </c>
      <c r="W14" s="563">
        <v>74</v>
      </c>
      <c r="X14" s="563">
        <v>780</v>
      </c>
      <c r="Y14" s="563">
        <v>854</v>
      </c>
      <c r="Z14" s="562">
        <v>285</v>
      </c>
      <c r="AA14" s="562">
        <v>1</v>
      </c>
      <c r="AB14" s="563">
        <v>1</v>
      </c>
      <c r="AC14" s="563">
        <v>11</v>
      </c>
      <c r="AD14" s="563">
        <v>2</v>
      </c>
      <c r="AE14" s="563">
        <v>13</v>
      </c>
      <c r="AF14" s="562">
        <v>13</v>
      </c>
      <c r="AG14" s="562">
        <v>2</v>
      </c>
      <c r="AH14" s="562">
        <v>2</v>
      </c>
      <c r="AI14" s="562">
        <v>24</v>
      </c>
      <c r="AJ14" s="562">
        <v>102</v>
      </c>
      <c r="AK14" s="562">
        <v>126</v>
      </c>
      <c r="AL14" s="562">
        <v>63</v>
      </c>
      <c r="AM14" s="562">
        <v>1</v>
      </c>
      <c r="AN14" s="562">
        <v>1</v>
      </c>
      <c r="AO14" s="562">
        <v>905</v>
      </c>
      <c r="AP14" s="562">
        <v>183</v>
      </c>
      <c r="AQ14" s="562">
        <v>1088</v>
      </c>
      <c r="AR14" s="562">
        <v>1088</v>
      </c>
      <c r="AS14" s="563">
        <f t="shared" si="1"/>
        <v>17</v>
      </c>
      <c r="AT14" s="563">
        <f t="shared" si="2"/>
        <v>17</v>
      </c>
      <c r="AU14" s="563">
        <f t="shared" si="3"/>
        <v>6001</v>
      </c>
      <c r="AV14" s="563">
        <f t="shared" si="4"/>
        <v>1851</v>
      </c>
      <c r="AW14" s="563">
        <f t="shared" si="5"/>
        <v>7852</v>
      </c>
      <c r="AX14" s="564">
        <f t="shared" si="6"/>
        <v>461.88235294117646</v>
      </c>
    </row>
    <row r="15" spans="1:50" s="341" customFormat="1" ht="21.75" customHeight="1">
      <c r="A15" s="522">
        <v>10</v>
      </c>
      <c r="B15" s="565" t="s">
        <v>25</v>
      </c>
      <c r="C15" s="562">
        <v>10</v>
      </c>
      <c r="D15" s="563">
        <v>10</v>
      </c>
      <c r="E15" s="563">
        <v>1400</v>
      </c>
      <c r="F15" s="563">
        <v>78</v>
      </c>
      <c r="G15" s="563">
        <v>1478</v>
      </c>
      <c r="H15" s="562">
        <v>148</v>
      </c>
      <c r="I15" s="562">
        <v>8</v>
      </c>
      <c r="J15" s="563">
        <v>8</v>
      </c>
      <c r="K15" s="563">
        <v>1552</v>
      </c>
      <c r="L15" s="563">
        <v>962</v>
      </c>
      <c r="M15" s="563">
        <v>2514</v>
      </c>
      <c r="N15" s="562">
        <v>314</v>
      </c>
      <c r="O15" s="562">
        <v>162</v>
      </c>
      <c r="P15" s="563">
        <v>162</v>
      </c>
      <c r="Q15" s="563">
        <v>2544</v>
      </c>
      <c r="R15" s="563">
        <v>14547</v>
      </c>
      <c r="S15" s="563">
        <v>17091</v>
      </c>
      <c r="T15" s="562">
        <v>106</v>
      </c>
      <c r="U15" s="562">
        <v>113</v>
      </c>
      <c r="V15" s="563">
        <v>113</v>
      </c>
      <c r="W15" s="563">
        <v>2147</v>
      </c>
      <c r="X15" s="563">
        <v>4983</v>
      </c>
      <c r="Y15" s="563">
        <v>7130</v>
      </c>
      <c r="Z15" s="562">
        <v>63</v>
      </c>
      <c r="AA15" s="562">
        <v>6</v>
      </c>
      <c r="AB15" s="563">
        <v>6</v>
      </c>
      <c r="AC15" s="563">
        <v>342</v>
      </c>
      <c r="AD15" s="563">
        <v>562</v>
      </c>
      <c r="AE15" s="563">
        <v>904</v>
      </c>
      <c r="AF15" s="562">
        <v>151</v>
      </c>
      <c r="AG15" s="562">
        <v>1</v>
      </c>
      <c r="AH15" s="562">
        <v>1</v>
      </c>
      <c r="AI15" s="562">
        <v>12</v>
      </c>
      <c r="AJ15" s="562">
        <v>8</v>
      </c>
      <c r="AK15" s="562">
        <v>20</v>
      </c>
      <c r="AL15" s="562">
        <v>20</v>
      </c>
      <c r="AM15" s="562">
        <v>1</v>
      </c>
      <c r="AN15" s="562">
        <v>1</v>
      </c>
      <c r="AO15" s="562">
        <v>543</v>
      </c>
      <c r="AP15" s="562">
        <v>218</v>
      </c>
      <c r="AQ15" s="562">
        <v>761</v>
      </c>
      <c r="AR15" s="562">
        <v>761</v>
      </c>
      <c r="AS15" s="563">
        <f t="shared" si="1"/>
        <v>301</v>
      </c>
      <c r="AT15" s="563">
        <f t="shared" si="2"/>
        <v>301</v>
      </c>
      <c r="AU15" s="563">
        <f t="shared" si="3"/>
        <v>8540</v>
      </c>
      <c r="AV15" s="563">
        <f t="shared" si="4"/>
        <v>21358</v>
      </c>
      <c r="AW15" s="563">
        <f t="shared" si="5"/>
        <v>29898</v>
      </c>
      <c r="AX15" s="564">
        <f t="shared" si="6"/>
        <v>99.328903654485046</v>
      </c>
    </row>
    <row r="16" spans="1:50" s="341" customFormat="1" ht="21.75" customHeight="1">
      <c r="A16" s="522">
        <v>11</v>
      </c>
      <c r="B16" s="565" t="s">
        <v>26</v>
      </c>
      <c r="C16" s="562">
        <v>135</v>
      </c>
      <c r="D16" s="563">
        <v>135</v>
      </c>
      <c r="E16" s="563">
        <v>42122</v>
      </c>
      <c r="F16" s="563">
        <v>8379</v>
      </c>
      <c r="G16" s="563">
        <v>50501</v>
      </c>
      <c r="H16" s="562">
        <v>374</v>
      </c>
      <c r="I16" s="562">
        <v>5</v>
      </c>
      <c r="J16" s="563">
        <v>5</v>
      </c>
      <c r="K16" s="563">
        <v>326</v>
      </c>
      <c r="L16" s="563">
        <v>160</v>
      </c>
      <c r="M16" s="563">
        <v>486</v>
      </c>
      <c r="N16" s="562">
        <v>97</v>
      </c>
      <c r="O16" s="562">
        <v>31</v>
      </c>
      <c r="P16" s="563">
        <v>31</v>
      </c>
      <c r="Q16" s="563">
        <v>518</v>
      </c>
      <c r="R16" s="563">
        <v>3933</v>
      </c>
      <c r="S16" s="563">
        <v>4451</v>
      </c>
      <c r="T16" s="562">
        <v>144</v>
      </c>
      <c r="U16" s="562">
        <v>46</v>
      </c>
      <c r="V16" s="563">
        <v>39</v>
      </c>
      <c r="W16" s="563">
        <v>1337</v>
      </c>
      <c r="X16" s="563">
        <v>1739</v>
      </c>
      <c r="Y16" s="563">
        <v>3076</v>
      </c>
      <c r="Z16" s="562">
        <v>67</v>
      </c>
      <c r="AA16" s="562">
        <v>4</v>
      </c>
      <c r="AB16" s="563">
        <v>4</v>
      </c>
      <c r="AC16" s="563">
        <v>224</v>
      </c>
      <c r="AD16" s="563">
        <v>66</v>
      </c>
      <c r="AE16" s="563">
        <v>290</v>
      </c>
      <c r="AF16" s="562">
        <v>73</v>
      </c>
      <c r="AG16" s="562">
        <v>0</v>
      </c>
      <c r="AH16" s="562">
        <v>0</v>
      </c>
      <c r="AI16" s="562">
        <v>0</v>
      </c>
      <c r="AJ16" s="562">
        <v>0</v>
      </c>
      <c r="AK16" s="562">
        <v>0</v>
      </c>
      <c r="AL16" s="562"/>
      <c r="AM16" s="562">
        <v>7</v>
      </c>
      <c r="AN16" s="562">
        <v>7</v>
      </c>
      <c r="AO16" s="562">
        <v>1497</v>
      </c>
      <c r="AP16" s="562">
        <v>233</v>
      </c>
      <c r="AQ16" s="562">
        <v>1730</v>
      </c>
      <c r="AR16" s="562">
        <v>247</v>
      </c>
      <c r="AS16" s="563">
        <f t="shared" si="1"/>
        <v>228</v>
      </c>
      <c r="AT16" s="563">
        <f t="shared" si="2"/>
        <v>221</v>
      </c>
      <c r="AU16" s="563">
        <f t="shared" si="3"/>
        <v>46024</v>
      </c>
      <c r="AV16" s="563">
        <f t="shared" si="4"/>
        <v>14510</v>
      </c>
      <c r="AW16" s="563">
        <f t="shared" si="5"/>
        <v>60534</v>
      </c>
      <c r="AX16" s="564">
        <f t="shared" si="6"/>
        <v>265.5</v>
      </c>
    </row>
    <row r="17" spans="1:50" s="341" customFormat="1" ht="21.75" customHeight="1">
      <c r="A17" s="522">
        <v>12</v>
      </c>
      <c r="B17" s="565" t="s">
        <v>27</v>
      </c>
      <c r="C17" s="562">
        <v>36</v>
      </c>
      <c r="D17" s="563">
        <v>33</v>
      </c>
      <c r="E17" s="563">
        <v>4837</v>
      </c>
      <c r="F17" s="563">
        <v>1650</v>
      </c>
      <c r="G17" s="563">
        <v>6487</v>
      </c>
      <c r="H17" s="562">
        <v>180</v>
      </c>
      <c r="I17" s="562">
        <v>0</v>
      </c>
      <c r="J17" s="563">
        <v>0</v>
      </c>
      <c r="K17" s="563">
        <v>0</v>
      </c>
      <c r="L17" s="563">
        <v>0</v>
      </c>
      <c r="M17" s="563">
        <v>0</v>
      </c>
      <c r="N17" s="562"/>
      <c r="O17" s="562">
        <v>25</v>
      </c>
      <c r="P17" s="563">
        <v>25</v>
      </c>
      <c r="Q17" s="563">
        <v>0</v>
      </c>
      <c r="R17" s="563">
        <v>2392</v>
      </c>
      <c r="S17" s="563">
        <v>2392</v>
      </c>
      <c r="T17" s="562">
        <v>96</v>
      </c>
      <c r="U17" s="562">
        <v>19</v>
      </c>
      <c r="V17" s="563">
        <v>18</v>
      </c>
      <c r="W17" s="563">
        <v>939</v>
      </c>
      <c r="X17" s="563">
        <v>1339</v>
      </c>
      <c r="Y17" s="563">
        <v>2278</v>
      </c>
      <c r="Z17" s="562">
        <v>120</v>
      </c>
      <c r="AA17" s="562">
        <v>1</v>
      </c>
      <c r="AB17" s="563">
        <v>1</v>
      </c>
      <c r="AC17" s="563">
        <v>63</v>
      </c>
      <c r="AD17" s="563">
        <v>2</v>
      </c>
      <c r="AE17" s="563">
        <v>65</v>
      </c>
      <c r="AF17" s="562">
        <v>65</v>
      </c>
      <c r="AG17" s="562">
        <v>0</v>
      </c>
      <c r="AH17" s="562">
        <v>0</v>
      </c>
      <c r="AI17" s="562">
        <v>0</v>
      </c>
      <c r="AJ17" s="562">
        <v>0</v>
      </c>
      <c r="AK17" s="562">
        <v>0</v>
      </c>
      <c r="AL17" s="562"/>
      <c r="AM17" s="562">
        <v>2</v>
      </c>
      <c r="AN17" s="562">
        <v>2</v>
      </c>
      <c r="AO17" s="562">
        <v>974</v>
      </c>
      <c r="AP17" s="562">
        <v>128</v>
      </c>
      <c r="AQ17" s="562">
        <v>1102</v>
      </c>
      <c r="AR17" s="562">
        <v>551</v>
      </c>
      <c r="AS17" s="563">
        <f t="shared" si="1"/>
        <v>83</v>
      </c>
      <c r="AT17" s="563">
        <f t="shared" si="2"/>
        <v>79</v>
      </c>
      <c r="AU17" s="563">
        <f t="shared" si="3"/>
        <v>6813</v>
      </c>
      <c r="AV17" s="563">
        <f t="shared" si="4"/>
        <v>5511</v>
      </c>
      <c r="AW17" s="563">
        <f t="shared" si="5"/>
        <v>12324</v>
      </c>
      <c r="AX17" s="564">
        <f t="shared" si="6"/>
        <v>148.48192771084337</v>
      </c>
    </row>
    <row r="18" spans="1:50" s="341" customFormat="1">
      <c r="A18" s="522">
        <v>13</v>
      </c>
      <c r="B18" s="561" t="s">
        <v>57</v>
      </c>
      <c r="C18" s="562">
        <v>57</v>
      </c>
      <c r="D18" s="563">
        <v>51</v>
      </c>
      <c r="E18" s="563">
        <v>6277</v>
      </c>
      <c r="F18" s="563">
        <v>3179</v>
      </c>
      <c r="G18" s="563">
        <v>9456</v>
      </c>
      <c r="H18" s="562">
        <v>166</v>
      </c>
      <c r="I18" s="562">
        <v>0</v>
      </c>
      <c r="J18" s="563">
        <v>0</v>
      </c>
      <c r="K18" s="563">
        <v>0</v>
      </c>
      <c r="L18" s="563">
        <v>0</v>
      </c>
      <c r="M18" s="563">
        <v>0</v>
      </c>
      <c r="N18" s="562"/>
      <c r="O18" s="562">
        <v>30</v>
      </c>
      <c r="P18" s="563">
        <v>29</v>
      </c>
      <c r="Q18" s="563">
        <v>1476</v>
      </c>
      <c r="R18" s="563">
        <v>2755</v>
      </c>
      <c r="S18" s="563">
        <v>4231</v>
      </c>
      <c r="T18" s="562">
        <v>141</v>
      </c>
      <c r="U18" s="562">
        <v>19</v>
      </c>
      <c r="V18" s="563">
        <v>19</v>
      </c>
      <c r="W18" s="563">
        <v>900</v>
      </c>
      <c r="X18" s="563">
        <v>395</v>
      </c>
      <c r="Y18" s="563">
        <v>1295</v>
      </c>
      <c r="Z18" s="562">
        <v>68</v>
      </c>
      <c r="AA18" s="562">
        <v>1</v>
      </c>
      <c r="AB18" s="563">
        <v>1</v>
      </c>
      <c r="AC18" s="563">
        <v>8</v>
      </c>
      <c r="AD18" s="563">
        <v>23</v>
      </c>
      <c r="AE18" s="563">
        <v>31</v>
      </c>
      <c r="AF18" s="562">
        <v>31</v>
      </c>
      <c r="AG18" s="562">
        <v>45</v>
      </c>
      <c r="AH18" s="562">
        <v>32</v>
      </c>
      <c r="AI18" s="562">
        <v>3726</v>
      </c>
      <c r="AJ18" s="562">
        <v>4512</v>
      </c>
      <c r="AK18" s="562">
        <v>8238</v>
      </c>
      <c r="AL18" s="562">
        <v>183</v>
      </c>
      <c r="AM18" s="562">
        <v>2</v>
      </c>
      <c r="AN18" s="562">
        <v>2</v>
      </c>
      <c r="AO18" s="562">
        <v>248</v>
      </c>
      <c r="AP18" s="562">
        <v>29</v>
      </c>
      <c r="AQ18" s="562">
        <v>277</v>
      </c>
      <c r="AR18" s="562">
        <v>139</v>
      </c>
      <c r="AS18" s="563">
        <f t="shared" si="1"/>
        <v>154</v>
      </c>
      <c r="AT18" s="563">
        <f t="shared" si="2"/>
        <v>134</v>
      </c>
      <c r="AU18" s="563">
        <f t="shared" si="3"/>
        <v>12635</v>
      </c>
      <c r="AV18" s="563">
        <f t="shared" si="4"/>
        <v>10893</v>
      </c>
      <c r="AW18" s="563">
        <f t="shared" si="5"/>
        <v>23528</v>
      </c>
      <c r="AX18" s="564">
        <f t="shared" si="6"/>
        <v>152.77922077922079</v>
      </c>
    </row>
    <row r="19" spans="1:50" s="341" customFormat="1" ht="21.75" customHeight="1">
      <c r="A19" s="522">
        <v>14</v>
      </c>
      <c r="B19" s="565" t="s">
        <v>29</v>
      </c>
      <c r="C19" s="562">
        <v>43</v>
      </c>
      <c r="D19" s="563">
        <v>43</v>
      </c>
      <c r="E19" s="563">
        <v>17786</v>
      </c>
      <c r="F19" s="563">
        <v>3904</v>
      </c>
      <c r="G19" s="563">
        <v>21690</v>
      </c>
      <c r="H19" s="562">
        <v>504</v>
      </c>
      <c r="I19" s="562">
        <v>6</v>
      </c>
      <c r="J19" s="563">
        <v>6</v>
      </c>
      <c r="K19" s="563">
        <v>1009</v>
      </c>
      <c r="L19" s="563">
        <v>667</v>
      </c>
      <c r="M19" s="563">
        <v>1676</v>
      </c>
      <c r="N19" s="562">
        <v>279</v>
      </c>
      <c r="O19" s="562">
        <v>41</v>
      </c>
      <c r="P19" s="563">
        <v>32</v>
      </c>
      <c r="Q19" s="563">
        <v>2085</v>
      </c>
      <c r="R19" s="563">
        <v>4610</v>
      </c>
      <c r="S19" s="563">
        <v>6695</v>
      </c>
      <c r="T19" s="562">
        <v>163</v>
      </c>
      <c r="U19" s="562">
        <v>5</v>
      </c>
      <c r="V19" s="563">
        <v>5</v>
      </c>
      <c r="W19" s="563">
        <v>380</v>
      </c>
      <c r="X19" s="563">
        <v>708</v>
      </c>
      <c r="Y19" s="563">
        <v>1088</v>
      </c>
      <c r="Z19" s="562">
        <v>218</v>
      </c>
      <c r="AA19" s="562">
        <v>2</v>
      </c>
      <c r="AB19" s="563">
        <v>2</v>
      </c>
      <c r="AC19" s="563">
        <v>263</v>
      </c>
      <c r="AD19" s="563">
        <v>53</v>
      </c>
      <c r="AE19" s="563">
        <v>316</v>
      </c>
      <c r="AF19" s="562">
        <v>158</v>
      </c>
      <c r="AG19" s="562">
        <v>11</v>
      </c>
      <c r="AH19" s="562">
        <v>7</v>
      </c>
      <c r="AI19" s="562">
        <v>754</v>
      </c>
      <c r="AJ19" s="562">
        <v>524</v>
      </c>
      <c r="AK19" s="562">
        <v>1278</v>
      </c>
      <c r="AL19" s="562">
        <v>116</v>
      </c>
      <c r="AM19" s="562">
        <v>1</v>
      </c>
      <c r="AN19" s="562">
        <v>1</v>
      </c>
      <c r="AO19" s="562">
        <v>48</v>
      </c>
      <c r="AP19" s="562">
        <v>14</v>
      </c>
      <c r="AQ19" s="562">
        <v>62</v>
      </c>
      <c r="AR19" s="562">
        <v>62</v>
      </c>
      <c r="AS19" s="563">
        <f t="shared" si="1"/>
        <v>109</v>
      </c>
      <c r="AT19" s="563">
        <f t="shared" si="2"/>
        <v>96</v>
      </c>
      <c r="AU19" s="563">
        <f t="shared" si="3"/>
        <v>22325</v>
      </c>
      <c r="AV19" s="563">
        <f t="shared" si="4"/>
        <v>10480</v>
      </c>
      <c r="AW19" s="563">
        <f t="shared" si="5"/>
        <v>32805</v>
      </c>
      <c r="AX19" s="564">
        <f t="shared" si="6"/>
        <v>300.9633027522936</v>
      </c>
    </row>
    <row r="20" spans="1:50" s="341" customFormat="1" ht="21.75" customHeight="1">
      <c r="A20" s="522">
        <v>15</v>
      </c>
      <c r="B20" s="565" t="s">
        <v>30</v>
      </c>
      <c r="C20" s="562">
        <v>410</v>
      </c>
      <c r="D20" s="563">
        <v>367</v>
      </c>
      <c r="E20" s="563">
        <v>88889</v>
      </c>
      <c r="F20" s="563">
        <v>28944</v>
      </c>
      <c r="G20" s="563">
        <v>117833</v>
      </c>
      <c r="H20" s="562">
        <v>287</v>
      </c>
      <c r="I20" s="562">
        <v>20</v>
      </c>
      <c r="J20" s="563">
        <v>15</v>
      </c>
      <c r="K20" s="563">
        <v>2414</v>
      </c>
      <c r="L20" s="563">
        <v>1659</v>
      </c>
      <c r="M20" s="563">
        <v>4073</v>
      </c>
      <c r="N20" s="562">
        <v>204</v>
      </c>
      <c r="O20" s="562">
        <v>577</v>
      </c>
      <c r="P20" s="563">
        <v>526</v>
      </c>
      <c r="Q20" s="563">
        <v>22914</v>
      </c>
      <c r="R20" s="563">
        <v>49843</v>
      </c>
      <c r="S20" s="563">
        <v>72757</v>
      </c>
      <c r="T20" s="562">
        <v>126</v>
      </c>
      <c r="U20" s="562">
        <v>222</v>
      </c>
      <c r="V20" s="563">
        <v>220</v>
      </c>
      <c r="W20" s="563">
        <v>1251</v>
      </c>
      <c r="X20" s="563">
        <v>3587</v>
      </c>
      <c r="Y20" s="563">
        <v>4838</v>
      </c>
      <c r="Z20" s="562">
        <v>22</v>
      </c>
      <c r="AA20" s="562">
        <v>3</v>
      </c>
      <c r="AB20" s="563">
        <v>3</v>
      </c>
      <c r="AC20" s="563">
        <v>575</v>
      </c>
      <c r="AD20" s="563">
        <v>133</v>
      </c>
      <c r="AE20" s="563">
        <v>708</v>
      </c>
      <c r="AF20" s="562">
        <v>236</v>
      </c>
      <c r="AG20" s="562">
        <v>358</v>
      </c>
      <c r="AH20" s="562">
        <v>98</v>
      </c>
      <c r="AI20" s="562">
        <v>4190</v>
      </c>
      <c r="AJ20" s="562">
        <v>6013</v>
      </c>
      <c r="AK20" s="562">
        <v>10203</v>
      </c>
      <c r="AL20" s="562">
        <v>29</v>
      </c>
      <c r="AM20" s="562">
        <v>2</v>
      </c>
      <c r="AN20" s="562">
        <v>1</v>
      </c>
      <c r="AO20" s="562">
        <v>15</v>
      </c>
      <c r="AP20" s="562">
        <v>4</v>
      </c>
      <c r="AQ20" s="562">
        <v>19</v>
      </c>
      <c r="AR20" s="562">
        <v>10</v>
      </c>
      <c r="AS20" s="563">
        <f t="shared" si="1"/>
        <v>1592</v>
      </c>
      <c r="AT20" s="563">
        <f t="shared" si="2"/>
        <v>1230</v>
      </c>
      <c r="AU20" s="563">
        <f t="shared" si="3"/>
        <v>120248</v>
      </c>
      <c r="AV20" s="563">
        <f t="shared" si="4"/>
        <v>90183</v>
      </c>
      <c r="AW20" s="563">
        <f t="shared" si="5"/>
        <v>210431</v>
      </c>
      <c r="AX20" s="564">
        <f t="shared" si="6"/>
        <v>132.18027638190955</v>
      </c>
    </row>
    <row r="21" spans="1:50" s="341" customFormat="1" ht="21.75" customHeight="1">
      <c r="A21" s="522">
        <v>16</v>
      </c>
      <c r="B21" s="565" t="s">
        <v>31</v>
      </c>
      <c r="C21" s="562">
        <v>85</v>
      </c>
      <c r="D21" s="563">
        <v>84</v>
      </c>
      <c r="E21" s="563">
        <v>42437</v>
      </c>
      <c r="F21" s="563">
        <v>10735</v>
      </c>
      <c r="G21" s="563">
        <v>53172</v>
      </c>
      <c r="H21" s="562">
        <v>626</v>
      </c>
      <c r="I21" s="562">
        <v>7</v>
      </c>
      <c r="J21" s="563">
        <v>4</v>
      </c>
      <c r="K21" s="563">
        <v>381</v>
      </c>
      <c r="L21" s="563">
        <v>335</v>
      </c>
      <c r="M21" s="563">
        <v>716</v>
      </c>
      <c r="N21" s="562">
        <v>102</v>
      </c>
      <c r="O21" s="562">
        <v>133</v>
      </c>
      <c r="P21" s="563">
        <v>132</v>
      </c>
      <c r="Q21" s="563">
        <v>408</v>
      </c>
      <c r="R21" s="563">
        <v>9594</v>
      </c>
      <c r="S21" s="563">
        <v>10002</v>
      </c>
      <c r="T21" s="562">
        <v>75</v>
      </c>
      <c r="U21" s="562">
        <v>146</v>
      </c>
      <c r="V21" s="563">
        <v>146</v>
      </c>
      <c r="W21" s="563">
        <v>2203</v>
      </c>
      <c r="X21" s="563">
        <v>8911</v>
      </c>
      <c r="Y21" s="563">
        <v>11114</v>
      </c>
      <c r="Z21" s="562">
        <v>76</v>
      </c>
      <c r="AA21" s="562">
        <v>2</v>
      </c>
      <c r="AB21" s="563">
        <v>1</v>
      </c>
      <c r="AC21" s="563">
        <v>68</v>
      </c>
      <c r="AD21" s="563">
        <v>67</v>
      </c>
      <c r="AE21" s="563">
        <v>135</v>
      </c>
      <c r="AF21" s="562">
        <v>68</v>
      </c>
      <c r="AG21" s="562">
        <v>1</v>
      </c>
      <c r="AH21" s="562">
        <v>1</v>
      </c>
      <c r="AI21" s="562">
        <v>0</v>
      </c>
      <c r="AJ21" s="562">
        <v>0</v>
      </c>
      <c r="AK21" s="562">
        <v>0</v>
      </c>
      <c r="AL21" s="562">
        <v>0</v>
      </c>
      <c r="AM21" s="562">
        <v>2</v>
      </c>
      <c r="AN21" s="562">
        <v>1</v>
      </c>
      <c r="AO21" s="562">
        <v>181</v>
      </c>
      <c r="AP21" s="562">
        <v>9</v>
      </c>
      <c r="AQ21" s="562">
        <v>190</v>
      </c>
      <c r="AR21" s="562">
        <v>95</v>
      </c>
      <c r="AS21" s="563">
        <f t="shared" si="1"/>
        <v>376</v>
      </c>
      <c r="AT21" s="563">
        <f t="shared" si="2"/>
        <v>369</v>
      </c>
      <c r="AU21" s="563">
        <f t="shared" si="3"/>
        <v>45678</v>
      </c>
      <c r="AV21" s="563">
        <f t="shared" si="4"/>
        <v>29651</v>
      </c>
      <c r="AW21" s="563">
        <f t="shared" si="5"/>
        <v>75329</v>
      </c>
      <c r="AX21" s="564">
        <f t="shared" si="6"/>
        <v>200.34308510638297</v>
      </c>
    </row>
    <row r="22" spans="1:50" s="341" customFormat="1" ht="21.75" customHeight="1">
      <c r="A22" s="522">
        <v>17</v>
      </c>
      <c r="B22" s="535" t="s">
        <v>172</v>
      </c>
      <c r="C22" s="562">
        <v>3</v>
      </c>
      <c r="D22" s="563">
        <v>2</v>
      </c>
      <c r="E22" s="563">
        <v>137</v>
      </c>
      <c r="F22" s="563">
        <v>78</v>
      </c>
      <c r="G22" s="563">
        <v>215</v>
      </c>
      <c r="H22" s="562">
        <v>72</v>
      </c>
      <c r="I22" s="562">
        <v>0</v>
      </c>
      <c r="J22" s="563">
        <v>0</v>
      </c>
      <c r="K22" s="563">
        <v>0</v>
      </c>
      <c r="L22" s="563">
        <v>0</v>
      </c>
      <c r="M22" s="563">
        <v>0</v>
      </c>
      <c r="N22" s="562"/>
      <c r="O22" s="562">
        <v>0</v>
      </c>
      <c r="P22" s="563">
        <v>0</v>
      </c>
      <c r="Q22" s="563">
        <v>0</v>
      </c>
      <c r="R22" s="563">
        <v>0</v>
      </c>
      <c r="S22" s="563">
        <v>0</v>
      </c>
      <c r="T22" s="562"/>
      <c r="U22" s="562">
        <v>1</v>
      </c>
      <c r="V22" s="563">
        <v>1</v>
      </c>
      <c r="W22" s="563">
        <v>0</v>
      </c>
      <c r="X22" s="563">
        <v>0</v>
      </c>
      <c r="Y22" s="563">
        <v>0</v>
      </c>
      <c r="Z22" s="562">
        <v>0</v>
      </c>
      <c r="AA22" s="562">
        <v>0</v>
      </c>
      <c r="AB22" s="563">
        <v>0</v>
      </c>
      <c r="AC22" s="563">
        <v>0</v>
      </c>
      <c r="AD22" s="563">
        <v>0</v>
      </c>
      <c r="AE22" s="563">
        <v>0</v>
      </c>
      <c r="AF22" s="562"/>
      <c r="AG22" s="562">
        <v>1</v>
      </c>
      <c r="AH22" s="562">
        <v>0</v>
      </c>
      <c r="AI22" s="562">
        <v>0</v>
      </c>
      <c r="AJ22" s="562">
        <v>0</v>
      </c>
      <c r="AK22" s="562">
        <v>0</v>
      </c>
      <c r="AL22" s="562">
        <v>0</v>
      </c>
      <c r="AM22" s="562">
        <v>0</v>
      </c>
      <c r="AN22" s="562">
        <v>0</v>
      </c>
      <c r="AO22" s="562">
        <v>0</v>
      </c>
      <c r="AP22" s="562">
        <v>0</v>
      </c>
      <c r="AQ22" s="562">
        <v>0</v>
      </c>
      <c r="AR22" s="562"/>
      <c r="AS22" s="563">
        <f t="shared" si="1"/>
        <v>5</v>
      </c>
      <c r="AT22" s="563">
        <f t="shared" si="2"/>
        <v>3</v>
      </c>
      <c r="AU22" s="563">
        <f t="shared" si="3"/>
        <v>137</v>
      </c>
      <c r="AV22" s="563">
        <f t="shared" si="4"/>
        <v>78</v>
      </c>
      <c r="AW22" s="563">
        <f t="shared" si="5"/>
        <v>215</v>
      </c>
      <c r="AX22" s="564">
        <f t="shared" si="6"/>
        <v>43</v>
      </c>
    </row>
    <row r="23" spans="1:50" s="341" customFormat="1" ht="21.75" customHeight="1">
      <c r="A23" s="522">
        <v>18</v>
      </c>
      <c r="B23" s="565" t="s">
        <v>32</v>
      </c>
      <c r="C23" s="562">
        <v>0</v>
      </c>
      <c r="D23" s="563">
        <v>0</v>
      </c>
      <c r="E23" s="563">
        <v>0</v>
      </c>
      <c r="F23" s="563">
        <v>0</v>
      </c>
      <c r="G23" s="563">
        <v>0</v>
      </c>
      <c r="H23" s="562"/>
      <c r="I23" s="562">
        <v>0</v>
      </c>
      <c r="J23" s="563">
        <v>0</v>
      </c>
      <c r="K23" s="563">
        <v>0</v>
      </c>
      <c r="L23" s="563">
        <v>0</v>
      </c>
      <c r="M23" s="563">
        <v>0</v>
      </c>
      <c r="N23" s="562"/>
      <c r="O23" s="562">
        <v>0</v>
      </c>
      <c r="P23" s="563">
        <v>0</v>
      </c>
      <c r="Q23" s="563">
        <v>0</v>
      </c>
      <c r="R23" s="563">
        <v>0</v>
      </c>
      <c r="S23" s="563">
        <v>0</v>
      </c>
      <c r="T23" s="562"/>
      <c r="U23" s="562">
        <v>0</v>
      </c>
      <c r="V23" s="563">
        <v>0</v>
      </c>
      <c r="W23" s="563">
        <v>0</v>
      </c>
      <c r="X23" s="563">
        <v>0</v>
      </c>
      <c r="Y23" s="563">
        <v>0</v>
      </c>
      <c r="Z23" s="562"/>
      <c r="AA23" s="562">
        <v>0</v>
      </c>
      <c r="AB23" s="563">
        <v>0</v>
      </c>
      <c r="AC23" s="563">
        <v>0</v>
      </c>
      <c r="AD23" s="563">
        <v>0</v>
      </c>
      <c r="AE23" s="563">
        <v>0</v>
      </c>
      <c r="AF23" s="562"/>
      <c r="AG23" s="562">
        <v>0</v>
      </c>
      <c r="AH23" s="562">
        <v>0</v>
      </c>
      <c r="AI23" s="562">
        <v>0</v>
      </c>
      <c r="AJ23" s="562">
        <v>0</v>
      </c>
      <c r="AK23" s="562">
        <v>0</v>
      </c>
      <c r="AL23" s="562"/>
      <c r="AM23" s="562">
        <v>0</v>
      </c>
      <c r="AN23" s="562">
        <v>0</v>
      </c>
      <c r="AO23" s="562">
        <v>0</v>
      </c>
      <c r="AP23" s="562">
        <v>0</v>
      </c>
      <c r="AQ23" s="562">
        <v>0</v>
      </c>
      <c r="AR23" s="562"/>
      <c r="AS23" s="563">
        <f t="shared" si="1"/>
        <v>0</v>
      </c>
      <c r="AT23" s="563">
        <f t="shared" si="2"/>
        <v>0</v>
      </c>
      <c r="AU23" s="563">
        <f t="shared" si="3"/>
        <v>0</v>
      </c>
      <c r="AV23" s="563">
        <f t="shared" si="4"/>
        <v>0</v>
      </c>
      <c r="AW23" s="563">
        <f t="shared" si="5"/>
        <v>0</v>
      </c>
      <c r="AX23" s="564"/>
    </row>
    <row r="24" spans="1:50" s="341" customFormat="1" ht="21.75" customHeight="1">
      <c r="A24" s="522">
        <v>19</v>
      </c>
      <c r="B24" s="565" t="s">
        <v>33</v>
      </c>
      <c r="C24" s="562">
        <v>62</v>
      </c>
      <c r="D24" s="563">
        <v>58</v>
      </c>
      <c r="E24" s="563">
        <v>18804</v>
      </c>
      <c r="F24" s="563">
        <v>4359</v>
      </c>
      <c r="G24" s="563">
        <v>23163</v>
      </c>
      <c r="H24" s="562">
        <v>374</v>
      </c>
      <c r="I24" s="562">
        <v>63</v>
      </c>
      <c r="J24" s="563">
        <v>27</v>
      </c>
      <c r="K24" s="563">
        <v>5119</v>
      </c>
      <c r="L24" s="563">
        <v>2836</v>
      </c>
      <c r="M24" s="563">
        <v>7955</v>
      </c>
      <c r="N24" s="562">
        <v>126</v>
      </c>
      <c r="O24" s="562">
        <v>108</v>
      </c>
      <c r="P24" s="563">
        <v>78</v>
      </c>
      <c r="Q24" s="563">
        <v>3862</v>
      </c>
      <c r="R24" s="563">
        <v>9176</v>
      </c>
      <c r="S24" s="563">
        <v>13038</v>
      </c>
      <c r="T24" s="562">
        <v>121</v>
      </c>
      <c r="U24" s="562">
        <v>92</v>
      </c>
      <c r="V24" s="563">
        <v>79</v>
      </c>
      <c r="W24" s="563">
        <v>4714</v>
      </c>
      <c r="X24" s="563">
        <v>6269</v>
      </c>
      <c r="Y24" s="563">
        <v>10983</v>
      </c>
      <c r="Z24" s="562">
        <v>119</v>
      </c>
      <c r="AA24" s="562">
        <v>2</v>
      </c>
      <c r="AB24" s="563">
        <v>2</v>
      </c>
      <c r="AC24" s="563">
        <v>522</v>
      </c>
      <c r="AD24" s="563">
        <v>290</v>
      </c>
      <c r="AE24" s="563">
        <v>812</v>
      </c>
      <c r="AF24" s="562">
        <v>406</v>
      </c>
      <c r="AG24" s="562">
        <v>3</v>
      </c>
      <c r="AH24" s="562">
        <v>2</v>
      </c>
      <c r="AI24" s="562">
        <v>26</v>
      </c>
      <c r="AJ24" s="562">
        <v>12</v>
      </c>
      <c r="AK24" s="562">
        <v>38</v>
      </c>
      <c r="AL24" s="562">
        <v>13</v>
      </c>
      <c r="AM24" s="562">
        <v>5</v>
      </c>
      <c r="AN24" s="562">
        <v>4</v>
      </c>
      <c r="AO24" s="562">
        <v>235</v>
      </c>
      <c r="AP24" s="562">
        <v>65</v>
      </c>
      <c r="AQ24" s="562">
        <v>300</v>
      </c>
      <c r="AR24" s="562">
        <v>60</v>
      </c>
      <c r="AS24" s="563">
        <f t="shared" si="1"/>
        <v>335</v>
      </c>
      <c r="AT24" s="563">
        <f t="shared" si="2"/>
        <v>250</v>
      </c>
      <c r="AU24" s="563">
        <f t="shared" si="3"/>
        <v>33282</v>
      </c>
      <c r="AV24" s="563">
        <f t="shared" si="4"/>
        <v>23007</v>
      </c>
      <c r="AW24" s="563">
        <f t="shared" si="5"/>
        <v>56289</v>
      </c>
      <c r="AX24" s="564">
        <f t="shared" si="6"/>
        <v>168.02686567164179</v>
      </c>
    </row>
    <row r="25" spans="1:50" s="341" customFormat="1" ht="21.75" customHeight="1">
      <c r="A25" s="522">
        <v>20</v>
      </c>
      <c r="B25" s="565" t="s">
        <v>34</v>
      </c>
      <c r="C25" s="562">
        <v>734</v>
      </c>
      <c r="D25" s="563">
        <v>723</v>
      </c>
      <c r="E25" s="563">
        <v>174120</v>
      </c>
      <c r="F25" s="563">
        <v>67652</v>
      </c>
      <c r="G25" s="563">
        <v>241772</v>
      </c>
      <c r="H25" s="562">
        <v>329</v>
      </c>
      <c r="I25" s="562">
        <v>51</v>
      </c>
      <c r="J25" s="563">
        <v>47</v>
      </c>
      <c r="K25" s="563">
        <v>6781</v>
      </c>
      <c r="L25" s="563">
        <v>4821</v>
      </c>
      <c r="M25" s="563">
        <v>11602</v>
      </c>
      <c r="N25" s="562">
        <v>227</v>
      </c>
      <c r="O25" s="562">
        <v>606</v>
      </c>
      <c r="P25" s="563">
        <v>584</v>
      </c>
      <c r="Q25" s="563">
        <v>3704</v>
      </c>
      <c r="R25" s="563">
        <v>34540</v>
      </c>
      <c r="S25" s="563">
        <v>38244</v>
      </c>
      <c r="T25" s="562">
        <v>63</v>
      </c>
      <c r="U25" s="562">
        <v>748</v>
      </c>
      <c r="V25" s="563">
        <v>744</v>
      </c>
      <c r="W25" s="563">
        <v>7064</v>
      </c>
      <c r="X25" s="563">
        <v>21931</v>
      </c>
      <c r="Y25" s="563">
        <v>28995</v>
      </c>
      <c r="Z25" s="562">
        <v>39</v>
      </c>
      <c r="AA25" s="562">
        <v>12</v>
      </c>
      <c r="AB25" s="563">
        <v>11</v>
      </c>
      <c r="AC25" s="563">
        <v>3348</v>
      </c>
      <c r="AD25" s="563">
        <v>569</v>
      </c>
      <c r="AE25" s="563">
        <v>3917</v>
      </c>
      <c r="AF25" s="562">
        <v>326</v>
      </c>
      <c r="AG25" s="562">
        <v>0</v>
      </c>
      <c r="AH25" s="562">
        <v>0</v>
      </c>
      <c r="AI25" s="562">
        <v>0</v>
      </c>
      <c r="AJ25" s="562">
        <v>0</v>
      </c>
      <c r="AK25" s="562">
        <v>0</v>
      </c>
      <c r="AL25" s="562"/>
      <c r="AM25" s="562">
        <v>2</v>
      </c>
      <c r="AN25" s="562">
        <v>1</v>
      </c>
      <c r="AO25" s="562">
        <v>812</v>
      </c>
      <c r="AP25" s="562">
        <v>333</v>
      </c>
      <c r="AQ25" s="562">
        <v>1145</v>
      </c>
      <c r="AR25" s="562">
        <v>573</v>
      </c>
      <c r="AS25" s="563">
        <f t="shared" si="1"/>
        <v>2153</v>
      </c>
      <c r="AT25" s="563">
        <f t="shared" si="2"/>
        <v>2110</v>
      </c>
      <c r="AU25" s="563">
        <f t="shared" si="3"/>
        <v>195829</v>
      </c>
      <c r="AV25" s="563">
        <f t="shared" si="4"/>
        <v>129846</v>
      </c>
      <c r="AW25" s="563">
        <f t="shared" si="5"/>
        <v>325675</v>
      </c>
      <c r="AX25" s="564">
        <f t="shared" si="6"/>
        <v>151.26567580120761</v>
      </c>
    </row>
    <row r="26" spans="1:50" s="341" customFormat="1" ht="21.75" customHeight="1">
      <c r="A26" s="522">
        <v>21</v>
      </c>
      <c r="B26" s="565" t="s">
        <v>35</v>
      </c>
      <c r="C26" s="562">
        <v>5</v>
      </c>
      <c r="D26" s="563">
        <v>4</v>
      </c>
      <c r="E26" s="563">
        <v>365</v>
      </c>
      <c r="F26" s="563">
        <v>309</v>
      </c>
      <c r="G26" s="563">
        <v>674</v>
      </c>
      <c r="H26" s="562">
        <v>135</v>
      </c>
      <c r="I26" s="562">
        <v>0</v>
      </c>
      <c r="J26" s="563">
        <v>0</v>
      </c>
      <c r="K26" s="563">
        <v>0</v>
      </c>
      <c r="L26" s="563">
        <v>0</v>
      </c>
      <c r="M26" s="563">
        <v>0</v>
      </c>
      <c r="N26" s="562"/>
      <c r="O26" s="562">
        <v>14</v>
      </c>
      <c r="P26" s="563">
        <v>11</v>
      </c>
      <c r="Q26" s="563">
        <v>28</v>
      </c>
      <c r="R26" s="563">
        <v>779</v>
      </c>
      <c r="S26" s="563">
        <v>807</v>
      </c>
      <c r="T26" s="562">
        <v>58</v>
      </c>
      <c r="U26" s="562">
        <v>11</v>
      </c>
      <c r="V26" s="563">
        <v>11</v>
      </c>
      <c r="W26" s="563">
        <v>375</v>
      </c>
      <c r="X26" s="563">
        <v>905</v>
      </c>
      <c r="Y26" s="563">
        <v>1280</v>
      </c>
      <c r="Z26" s="562">
        <v>116</v>
      </c>
      <c r="AA26" s="562">
        <v>1</v>
      </c>
      <c r="AB26" s="563">
        <v>1</v>
      </c>
      <c r="AC26" s="563">
        <v>124</v>
      </c>
      <c r="AD26" s="563">
        <v>56</v>
      </c>
      <c r="AE26" s="563">
        <v>180</v>
      </c>
      <c r="AF26" s="562">
        <v>180</v>
      </c>
      <c r="AG26" s="562">
        <v>3</v>
      </c>
      <c r="AH26" s="562">
        <v>3</v>
      </c>
      <c r="AI26" s="562">
        <v>60</v>
      </c>
      <c r="AJ26" s="562">
        <v>137</v>
      </c>
      <c r="AK26" s="562">
        <v>197</v>
      </c>
      <c r="AL26" s="562">
        <v>66</v>
      </c>
      <c r="AM26" s="562">
        <v>0</v>
      </c>
      <c r="AN26" s="562">
        <v>0</v>
      </c>
      <c r="AO26" s="562">
        <v>0</v>
      </c>
      <c r="AP26" s="562">
        <v>0</v>
      </c>
      <c r="AQ26" s="562">
        <v>0</v>
      </c>
      <c r="AR26" s="562"/>
      <c r="AS26" s="563">
        <f t="shared" si="1"/>
        <v>34</v>
      </c>
      <c r="AT26" s="563">
        <f t="shared" si="2"/>
        <v>30</v>
      </c>
      <c r="AU26" s="563">
        <f t="shared" si="3"/>
        <v>952</v>
      </c>
      <c r="AV26" s="563">
        <f t="shared" si="4"/>
        <v>2186</v>
      </c>
      <c r="AW26" s="563">
        <f t="shared" si="5"/>
        <v>3138</v>
      </c>
      <c r="AX26" s="564">
        <f t="shared" si="6"/>
        <v>92.294117647058826</v>
      </c>
    </row>
    <row r="27" spans="1:50" s="341" customFormat="1" ht="21.75" customHeight="1">
      <c r="A27" s="522">
        <v>22</v>
      </c>
      <c r="B27" s="565" t="s">
        <v>36</v>
      </c>
      <c r="C27" s="562">
        <v>3</v>
      </c>
      <c r="D27" s="563">
        <v>3</v>
      </c>
      <c r="E27" s="563">
        <v>588</v>
      </c>
      <c r="F27" s="563">
        <v>293</v>
      </c>
      <c r="G27" s="563">
        <v>881</v>
      </c>
      <c r="H27" s="562">
        <v>294</v>
      </c>
      <c r="I27" s="562">
        <v>0</v>
      </c>
      <c r="J27" s="563">
        <v>0</v>
      </c>
      <c r="K27" s="563">
        <v>0</v>
      </c>
      <c r="L27" s="563">
        <v>0</v>
      </c>
      <c r="M27" s="563">
        <v>0</v>
      </c>
      <c r="N27" s="562"/>
      <c r="O27" s="562">
        <v>8</v>
      </c>
      <c r="P27" s="563">
        <v>8</v>
      </c>
      <c r="Q27" s="563">
        <v>34</v>
      </c>
      <c r="R27" s="563">
        <v>850</v>
      </c>
      <c r="S27" s="563">
        <v>884</v>
      </c>
      <c r="T27" s="562">
        <v>111</v>
      </c>
      <c r="U27" s="562">
        <v>9</v>
      </c>
      <c r="V27" s="563">
        <v>8</v>
      </c>
      <c r="W27" s="563">
        <v>553</v>
      </c>
      <c r="X27" s="563">
        <v>1031</v>
      </c>
      <c r="Y27" s="563">
        <v>1584</v>
      </c>
      <c r="Z27" s="562">
        <v>176</v>
      </c>
      <c r="AA27" s="562">
        <v>1</v>
      </c>
      <c r="AB27" s="563">
        <v>1</v>
      </c>
      <c r="AC27" s="563">
        <v>185</v>
      </c>
      <c r="AD27" s="563">
        <v>306</v>
      </c>
      <c r="AE27" s="563">
        <v>491</v>
      </c>
      <c r="AF27" s="562">
        <v>491</v>
      </c>
      <c r="AG27" s="562">
        <v>0</v>
      </c>
      <c r="AH27" s="562">
        <v>0</v>
      </c>
      <c r="AI27" s="562">
        <v>0</v>
      </c>
      <c r="AJ27" s="562">
        <v>0</v>
      </c>
      <c r="AK27" s="562">
        <v>0</v>
      </c>
      <c r="AL27" s="562"/>
      <c r="AM27" s="562">
        <v>1</v>
      </c>
      <c r="AN27" s="562">
        <v>1</v>
      </c>
      <c r="AO27" s="562">
        <v>231</v>
      </c>
      <c r="AP27" s="562">
        <v>123</v>
      </c>
      <c r="AQ27" s="562">
        <v>354</v>
      </c>
      <c r="AR27" s="562">
        <v>354</v>
      </c>
      <c r="AS27" s="563">
        <f t="shared" si="1"/>
        <v>22</v>
      </c>
      <c r="AT27" s="563">
        <f t="shared" si="2"/>
        <v>21</v>
      </c>
      <c r="AU27" s="563">
        <f t="shared" si="3"/>
        <v>1591</v>
      </c>
      <c r="AV27" s="563">
        <f t="shared" si="4"/>
        <v>2603</v>
      </c>
      <c r="AW27" s="563">
        <f t="shared" si="5"/>
        <v>4194</v>
      </c>
      <c r="AX27" s="564">
        <f t="shared" si="6"/>
        <v>190.63636363636363</v>
      </c>
    </row>
    <row r="28" spans="1:50" s="341" customFormat="1" ht="21.75" customHeight="1">
      <c r="A28" s="522">
        <v>23</v>
      </c>
      <c r="B28" s="565" t="s">
        <v>37</v>
      </c>
      <c r="C28" s="562">
        <v>2</v>
      </c>
      <c r="D28" s="563">
        <v>2</v>
      </c>
      <c r="E28" s="563">
        <v>199</v>
      </c>
      <c r="F28" s="563">
        <v>237</v>
      </c>
      <c r="G28" s="563">
        <v>436</v>
      </c>
      <c r="H28" s="562">
        <v>218</v>
      </c>
      <c r="I28" s="562">
        <v>0</v>
      </c>
      <c r="J28" s="563">
        <v>0</v>
      </c>
      <c r="K28" s="563">
        <v>0</v>
      </c>
      <c r="L28" s="563">
        <v>0</v>
      </c>
      <c r="M28" s="563">
        <v>0</v>
      </c>
      <c r="N28" s="562"/>
      <c r="O28" s="562">
        <v>8</v>
      </c>
      <c r="P28" s="563">
        <v>8</v>
      </c>
      <c r="Q28" s="563">
        <v>75</v>
      </c>
      <c r="R28" s="563">
        <v>556</v>
      </c>
      <c r="S28" s="563">
        <v>631</v>
      </c>
      <c r="T28" s="562">
        <v>79</v>
      </c>
      <c r="U28" s="562">
        <v>9</v>
      </c>
      <c r="V28" s="563">
        <v>9</v>
      </c>
      <c r="W28" s="563">
        <v>435</v>
      </c>
      <c r="X28" s="563">
        <v>910</v>
      </c>
      <c r="Y28" s="563">
        <v>1345</v>
      </c>
      <c r="Z28" s="562">
        <v>149</v>
      </c>
      <c r="AA28" s="562">
        <v>0</v>
      </c>
      <c r="AB28" s="563">
        <v>0</v>
      </c>
      <c r="AC28" s="563">
        <v>0</v>
      </c>
      <c r="AD28" s="563">
        <v>0</v>
      </c>
      <c r="AE28" s="563">
        <v>0</v>
      </c>
      <c r="AF28" s="562"/>
      <c r="AG28" s="562">
        <v>0</v>
      </c>
      <c r="AH28" s="562">
        <v>0</v>
      </c>
      <c r="AI28" s="562">
        <v>0</v>
      </c>
      <c r="AJ28" s="562">
        <v>0</v>
      </c>
      <c r="AK28" s="562">
        <v>0</v>
      </c>
      <c r="AL28" s="562"/>
      <c r="AM28" s="562">
        <v>0</v>
      </c>
      <c r="AN28" s="562">
        <v>0</v>
      </c>
      <c r="AO28" s="562">
        <v>0</v>
      </c>
      <c r="AP28" s="562">
        <v>0</v>
      </c>
      <c r="AQ28" s="562">
        <v>0</v>
      </c>
      <c r="AR28" s="562"/>
      <c r="AS28" s="563">
        <f t="shared" si="1"/>
        <v>19</v>
      </c>
      <c r="AT28" s="563">
        <f t="shared" si="2"/>
        <v>19</v>
      </c>
      <c r="AU28" s="563">
        <f t="shared" si="3"/>
        <v>709</v>
      </c>
      <c r="AV28" s="563">
        <f t="shared" si="4"/>
        <v>1703</v>
      </c>
      <c r="AW28" s="563">
        <f t="shared" si="5"/>
        <v>2412</v>
      </c>
      <c r="AX28" s="564">
        <f t="shared" si="6"/>
        <v>126.94736842105263</v>
      </c>
    </row>
    <row r="29" spans="1:50" s="341" customFormat="1" ht="21.75" customHeight="1">
      <c r="A29" s="522">
        <v>24</v>
      </c>
      <c r="B29" s="565" t="s">
        <v>38</v>
      </c>
      <c r="C29" s="562">
        <v>7</v>
      </c>
      <c r="D29" s="563">
        <v>7</v>
      </c>
      <c r="E29" s="563">
        <v>536</v>
      </c>
      <c r="F29" s="563">
        <v>228</v>
      </c>
      <c r="G29" s="563">
        <v>764</v>
      </c>
      <c r="H29" s="562">
        <v>109</v>
      </c>
      <c r="I29" s="562">
        <v>0</v>
      </c>
      <c r="J29" s="563">
        <v>0</v>
      </c>
      <c r="K29" s="563">
        <v>0</v>
      </c>
      <c r="L29" s="563">
        <v>0</v>
      </c>
      <c r="M29" s="563">
        <v>0</v>
      </c>
      <c r="N29" s="562"/>
      <c r="O29" s="562">
        <v>3</v>
      </c>
      <c r="P29" s="563">
        <v>3</v>
      </c>
      <c r="Q29" s="563">
        <v>18</v>
      </c>
      <c r="R29" s="563">
        <v>328</v>
      </c>
      <c r="S29" s="563">
        <v>346</v>
      </c>
      <c r="T29" s="562">
        <v>115</v>
      </c>
      <c r="U29" s="562">
        <v>9</v>
      </c>
      <c r="V29" s="563">
        <v>9</v>
      </c>
      <c r="W29" s="563">
        <v>207</v>
      </c>
      <c r="X29" s="563">
        <v>468</v>
      </c>
      <c r="Y29" s="563">
        <v>675</v>
      </c>
      <c r="Z29" s="562">
        <v>75</v>
      </c>
      <c r="AA29" s="562">
        <v>0</v>
      </c>
      <c r="AB29" s="563">
        <v>0</v>
      </c>
      <c r="AC29" s="563">
        <v>0</v>
      </c>
      <c r="AD29" s="563">
        <v>0</v>
      </c>
      <c r="AE29" s="563">
        <v>0</v>
      </c>
      <c r="AF29" s="562"/>
      <c r="AG29" s="562">
        <v>1</v>
      </c>
      <c r="AH29" s="562">
        <v>1</v>
      </c>
      <c r="AI29" s="562">
        <v>15</v>
      </c>
      <c r="AJ29" s="562">
        <v>14</v>
      </c>
      <c r="AK29" s="562">
        <v>29</v>
      </c>
      <c r="AL29" s="562">
        <v>29</v>
      </c>
      <c r="AM29" s="562">
        <v>0</v>
      </c>
      <c r="AN29" s="562">
        <v>0</v>
      </c>
      <c r="AO29" s="562">
        <v>0</v>
      </c>
      <c r="AP29" s="562">
        <v>0</v>
      </c>
      <c r="AQ29" s="562">
        <v>0</v>
      </c>
      <c r="AR29" s="562"/>
      <c r="AS29" s="563">
        <f t="shared" si="1"/>
        <v>20</v>
      </c>
      <c r="AT29" s="563">
        <f t="shared" si="2"/>
        <v>20</v>
      </c>
      <c r="AU29" s="563">
        <f t="shared" si="3"/>
        <v>776</v>
      </c>
      <c r="AV29" s="563">
        <f t="shared" si="4"/>
        <v>1038</v>
      </c>
      <c r="AW29" s="563">
        <f t="shared" si="5"/>
        <v>1814</v>
      </c>
      <c r="AX29" s="564">
        <f t="shared" si="6"/>
        <v>90.7</v>
      </c>
    </row>
    <row r="30" spans="1:50" s="341" customFormat="1" ht="21.75" customHeight="1">
      <c r="A30" s="522">
        <v>25</v>
      </c>
      <c r="B30" s="565" t="s">
        <v>39</v>
      </c>
      <c r="C30" s="562">
        <v>139</v>
      </c>
      <c r="D30" s="563">
        <v>139</v>
      </c>
      <c r="E30" s="563">
        <v>77439</v>
      </c>
      <c r="F30" s="563">
        <v>16825</v>
      </c>
      <c r="G30" s="563">
        <v>94264</v>
      </c>
      <c r="H30" s="562">
        <v>678</v>
      </c>
      <c r="I30" s="562">
        <v>8</v>
      </c>
      <c r="J30" s="563">
        <v>8</v>
      </c>
      <c r="K30" s="563">
        <v>1114</v>
      </c>
      <c r="L30" s="563">
        <v>583</v>
      </c>
      <c r="M30" s="563">
        <v>1697</v>
      </c>
      <c r="N30" s="562">
        <v>212</v>
      </c>
      <c r="O30" s="562">
        <v>210</v>
      </c>
      <c r="P30" s="563">
        <v>210</v>
      </c>
      <c r="Q30" s="563">
        <v>1159</v>
      </c>
      <c r="R30" s="563">
        <v>17031</v>
      </c>
      <c r="S30" s="563">
        <v>18190</v>
      </c>
      <c r="T30" s="562">
        <v>87</v>
      </c>
      <c r="U30" s="562">
        <v>65</v>
      </c>
      <c r="V30" s="563">
        <v>65</v>
      </c>
      <c r="W30" s="563">
        <v>3874</v>
      </c>
      <c r="X30" s="563">
        <v>5233</v>
      </c>
      <c r="Y30" s="563">
        <v>9107</v>
      </c>
      <c r="Z30" s="562">
        <v>140</v>
      </c>
      <c r="AA30" s="562">
        <v>3</v>
      </c>
      <c r="AB30" s="563">
        <v>3</v>
      </c>
      <c r="AC30" s="563">
        <v>215</v>
      </c>
      <c r="AD30" s="563">
        <v>85</v>
      </c>
      <c r="AE30" s="563">
        <v>300</v>
      </c>
      <c r="AF30" s="562">
        <v>100</v>
      </c>
      <c r="AG30" s="562">
        <v>55</v>
      </c>
      <c r="AH30" s="562">
        <v>55</v>
      </c>
      <c r="AI30" s="562">
        <v>2220</v>
      </c>
      <c r="AJ30" s="562">
        <v>1287</v>
      </c>
      <c r="AK30" s="562">
        <v>3507</v>
      </c>
      <c r="AL30" s="562">
        <v>64</v>
      </c>
      <c r="AM30" s="562">
        <v>1</v>
      </c>
      <c r="AN30" s="562">
        <v>1</v>
      </c>
      <c r="AO30" s="562">
        <v>598</v>
      </c>
      <c r="AP30" s="562">
        <v>206</v>
      </c>
      <c r="AQ30" s="562">
        <v>804</v>
      </c>
      <c r="AR30" s="562">
        <v>804</v>
      </c>
      <c r="AS30" s="563">
        <f t="shared" si="1"/>
        <v>481</v>
      </c>
      <c r="AT30" s="563">
        <f t="shared" si="2"/>
        <v>481</v>
      </c>
      <c r="AU30" s="563">
        <f t="shared" si="3"/>
        <v>86619</v>
      </c>
      <c r="AV30" s="563">
        <f t="shared" si="4"/>
        <v>41250</v>
      </c>
      <c r="AW30" s="563">
        <f t="shared" si="5"/>
        <v>127869</v>
      </c>
      <c r="AX30" s="564">
        <f t="shared" si="6"/>
        <v>265.83991683991684</v>
      </c>
    </row>
    <row r="31" spans="1:50" s="341" customFormat="1" ht="21.75" customHeight="1">
      <c r="A31" s="522">
        <v>26</v>
      </c>
      <c r="B31" s="565" t="s">
        <v>40</v>
      </c>
      <c r="C31" s="562">
        <v>9</v>
      </c>
      <c r="D31" s="563">
        <v>9</v>
      </c>
      <c r="E31" s="563">
        <v>2805</v>
      </c>
      <c r="F31" s="563">
        <v>619</v>
      </c>
      <c r="G31" s="563">
        <v>3424</v>
      </c>
      <c r="H31" s="562">
        <v>380</v>
      </c>
      <c r="I31" s="562">
        <v>0</v>
      </c>
      <c r="J31" s="563">
        <v>0</v>
      </c>
      <c r="K31" s="563">
        <v>0</v>
      </c>
      <c r="L31" s="563">
        <v>0</v>
      </c>
      <c r="M31" s="563">
        <v>0</v>
      </c>
      <c r="N31" s="562"/>
      <c r="O31" s="562">
        <v>1</v>
      </c>
      <c r="P31" s="563">
        <v>1</v>
      </c>
      <c r="Q31" s="563">
        <v>0</v>
      </c>
      <c r="R31" s="563">
        <v>137</v>
      </c>
      <c r="S31" s="563">
        <v>137</v>
      </c>
      <c r="T31" s="562">
        <v>137</v>
      </c>
      <c r="U31" s="562">
        <v>2</v>
      </c>
      <c r="V31" s="563">
        <v>2</v>
      </c>
      <c r="W31" s="563">
        <v>12</v>
      </c>
      <c r="X31" s="563">
        <v>165</v>
      </c>
      <c r="Y31" s="563">
        <v>177</v>
      </c>
      <c r="Z31" s="562">
        <v>89</v>
      </c>
      <c r="AA31" s="562">
        <v>0</v>
      </c>
      <c r="AB31" s="563">
        <v>0</v>
      </c>
      <c r="AC31" s="563">
        <v>0</v>
      </c>
      <c r="AD31" s="563">
        <v>0</v>
      </c>
      <c r="AE31" s="563">
        <v>0</v>
      </c>
      <c r="AF31" s="562"/>
      <c r="AG31" s="562">
        <v>0</v>
      </c>
      <c r="AH31" s="562">
        <v>0</v>
      </c>
      <c r="AI31" s="562">
        <v>0</v>
      </c>
      <c r="AJ31" s="562">
        <v>0</v>
      </c>
      <c r="AK31" s="562">
        <v>0</v>
      </c>
      <c r="AL31" s="562"/>
      <c r="AM31" s="562">
        <v>0</v>
      </c>
      <c r="AN31" s="562">
        <v>0</v>
      </c>
      <c r="AO31" s="562">
        <v>0</v>
      </c>
      <c r="AP31" s="562">
        <v>0</v>
      </c>
      <c r="AQ31" s="562">
        <v>0</v>
      </c>
      <c r="AR31" s="562"/>
      <c r="AS31" s="563">
        <f t="shared" si="1"/>
        <v>12</v>
      </c>
      <c r="AT31" s="563">
        <f t="shared" si="2"/>
        <v>12</v>
      </c>
      <c r="AU31" s="563">
        <f t="shared" si="3"/>
        <v>2817</v>
      </c>
      <c r="AV31" s="563">
        <f t="shared" si="4"/>
        <v>921</v>
      </c>
      <c r="AW31" s="563">
        <f t="shared" si="5"/>
        <v>3738</v>
      </c>
      <c r="AX31" s="564">
        <f t="shared" si="6"/>
        <v>311.5</v>
      </c>
    </row>
    <row r="32" spans="1:50" s="341" customFormat="1" ht="21.75" customHeight="1">
      <c r="A32" s="522">
        <v>27</v>
      </c>
      <c r="B32" s="565" t="s">
        <v>41</v>
      </c>
      <c r="C32" s="562">
        <v>169</v>
      </c>
      <c r="D32" s="563">
        <v>167</v>
      </c>
      <c r="E32" s="563">
        <v>29555</v>
      </c>
      <c r="F32" s="563">
        <v>6630</v>
      </c>
      <c r="G32" s="563">
        <v>36185</v>
      </c>
      <c r="H32" s="562">
        <v>214</v>
      </c>
      <c r="I32" s="562">
        <v>0</v>
      </c>
      <c r="J32" s="563">
        <v>0</v>
      </c>
      <c r="K32" s="563">
        <v>0</v>
      </c>
      <c r="L32" s="563">
        <v>0</v>
      </c>
      <c r="M32" s="563">
        <v>0</v>
      </c>
      <c r="N32" s="562"/>
      <c r="O32" s="562">
        <v>128</v>
      </c>
      <c r="P32" s="563">
        <v>123</v>
      </c>
      <c r="Q32" s="563">
        <v>3050</v>
      </c>
      <c r="R32" s="563">
        <v>12462</v>
      </c>
      <c r="S32" s="563">
        <v>15512</v>
      </c>
      <c r="T32" s="562">
        <v>121</v>
      </c>
      <c r="U32" s="562">
        <v>56</v>
      </c>
      <c r="V32" s="563">
        <v>55</v>
      </c>
      <c r="W32" s="563">
        <v>1598</v>
      </c>
      <c r="X32" s="563">
        <v>3814</v>
      </c>
      <c r="Y32" s="563">
        <v>5412</v>
      </c>
      <c r="Z32" s="562">
        <v>97</v>
      </c>
      <c r="AA32" s="562">
        <v>3</v>
      </c>
      <c r="AB32" s="563">
        <v>2</v>
      </c>
      <c r="AC32" s="563">
        <v>404</v>
      </c>
      <c r="AD32" s="563">
        <v>25</v>
      </c>
      <c r="AE32" s="563">
        <v>429</v>
      </c>
      <c r="AF32" s="562">
        <v>143</v>
      </c>
      <c r="AG32" s="562">
        <v>5</v>
      </c>
      <c r="AH32" s="562">
        <v>3</v>
      </c>
      <c r="AI32" s="562">
        <v>243</v>
      </c>
      <c r="AJ32" s="562">
        <v>125</v>
      </c>
      <c r="AK32" s="562">
        <v>368</v>
      </c>
      <c r="AL32" s="562">
        <v>74</v>
      </c>
      <c r="AM32" s="562">
        <v>1</v>
      </c>
      <c r="AN32" s="562">
        <v>1</v>
      </c>
      <c r="AO32" s="562">
        <v>496</v>
      </c>
      <c r="AP32" s="562">
        <v>81</v>
      </c>
      <c r="AQ32" s="562">
        <v>577</v>
      </c>
      <c r="AR32" s="562">
        <v>577</v>
      </c>
      <c r="AS32" s="563">
        <f t="shared" si="1"/>
        <v>362</v>
      </c>
      <c r="AT32" s="563">
        <f t="shared" si="2"/>
        <v>351</v>
      </c>
      <c r="AU32" s="563">
        <f t="shared" si="3"/>
        <v>35346</v>
      </c>
      <c r="AV32" s="563">
        <f t="shared" si="4"/>
        <v>23137</v>
      </c>
      <c r="AW32" s="563">
        <f t="shared" si="5"/>
        <v>58483</v>
      </c>
      <c r="AX32" s="564">
        <f t="shared" si="6"/>
        <v>161.55524861878453</v>
      </c>
    </row>
    <row r="33" spans="1:50" s="341" customFormat="1" ht="21.75" customHeight="1">
      <c r="A33" s="522">
        <v>28</v>
      </c>
      <c r="B33" s="565" t="s">
        <v>42</v>
      </c>
      <c r="C33" s="562">
        <v>137</v>
      </c>
      <c r="D33" s="563">
        <v>135</v>
      </c>
      <c r="E33" s="563">
        <v>24767</v>
      </c>
      <c r="F33" s="563">
        <v>4314</v>
      </c>
      <c r="G33" s="563">
        <v>29081</v>
      </c>
      <c r="H33" s="562">
        <v>212</v>
      </c>
      <c r="I33" s="562">
        <v>4</v>
      </c>
      <c r="J33" s="563">
        <v>4</v>
      </c>
      <c r="K33" s="563">
        <v>511</v>
      </c>
      <c r="L33" s="563">
        <v>415</v>
      </c>
      <c r="M33" s="563">
        <v>926</v>
      </c>
      <c r="N33" s="562">
        <v>232</v>
      </c>
      <c r="O33" s="562">
        <v>59</v>
      </c>
      <c r="P33" s="563">
        <v>44</v>
      </c>
      <c r="Q33" s="563">
        <v>3409</v>
      </c>
      <c r="R33" s="563">
        <v>1829</v>
      </c>
      <c r="S33" s="563">
        <v>5238</v>
      </c>
      <c r="T33" s="562">
        <v>89</v>
      </c>
      <c r="U33" s="562">
        <v>239</v>
      </c>
      <c r="V33" s="563">
        <v>209</v>
      </c>
      <c r="W33" s="563">
        <v>12350</v>
      </c>
      <c r="X33" s="563">
        <v>13134</v>
      </c>
      <c r="Y33" s="563">
        <v>25484</v>
      </c>
      <c r="Z33" s="562">
        <v>107</v>
      </c>
      <c r="AA33" s="562">
        <v>1</v>
      </c>
      <c r="AB33" s="563">
        <v>1</v>
      </c>
      <c r="AC33" s="563">
        <v>263</v>
      </c>
      <c r="AD33" s="563">
        <v>45</v>
      </c>
      <c r="AE33" s="563">
        <v>308</v>
      </c>
      <c r="AF33" s="562">
        <v>308</v>
      </c>
      <c r="AG33" s="562">
        <v>67</v>
      </c>
      <c r="AH33" s="562">
        <v>35</v>
      </c>
      <c r="AI33" s="562">
        <v>3021</v>
      </c>
      <c r="AJ33" s="562">
        <v>998</v>
      </c>
      <c r="AK33" s="562">
        <v>4019</v>
      </c>
      <c r="AL33" s="562">
        <v>60</v>
      </c>
      <c r="AM33" s="562">
        <v>7</v>
      </c>
      <c r="AN33" s="562">
        <v>2</v>
      </c>
      <c r="AO33" s="562">
        <v>165</v>
      </c>
      <c r="AP33" s="562">
        <v>49</v>
      </c>
      <c r="AQ33" s="562">
        <v>214</v>
      </c>
      <c r="AR33" s="562">
        <v>31</v>
      </c>
      <c r="AS33" s="563">
        <f t="shared" si="1"/>
        <v>514</v>
      </c>
      <c r="AT33" s="563">
        <f t="shared" si="2"/>
        <v>430</v>
      </c>
      <c r="AU33" s="563">
        <f t="shared" si="3"/>
        <v>44486</v>
      </c>
      <c r="AV33" s="563">
        <f t="shared" si="4"/>
        <v>20784</v>
      </c>
      <c r="AW33" s="563">
        <f t="shared" si="5"/>
        <v>65270</v>
      </c>
      <c r="AX33" s="564">
        <f t="shared" si="6"/>
        <v>126.98443579766537</v>
      </c>
    </row>
    <row r="34" spans="1:50" s="341" customFormat="1" ht="21.75" customHeight="1">
      <c r="A34" s="522">
        <v>29</v>
      </c>
      <c r="B34" s="565" t="s">
        <v>43</v>
      </c>
      <c r="C34" s="562">
        <v>2</v>
      </c>
      <c r="D34" s="563">
        <v>2</v>
      </c>
      <c r="E34" s="563">
        <v>815</v>
      </c>
      <c r="F34" s="563">
        <v>468</v>
      </c>
      <c r="G34" s="563">
        <v>1283</v>
      </c>
      <c r="H34" s="562">
        <v>642</v>
      </c>
      <c r="I34" s="562">
        <v>0</v>
      </c>
      <c r="J34" s="563">
        <v>0</v>
      </c>
      <c r="K34" s="563">
        <v>0</v>
      </c>
      <c r="L34" s="563">
        <v>0</v>
      </c>
      <c r="M34" s="563">
        <v>0</v>
      </c>
      <c r="N34" s="562"/>
      <c r="O34" s="562">
        <v>1</v>
      </c>
      <c r="P34" s="563">
        <v>1</v>
      </c>
      <c r="Q34" s="563">
        <v>0</v>
      </c>
      <c r="R34" s="563">
        <v>0</v>
      </c>
      <c r="S34" s="563">
        <v>0</v>
      </c>
      <c r="T34" s="562">
        <v>0</v>
      </c>
      <c r="U34" s="562">
        <v>4</v>
      </c>
      <c r="V34" s="563">
        <v>4</v>
      </c>
      <c r="W34" s="563">
        <v>48</v>
      </c>
      <c r="X34" s="563">
        <v>201</v>
      </c>
      <c r="Y34" s="563">
        <v>249</v>
      </c>
      <c r="Z34" s="562">
        <v>62</v>
      </c>
      <c r="AA34" s="562">
        <v>0</v>
      </c>
      <c r="AB34" s="563">
        <v>0</v>
      </c>
      <c r="AC34" s="563">
        <v>0</v>
      </c>
      <c r="AD34" s="563">
        <v>0</v>
      </c>
      <c r="AE34" s="563">
        <v>0</v>
      </c>
      <c r="AF34" s="562"/>
      <c r="AG34" s="562">
        <v>0</v>
      </c>
      <c r="AH34" s="562">
        <v>0</v>
      </c>
      <c r="AI34" s="562">
        <v>0</v>
      </c>
      <c r="AJ34" s="562">
        <v>0</v>
      </c>
      <c r="AK34" s="562">
        <v>0</v>
      </c>
      <c r="AL34" s="562"/>
      <c r="AM34" s="562">
        <v>1</v>
      </c>
      <c r="AN34" s="562">
        <v>1</v>
      </c>
      <c r="AO34" s="562">
        <v>56</v>
      </c>
      <c r="AP34" s="562">
        <v>22</v>
      </c>
      <c r="AQ34" s="562">
        <v>78</v>
      </c>
      <c r="AR34" s="562">
        <v>78</v>
      </c>
      <c r="AS34" s="563">
        <f t="shared" si="1"/>
        <v>8</v>
      </c>
      <c r="AT34" s="563">
        <f t="shared" si="2"/>
        <v>8</v>
      </c>
      <c r="AU34" s="563">
        <f t="shared" si="3"/>
        <v>919</v>
      </c>
      <c r="AV34" s="563">
        <f t="shared" si="4"/>
        <v>691</v>
      </c>
      <c r="AW34" s="563">
        <f t="shared" si="5"/>
        <v>1610</v>
      </c>
      <c r="AX34" s="564">
        <f t="shared" si="6"/>
        <v>201.25</v>
      </c>
    </row>
    <row r="35" spans="1:50" s="341" customFormat="1" ht="21.75" customHeight="1">
      <c r="A35" s="522">
        <v>30</v>
      </c>
      <c r="B35" s="565" t="s">
        <v>44</v>
      </c>
      <c r="C35" s="562">
        <v>494</v>
      </c>
      <c r="D35" s="563">
        <v>494</v>
      </c>
      <c r="E35" s="563">
        <v>226690</v>
      </c>
      <c r="F35" s="563">
        <v>22850</v>
      </c>
      <c r="G35" s="563">
        <v>249540</v>
      </c>
      <c r="H35" s="562">
        <v>505</v>
      </c>
      <c r="I35" s="562">
        <v>10</v>
      </c>
      <c r="J35" s="563">
        <v>8</v>
      </c>
      <c r="K35" s="563">
        <v>644</v>
      </c>
      <c r="L35" s="563">
        <v>381</v>
      </c>
      <c r="M35" s="563">
        <v>1025</v>
      </c>
      <c r="N35" s="562">
        <v>103</v>
      </c>
      <c r="O35" s="562">
        <v>105</v>
      </c>
      <c r="P35" s="563">
        <v>105</v>
      </c>
      <c r="Q35" s="563">
        <v>79</v>
      </c>
      <c r="R35" s="563">
        <v>7867</v>
      </c>
      <c r="S35" s="563">
        <v>7946</v>
      </c>
      <c r="T35" s="562">
        <v>76</v>
      </c>
      <c r="U35" s="562">
        <v>280</v>
      </c>
      <c r="V35" s="563">
        <v>278</v>
      </c>
      <c r="W35" s="563">
        <v>416</v>
      </c>
      <c r="X35" s="563">
        <v>4783</v>
      </c>
      <c r="Y35" s="563">
        <v>5199</v>
      </c>
      <c r="Z35" s="562">
        <v>19</v>
      </c>
      <c r="AA35" s="562">
        <v>4</v>
      </c>
      <c r="AB35" s="563">
        <v>4</v>
      </c>
      <c r="AC35" s="563">
        <v>879</v>
      </c>
      <c r="AD35" s="563">
        <v>100</v>
      </c>
      <c r="AE35" s="563">
        <v>979</v>
      </c>
      <c r="AF35" s="562">
        <v>245</v>
      </c>
      <c r="AG35" s="562">
        <v>0</v>
      </c>
      <c r="AH35" s="562">
        <v>0</v>
      </c>
      <c r="AI35" s="562">
        <v>0</v>
      </c>
      <c r="AJ35" s="562">
        <v>0</v>
      </c>
      <c r="AK35" s="562">
        <v>0</v>
      </c>
      <c r="AL35" s="562"/>
      <c r="AM35" s="562">
        <v>2</v>
      </c>
      <c r="AN35" s="562">
        <v>2</v>
      </c>
      <c r="AO35" s="562">
        <v>1011</v>
      </c>
      <c r="AP35" s="562">
        <v>204</v>
      </c>
      <c r="AQ35" s="562">
        <v>1215</v>
      </c>
      <c r="AR35" s="562">
        <v>608</v>
      </c>
      <c r="AS35" s="563">
        <f t="shared" si="1"/>
        <v>895</v>
      </c>
      <c r="AT35" s="563">
        <f t="shared" si="2"/>
        <v>891</v>
      </c>
      <c r="AU35" s="563">
        <f t="shared" si="3"/>
        <v>229719</v>
      </c>
      <c r="AV35" s="563">
        <f t="shared" si="4"/>
        <v>36185</v>
      </c>
      <c r="AW35" s="563">
        <f t="shared" si="5"/>
        <v>265904</v>
      </c>
      <c r="AX35" s="564">
        <f t="shared" si="6"/>
        <v>297.09944134078211</v>
      </c>
    </row>
    <row r="36" spans="1:50" s="341" customFormat="1" ht="21.75" customHeight="1">
      <c r="A36" s="522">
        <v>31</v>
      </c>
      <c r="B36" s="565" t="s">
        <v>142</v>
      </c>
      <c r="C36" s="562">
        <v>135</v>
      </c>
      <c r="D36" s="563">
        <v>135</v>
      </c>
      <c r="E36" s="563">
        <v>43692</v>
      </c>
      <c r="F36" s="563">
        <v>18153</v>
      </c>
      <c r="G36" s="563">
        <v>61845</v>
      </c>
      <c r="H36" s="562">
        <v>458</v>
      </c>
      <c r="I36" s="562">
        <v>16</v>
      </c>
      <c r="J36" s="563">
        <v>12</v>
      </c>
      <c r="K36" s="563">
        <v>1813</v>
      </c>
      <c r="L36" s="563">
        <v>1391</v>
      </c>
      <c r="M36" s="563">
        <v>3204</v>
      </c>
      <c r="N36" s="562">
        <v>200</v>
      </c>
      <c r="O36" s="562">
        <v>126</v>
      </c>
      <c r="P36" s="563">
        <v>124</v>
      </c>
      <c r="Q36" s="563">
        <v>557</v>
      </c>
      <c r="R36" s="563">
        <v>12738</v>
      </c>
      <c r="S36" s="563">
        <v>13295</v>
      </c>
      <c r="T36" s="562">
        <v>106</v>
      </c>
      <c r="U36" s="562">
        <v>177</v>
      </c>
      <c r="V36" s="563">
        <v>176</v>
      </c>
      <c r="W36" s="563">
        <v>2540</v>
      </c>
      <c r="X36" s="563">
        <v>7961</v>
      </c>
      <c r="Y36" s="563">
        <v>10501</v>
      </c>
      <c r="Z36" s="562">
        <v>59</v>
      </c>
      <c r="AA36" s="562">
        <v>3</v>
      </c>
      <c r="AB36" s="563">
        <v>0</v>
      </c>
      <c r="AC36" s="563">
        <v>0</v>
      </c>
      <c r="AD36" s="563">
        <v>0</v>
      </c>
      <c r="AE36" s="563">
        <v>0</v>
      </c>
      <c r="AF36" s="562">
        <v>0</v>
      </c>
      <c r="AG36" s="562">
        <v>0</v>
      </c>
      <c r="AH36" s="562">
        <v>0</v>
      </c>
      <c r="AI36" s="562">
        <v>0</v>
      </c>
      <c r="AJ36" s="562">
        <v>0</v>
      </c>
      <c r="AK36" s="562">
        <v>0</v>
      </c>
      <c r="AL36" s="562"/>
      <c r="AM36" s="562">
        <v>1</v>
      </c>
      <c r="AN36" s="562">
        <v>1</v>
      </c>
      <c r="AO36" s="562">
        <v>570</v>
      </c>
      <c r="AP36" s="562">
        <v>174</v>
      </c>
      <c r="AQ36" s="562">
        <v>744</v>
      </c>
      <c r="AR36" s="562">
        <v>744</v>
      </c>
      <c r="AS36" s="563">
        <f t="shared" si="1"/>
        <v>458</v>
      </c>
      <c r="AT36" s="563">
        <f t="shared" si="2"/>
        <v>448</v>
      </c>
      <c r="AU36" s="563">
        <f t="shared" si="3"/>
        <v>49172</v>
      </c>
      <c r="AV36" s="563">
        <f t="shared" si="4"/>
        <v>40417</v>
      </c>
      <c r="AW36" s="563">
        <f t="shared" si="5"/>
        <v>89589</v>
      </c>
      <c r="AX36" s="564">
        <f t="shared" si="6"/>
        <v>195.60917030567686</v>
      </c>
    </row>
    <row r="37" spans="1:50" s="341" customFormat="1" ht="39">
      <c r="A37" s="522">
        <v>32</v>
      </c>
      <c r="B37" s="781" t="s">
        <v>173</v>
      </c>
      <c r="C37" s="562">
        <v>0</v>
      </c>
      <c r="D37" s="563">
        <v>0</v>
      </c>
      <c r="E37" s="563">
        <v>0</v>
      </c>
      <c r="F37" s="563">
        <v>0</v>
      </c>
      <c r="G37" s="563">
        <v>0</v>
      </c>
      <c r="H37" s="562"/>
      <c r="I37" s="562">
        <v>0</v>
      </c>
      <c r="J37" s="563">
        <v>0</v>
      </c>
      <c r="K37" s="563">
        <v>0</v>
      </c>
      <c r="L37" s="563">
        <v>0</v>
      </c>
      <c r="M37" s="563">
        <v>0</v>
      </c>
      <c r="N37" s="562"/>
      <c r="O37" s="562">
        <v>0</v>
      </c>
      <c r="P37" s="563">
        <v>0</v>
      </c>
      <c r="Q37" s="563">
        <v>0</v>
      </c>
      <c r="R37" s="563">
        <v>0</v>
      </c>
      <c r="S37" s="563">
        <v>0</v>
      </c>
      <c r="T37" s="562"/>
      <c r="U37" s="562">
        <v>0</v>
      </c>
      <c r="V37" s="563">
        <v>0</v>
      </c>
      <c r="W37" s="563">
        <v>0</v>
      </c>
      <c r="X37" s="563">
        <v>0</v>
      </c>
      <c r="Y37" s="563">
        <v>0</v>
      </c>
      <c r="Z37" s="562"/>
      <c r="AA37" s="562">
        <v>0</v>
      </c>
      <c r="AB37" s="563">
        <v>0</v>
      </c>
      <c r="AC37" s="563">
        <v>0</v>
      </c>
      <c r="AD37" s="563">
        <v>0</v>
      </c>
      <c r="AE37" s="563">
        <v>0</v>
      </c>
      <c r="AF37" s="562"/>
      <c r="AG37" s="562">
        <v>0</v>
      </c>
      <c r="AH37" s="562">
        <v>0</v>
      </c>
      <c r="AI37" s="562">
        <v>0</v>
      </c>
      <c r="AJ37" s="562">
        <v>0</v>
      </c>
      <c r="AK37" s="562">
        <v>0</v>
      </c>
      <c r="AL37" s="562"/>
      <c r="AM37" s="562">
        <v>1</v>
      </c>
      <c r="AN37" s="562">
        <v>1</v>
      </c>
      <c r="AO37" s="562">
        <v>131</v>
      </c>
      <c r="AP37" s="562">
        <v>30</v>
      </c>
      <c r="AQ37" s="562">
        <v>161</v>
      </c>
      <c r="AR37" s="562">
        <v>161</v>
      </c>
      <c r="AS37" s="563">
        <f t="shared" si="1"/>
        <v>1</v>
      </c>
      <c r="AT37" s="563">
        <f t="shared" si="2"/>
        <v>1</v>
      </c>
      <c r="AU37" s="563">
        <f t="shared" si="3"/>
        <v>131</v>
      </c>
      <c r="AV37" s="563">
        <f t="shared" si="4"/>
        <v>30</v>
      </c>
      <c r="AW37" s="563">
        <f t="shared" si="5"/>
        <v>161</v>
      </c>
      <c r="AX37" s="564">
        <f t="shared" si="6"/>
        <v>161</v>
      </c>
    </row>
    <row r="38" spans="1:50" s="341" customFormat="1" ht="21.75" customHeight="1">
      <c r="A38" s="522">
        <v>33</v>
      </c>
      <c r="B38" s="565" t="s">
        <v>45</v>
      </c>
      <c r="C38" s="562">
        <v>0</v>
      </c>
      <c r="D38" s="563">
        <v>0</v>
      </c>
      <c r="E38" s="563">
        <v>0</v>
      </c>
      <c r="F38" s="563">
        <v>0</v>
      </c>
      <c r="G38" s="563">
        <v>0</v>
      </c>
      <c r="H38" s="562"/>
      <c r="I38" s="562">
        <v>0</v>
      </c>
      <c r="J38" s="563">
        <v>0</v>
      </c>
      <c r="K38" s="563">
        <v>0</v>
      </c>
      <c r="L38" s="563">
        <v>0</v>
      </c>
      <c r="M38" s="563">
        <v>0</v>
      </c>
      <c r="N38" s="562"/>
      <c r="O38" s="562">
        <v>8</v>
      </c>
      <c r="P38" s="563">
        <v>6</v>
      </c>
      <c r="Q38" s="563">
        <v>136</v>
      </c>
      <c r="R38" s="563">
        <v>662</v>
      </c>
      <c r="S38" s="563">
        <v>798</v>
      </c>
      <c r="T38" s="562">
        <v>100</v>
      </c>
      <c r="U38" s="562">
        <v>4</v>
      </c>
      <c r="V38" s="563">
        <v>4</v>
      </c>
      <c r="W38" s="563">
        <v>249</v>
      </c>
      <c r="X38" s="563">
        <v>429</v>
      </c>
      <c r="Y38" s="563">
        <v>678</v>
      </c>
      <c r="Z38" s="562">
        <v>170</v>
      </c>
      <c r="AA38" s="562">
        <v>2</v>
      </c>
      <c r="AB38" s="563">
        <v>2</v>
      </c>
      <c r="AC38" s="563">
        <v>60</v>
      </c>
      <c r="AD38" s="563">
        <v>19</v>
      </c>
      <c r="AE38" s="563">
        <v>79</v>
      </c>
      <c r="AF38" s="562">
        <v>40</v>
      </c>
      <c r="AG38" s="562">
        <v>0</v>
      </c>
      <c r="AH38" s="562">
        <v>0</v>
      </c>
      <c r="AI38" s="562">
        <v>0</v>
      </c>
      <c r="AJ38" s="562">
        <v>0</v>
      </c>
      <c r="AK38" s="562">
        <v>0</v>
      </c>
      <c r="AL38" s="562"/>
      <c r="AM38" s="562">
        <v>0</v>
      </c>
      <c r="AN38" s="562">
        <v>0</v>
      </c>
      <c r="AO38" s="562">
        <v>0</v>
      </c>
      <c r="AP38" s="562">
        <v>0</v>
      </c>
      <c r="AQ38" s="562">
        <v>0</v>
      </c>
      <c r="AR38" s="562"/>
      <c r="AS38" s="563">
        <f t="shared" si="1"/>
        <v>14</v>
      </c>
      <c r="AT38" s="563">
        <f t="shared" si="2"/>
        <v>12</v>
      </c>
      <c r="AU38" s="563">
        <f t="shared" si="3"/>
        <v>445</v>
      </c>
      <c r="AV38" s="563">
        <f t="shared" si="4"/>
        <v>1110</v>
      </c>
      <c r="AW38" s="563">
        <f t="shared" si="5"/>
        <v>1555</v>
      </c>
      <c r="AX38" s="564">
        <f t="shared" si="6"/>
        <v>111.07142857142857</v>
      </c>
    </row>
    <row r="39" spans="1:50" s="341" customFormat="1" ht="21.75" customHeight="1">
      <c r="A39" s="522">
        <v>34</v>
      </c>
      <c r="B39" s="565" t="s">
        <v>47</v>
      </c>
      <c r="C39" s="562">
        <v>542</v>
      </c>
      <c r="D39" s="563">
        <v>434</v>
      </c>
      <c r="E39" s="563">
        <v>130801</v>
      </c>
      <c r="F39" s="563">
        <v>23576</v>
      </c>
      <c r="G39" s="563">
        <v>154377</v>
      </c>
      <c r="H39" s="562">
        <v>285</v>
      </c>
      <c r="I39" s="562">
        <v>38</v>
      </c>
      <c r="J39" s="563">
        <v>36</v>
      </c>
      <c r="K39" s="563">
        <v>8468</v>
      </c>
      <c r="L39" s="563">
        <v>4571</v>
      </c>
      <c r="M39" s="563">
        <v>13039</v>
      </c>
      <c r="N39" s="562">
        <v>343</v>
      </c>
      <c r="O39" s="562">
        <v>284</v>
      </c>
      <c r="P39" s="563">
        <v>270</v>
      </c>
      <c r="Q39" s="563">
        <v>9111</v>
      </c>
      <c r="R39" s="563">
        <v>49372</v>
      </c>
      <c r="S39" s="563">
        <v>58483</v>
      </c>
      <c r="T39" s="562">
        <v>206</v>
      </c>
      <c r="U39" s="562">
        <v>197</v>
      </c>
      <c r="V39" s="563">
        <v>142</v>
      </c>
      <c r="W39" s="563">
        <v>6470</v>
      </c>
      <c r="X39" s="563">
        <v>8206</v>
      </c>
      <c r="Y39" s="563">
        <v>14676</v>
      </c>
      <c r="Z39" s="562">
        <v>74</v>
      </c>
      <c r="AA39" s="562">
        <v>6</v>
      </c>
      <c r="AB39" s="563">
        <v>3</v>
      </c>
      <c r="AC39" s="563">
        <v>608</v>
      </c>
      <c r="AD39" s="563">
        <v>69</v>
      </c>
      <c r="AE39" s="563">
        <v>677</v>
      </c>
      <c r="AF39" s="562">
        <v>113</v>
      </c>
      <c r="AG39" s="562">
        <v>77</v>
      </c>
      <c r="AH39" s="562">
        <v>28</v>
      </c>
      <c r="AI39" s="562">
        <v>1292</v>
      </c>
      <c r="AJ39" s="562">
        <v>592</v>
      </c>
      <c r="AK39" s="562">
        <v>1884</v>
      </c>
      <c r="AL39" s="562">
        <v>24</v>
      </c>
      <c r="AM39" s="562">
        <v>4</v>
      </c>
      <c r="AN39" s="562">
        <v>4</v>
      </c>
      <c r="AO39" s="562">
        <v>895</v>
      </c>
      <c r="AP39" s="562">
        <v>264</v>
      </c>
      <c r="AQ39" s="562">
        <v>1159</v>
      </c>
      <c r="AR39" s="562">
        <v>290</v>
      </c>
      <c r="AS39" s="563">
        <f t="shared" si="1"/>
        <v>1148</v>
      </c>
      <c r="AT39" s="563">
        <f t="shared" si="2"/>
        <v>917</v>
      </c>
      <c r="AU39" s="563">
        <f t="shared" si="3"/>
        <v>157645</v>
      </c>
      <c r="AV39" s="563">
        <f t="shared" si="4"/>
        <v>86650</v>
      </c>
      <c r="AW39" s="563">
        <f t="shared" si="5"/>
        <v>244295</v>
      </c>
      <c r="AX39" s="564">
        <f t="shared" si="6"/>
        <v>212.80052264808361</v>
      </c>
    </row>
    <row r="40" spans="1:50" s="341" customFormat="1" ht="21.75" customHeight="1">
      <c r="A40" s="522">
        <v>35</v>
      </c>
      <c r="B40" s="565" t="s">
        <v>46</v>
      </c>
      <c r="C40" s="562">
        <v>113</v>
      </c>
      <c r="D40" s="563">
        <v>111</v>
      </c>
      <c r="E40" s="563">
        <v>12644</v>
      </c>
      <c r="F40" s="563">
        <v>3465</v>
      </c>
      <c r="G40" s="563">
        <v>16109</v>
      </c>
      <c r="H40" s="562">
        <v>143</v>
      </c>
      <c r="I40" s="562">
        <v>2</v>
      </c>
      <c r="J40" s="563">
        <v>2</v>
      </c>
      <c r="K40" s="563">
        <v>239</v>
      </c>
      <c r="L40" s="563">
        <v>479</v>
      </c>
      <c r="M40" s="563">
        <v>718</v>
      </c>
      <c r="N40" s="562">
        <v>359</v>
      </c>
      <c r="O40" s="562">
        <v>24</v>
      </c>
      <c r="P40" s="563">
        <v>22</v>
      </c>
      <c r="Q40" s="563">
        <v>984</v>
      </c>
      <c r="R40" s="563">
        <v>1809</v>
      </c>
      <c r="S40" s="563">
        <v>2793</v>
      </c>
      <c r="T40" s="562">
        <v>116</v>
      </c>
      <c r="U40" s="562">
        <v>11</v>
      </c>
      <c r="V40" s="563">
        <v>11</v>
      </c>
      <c r="W40" s="563">
        <v>144</v>
      </c>
      <c r="X40" s="563">
        <v>71</v>
      </c>
      <c r="Y40" s="563">
        <v>215</v>
      </c>
      <c r="Z40" s="562">
        <v>20</v>
      </c>
      <c r="AA40" s="562">
        <v>2</v>
      </c>
      <c r="AB40" s="563">
        <v>2</v>
      </c>
      <c r="AC40" s="563">
        <v>509</v>
      </c>
      <c r="AD40" s="563">
        <v>55</v>
      </c>
      <c r="AE40" s="563">
        <v>564</v>
      </c>
      <c r="AF40" s="562">
        <v>282</v>
      </c>
      <c r="AG40" s="562">
        <v>0</v>
      </c>
      <c r="AH40" s="562">
        <v>0</v>
      </c>
      <c r="AI40" s="562">
        <v>0</v>
      </c>
      <c r="AJ40" s="562">
        <v>0</v>
      </c>
      <c r="AK40" s="562">
        <v>0</v>
      </c>
      <c r="AL40" s="562"/>
      <c r="AM40" s="562">
        <v>1</v>
      </c>
      <c r="AN40" s="562">
        <v>1</v>
      </c>
      <c r="AO40" s="562">
        <v>432</v>
      </c>
      <c r="AP40" s="562">
        <v>34</v>
      </c>
      <c r="AQ40" s="562">
        <v>466</v>
      </c>
      <c r="AR40" s="562">
        <v>466</v>
      </c>
      <c r="AS40" s="563">
        <f t="shared" si="1"/>
        <v>153</v>
      </c>
      <c r="AT40" s="563">
        <f t="shared" si="2"/>
        <v>149</v>
      </c>
      <c r="AU40" s="563">
        <f t="shared" si="3"/>
        <v>14952</v>
      </c>
      <c r="AV40" s="563">
        <f t="shared" si="4"/>
        <v>5913</v>
      </c>
      <c r="AW40" s="563">
        <f t="shared" si="5"/>
        <v>20865</v>
      </c>
      <c r="AX40" s="564">
        <f t="shared" si="6"/>
        <v>136.37254901960785</v>
      </c>
    </row>
    <row r="41" spans="1:50" s="341" customFormat="1" ht="21.75" customHeight="1">
      <c r="A41" s="522">
        <v>36</v>
      </c>
      <c r="B41" s="565" t="s">
        <v>48</v>
      </c>
      <c r="C41" s="562">
        <v>166</v>
      </c>
      <c r="D41" s="563">
        <v>166</v>
      </c>
      <c r="E41" s="563">
        <v>71595</v>
      </c>
      <c r="F41" s="563">
        <v>11012</v>
      </c>
      <c r="G41" s="563">
        <v>82607</v>
      </c>
      <c r="H41" s="562">
        <v>498</v>
      </c>
      <c r="I41" s="562">
        <v>16</v>
      </c>
      <c r="J41" s="563">
        <v>16</v>
      </c>
      <c r="K41" s="563">
        <v>3330</v>
      </c>
      <c r="L41" s="563">
        <v>1676</v>
      </c>
      <c r="M41" s="563">
        <v>5006</v>
      </c>
      <c r="N41" s="562">
        <v>313</v>
      </c>
      <c r="O41" s="562">
        <v>96</v>
      </c>
      <c r="P41" s="563">
        <v>96</v>
      </c>
      <c r="Q41" s="563">
        <v>454</v>
      </c>
      <c r="R41" s="563">
        <v>16274</v>
      </c>
      <c r="S41" s="563">
        <v>16728</v>
      </c>
      <c r="T41" s="562">
        <v>174</v>
      </c>
      <c r="U41" s="562">
        <v>227</v>
      </c>
      <c r="V41" s="563">
        <v>227</v>
      </c>
      <c r="W41" s="563">
        <v>21069</v>
      </c>
      <c r="X41" s="563">
        <v>24126</v>
      </c>
      <c r="Y41" s="563">
        <v>45195</v>
      </c>
      <c r="Z41" s="562">
        <v>199</v>
      </c>
      <c r="AA41" s="562">
        <v>14</v>
      </c>
      <c r="AB41" s="563">
        <v>14</v>
      </c>
      <c r="AC41" s="563">
        <v>3705</v>
      </c>
      <c r="AD41" s="563">
        <v>2508</v>
      </c>
      <c r="AE41" s="563">
        <v>6213</v>
      </c>
      <c r="AF41" s="562">
        <v>444</v>
      </c>
      <c r="AG41" s="562">
        <v>6</v>
      </c>
      <c r="AH41" s="562">
        <v>5</v>
      </c>
      <c r="AI41" s="562">
        <v>144</v>
      </c>
      <c r="AJ41" s="562">
        <v>86</v>
      </c>
      <c r="AK41" s="562">
        <v>230</v>
      </c>
      <c r="AL41" s="562">
        <v>38</v>
      </c>
      <c r="AM41" s="562">
        <v>2</v>
      </c>
      <c r="AN41" s="562">
        <v>2</v>
      </c>
      <c r="AO41" s="562">
        <v>235</v>
      </c>
      <c r="AP41" s="562">
        <v>115</v>
      </c>
      <c r="AQ41" s="562">
        <v>350</v>
      </c>
      <c r="AR41" s="562">
        <v>175</v>
      </c>
      <c r="AS41" s="563">
        <f t="shared" si="1"/>
        <v>527</v>
      </c>
      <c r="AT41" s="563">
        <f t="shared" si="2"/>
        <v>526</v>
      </c>
      <c r="AU41" s="563">
        <f t="shared" si="3"/>
        <v>100532</v>
      </c>
      <c r="AV41" s="563">
        <f t="shared" si="4"/>
        <v>55797</v>
      </c>
      <c r="AW41" s="563">
        <f t="shared" si="5"/>
        <v>156329</v>
      </c>
      <c r="AX41" s="564">
        <f t="shared" si="6"/>
        <v>296.63946869070207</v>
      </c>
    </row>
    <row r="42" spans="1:50" s="824" customFormat="1" ht="21.75" customHeight="1">
      <c r="A42" s="971" t="s">
        <v>49</v>
      </c>
      <c r="B42" s="971"/>
      <c r="C42" s="565">
        <v>3780</v>
      </c>
      <c r="D42" s="565">
        <v>3588</v>
      </c>
      <c r="E42" s="565">
        <v>1127627</v>
      </c>
      <c r="F42" s="565">
        <v>264404</v>
      </c>
      <c r="G42" s="565">
        <v>1392031</v>
      </c>
      <c r="H42" s="845">
        <v>368.16477122454376</v>
      </c>
      <c r="I42" s="565">
        <v>282</v>
      </c>
      <c r="J42" s="565">
        <v>223</v>
      </c>
      <c r="K42" s="565">
        <v>37901</v>
      </c>
      <c r="L42" s="565">
        <v>23812</v>
      </c>
      <c r="M42" s="565">
        <v>61713</v>
      </c>
      <c r="N42" s="845">
        <v>218.84042553191489</v>
      </c>
      <c r="O42" s="565">
        <v>3267</v>
      </c>
      <c r="P42" s="565">
        <v>3079</v>
      </c>
      <c r="Q42" s="565">
        <v>61784</v>
      </c>
      <c r="R42" s="565">
        <v>297074</v>
      </c>
      <c r="S42" s="565">
        <v>358858</v>
      </c>
      <c r="T42" s="845">
        <v>109.84328129782675</v>
      </c>
      <c r="U42" s="565">
        <v>3188</v>
      </c>
      <c r="V42" s="565">
        <v>3028</v>
      </c>
      <c r="W42" s="565">
        <v>91631</v>
      </c>
      <c r="X42" s="565">
        <v>155605</v>
      </c>
      <c r="Y42" s="565">
        <v>247236</v>
      </c>
      <c r="Z42" s="845">
        <v>77.552070263488076</v>
      </c>
      <c r="AA42" s="565">
        <v>84</v>
      </c>
      <c r="AB42" s="565">
        <v>72</v>
      </c>
      <c r="AC42" s="565">
        <v>13378</v>
      </c>
      <c r="AD42" s="565">
        <v>5285</v>
      </c>
      <c r="AE42" s="565">
        <v>18663</v>
      </c>
      <c r="AF42" s="845">
        <v>222.17857142857142</v>
      </c>
      <c r="AG42" s="565">
        <v>639</v>
      </c>
      <c r="AH42" s="565">
        <v>275</v>
      </c>
      <c r="AI42" s="565">
        <v>16406</v>
      </c>
      <c r="AJ42" s="565">
        <v>14921</v>
      </c>
      <c r="AK42" s="565">
        <v>31327</v>
      </c>
      <c r="AL42" s="845">
        <v>49.02503912363067</v>
      </c>
      <c r="AM42" s="565">
        <v>55</v>
      </c>
      <c r="AN42" s="565">
        <v>42</v>
      </c>
      <c r="AO42" s="565">
        <v>11729</v>
      </c>
      <c r="AP42" s="565">
        <v>2876</v>
      </c>
      <c r="AQ42" s="565">
        <v>14605</v>
      </c>
      <c r="AR42" s="845">
        <v>265.54545454545456</v>
      </c>
      <c r="AS42" s="565">
        <f>SUM(AS6:AS41)</f>
        <v>11296</v>
      </c>
      <c r="AT42" s="565">
        <f>SUM(AT6:AT41)</f>
        <v>10307</v>
      </c>
      <c r="AU42" s="565">
        <f t="shared" ref="AU42:AW42" si="7">SUM(AU6:AU41)</f>
        <v>1360456</v>
      </c>
      <c r="AV42" s="565">
        <f t="shared" si="7"/>
        <v>763977</v>
      </c>
      <c r="AW42" s="565">
        <f t="shared" si="7"/>
        <v>2124433</v>
      </c>
      <c r="AX42" s="564">
        <f t="shared" si="6"/>
        <v>188.06949362606233</v>
      </c>
    </row>
    <row r="43" spans="1:50">
      <c r="C43" s="659" t="e">
        <v>#VALUE!</v>
      </c>
      <c r="D43" s="659" t="b">
        <v>1</v>
      </c>
      <c r="E43" s="659" t="b">
        <v>1</v>
      </c>
      <c r="F43" s="659" t="b">
        <v>1</v>
      </c>
      <c r="G43" s="659" t="b">
        <v>1</v>
      </c>
      <c r="I43" s="659" t="e">
        <v>#VALUE!</v>
      </c>
      <c r="J43" s="659" t="b">
        <v>1</v>
      </c>
      <c r="K43" s="659" t="b">
        <v>1</v>
      </c>
      <c r="L43" s="659" t="b">
        <v>1</v>
      </c>
      <c r="M43" s="659" t="b">
        <v>1</v>
      </c>
      <c r="O43" s="659" t="e">
        <v>#VALUE!</v>
      </c>
      <c r="P43" s="659" t="b">
        <v>1</v>
      </c>
      <c r="Q43" s="659" t="b">
        <v>1</v>
      </c>
      <c r="R43" s="659" t="b">
        <v>1</v>
      </c>
      <c r="S43" s="659" t="b">
        <v>1</v>
      </c>
      <c r="U43" s="659" t="e">
        <v>#VALUE!</v>
      </c>
      <c r="V43" s="659" t="b">
        <v>1</v>
      </c>
      <c r="W43" s="659" t="b">
        <v>1</v>
      </c>
      <c r="X43" s="659" t="b">
        <v>1</v>
      </c>
      <c r="Y43" s="659" t="b">
        <v>1</v>
      </c>
      <c r="AA43" s="659" t="e">
        <v>#VALUE!</v>
      </c>
      <c r="AB43" s="659" t="b">
        <v>1</v>
      </c>
      <c r="AC43" s="659" t="b">
        <v>1</v>
      </c>
      <c r="AD43" s="659" t="b">
        <v>1</v>
      </c>
      <c r="AE43" s="659" t="b">
        <v>1</v>
      </c>
      <c r="AS43" s="659" t="e">
        <v>#VALUE!</v>
      </c>
      <c r="AT43" s="659" t="b">
        <v>1</v>
      </c>
      <c r="AU43" s="659" t="b">
        <v>1</v>
      </c>
      <c r="AV43" s="659" t="b">
        <v>1</v>
      </c>
      <c r="AW43" s="659" t="b">
        <v>1</v>
      </c>
    </row>
    <row r="44" spans="1:50">
      <c r="AU44" s="659">
        <v>64.04682148191074</v>
      </c>
    </row>
    <row r="45" spans="1:50">
      <c r="C45" s="846" t="s">
        <v>87</v>
      </c>
      <c r="D45" s="846" t="s">
        <v>88</v>
      </c>
      <c r="E45" s="847" t="s">
        <v>12</v>
      </c>
    </row>
    <row r="46" spans="1:50">
      <c r="B46" s="659" t="s">
        <v>103</v>
      </c>
      <c r="C46" s="659">
        <v>981968</v>
      </c>
      <c r="D46" s="659">
        <v>210499</v>
      </c>
      <c r="E46" s="659">
        <v>1192467</v>
      </c>
      <c r="F46" s="848">
        <v>82.347603749202278</v>
      </c>
    </row>
    <row r="47" spans="1:50">
      <c r="B47" s="659" t="s">
        <v>76</v>
      </c>
      <c r="C47" s="659">
        <v>16051</v>
      </c>
      <c r="D47" s="659">
        <v>88510</v>
      </c>
      <c r="E47" s="659">
        <v>104561</v>
      </c>
      <c r="F47" s="848">
        <v>15.350847830453038</v>
      </c>
    </row>
    <row r="48" spans="1:50">
      <c r="B48" s="659" t="s">
        <v>75</v>
      </c>
      <c r="C48" s="659">
        <v>123103</v>
      </c>
      <c r="D48" s="659">
        <v>199560</v>
      </c>
      <c r="E48" s="659">
        <v>322663</v>
      </c>
      <c r="F48" s="848">
        <v>38.152189745957855</v>
      </c>
    </row>
    <row r="50" spans="2:5">
      <c r="B50" s="659" t="s">
        <v>103</v>
      </c>
      <c r="D50" s="659" t="s">
        <v>44</v>
      </c>
      <c r="E50" s="659">
        <v>90.842398381312989</v>
      </c>
    </row>
    <row r="51" spans="2:5">
      <c r="D51" s="659" t="s">
        <v>34</v>
      </c>
      <c r="E51" s="659">
        <v>72.018265142365536</v>
      </c>
    </row>
    <row r="52" spans="2:5">
      <c r="D52" s="659" t="s">
        <v>30</v>
      </c>
      <c r="E52" s="659">
        <v>75.436422733869122</v>
      </c>
    </row>
    <row r="53" spans="2:5">
      <c r="D53" s="659" t="s">
        <v>41</v>
      </c>
      <c r="E53" s="659">
        <v>81.677490672930773</v>
      </c>
    </row>
    <row r="54" spans="2:5">
      <c r="D54" s="659" t="s">
        <v>39</v>
      </c>
      <c r="E54" s="659">
        <v>82.151192395824495</v>
      </c>
    </row>
    <row r="55" spans="2:5">
      <c r="D55" s="659" t="s">
        <v>15</v>
      </c>
      <c r="E55" s="659">
        <v>76.556683587140441</v>
      </c>
    </row>
    <row r="56" spans="2:5">
      <c r="D56" s="659" t="s">
        <v>26</v>
      </c>
      <c r="E56" s="659">
        <v>83.706531629544642</v>
      </c>
    </row>
    <row r="58" spans="2:5">
      <c r="B58" s="659" t="s">
        <v>76</v>
      </c>
      <c r="D58" s="659" t="s">
        <v>30</v>
      </c>
      <c r="E58" s="659">
        <v>68.504976081816679</v>
      </c>
    </row>
    <row r="59" spans="2:5">
      <c r="D59" s="659" t="s">
        <v>15</v>
      </c>
      <c r="E59" s="659">
        <v>90.825834833033383</v>
      </c>
    </row>
    <row r="60" spans="2:5">
      <c r="D60" s="659" t="s">
        <v>31</v>
      </c>
      <c r="E60" s="659">
        <v>95.920815836832631</v>
      </c>
    </row>
    <row r="62" spans="2:5">
      <c r="B62" s="659" t="s">
        <v>75</v>
      </c>
      <c r="D62" s="659" t="s">
        <v>30</v>
      </c>
      <c r="E62" s="659">
        <v>74.142207523770153</v>
      </c>
    </row>
    <row r="63" spans="2:5">
      <c r="D63" s="659" t="s">
        <v>34</v>
      </c>
      <c r="E63" s="659">
        <v>75.637178823935159</v>
      </c>
    </row>
    <row r="64" spans="2:5">
      <c r="D64" s="659" t="s">
        <v>47</v>
      </c>
      <c r="E64" s="659">
        <v>55.914418097574277</v>
      </c>
    </row>
    <row r="65" spans="4:5">
      <c r="D65" s="659" t="s">
        <v>44</v>
      </c>
      <c r="E65" s="659">
        <v>91.998461242546639</v>
      </c>
    </row>
    <row r="66" spans="4:5">
      <c r="D66" s="659" t="s">
        <v>15</v>
      </c>
      <c r="E66" s="659">
        <v>62.816605884997756</v>
      </c>
    </row>
  </sheetData>
  <mergeCells count="39">
    <mergeCell ref="C1:N1"/>
    <mergeCell ref="O1:Z1"/>
    <mergeCell ref="AA1:AL1"/>
    <mergeCell ref="AM1:AX1"/>
    <mergeCell ref="AA2:AF2"/>
    <mergeCell ref="AG2:AL2"/>
    <mergeCell ref="AM2:AR2"/>
    <mergeCell ref="I2:N2"/>
    <mergeCell ref="O2:T2"/>
    <mergeCell ref="U2:Z2"/>
    <mergeCell ref="A42:B42"/>
    <mergeCell ref="AS2:AX2"/>
    <mergeCell ref="C3:D3"/>
    <mergeCell ref="E3:G3"/>
    <mergeCell ref="H3:H4"/>
    <mergeCell ref="I3:J3"/>
    <mergeCell ref="K3:M3"/>
    <mergeCell ref="N3:N4"/>
    <mergeCell ref="O3:P3"/>
    <mergeCell ref="Q3:S3"/>
    <mergeCell ref="T3:T4"/>
    <mergeCell ref="A2:A4"/>
    <mergeCell ref="B2:B4"/>
    <mergeCell ref="C2:H2"/>
    <mergeCell ref="AA3:AB3"/>
    <mergeCell ref="AC3:AE3"/>
    <mergeCell ref="U3:V3"/>
    <mergeCell ref="W3:Y3"/>
    <mergeCell ref="Z3:Z4"/>
    <mergeCell ref="AU3:AW3"/>
    <mergeCell ref="AX3:AX4"/>
    <mergeCell ref="AF3:AF4"/>
    <mergeCell ref="AS3:AT3"/>
    <mergeCell ref="AG3:AH3"/>
    <mergeCell ref="AI3:AK3"/>
    <mergeCell ref="AL3:AL4"/>
    <mergeCell ref="AM3:AN3"/>
    <mergeCell ref="AO3:AQ3"/>
    <mergeCell ref="AR3:AR4"/>
  </mergeCells>
  <pageMargins left="0.43307086614173229" right="0.19685039370078741" top="0.51181102362204722" bottom="0.27559055118110237" header="0.19685039370078741" footer="0.15748031496062992"/>
  <pageSetup paperSize="9" scale="75" firstPageNumber="17" orientation="portrait" useFirstPageNumber="1" r:id="rId1"/>
  <headerFooter>
    <oddFooter>&amp;L&amp;"Arial,Italic"&amp;9AISHE 2020-21&amp;CT-9</oddFooter>
  </headerFooter>
  <colBreaks count="3" manualBreakCount="3">
    <brk id="14" max="38" man="1"/>
    <brk id="26" max="41" man="1"/>
    <brk id="38" max="41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00B050"/>
  </sheetPr>
  <dimension ref="A1:AC41"/>
  <sheetViews>
    <sheetView view="pageBreakPreview" zoomScale="85" zoomScaleSheetLayoutView="85" workbookViewId="0">
      <pane xSplit="2" ySplit="4" topLeftCell="U17" activePane="bottomRight" state="frozen"/>
      <selection activeCell="H31" sqref="H31"/>
      <selection pane="topRight" activeCell="H31" sqref="H31"/>
      <selection pane="bottomLeft" activeCell="H31" sqref="H31"/>
      <selection pane="bottomRight" activeCell="AC41" sqref="AC41"/>
    </sheetView>
  </sheetViews>
  <sheetFormatPr defaultColWidth="9.1796875" defaultRowHeight="15.5"/>
  <cols>
    <col min="1" max="1" width="5.1796875" style="605" customWidth="1"/>
    <col min="2" max="2" width="22.26953125" style="605" customWidth="1"/>
    <col min="3" max="20" width="10.7265625" style="605" customWidth="1"/>
    <col min="21" max="26" width="9.81640625" style="605" customWidth="1"/>
    <col min="27" max="27" width="10.54296875" style="605" customWidth="1"/>
    <col min="28" max="29" width="9.81640625" style="605" customWidth="1"/>
    <col min="30" max="16384" width="9.1796875" style="605"/>
  </cols>
  <sheetData>
    <row r="1" spans="1:29" s="551" customFormat="1" ht="27" customHeight="1">
      <c r="B1" s="158" t="s">
        <v>996</v>
      </c>
      <c r="C1" s="591" t="s">
        <v>1042</v>
      </c>
      <c r="L1" s="591" t="str">
        <f>C1</f>
        <v>Level-wise Enrolment in Standalone Institutions</v>
      </c>
      <c r="U1" s="591" t="str">
        <f>L1</f>
        <v>Level-wise Enrolment in Standalone Institutions</v>
      </c>
    </row>
    <row r="2" spans="1:29" s="738" customFormat="1" ht="24.75" customHeight="1">
      <c r="A2" s="966" t="s">
        <v>84</v>
      </c>
      <c r="B2" s="961" t="s">
        <v>2</v>
      </c>
      <c r="C2" s="962" t="s">
        <v>89</v>
      </c>
      <c r="D2" s="963"/>
      <c r="E2" s="964"/>
      <c r="F2" s="962" t="s">
        <v>90</v>
      </c>
      <c r="G2" s="963"/>
      <c r="H2" s="964"/>
      <c r="I2" s="962" t="s">
        <v>85</v>
      </c>
      <c r="J2" s="963"/>
      <c r="K2" s="964"/>
      <c r="L2" s="962" t="s">
        <v>86</v>
      </c>
      <c r="M2" s="963"/>
      <c r="N2" s="964"/>
      <c r="O2" s="962" t="s">
        <v>91</v>
      </c>
      <c r="P2" s="963"/>
      <c r="Q2" s="964"/>
      <c r="R2" s="962" t="s">
        <v>92</v>
      </c>
      <c r="S2" s="963"/>
      <c r="T2" s="964"/>
      <c r="U2" s="962" t="s">
        <v>93</v>
      </c>
      <c r="V2" s="963"/>
      <c r="W2" s="964"/>
      <c r="X2" s="962" t="s">
        <v>94</v>
      </c>
      <c r="Y2" s="963"/>
      <c r="Z2" s="964"/>
      <c r="AA2" s="962" t="s">
        <v>60</v>
      </c>
      <c r="AB2" s="963"/>
      <c r="AC2" s="964"/>
    </row>
    <row r="3" spans="1:29" s="739" customFormat="1" ht="24.75" customHeight="1">
      <c r="A3" s="967"/>
      <c r="B3" s="961"/>
      <c r="C3" s="570" t="s">
        <v>87</v>
      </c>
      <c r="D3" s="570" t="s">
        <v>88</v>
      </c>
      <c r="E3" s="570" t="s">
        <v>12</v>
      </c>
      <c r="F3" s="570" t="s">
        <v>87</v>
      </c>
      <c r="G3" s="570" t="s">
        <v>88</v>
      </c>
      <c r="H3" s="570" t="s">
        <v>12</v>
      </c>
      <c r="I3" s="570" t="s">
        <v>87</v>
      </c>
      <c r="J3" s="570" t="s">
        <v>88</v>
      </c>
      <c r="K3" s="570" t="s">
        <v>12</v>
      </c>
      <c r="L3" s="570" t="s">
        <v>87</v>
      </c>
      <c r="M3" s="570" t="s">
        <v>88</v>
      </c>
      <c r="N3" s="570" t="s">
        <v>12</v>
      </c>
      <c r="O3" s="570" t="s">
        <v>87</v>
      </c>
      <c r="P3" s="570" t="s">
        <v>88</v>
      </c>
      <c r="Q3" s="570" t="s">
        <v>12</v>
      </c>
      <c r="R3" s="570" t="s">
        <v>87</v>
      </c>
      <c r="S3" s="570" t="s">
        <v>88</v>
      </c>
      <c r="T3" s="570" t="s">
        <v>12</v>
      </c>
      <c r="U3" s="570" t="s">
        <v>87</v>
      </c>
      <c r="V3" s="570" t="s">
        <v>88</v>
      </c>
      <c r="W3" s="570" t="s">
        <v>12</v>
      </c>
      <c r="X3" s="570" t="s">
        <v>87</v>
      </c>
      <c r="Y3" s="570" t="s">
        <v>88</v>
      </c>
      <c r="Z3" s="570" t="s">
        <v>12</v>
      </c>
      <c r="AA3" s="570" t="s">
        <v>87</v>
      </c>
      <c r="AB3" s="570" t="s">
        <v>88</v>
      </c>
      <c r="AC3" s="570" t="s">
        <v>12</v>
      </c>
    </row>
    <row r="4" spans="1:29" s="739" customFormat="1" ht="15" customHeight="1">
      <c r="A4" s="530">
        <v>1</v>
      </c>
      <c r="B4" s="530">
        <v>2</v>
      </c>
      <c r="C4" s="530">
        <v>3</v>
      </c>
      <c r="D4" s="530">
        <v>4</v>
      </c>
      <c r="E4" s="530">
        <v>5</v>
      </c>
      <c r="F4" s="530">
        <v>6</v>
      </c>
      <c r="G4" s="530">
        <v>7</v>
      </c>
      <c r="H4" s="530">
        <v>8</v>
      </c>
      <c r="I4" s="530">
        <v>9</v>
      </c>
      <c r="J4" s="530">
        <v>10</v>
      </c>
      <c r="K4" s="530">
        <v>11</v>
      </c>
      <c r="L4" s="530">
        <v>12</v>
      </c>
      <c r="M4" s="530">
        <v>13</v>
      </c>
      <c r="N4" s="530">
        <v>14</v>
      </c>
      <c r="O4" s="530">
        <v>15</v>
      </c>
      <c r="P4" s="530">
        <v>16</v>
      </c>
      <c r="Q4" s="530">
        <v>17</v>
      </c>
      <c r="R4" s="530">
        <v>18</v>
      </c>
      <c r="S4" s="530">
        <v>19</v>
      </c>
      <c r="T4" s="530">
        <v>20</v>
      </c>
      <c r="U4" s="530">
        <v>21</v>
      </c>
      <c r="V4" s="530">
        <v>22</v>
      </c>
      <c r="W4" s="530">
        <v>23</v>
      </c>
      <c r="X4" s="530">
        <v>24</v>
      </c>
      <c r="Y4" s="530">
        <v>25</v>
      </c>
      <c r="Z4" s="530">
        <v>26</v>
      </c>
      <c r="AA4" s="530">
        <v>27</v>
      </c>
      <c r="AB4" s="530">
        <v>28</v>
      </c>
      <c r="AC4" s="530">
        <v>29</v>
      </c>
    </row>
    <row r="5" spans="1:29" s="740" customFormat="1" ht="30.75" customHeight="1">
      <c r="A5" s="553">
        <v>1</v>
      </c>
      <c r="B5" s="554" t="s">
        <v>171</v>
      </c>
      <c r="C5" s="515">
        <v>0</v>
      </c>
      <c r="D5" s="515">
        <v>0</v>
      </c>
      <c r="E5" s="515">
        <v>0</v>
      </c>
      <c r="F5" s="592"/>
      <c r="G5" s="515">
        <v>0</v>
      </c>
      <c r="H5" s="515">
        <v>0</v>
      </c>
      <c r="I5" s="515">
        <v>0</v>
      </c>
      <c r="J5" s="515">
        <v>0</v>
      </c>
      <c r="K5" s="515">
        <v>0</v>
      </c>
      <c r="L5" s="515">
        <v>0</v>
      </c>
      <c r="M5" s="515">
        <v>0</v>
      </c>
      <c r="N5" s="515">
        <v>0</v>
      </c>
      <c r="O5" s="515">
        <v>0</v>
      </c>
      <c r="P5" s="515">
        <v>0</v>
      </c>
      <c r="Q5" s="515">
        <v>0</v>
      </c>
      <c r="R5" s="515">
        <v>32</v>
      </c>
      <c r="S5" s="515">
        <v>92</v>
      </c>
      <c r="T5" s="515">
        <v>124</v>
      </c>
      <c r="U5" s="515">
        <v>0</v>
      </c>
      <c r="V5" s="515">
        <v>0</v>
      </c>
      <c r="W5" s="515">
        <v>0</v>
      </c>
      <c r="X5" s="515">
        <v>0</v>
      </c>
      <c r="Y5" s="515">
        <v>0</v>
      </c>
      <c r="Z5" s="515">
        <v>0</v>
      </c>
      <c r="AA5" s="515">
        <v>32</v>
      </c>
      <c r="AB5" s="515">
        <v>92</v>
      </c>
      <c r="AC5" s="515">
        <v>124</v>
      </c>
    </row>
    <row r="6" spans="1:29" s="740" customFormat="1" ht="21.75" customHeight="1">
      <c r="A6" s="553">
        <v>2</v>
      </c>
      <c r="B6" s="556" t="s">
        <v>15</v>
      </c>
      <c r="C6" s="515">
        <v>0</v>
      </c>
      <c r="D6" s="515">
        <v>0</v>
      </c>
      <c r="E6" s="515">
        <v>0</v>
      </c>
      <c r="F6" s="592"/>
      <c r="G6" s="515">
        <v>0</v>
      </c>
      <c r="H6" s="515">
        <v>0</v>
      </c>
      <c r="I6" s="515">
        <v>222</v>
      </c>
      <c r="J6" s="515">
        <v>186</v>
      </c>
      <c r="K6" s="515">
        <v>408</v>
      </c>
      <c r="L6" s="515">
        <v>547</v>
      </c>
      <c r="M6" s="515">
        <v>589</v>
      </c>
      <c r="N6" s="515">
        <v>1136</v>
      </c>
      <c r="O6" s="515">
        <v>22</v>
      </c>
      <c r="P6" s="515">
        <v>18</v>
      </c>
      <c r="Q6" s="515">
        <v>40</v>
      </c>
      <c r="R6" s="515">
        <v>64920</v>
      </c>
      <c r="S6" s="515">
        <v>51723</v>
      </c>
      <c r="T6" s="515">
        <v>116643</v>
      </c>
      <c r="U6" s="515">
        <v>0</v>
      </c>
      <c r="V6" s="515">
        <v>101</v>
      </c>
      <c r="W6" s="515">
        <v>101</v>
      </c>
      <c r="X6" s="515">
        <v>0</v>
      </c>
      <c r="Y6" s="515">
        <v>0</v>
      </c>
      <c r="Z6" s="515">
        <v>0</v>
      </c>
      <c r="AA6" s="515">
        <v>65711</v>
      </c>
      <c r="AB6" s="515">
        <v>52617</v>
      </c>
      <c r="AC6" s="515">
        <v>118328</v>
      </c>
    </row>
    <row r="7" spans="1:29" s="740" customFormat="1" ht="21.75" customHeight="1">
      <c r="A7" s="553">
        <v>3</v>
      </c>
      <c r="B7" s="556" t="s">
        <v>16</v>
      </c>
      <c r="C7" s="515">
        <v>0</v>
      </c>
      <c r="D7" s="515">
        <v>0</v>
      </c>
      <c r="E7" s="515">
        <v>0</v>
      </c>
      <c r="F7" s="592"/>
      <c r="G7" s="515">
        <v>0</v>
      </c>
      <c r="H7" s="515">
        <v>0</v>
      </c>
      <c r="I7" s="515">
        <v>0</v>
      </c>
      <c r="J7" s="515">
        <v>0</v>
      </c>
      <c r="K7" s="515">
        <v>0</v>
      </c>
      <c r="L7" s="515">
        <v>0</v>
      </c>
      <c r="M7" s="515">
        <v>0</v>
      </c>
      <c r="N7" s="515">
        <v>0</v>
      </c>
      <c r="O7" s="515">
        <v>0</v>
      </c>
      <c r="P7" s="515">
        <v>0</v>
      </c>
      <c r="Q7" s="515">
        <v>0</v>
      </c>
      <c r="R7" s="515">
        <v>678</v>
      </c>
      <c r="S7" s="515">
        <v>336</v>
      </c>
      <c r="T7" s="515">
        <v>1014</v>
      </c>
      <c r="U7" s="515">
        <v>0</v>
      </c>
      <c r="V7" s="515">
        <v>0</v>
      </c>
      <c r="W7" s="515">
        <v>0</v>
      </c>
      <c r="X7" s="515">
        <v>0</v>
      </c>
      <c r="Y7" s="515">
        <v>0</v>
      </c>
      <c r="Z7" s="515">
        <v>0</v>
      </c>
      <c r="AA7" s="515">
        <v>678</v>
      </c>
      <c r="AB7" s="515">
        <v>336</v>
      </c>
      <c r="AC7" s="515">
        <v>1014</v>
      </c>
    </row>
    <row r="8" spans="1:29" s="740" customFormat="1" ht="21.75" customHeight="1">
      <c r="A8" s="553">
        <v>4</v>
      </c>
      <c r="B8" s="556" t="s">
        <v>17</v>
      </c>
      <c r="C8" s="515">
        <v>0</v>
      </c>
      <c r="D8" s="515">
        <v>0</v>
      </c>
      <c r="E8" s="515">
        <v>0</v>
      </c>
      <c r="F8" s="592"/>
      <c r="G8" s="515">
        <v>0</v>
      </c>
      <c r="H8" s="515">
        <v>0</v>
      </c>
      <c r="I8" s="515">
        <v>79</v>
      </c>
      <c r="J8" s="515">
        <v>49</v>
      </c>
      <c r="K8" s="515">
        <v>128</v>
      </c>
      <c r="L8" s="515">
        <v>606</v>
      </c>
      <c r="M8" s="515">
        <v>775</v>
      </c>
      <c r="N8" s="515">
        <v>1381</v>
      </c>
      <c r="O8" s="515">
        <v>24</v>
      </c>
      <c r="P8" s="515">
        <v>5</v>
      </c>
      <c r="Q8" s="515">
        <v>29</v>
      </c>
      <c r="R8" s="515">
        <v>9184</v>
      </c>
      <c r="S8" s="515">
        <v>6695</v>
      </c>
      <c r="T8" s="515">
        <v>15879</v>
      </c>
      <c r="U8" s="515">
        <v>0</v>
      </c>
      <c r="V8" s="515">
        <v>36</v>
      </c>
      <c r="W8" s="515">
        <v>36</v>
      </c>
      <c r="X8" s="515">
        <v>0</v>
      </c>
      <c r="Y8" s="515">
        <v>0</v>
      </c>
      <c r="Z8" s="515">
        <v>0</v>
      </c>
      <c r="AA8" s="515">
        <v>9893</v>
      </c>
      <c r="AB8" s="515">
        <v>7560</v>
      </c>
      <c r="AC8" s="515">
        <v>17453</v>
      </c>
    </row>
    <row r="9" spans="1:29" s="740" customFormat="1" ht="21.75" customHeight="1">
      <c r="A9" s="553">
        <v>5</v>
      </c>
      <c r="B9" s="556" t="s">
        <v>18</v>
      </c>
      <c r="C9" s="515">
        <v>2</v>
      </c>
      <c r="D9" s="515">
        <v>2</v>
      </c>
      <c r="E9" s="515">
        <v>4</v>
      </c>
      <c r="F9" s="592"/>
      <c r="G9" s="515">
        <v>0</v>
      </c>
      <c r="H9" s="515">
        <v>0</v>
      </c>
      <c r="I9" s="515">
        <v>54</v>
      </c>
      <c r="J9" s="515">
        <v>46</v>
      </c>
      <c r="K9" s="515">
        <v>100</v>
      </c>
      <c r="L9" s="515">
        <v>1578</v>
      </c>
      <c r="M9" s="515">
        <v>1207</v>
      </c>
      <c r="N9" s="515">
        <v>2785</v>
      </c>
      <c r="O9" s="515">
        <v>471</v>
      </c>
      <c r="P9" s="515">
        <v>207</v>
      </c>
      <c r="Q9" s="515">
        <v>678</v>
      </c>
      <c r="R9" s="515">
        <v>38767</v>
      </c>
      <c r="S9" s="515">
        <v>27414</v>
      </c>
      <c r="T9" s="515">
        <v>66181</v>
      </c>
      <c r="U9" s="515">
        <v>111</v>
      </c>
      <c r="V9" s="515">
        <v>444</v>
      </c>
      <c r="W9" s="515">
        <v>555</v>
      </c>
      <c r="X9" s="515">
        <v>0</v>
      </c>
      <c r="Y9" s="515">
        <v>0</v>
      </c>
      <c r="Z9" s="515">
        <v>0</v>
      </c>
      <c r="AA9" s="515">
        <v>40983</v>
      </c>
      <c r="AB9" s="515">
        <v>29320</v>
      </c>
      <c r="AC9" s="515">
        <v>70303</v>
      </c>
    </row>
    <row r="10" spans="1:29" s="740" customFormat="1" ht="21.75" customHeight="1">
      <c r="A10" s="553">
        <v>6</v>
      </c>
      <c r="B10" s="556" t="s">
        <v>19</v>
      </c>
      <c r="C10" s="515">
        <v>0</v>
      </c>
      <c r="D10" s="515">
        <v>0</v>
      </c>
      <c r="E10" s="515">
        <v>0</v>
      </c>
      <c r="F10" s="592"/>
      <c r="G10" s="515">
        <v>0</v>
      </c>
      <c r="H10" s="515">
        <v>0</v>
      </c>
      <c r="I10" s="515">
        <v>0</v>
      </c>
      <c r="J10" s="515">
        <v>0</v>
      </c>
      <c r="K10" s="515">
        <v>0</v>
      </c>
      <c r="L10" s="515">
        <v>781</v>
      </c>
      <c r="M10" s="515">
        <v>242</v>
      </c>
      <c r="N10" s="515">
        <v>1023</v>
      </c>
      <c r="O10" s="515">
        <v>18</v>
      </c>
      <c r="P10" s="515">
        <v>16</v>
      </c>
      <c r="Q10" s="515">
        <v>34</v>
      </c>
      <c r="R10" s="515">
        <v>1647</v>
      </c>
      <c r="S10" s="515">
        <v>1026</v>
      </c>
      <c r="T10" s="515">
        <v>2673</v>
      </c>
      <c r="U10" s="515">
        <v>0</v>
      </c>
      <c r="V10" s="515">
        <v>0</v>
      </c>
      <c r="W10" s="515">
        <v>0</v>
      </c>
      <c r="X10" s="515">
        <v>0</v>
      </c>
      <c r="Y10" s="515">
        <v>0</v>
      </c>
      <c r="Z10" s="515">
        <v>0</v>
      </c>
      <c r="AA10" s="515">
        <v>2446</v>
      </c>
      <c r="AB10" s="515">
        <v>1284</v>
      </c>
      <c r="AC10" s="515">
        <v>3730</v>
      </c>
    </row>
    <row r="11" spans="1:29" s="740" customFormat="1" ht="21.75" customHeight="1">
      <c r="A11" s="553">
        <v>7</v>
      </c>
      <c r="B11" s="556" t="s">
        <v>20</v>
      </c>
      <c r="C11" s="515">
        <v>0</v>
      </c>
      <c r="D11" s="515">
        <v>0</v>
      </c>
      <c r="E11" s="515">
        <v>0</v>
      </c>
      <c r="F11" s="592"/>
      <c r="G11" s="515">
        <v>0</v>
      </c>
      <c r="H11" s="515">
        <v>0</v>
      </c>
      <c r="I11" s="515">
        <v>26</v>
      </c>
      <c r="J11" s="515">
        <v>44</v>
      </c>
      <c r="K11" s="515">
        <v>70</v>
      </c>
      <c r="L11" s="515">
        <v>34</v>
      </c>
      <c r="M11" s="515">
        <v>242</v>
      </c>
      <c r="N11" s="515">
        <v>276</v>
      </c>
      <c r="O11" s="515">
        <v>224</v>
      </c>
      <c r="P11" s="515">
        <v>164</v>
      </c>
      <c r="Q11" s="515">
        <v>388</v>
      </c>
      <c r="R11" s="515">
        <v>1953</v>
      </c>
      <c r="S11" s="515">
        <v>3831</v>
      </c>
      <c r="T11" s="515">
        <v>5784</v>
      </c>
      <c r="U11" s="515">
        <v>5</v>
      </c>
      <c r="V11" s="515">
        <v>35</v>
      </c>
      <c r="W11" s="515">
        <v>40</v>
      </c>
      <c r="X11" s="515">
        <v>0</v>
      </c>
      <c r="Y11" s="515">
        <v>0</v>
      </c>
      <c r="Z11" s="515">
        <v>0</v>
      </c>
      <c r="AA11" s="515">
        <v>2242</v>
      </c>
      <c r="AB11" s="515">
        <v>4316</v>
      </c>
      <c r="AC11" s="515">
        <v>6558</v>
      </c>
    </row>
    <row r="12" spans="1:29" s="740" customFormat="1" ht="21.75" customHeight="1">
      <c r="A12" s="553">
        <v>8</v>
      </c>
      <c r="B12" s="556" t="s">
        <v>23</v>
      </c>
      <c r="C12" s="515">
        <v>3</v>
      </c>
      <c r="D12" s="515">
        <v>1</v>
      </c>
      <c r="E12" s="515">
        <v>4</v>
      </c>
      <c r="F12" s="592"/>
      <c r="G12" s="515">
        <v>0</v>
      </c>
      <c r="H12" s="515">
        <v>0</v>
      </c>
      <c r="I12" s="515">
        <v>163</v>
      </c>
      <c r="J12" s="515">
        <v>182</v>
      </c>
      <c r="K12" s="515">
        <v>345</v>
      </c>
      <c r="L12" s="515">
        <v>431</v>
      </c>
      <c r="M12" s="515">
        <v>435</v>
      </c>
      <c r="N12" s="515">
        <v>866</v>
      </c>
      <c r="O12" s="515">
        <v>2493</v>
      </c>
      <c r="P12" s="515">
        <v>1757</v>
      </c>
      <c r="Q12" s="515">
        <v>4250</v>
      </c>
      <c r="R12" s="515">
        <v>10690</v>
      </c>
      <c r="S12" s="515">
        <v>8030</v>
      </c>
      <c r="T12" s="515">
        <v>18720</v>
      </c>
      <c r="U12" s="515">
        <v>368</v>
      </c>
      <c r="V12" s="515">
        <v>264</v>
      </c>
      <c r="W12" s="515">
        <v>632</v>
      </c>
      <c r="X12" s="515">
        <v>0</v>
      </c>
      <c r="Y12" s="515">
        <v>0</v>
      </c>
      <c r="Z12" s="515">
        <v>0</v>
      </c>
      <c r="AA12" s="515">
        <v>14148</v>
      </c>
      <c r="AB12" s="515">
        <v>10669</v>
      </c>
      <c r="AC12" s="515">
        <v>24817</v>
      </c>
    </row>
    <row r="13" spans="1:29" s="740" customFormat="1" ht="21.75" customHeight="1">
      <c r="A13" s="553">
        <v>9</v>
      </c>
      <c r="B13" s="556" t="s">
        <v>24</v>
      </c>
      <c r="C13" s="515">
        <v>1</v>
      </c>
      <c r="D13" s="515">
        <v>5</v>
      </c>
      <c r="E13" s="515">
        <v>6</v>
      </c>
      <c r="F13" s="592"/>
      <c r="G13" s="515">
        <v>0</v>
      </c>
      <c r="H13" s="515">
        <v>0</v>
      </c>
      <c r="I13" s="515">
        <v>603</v>
      </c>
      <c r="J13" s="515">
        <v>362</v>
      </c>
      <c r="K13" s="515">
        <v>965</v>
      </c>
      <c r="L13" s="515">
        <v>821</v>
      </c>
      <c r="M13" s="515">
        <v>183</v>
      </c>
      <c r="N13" s="515">
        <v>1004</v>
      </c>
      <c r="O13" s="515">
        <v>0</v>
      </c>
      <c r="P13" s="515">
        <v>0</v>
      </c>
      <c r="Q13" s="515">
        <v>0</v>
      </c>
      <c r="R13" s="515">
        <v>4576</v>
      </c>
      <c r="S13" s="515">
        <v>1301</v>
      </c>
      <c r="T13" s="515">
        <v>5877</v>
      </c>
      <c r="U13" s="515">
        <v>0</v>
      </c>
      <c r="V13" s="515">
        <v>0</v>
      </c>
      <c r="W13" s="515">
        <v>0</v>
      </c>
      <c r="X13" s="515">
        <v>0</v>
      </c>
      <c r="Y13" s="515">
        <v>0</v>
      </c>
      <c r="Z13" s="515">
        <v>0</v>
      </c>
      <c r="AA13" s="515">
        <v>6001</v>
      </c>
      <c r="AB13" s="515">
        <v>1851</v>
      </c>
      <c r="AC13" s="515">
        <v>7852</v>
      </c>
    </row>
    <row r="14" spans="1:29" s="740" customFormat="1" ht="21.75" customHeight="1">
      <c r="A14" s="553">
        <v>10</v>
      </c>
      <c r="B14" s="556" t="s">
        <v>25</v>
      </c>
      <c r="C14" s="515">
        <v>29</v>
      </c>
      <c r="D14" s="515">
        <v>42</v>
      </c>
      <c r="E14" s="515">
        <v>71</v>
      </c>
      <c r="F14" s="592"/>
      <c r="G14" s="515">
        <v>0</v>
      </c>
      <c r="H14" s="515">
        <v>0</v>
      </c>
      <c r="I14" s="515">
        <v>673</v>
      </c>
      <c r="J14" s="515">
        <v>596</v>
      </c>
      <c r="K14" s="515">
        <v>1269</v>
      </c>
      <c r="L14" s="515">
        <v>1300</v>
      </c>
      <c r="M14" s="515">
        <v>1170</v>
      </c>
      <c r="N14" s="515">
        <v>2470</v>
      </c>
      <c r="O14" s="515">
        <v>692</v>
      </c>
      <c r="P14" s="515">
        <v>366</v>
      </c>
      <c r="Q14" s="515">
        <v>1058</v>
      </c>
      <c r="R14" s="515">
        <v>5278</v>
      </c>
      <c r="S14" s="515">
        <v>17819</v>
      </c>
      <c r="T14" s="515">
        <v>23097</v>
      </c>
      <c r="U14" s="515">
        <v>568</v>
      </c>
      <c r="V14" s="515">
        <v>1365</v>
      </c>
      <c r="W14" s="515">
        <v>1933</v>
      </c>
      <c r="X14" s="515">
        <v>0</v>
      </c>
      <c r="Y14" s="515">
        <v>0</v>
      </c>
      <c r="Z14" s="515">
        <v>0</v>
      </c>
      <c r="AA14" s="515">
        <v>8540</v>
      </c>
      <c r="AB14" s="515">
        <v>21358</v>
      </c>
      <c r="AC14" s="515">
        <v>29898</v>
      </c>
    </row>
    <row r="15" spans="1:29" s="740" customFormat="1" ht="21.75" customHeight="1">
      <c r="A15" s="553">
        <v>11</v>
      </c>
      <c r="B15" s="556" t="s">
        <v>26</v>
      </c>
      <c r="C15" s="515">
        <v>9</v>
      </c>
      <c r="D15" s="515">
        <v>13</v>
      </c>
      <c r="E15" s="515">
        <v>22</v>
      </c>
      <c r="F15" s="592"/>
      <c r="G15" s="515">
        <v>0</v>
      </c>
      <c r="H15" s="515">
        <v>0</v>
      </c>
      <c r="I15" s="515">
        <v>233</v>
      </c>
      <c r="J15" s="515">
        <v>208</v>
      </c>
      <c r="K15" s="515">
        <v>441</v>
      </c>
      <c r="L15" s="515">
        <v>1597</v>
      </c>
      <c r="M15" s="515">
        <v>1067</v>
      </c>
      <c r="N15" s="515">
        <v>2664</v>
      </c>
      <c r="O15" s="515">
        <v>337</v>
      </c>
      <c r="P15" s="515">
        <v>75</v>
      </c>
      <c r="Q15" s="515">
        <v>412</v>
      </c>
      <c r="R15" s="515">
        <v>43624</v>
      </c>
      <c r="S15" s="515">
        <v>13129</v>
      </c>
      <c r="T15" s="515">
        <v>56753</v>
      </c>
      <c r="U15" s="515">
        <v>224</v>
      </c>
      <c r="V15" s="515">
        <v>18</v>
      </c>
      <c r="W15" s="515">
        <v>242</v>
      </c>
      <c r="X15" s="515">
        <v>0</v>
      </c>
      <c r="Y15" s="515">
        <v>0</v>
      </c>
      <c r="Z15" s="515">
        <v>0</v>
      </c>
      <c r="AA15" s="515">
        <v>46024</v>
      </c>
      <c r="AB15" s="515">
        <v>14510</v>
      </c>
      <c r="AC15" s="515">
        <v>60534</v>
      </c>
    </row>
    <row r="16" spans="1:29" s="740" customFormat="1" ht="21.75" customHeight="1">
      <c r="A16" s="553">
        <v>12</v>
      </c>
      <c r="B16" s="556" t="s">
        <v>27</v>
      </c>
      <c r="C16" s="515">
        <v>0</v>
      </c>
      <c r="D16" s="515">
        <v>0</v>
      </c>
      <c r="E16" s="515">
        <v>0</v>
      </c>
      <c r="F16" s="592"/>
      <c r="G16" s="515">
        <v>0</v>
      </c>
      <c r="H16" s="515">
        <v>0</v>
      </c>
      <c r="I16" s="515">
        <v>0</v>
      </c>
      <c r="J16" s="515">
        <v>20</v>
      </c>
      <c r="K16" s="515">
        <v>20</v>
      </c>
      <c r="L16" s="515">
        <v>868</v>
      </c>
      <c r="M16" s="515">
        <v>801</v>
      </c>
      <c r="N16" s="515">
        <v>1669</v>
      </c>
      <c r="O16" s="515">
        <v>0</v>
      </c>
      <c r="P16" s="515">
        <v>0</v>
      </c>
      <c r="Q16" s="515">
        <v>0</v>
      </c>
      <c r="R16" s="515">
        <v>5678</v>
      </c>
      <c r="S16" s="515">
        <v>4509</v>
      </c>
      <c r="T16" s="515">
        <v>10187</v>
      </c>
      <c r="U16" s="515">
        <v>267</v>
      </c>
      <c r="V16" s="515">
        <v>181</v>
      </c>
      <c r="W16" s="515">
        <v>448</v>
      </c>
      <c r="X16" s="515">
        <v>0</v>
      </c>
      <c r="Y16" s="515">
        <v>0</v>
      </c>
      <c r="Z16" s="515">
        <v>0</v>
      </c>
      <c r="AA16" s="515">
        <v>6813</v>
      </c>
      <c r="AB16" s="515">
        <v>5511</v>
      </c>
      <c r="AC16" s="515">
        <v>12324</v>
      </c>
    </row>
    <row r="17" spans="1:29" s="740" customFormat="1" ht="21.75" customHeight="1">
      <c r="A17" s="553">
        <v>13</v>
      </c>
      <c r="B17" s="556" t="s">
        <v>57</v>
      </c>
      <c r="C17" s="515">
        <v>0</v>
      </c>
      <c r="D17" s="515">
        <v>0</v>
      </c>
      <c r="E17" s="515">
        <v>0</v>
      </c>
      <c r="F17" s="592"/>
      <c r="G17" s="515">
        <v>0</v>
      </c>
      <c r="H17" s="515">
        <v>0</v>
      </c>
      <c r="I17" s="515">
        <v>0</v>
      </c>
      <c r="J17" s="515">
        <v>0</v>
      </c>
      <c r="K17" s="515">
        <v>0</v>
      </c>
      <c r="L17" s="515">
        <v>839</v>
      </c>
      <c r="M17" s="515">
        <v>290</v>
      </c>
      <c r="N17" s="515">
        <v>1129</v>
      </c>
      <c r="O17" s="515">
        <v>13</v>
      </c>
      <c r="P17" s="515">
        <v>7</v>
      </c>
      <c r="Q17" s="515">
        <v>20</v>
      </c>
      <c r="R17" s="515">
        <v>11161</v>
      </c>
      <c r="S17" s="515">
        <v>10075</v>
      </c>
      <c r="T17" s="515">
        <v>21236</v>
      </c>
      <c r="U17" s="515">
        <v>622</v>
      </c>
      <c r="V17" s="515">
        <v>521</v>
      </c>
      <c r="W17" s="515">
        <v>1143</v>
      </c>
      <c r="X17" s="515">
        <v>0</v>
      </c>
      <c r="Y17" s="515">
        <v>0</v>
      </c>
      <c r="Z17" s="515">
        <v>0</v>
      </c>
      <c r="AA17" s="515">
        <v>12635</v>
      </c>
      <c r="AB17" s="515">
        <v>10893</v>
      </c>
      <c r="AC17" s="515">
        <v>23528</v>
      </c>
    </row>
    <row r="18" spans="1:29" s="740" customFormat="1" ht="21.75" customHeight="1">
      <c r="A18" s="553">
        <v>14</v>
      </c>
      <c r="B18" s="556" t="s">
        <v>29</v>
      </c>
      <c r="C18" s="515">
        <v>20</v>
      </c>
      <c r="D18" s="515">
        <v>10</v>
      </c>
      <c r="E18" s="515">
        <v>30</v>
      </c>
      <c r="F18" s="592"/>
      <c r="G18" s="515">
        <v>0</v>
      </c>
      <c r="H18" s="515">
        <v>0</v>
      </c>
      <c r="I18" s="515">
        <v>309</v>
      </c>
      <c r="J18" s="515">
        <v>362</v>
      </c>
      <c r="K18" s="515">
        <v>671</v>
      </c>
      <c r="L18" s="515">
        <v>432</v>
      </c>
      <c r="M18" s="515">
        <v>1166</v>
      </c>
      <c r="N18" s="515">
        <v>1598</v>
      </c>
      <c r="O18" s="515">
        <v>664</v>
      </c>
      <c r="P18" s="515">
        <v>327</v>
      </c>
      <c r="Q18" s="515">
        <v>991</v>
      </c>
      <c r="R18" s="515">
        <v>20316</v>
      </c>
      <c r="S18" s="515">
        <v>8475</v>
      </c>
      <c r="T18" s="515">
        <v>28791</v>
      </c>
      <c r="U18" s="515">
        <v>584</v>
      </c>
      <c r="V18" s="515">
        <v>140</v>
      </c>
      <c r="W18" s="515">
        <v>724</v>
      </c>
      <c r="X18" s="515">
        <v>0</v>
      </c>
      <c r="Y18" s="515">
        <v>0</v>
      </c>
      <c r="Z18" s="515">
        <v>0</v>
      </c>
      <c r="AA18" s="515">
        <v>22325</v>
      </c>
      <c r="AB18" s="515">
        <v>10480</v>
      </c>
      <c r="AC18" s="515">
        <v>32805</v>
      </c>
    </row>
    <row r="19" spans="1:29" s="740" customFormat="1" ht="21.75" customHeight="1">
      <c r="A19" s="553">
        <v>15</v>
      </c>
      <c r="B19" s="556" t="s">
        <v>30</v>
      </c>
      <c r="C19" s="515">
        <v>9</v>
      </c>
      <c r="D19" s="515">
        <v>3</v>
      </c>
      <c r="E19" s="515">
        <v>12</v>
      </c>
      <c r="F19" s="592"/>
      <c r="G19" s="515">
        <v>0</v>
      </c>
      <c r="H19" s="515">
        <v>0</v>
      </c>
      <c r="I19" s="515">
        <v>1754</v>
      </c>
      <c r="J19" s="515">
        <v>1164</v>
      </c>
      <c r="K19" s="515">
        <v>2918</v>
      </c>
      <c r="L19" s="515">
        <v>349</v>
      </c>
      <c r="M19" s="515">
        <v>1074</v>
      </c>
      <c r="N19" s="515">
        <v>1423</v>
      </c>
      <c r="O19" s="515">
        <v>921</v>
      </c>
      <c r="P19" s="515">
        <v>740</v>
      </c>
      <c r="Q19" s="515">
        <v>1661</v>
      </c>
      <c r="R19" s="515">
        <v>116756</v>
      </c>
      <c r="S19" s="515">
        <v>86760</v>
      </c>
      <c r="T19" s="515">
        <v>203516</v>
      </c>
      <c r="U19" s="515">
        <v>459</v>
      </c>
      <c r="V19" s="515">
        <v>442</v>
      </c>
      <c r="W19" s="515">
        <v>901</v>
      </c>
      <c r="X19" s="515">
        <v>0</v>
      </c>
      <c r="Y19" s="515">
        <v>0</v>
      </c>
      <c r="Z19" s="515">
        <v>0</v>
      </c>
      <c r="AA19" s="515">
        <v>120248</v>
      </c>
      <c r="AB19" s="515">
        <v>90183</v>
      </c>
      <c r="AC19" s="515">
        <v>210431</v>
      </c>
    </row>
    <row r="20" spans="1:29" s="740" customFormat="1" ht="21.75" customHeight="1">
      <c r="A20" s="553">
        <v>16</v>
      </c>
      <c r="B20" s="556" t="s">
        <v>31</v>
      </c>
      <c r="C20" s="515">
        <v>0</v>
      </c>
      <c r="D20" s="515">
        <v>0</v>
      </c>
      <c r="E20" s="515">
        <v>0</v>
      </c>
      <c r="F20" s="592"/>
      <c r="G20" s="515">
        <v>0</v>
      </c>
      <c r="H20" s="515">
        <v>0</v>
      </c>
      <c r="I20" s="515">
        <v>0</v>
      </c>
      <c r="J20" s="515">
        <v>0</v>
      </c>
      <c r="K20" s="515">
        <v>0</v>
      </c>
      <c r="L20" s="515">
        <v>177</v>
      </c>
      <c r="M20" s="515">
        <v>197</v>
      </c>
      <c r="N20" s="515">
        <v>374</v>
      </c>
      <c r="O20" s="515">
        <v>377</v>
      </c>
      <c r="P20" s="515">
        <v>331</v>
      </c>
      <c r="Q20" s="515">
        <v>708</v>
      </c>
      <c r="R20" s="515">
        <v>44958</v>
      </c>
      <c r="S20" s="515">
        <v>28453</v>
      </c>
      <c r="T20" s="515">
        <v>73411</v>
      </c>
      <c r="U20" s="515">
        <v>166</v>
      </c>
      <c r="V20" s="515">
        <v>670</v>
      </c>
      <c r="W20" s="515">
        <v>836</v>
      </c>
      <c r="X20" s="515">
        <v>0</v>
      </c>
      <c r="Y20" s="515">
        <v>0</v>
      </c>
      <c r="Z20" s="515">
        <v>0</v>
      </c>
      <c r="AA20" s="515">
        <v>45678</v>
      </c>
      <c r="AB20" s="515">
        <v>29651</v>
      </c>
      <c r="AC20" s="515">
        <v>75329</v>
      </c>
    </row>
    <row r="21" spans="1:29" s="740" customFormat="1" ht="21.75" customHeight="1">
      <c r="A21" s="553">
        <v>17</v>
      </c>
      <c r="B21" s="182" t="s">
        <v>172</v>
      </c>
      <c r="C21" s="515">
        <v>0</v>
      </c>
      <c r="D21" s="515">
        <v>0</v>
      </c>
      <c r="E21" s="515">
        <v>0</v>
      </c>
      <c r="F21" s="592"/>
      <c r="G21" s="515">
        <v>0</v>
      </c>
      <c r="H21" s="515">
        <v>0</v>
      </c>
      <c r="I21" s="515">
        <v>0</v>
      </c>
      <c r="J21" s="515">
        <v>0</v>
      </c>
      <c r="K21" s="515">
        <v>0</v>
      </c>
      <c r="L21" s="515">
        <v>0</v>
      </c>
      <c r="M21" s="515">
        <v>0</v>
      </c>
      <c r="N21" s="515">
        <v>0</v>
      </c>
      <c r="O21" s="515">
        <v>0</v>
      </c>
      <c r="P21" s="515">
        <v>0</v>
      </c>
      <c r="Q21" s="515">
        <v>0</v>
      </c>
      <c r="R21" s="515">
        <v>137</v>
      </c>
      <c r="S21" s="515">
        <v>78</v>
      </c>
      <c r="T21" s="515">
        <v>215</v>
      </c>
      <c r="U21" s="515">
        <v>0</v>
      </c>
      <c r="V21" s="515">
        <v>0</v>
      </c>
      <c r="W21" s="515">
        <v>0</v>
      </c>
      <c r="X21" s="515">
        <v>0</v>
      </c>
      <c r="Y21" s="515">
        <v>0</v>
      </c>
      <c r="Z21" s="515">
        <v>0</v>
      </c>
      <c r="AA21" s="515">
        <v>137</v>
      </c>
      <c r="AB21" s="515">
        <v>78</v>
      </c>
      <c r="AC21" s="515">
        <v>215</v>
      </c>
    </row>
    <row r="22" spans="1:29" s="740" customFormat="1" ht="21.75" customHeight="1">
      <c r="A22" s="553">
        <v>18</v>
      </c>
      <c r="B22" s="556" t="s">
        <v>32</v>
      </c>
      <c r="C22" s="515">
        <v>0</v>
      </c>
      <c r="D22" s="515">
        <v>0</v>
      </c>
      <c r="E22" s="515">
        <v>0</v>
      </c>
      <c r="F22" s="592"/>
      <c r="G22" s="515">
        <v>0</v>
      </c>
      <c r="H22" s="515">
        <v>0</v>
      </c>
      <c r="I22" s="515">
        <v>0</v>
      </c>
      <c r="J22" s="515">
        <v>0</v>
      </c>
      <c r="K22" s="515">
        <v>0</v>
      </c>
      <c r="L22" s="515">
        <v>0</v>
      </c>
      <c r="M22" s="515">
        <v>0</v>
      </c>
      <c r="N22" s="515">
        <v>0</v>
      </c>
      <c r="O22" s="515">
        <v>0</v>
      </c>
      <c r="P22" s="515">
        <v>0</v>
      </c>
      <c r="Q22" s="515">
        <v>0</v>
      </c>
      <c r="R22" s="515">
        <v>0</v>
      </c>
      <c r="S22" s="515">
        <v>0</v>
      </c>
      <c r="T22" s="515">
        <v>0</v>
      </c>
      <c r="U22" s="515">
        <v>0</v>
      </c>
      <c r="V22" s="515">
        <v>0</v>
      </c>
      <c r="W22" s="515">
        <v>0</v>
      </c>
      <c r="X22" s="515">
        <v>0</v>
      </c>
      <c r="Y22" s="515">
        <v>0</v>
      </c>
      <c r="Z22" s="515">
        <v>0</v>
      </c>
      <c r="AA22" s="515">
        <v>0</v>
      </c>
      <c r="AB22" s="515">
        <v>0</v>
      </c>
      <c r="AC22" s="515">
        <v>0</v>
      </c>
    </row>
    <row r="23" spans="1:29" s="740" customFormat="1" ht="21.75" customHeight="1">
      <c r="A23" s="553">
        <v>19</v>
      </c>
      <c r="B23" s="556" t="s">
        <v>33</v>
      </c>
      <c r="C23" s="515">
        <v>0</v>
      </c>
      <c r="D23" s="515">
        <v>0</v>
      </c>
      <c r="E23" s="515">
        <v>0</v>
      </c>
      <c r="F23" s="592"/>
      <c r="G23" s="515">
        <v>0</v>
      </c>
      <c r="H23" s="515">
        <v>0</v>
      </c>
      <c r="I23" s="515">
        <v>1502</v>
      </c>
      <c r="J23" s="515">
        <v>1053</v>
      </c>
      <c r="K23" s="515">
        <v>2555</v>
      </c>
      <c r="L23" s="515">
        <v>2555</v>
      </c>
      <c r="M23" s="515">
        <v>4278</v>
      </c>
      <c r="N23" s="515">
        <v>6833</v>
      </c>
      <c r="O23" s="515">
        <v>4265</v>
      </c>
      <c r="P23" s="515">
        <v>2353</v>
      </c>
      <c r="Q23" s="515">
        <v>6618</v>
      </c>
      <c r="R23" s="515">
        <v>24960</v>
      </c>
      <c r="S23" s="515">
        <v>15263</v>
      </c>
      <c r="T23" s="515">
        <v>40223</v>
      </c>
      <c r="U23" s="515">
        <v>0</v>
      </c>
      <c r="V23" s="515">
        <v>60</v>
      </c>
      <c r="W23" s="515">
        <v>60</v>
      </c>
      <c r="X23" s="515">
        <v>0</v>
      </c>
      <c r="Y23" s="515">
        <v>0</v>
      </c>
      <c r="Z23" s="515">
        <v>0</v>
      </c>
      <c r="AA23" s="515">
        <v>33282</v>
      </c>
      <c r="AB23" s="515">
        <v>23007</v>
      </c>
      <c r="AC23" s="515">
        <v>56289</v>
      </c>
    </row>
    <row r="24" spans="1:29" s="740" customFormat="1" ht="21.75" customHeight="1">
      <c r="A24" s="553">
        <v>20</v>
      </c>
      <c r="B24" s="556" t="s">
        <v>34</v>
      </c>
      <c r="C24" s="515">
        <v>16</v>
      </c>
      <c r="D24" s="515">
        <v>14</v>
      </c>
      <c r="E24" s="515">
        <v>30</v>
      </c>
      <c r="F24" s="592"/>
      <c r="G24" s="515">
        <v>0</v>
      </c>
      <c r="H24" s="515">
        <v>0</v>
      </c>
      <c r="I24" s="515">
        <v>2492</v>
      </c>
      <c r="J24" s="515">
        <v>1728</v>
      </c>
      <c r="K24" s="515">
        <v>4220</v>
      </c>
      <c r="L24" s="515">
        <v>5269</v>
      </c>
      <c r="M24" s="515">
        <v>3622</v>
      </c>
      <c r="N24" s="515">
        <v>8891</v>
      </c>
      <c r="O24" s="515">
        <v>5104</v>
      </c>
      <c r="P24" s="515">
        <v>3221</v>
      </c>
      <c r="Q24" s="515">
        <v>8325</v>
      </c>
      <c r="R24" s="515">
        <v>181939</v>
      </c>
      <c r="S24" s="515">
        <v>120518</v>
      </c>
      <c r="T24" s="515">
        <v>302457</v>
      </c>
      <c r="U24" s="515">
        <v>1009</v>
      </c>
      <c r="V24" s="515">
        <v>743</v>
      </c>
      <c r="W24" s="515">
        <v>1752</v>
      </c>
      <c r="X24" s="515">
        <v>0</v>
      </c>
      <c r="Y24" s="515">
        <v>0</v>
      </c>
      <c r="Z24" s="515">
        <v>0</v>
      </c>
      <c r="AA24" s="515">
        <v>195829</v>
      </c>
      <c r="AB24" s="515">
        <v>129846</v>
      </c>
      <c r="AC24" s="515">
        <v>325675</v>
      </c>
    </row>
    <row r="25" spans="1:29" s="740" customFormat="1" ht="21.75" customHeight="1">
      <c r="A25" s="553">
        <v>21</v>
      </c>
      <c r="B25" s="556" t="s">
        <v>35</v>
      </c>
      <c r="C25" s="515">
        <v>0</v>
      </c>
      <c r="D25" s="515">
        <v>0</v>
      </c>
      <c r="E25" s="515">
        <v>0</v>
      </c>
      <c r="F25" s="592"/>
      <c r="G25" s="515">
        <v>0</v>
      </c>
      <c r="H25" s="515">
        <v>0</v>
      </c>
      <c r="I25" s="515">
        <v>0</v>
      </c>
      <c r="J25" s="515">
        <v>0</v>
      </c>
      <c r="K25" s="515">
        <v>0</v>
      </c>
      <c r="L25" s="515">
        <v>9</v>
      </c>
      <c r="M25" s="515">
        <v>59</v>
      </c>
      <c r="N25" s="515">
        <v>68</v>
      </c>
      <c r="O25" s="515">
        <v>183</v>
      </c>
      <c r="P25" s="515">
        <v>139</v>
      </c>
      <c r="Q25" s="515">
        <v>322</v>
      </c>
      <c r="R25" s="515">
        <v>560</v>
      </c>
      <c r="S25" s="515">
        <v>1772</v>
      </c>
      <c r="T25" s="515">
        <v>2332</v>
      </c>
      <c r="U25" s="515">
        <v>200</v>
      </c>
      <c r="V25" s="515">
        <v>216</v>
      </c>
      <c r="W25" s="515">
        <v>416</v>
      </c>
      <c r="X25" s="515">
        <v>0</v>
      </c>
      <c r="Y25" s="515">
        <v>0</v>
      </c>
      <c r="Z25" s="515">
        <v>0</v>
      </c>
      <c r="AA25" s="515">
        <v>952</v>
      </c>
      <c r="AB25" s="515">
        <v>2186</v>
      </c>
      <c r="AC25" s="515">
        <v>3138</v>
      </c>
    </row>
    <row r="26" spans="1:29" s="740" customFormat="1" ht="21.75" customHeight="1">
      <c r="A26" s="553">
        <v>22</v>
      </c>
      <c r="B26" s="556" t="s">
        <v>36</v>
      </c>
      <c r="C26" s="515">
        <v>0</v>
      </c>
      <c r="D26" s="515">
        <v>0</v>
      </c>
      <c r="E26" s="515">
        <v>0</v>
      </c>
      <c r="F26" s="592"/>
      <c r="G26" s="515">
        <v>0</v>
      </c>
      <c r="H26" s="515">
        <v>0</v>
      </c>
      <c r="I26" s="515">
        <v>0</v>
      </c>
      <c r="J26" s="515">
        <v>0</v>
      </c>
      <c r="K26" s="515">
        <v>0</v>
      </c>
      <c r="L26" s="515">
        <v>416</v>
      </c>
      <c r="M26" s="515">
        <v>649</v>
      </c>
      <c r="N26" s="515">
        <v>1065</v>
      </c>
      <c r="O26" s="515">
        <v>0</v>
      </c>
      <c r="P26" s="515">
        <v>0</v>
      </c>
      <c r="Q26" s="515">
        <v>0</v>
      </c>
      <c r="R26" s="515">
        <v>1175</v>
      </c>
      <c r="S26" s="515">
        <v>1954</v>
      </c>
      <c r="T26" s="515">
        <v>3129</v>
      </c>
      <c r="U26" s="515">
        <v>0</v>
      </c>
      <c r="V26" s="515">
        <v>0</v>
      </c>
      <c r="W26" s="515">
        <v>0</v>
      </c>
      <c r="X26" s="515">
        <v>0</v>
      </c>
      <c r="Y26" s="515">
        <v>0</v>
      </c>
      <c r="Z26" s="515">
        <v>0</v>
      </c>
      <c r="AA26" s="515">
        <v>1591</v>
      </c>
      <c r="AB26" s="515">
        <v>2603</v>
      </c>
      <c r="AC26" s="515">
        <v>4194</v>
      </c>
    </row>
    <row r="27" spans="1:29" s="740" customFormat="1" ht="21.75" customHeight="1">
      <c r="A27" s="553">
        <v>23</v>
      </c>
      <c r="B27" s="556" t="s">
        <v>37</v>
      </c>
      <c r="C27" s="515">
        <v>0</v>
      </c>
      <c r="D27" s="515">
        <v>0</v>
      </c>
      <c r="E27" s="515">
        <v>0</v>
      </c>
      <c r="F27" s="592"/>
      <c r="G27" s="515">
        <v>0</v>
      </c>
      <c r="H27" s="515">
        <v>0</v>
      </c>
      <c r="I27" s="515">
        <v>0</v>
      </c>
      <c r="J27" s="515">
        <v>0</v>
      </c>
      <c r="K27" s="515">
        <v>0</v>
      </c>
      <c r="L27" s="515">
        <v>82</v>
      </c>
      <c r="M27" s="515">
        <v>254</v>
      </c>
      <c r="N27" s="515">
        <v>336</v>
      </c>
      <c r="O27" s="515">
        <v>0</v>
      </c>
      <c r="P27" s="515">
        <v>0</v>
      </c>
      <c r="Q27" s="515">
        <v>0</v>
      </c>
      <c r="R27" s="515">
        <v>627</v>
      </c>
      <c r="S27" s="515">
        <v>1429</v>
      </c>
      <c r="T27" s="515">
        <v>2056</v>
      </c>
      <c r="U27" s="515">
        <v>0</v>
      </c>
      <c r="V27" s="515">
        <v>20</v>
      </c>
      <c r="W27" s="515">
        <v>20</v>
      </c>
      <c r="X27" s="515">
        <v>0</v>
      </c>
      <c r="Y27" s="515">
        <v>0</v>
      </c>
      <c r="Z27" s="515">
        <v>0</v>
      </c>
      <c r="AA27" s="515">
        <v>709</v>
      </c>
      <c r="AB27" s="515">
        <v>1703</v>
      </c>
      <c r="AC27" s="515">
        <v>2412</v>
      </c>
    </row>
    <row r="28" spans="1:29" s="740" customFormat="1" ht="21.75" customHeight="1">
      <c r="A28" s="553">
        <v>24</v>
      </c>
      <c r="B28" s="556" t="s">
        <v>38</v>
      </c>
      <c r="C28" s="515">
        <v>0</v>
      </c>
      <c r="D28" s="515">
        <v>0</v>
      </c>
      <c r="E28" s="515">
        <v>0</v>
      </c>
      <c r="F28" s="592"/>
      <c r="G28" s="515">
        <v>0</v>
      </c>
      <c r="H28" s="515">
        <v>0</v>
      </c>
      <c r="I28" s="515">
        <v>0</v>
      </c>
      <c r="J28" s="515">
        <v>0</v>
      </c>
      <c r="K28" s="515">
        <v>0</v>
      </c>
      <c r="L28" s="515">
        <v>0</v>
      </c>
      <c r="M28" s="515">
        <v>0</v>
      </c>
      <c r="N28" s="515">
        <v>0</v>
      </c>
      <c r="O28" s="515">
        <v>0</v>
      </c>
      <c r="P28" s="515">
        <v>0</v>
      </c>
      <c r="Q28" s="515">
        <v>0</v>
      </c>
      <c r="R28" s="515">
        <v>776</v>
      </c>
      <c r="S28" s="515">
        <v>1038</v>
      </c>
      <c r="T28" s="515">
        <v>1814</v>
      </c>
      <c r="U28" s="515">
        <v>0</v>
      </c>
      <c r="V28" s="515">
        <v>0</v>
      </c>
      <c r="W28" s="515">
        <v>0</v>
      </c>
      <c r="X28" s="515">
        <v>0</v>
      </c>
      <c r="Y28" s="515">
        <v>0</v>
      </c>
      <c r="Z28" s="515">
        <v>0</v>
      </c>
      <c r="AA28" s="515">
        <v>776</v>
      </c>
      <c r="AB28" s="515">
        <v>1038</v>
      </c>
      <c r="AC28" s="515">
        <v>1814</v>
      </c>
    </row>
    <row r="29" spans="1:29" s="740" customFormat="1" ht="21.75" customHeight="1">
      <c r="A29" s="553">
        <v>25</v>
      </c>
      <c r="B29" s="556" t="s">
        <v>39</v>
      </c>
      <c r="C29" s="515">
        <v>2</v>
      </c>
      <c r="D29" s="515">
        <v>5</v>
      </c>
      <c r="E29" s="515">
        <v>7</v>
      </c>
      <c r="F29" s="592"/>
      <c r="G29" s="515">
        <v>0</v>
      </c>
      <c r="H29" s="515">
        <v>0</v>
      </c>
      <c r="I29" s="515">
        <v>558</v>
      </c>
      <c r="J29" s="515">
        <v>346</v>
      </c>
      <c r="K29" s="515">
        <v>904</v>
      </c>
      <c r="L29" s="515">
        <v>1116</v>
      </c>
      <c r="M29" s="515">
        <v>1490</v>
      </c>
      <c r="N29" s="515">
        <v>2606</v>
      </c>
      <c r="O29" s="515">
        <v>1202</v>
      </c>
      <c r="P29" s="515">
        <v>627</v>
      </c>
      <c r="Q29" s="515">
        <v>1829</v>
      </c>
      <c r="R29" s="515">
        <v>83320</v>
      </c>
      <c r="S29" s="515">
        <v>37523</v>
      </c>
      <c r="T29" s="515">
        <v>120843</v>
      </c>
      <c r="U29" s="515">
        <v>421</v>
      </c>
      <c r="V29" s="515">
        <v>1259</v>
      </c>
      <c r="W29" s="515">
        <v>1680</v>
      </c>
      <c r="X29" s="515">
        <v>0</v>
      </c>
      <c r="Y29" s="515">
        <v>0</v>
      </c>
      <c r="Z29" s="515">
        <v>0</v>
      </c>
      <c r="AA29" s="515">
        <v>86619</v>
      </c>
      <c r="AB29" s="515">
        <v>41250</v>
      </c>
      <c r="AC29" s="515">
        <v>127869</v>
      </c>
    </row>
    <row r="30" spans="1:29" s="740" customFormat="1" ht="21.75" customHeight="1">
      <c r="A30" s="553">
        <v>26</v>
      </c>
      <c r="B30" s="556" t="s">
        <v>40</v>
      </c>
      <c r="C30" s="515">
        <v>0</v>
      </c>
      <c r="D30" s="515">
        <v>0</v>
      </c>
      <c r="E30" s="515">
        <v>0</v>
      </c>
      <c r="F30" s="592"/>
      <c r="G30" s="515">
        <v>0</v>
      </c>
      <c r="H30" s="515">
        <v>0</v>
      </c>
      <c r="I30" s="515">
        <v>0</v>
      </c>
      <c r="J30" s="515">
        <v>0</v>
      </c>
      <c r="K30" s="515">
        <v>0</v>
      </c>
      <c r="L30" s="515">
        <v>119</v>
      </c>
      <c r="M30" s="515">
        <v>22</v>
      </c>
      <c r="N30" s="515">
        <v>141</v>
      </c>
      <c r="O30" s="515">
        <v>0</v>
      </c>
      <c r="P30" s="515">
        <v>0</v>
      </c>
      <c r="Q30" s="515">
        <v>0</v>
      </c>
      <c r="R30" s="515">
        <v>2698</v>
      </c>
      <c r="S30" s="515">
        <v>899</v>
      </c>
      <c r="T30" s="515">
        <v>3597</v>
      </c>
      <c r="U30" s="515">
        <v>0</v>
      </c>
      <c r="V30" s="515">
        <v>0</v>
      </c>
      <c r="W30" s="515">
        <v>0</v>
      </c>
      <c r="X30" s="515">
        <v>0</v>
      </c>
      <c r="Y30" s="515">
        <v>0</v>
      </c>
      <c r="Z30" s="515">
        <v>0</v>
      </c>
      <c r="AA30" s="515">
        <v>2817</v>
      </c>
      <c r="AB30" s="515">
        <v>921</v>
      </c>
      <c r="AC30" s="515">
        <v>3738</v>
      </c>
    </row>
    <row r="31" spans="1:29" s="740" customFormat="1" ht="21.75" customHeight="1">
      <c r="A31" s="553">
        <v>27</v>
      </c>
      <c r="B31" s="556" t="s">
        <v>41</v>
      </c>
      <c r="C31" s="515">
        <v>0</v>
      </c>
      <c r="D31" s="515">
        <v>0</v>
      </c>
      <c r="E31" s="515">
        <v>0</v>
      </c>
      <c r="F31" s="592"/>
      <c r="G31" s="515">
        <v>0</v>
      </c>
      <c r="H31" s="515">
        <v>0</v>
      </c>
      <c r="I31" s="515">
        <v>0</v>
      </c>
      <c r="J31" s="515">
        <v>42</v>
      </c>
      <c r="K31" s="515">
        <v>42</v>
      </c>
      <c r="L31" s="515">
        <v>757</v>
      </c>
      <c r="M31" s="515">
        <v>1509</v>
      </c>
      <c r="N31" s="515">
        <v>2266</v>
      </c>
      <c r="O31" s="515">
        <v>46</v>
      </c>
      <c r="P31" s="515">
        <v>1</v>
      </c>
      <c r="Q31" s="515">
        <v>47</v>
      </c>
      <c r="R31" s="515">
        <v>34527</v>
      </c>
      <c r="S31" s="515">
        <v>21516</v>
      </c>
      <c r="T31" s="515">
        <v>56043</v>
      </c>
      <c r="U31" s="515">
        <v>16</v>
      </c>
      <c r="V31" s="515">
        <v>69</v>
      </c>
      <c r="W31" s="515">
        <v>85</v>
      </c>
      <c r="X31" s="515">
        <v>0</v>
      </c>
      <c r="Y31" s="515">
        <v>0</v>
      </c>
      <c r="Z31" s="515">
        <v>0</v>
      </c>
      <c r="AA31" s="515">
        <v>35346</v>
      </c>
      <c r="AB31" s="515">
        <v>23137</v>
      </c>
      <c r="AC31" s="515">
        <v>58483</v>
      </c>
    </row>
    <row r="32" spans="1:29" s="740" customFormat="1" ht="21.75" customHeight="1">
      <c r="A32" s="553">
        <v>28</v>
      </c>
      <c r="B32" s="556" t="s">
        <v>42</v>
      </c>
      <c r="C32" s="515">
        <v>0</v>
      </c>
      <c r="D32" s="515">
        <v>0</v>
      </c>
      <c r="E32" s="515">
        <v>0</v>
      </c>
      <c r="F32" s="592"/>
      <c r="G32" s="515">
        <v>0</v>
      </c>
      <c r="H32" s="515">
        <v>0</v>
      </c>
      <c r="I32" s="515">
        <v>16</v>
      </c>
      <c r="J32" s="515">
        <v>10</v>
      </c>
      <c r="K32" s="515">
        <v>26</v>
      </c>
      <c r="L32" s="515">
        <v>995</v>
      </c>
      <c r="M32" s="515">
        <v>1546</v>
      </c>
      <c r="N32" s="515">
        <v>2541</v>
      </c>
      <c r="O32" s="515">
        <v>537</v>
      </c>
      <c r="P32" s="515">
        <v>425</v>
      </c>
      <c r="Q32" s="515">
        <v>962</v>
      </c>
      <c r="R32" s="515">
        <v>42096</v>
      </c>
      <c r="S32" s="515">
        <v>17506</v>
      </c>
      <c r="T32" s="515">
        <v>59602</v>
      </c>
      <c r="U32" s="515">
        <v>732</v>
      </c>
      <c r="V32" s="515">
        <v>869</v>
      </c>
      <c r="W32" s="515">
        <v>1601</v>
      </c>
      <c r="X32" s="515">
        <v>110</v>
      </c>
      <c r="Y32" s="515">
        <v>428</v>
      </c>
      <c r="Z32" s="515">
        <v>538</v>
      </c>
      <c r="AA32" s="515">
        <v>44486</v>
      </c>
      <c r="AB32" s="515">
        <v>20784</v>
      </c>
      <c r="AC32" s="515">
        <v>65270</v>
      </c>
    </row>
    <row r="33" spans="1:29" s="740" customFormat="1" ht="21.75" customHeight="1">
      <c r="A33" s="553">
        <v>29</v>
      </c>
      <c r="B33" s="556" t="s">
        <v>43</v>
      </c>
      <c r="C33" s="515">
        <v>0</v>
      </c>
      <c r="D33" s="515">
        <v>0</v>
      </c>
      <c r="E33" s="515">
        <v>0</v>
      </c>
      <c r="F33" s="592"/>
      <c r="G33" s="515">
        <v>0</v>
      </c>
      <c r="H33" s="515">
        <v>0</v>
      </c>
      <c r="I33" s="515">
        <v>0</v>
      </c>
      <c r="J33" s="515">
        <v>0</v>
      </c>
      <c r="K33" s="515">
        <v>0</v>
      </c>
      <c r="L33" s="515">
        <v>56</v>
      </c>
      <c r="M33" s="515">
        <v>22</v>
      </c>
      <c r="N33" s="515">
        <v>78</v>
      </c>
      <c r="O33" s="515">
        <v>0</v>
      </c>
      <c r="P33" s="515">
        <v>0</v>
      </c>
      <c r="Q33" s="515">
        <v>0</v>
      </c>
      <c r="R33" s="515">
        <v>863</v>
      </c>
      <c r="S33" s="515">
        <v>669</v>
      </c>
      <c r="T33" s="515">
        <v>1532</v>
      </c>
      <c r="U33" s="515">
        <v>0</v>
      </c>
      <c r="V33" s="515">
        <v>0</v>
      </c>
      <c r="W33" s="515">
        <v>0</v>
      </c>
      <c r="X33" s="515">
        <v>0</v>
      </c>
      <c r="Y33" s="515">
        <v>0</v>
      </c>
      <c r="Z33" s="515">
        <v>0</v>
      </c>
      <c r="AA33" s="515">
        <v>919</v>
      </c>
      <c r="AB33" s="515">
        <v>691</v>
      </c>
      <c r="AC33" s="515">
        <v>1610</v>
      </c>
    </row>
    <row r="34" spans="1:29" s="740" customFormat="1" ht="21.75" customHeight="1">
      <c r="A34" s="553">
        <v>30</v>
      </c>
      <c r="B34" s="556" t="s">
        <v>44</v>
      </c>
      <c r="C34" s="515">
        <v>0</v>
      </c>
      <c r="D34" s="515">
        <v>0</v>
      </c>
      <c r="E34" s="515">
        <v>0</v>
      </c>
      <c r="F34" s="592"/>
      <c r="G34" s="515">
        <v>0</v>
      </c>
      <c r="H34" s="515">
        <v>0</v>
      </c>
      <c r="I34" s="515">
        <v>211</v>
      </c>
      <c r="J34" s="515">
        <v>111</v>
      </c>
      <c r="K34" s="515">
        <v>322</v>
      </c>
      <c r="L34" s="515">
        <v>874</v>
      </c>
      <c r="M34" s="515">
        <v>166</v>
      </c>
      <c r="N34" s="515">
        <v>1040</v>
      </c>
      <c r="O34" s="515">
        <v>461</v>
      </c>
      <c r="P34" s="515">
        <v>278</v>
      </c>
      <c r="Q34" s="515">
        <v>739</v>
      </c>
      <c r="R34" s="515">
        <v>227570</v>
      </c>
      <c r="S34" s="515">
        <v>35521</v>
      </c>
      <c r="T34" s="515">
        <v>263091</v>
      </c>
      <c r="U34" s="515">
        <v>603</v>
      </c>
      <c r="V34" s="515">
        <v>109</v>
      </c>
      <c r="W34" s="515">
        <v>712</v>
      </c>
      <c r="X34" s="515">
        <v>0</v>
      </c>
      <c r="Y34" s="515">
        <v>0</v>
      </c>
      <c r="Z34" s="515">
        <v>0</v>
      </c>
      <c r="AA34" s="515">
        <v>229719</v>
      </c>
      <c r="AB34" s="515">
        <v>36185</v>
      </c>
      <c r="AC34" s="515">
        <v>265904</v>
      </c>
    </row>
    <row r="35" spans="1:29" s="740" customFormat="1" ht="21.75" customHeight="1">
      <c r="A35" s="553">
        <v>31</v>
      </c>
      <c r="B35" s="556" t="s">
        <v>142</v>
      </c>
      <c r="C35" s="515">
        <v>0</v>
      </c>
      <c r="D35" s="515">
        <v>0</v>
      </c>
      <c r="E35" s="515">
        <v>0</v>
      </c>
      <c r="F35" s="592"/>
      <c r="G35" s="515">
        <v>0</v>
      </c>
      <c r="H35" s="515">
        <v>0</v>
      </c>
      <c r="I35" s="515">
        <v>126</v>
      </c>
      <c r="J35" s="515">
        <v>110</v>
      </c>
      <c r="K35" s="515">
        <v>236</v>
      </c>
      <c r="L35" s="515">
        <v>556</v>
      </c>
      <c r="M35" s="515">
        <v>593</v>
      </c>
      <c r="N35" s="515">
        <v>1149</v>
      </c>
      <c r="O35" s="515">
        <v>1739</v>
      </c>
      <c r="P35" s="515">
        <v>1377</v>
      </c>
      <c r="Q35" s="515">
        <v>3116</v>
      </c>
      <c r="R35" s="515">
        <v>46621</v>
      </c>
      <c r="S35" s="515">
        <v>38304</v>
      </c>
      <c r="T35" s="515">
        <v>84925</v>
      </c>
      <c r="U35" s="515">
        <v>130</v>
      </c>
      <c r="V35" s="515">
        <v>33</v>
      </c>
      <c r="W35" s="515">
        <v>163</v>
      </c>
      <c r="X35" s="515">
        <v>0</v>
      </c>
      <c r="Y35" s="515">
        <v>0</v>
      </c>
      <c r="Z35" s="515">
        <v>0</v>
      </c>
      <c r="AA35" s="515">
        <v>49172</v>
      </c>
      <c r="AB35" s="515">
        <v>40417</v>
      </c>
      <c r="AC35" s="515">
        <v>89589</v>
      </c>
    </row>
    <row r="36" spans="1:29" s="740" customFormat="1" ht="42">
      <c r="A36" s="553">
        <v>32</v>
      </c>
      <c r="B36" s="546" t="s">
        <v>173</v>
      </c>
      <c r="C36" s="515">
        <v>0</v>
      </c>
      <c r="D36" s="515">
        <v>0</v>
      </c>
      <c r="E36" s="515">
        <v>0</v>
      </c>
      <c r="F36" s="592"/>
      <c r="G36" s="515">
        <v>0</v>
      </c>
      <c r="H36" s="515">
        <v>0</v>
      </c>
      <c r="I36" s="515">
        <v>0</v>
      </c>
      <c r="J36" s="515">
        <v>0</v>
      </c>
      <c r="K36" s="515">
        <v>0</v>
      </c>
      <c r="L36" s="515">
        <v>131</v>
      </c>
      <c r="M36" s="515">
        <v>30</v>
      </c>
      <c r="N36" s="515">
        <v>161</v>
      </c>
      <c r="O36" s="515">
        <v>0</v>
      </c>
      <c r="P36" s="515">
        <v>0</v>
      </c>
      <c r="Q36" s="515">
        <v>0</v>
      </c>
      <c r="R36" s="515">
        <v>0</v>
      </c>
      <c r="S36" s="515">
        <v>0</v>
      </c>
      <c r="T36" s="515">
        <v>0</v>
      </c>
      <c r="U36" s="515">
        <v>0</v>
      </c>
      <c r="V36" s="515">
        <v>0</v>
      </c>
      <c r="W36" s="515">
        <v>0</v>
      </c>
      <c r="X36" s="515">
        <v>0</v>
      </c>
      <c r="Y36" s="515">
        <v>0</v>
      </c>
      <c r="Z36" s="515">
        <v>0</v>
      </c>
      <c r="AA36" s="515">
        <v>131</v>
      </c>
      <c r="AB36" s="515">
        <v>30</v>
      </c>
      <c r="AC36" s="515">
        <v>161</v>
      </c>
    </row>
    <row r="37" spans="1:29" s="740" customFormat="1" ht="21.75" customHeight="1">
      <c r="A37" s="553">
        <v>33</v>
      </c>
      <c r="B37" s="556" t="s">
        <v>45</v>
      </c>
      <c r="C37" s="515">
        <v>0</v>
      </c>
      <c r="D37" s="515">
        <v>0</v>
      </c>
      <c r="E37" s="515">
        <v>0</v>
      </c>
      <c r="F37" s="592"/>
      <c r="G37" s="515">
        <v>0</v>
      </c>
      <c r="H37" s="515">
        <v>0</v>
      </c>
      <c r="I37" s="515">
        <v>0</v>
      </c>
      <c r="J37" s="515">
        <v>0</v>
      </c>
      <c r="K37" s="515">
        <v>0</v>
      </c>
      <c r="L37" s="515">
        <v>6</v>
      </c>
      <c r="M37" s="515">
        <v>7</v>
      </c>
      <c r="N37" s="515">
        <v>13</v>
      </c>
      <c r="O37" s="515">
        <v>0</v>
      </c>
      <c r="P37" s="515">
        <v>0</v>
      </c>
      <c r="Q37" s="515">
        <v>0</v>
      </c>
      <c r="R37" s="515">
        <v>427</v>
      </c>
      <c r="S37" s="515">
        <v>1095</v>
      </c>
      <c r="T37" s="515">
        <v>1522</v>
      </c>
      <c r="U37" s="515">
        <v>12</v>
      </c>
      <c r="V37" s="515">
        <v>8</v>
      </c>
      <c r="W37" s="515">
        <v>20</v>
      </c>
      <c r="X37" s="515">
        <v>0</v>
      </c>
      <c r="Y37" s="515">
        <v>0</v>
      </c>
      <c r="Z37" s="515">
        <v>0</v>
      </c>
      <c r="AA37" s="515">
        <v>445</v>
      </c>
      <c r="AB37" s="515">
        <v>1110</v>
      </c>
      <c r="AC37" s="515">
        <v>1555</v>
      </c>
    </row>
    <row r="38" spans="1:29" s="740" customFormat="1" ht="21.75" customHeight="1">
      <c r="A38" s="553">
        <v>34</v>
      </c>
      <c r="B38" s="556" t="s">
        <v>47</v>
      </c>
      <c r="C38" s="515">
        <v>6</v>
      </c>
      <c r="D38" s="515">
        <v>4</v>
      </c>
      <c r="E38" s="515">
        <v>10</v>
      </c>
      <c r="F38" s="592"/>
      <c r="G38" s="515">
        <v>0</v>
      </c>
      <c r="H38" s="515">
        <v>0</v>
      </c>
      <c r="I38" s="515">
        <v>2282</v>
      </c>
      <c r="J38" s="515">
        <v>1004</v>
      </c>
      <c r="K38" s="515">
        <v>3286</v>
      </c>
      <c r="L38" s="515">
        <v>6239</v>
      </c>
      <c r="M38" s="515">
        <v>8281</v>
      </c>
      <c r="N38" s="515">
        <v>14520</v>
      </c>
      <c r="O38" s="515">
        <v>6683</v>
      </c>
      <c r="P38" s="515">
        <v>3974</v>
      </c>
      <c r="Q38" s="515">
        <v>10657</v>
      </c>
      <c r="R38" s="515">
        <v>140857</v>
      </c>
      <c r="S38" s="515">
        <v>71424</v>
      </c>
      <c r="T38" s="515">
        <v>212281</v>
      </c>
      <c r="U38" s="515">
        <v>1578</v>
      </c>
      <c r="V38" s="515">
        <v>1963</v>
      </c>
      <c r="W38" s="515">
        <v>3541</v>
      </c>
      <c r="X38" s="515">
        <v>0</v>
      </c>
      <c r="Y38" s="515">
        <v>0</v>
      </c>
      <c r="Z38" s="515">
        <v>0</v>
      </c>
      <c r="AA38" s="515">
        <v>157645</v>
      </c>
      <c r="AB38" s="515">
        <v>86650</v>
      </c>
      <c r="AC38" s="515">
        <v>244295</v>
      </c>
    </row>
    <row r="39" spans="1:29" s="740" customFormat="1" ht="21.75" customHeight="1">
      <c r="A39" s="553">
        <v>35</v>
      </c>
      <c r="B39" s="556" t="s">
        <v>46</v>
      </c>
      <c r="C39" s="515">
        <v>0</v>
      </c>
      <c r="D39" s="515">
        <v>0</v>
      </c>
      <c r="E39" s="515">
        <v>0</v>
      </c>
      <c r="F39" s="592"/>
      <c r="G39" s="515">
        <v>0</v>
      </c>
      <c r="H39" s="515">
        <v>0</v>
      </c>
      <c r="I39" s="515">
        <v>1</v>
      </c>
      <c r="J39" s="515">
        <v>11</v>
      </c>
      <c r="K39" s="515">
        <v>12</v>
      </c>
      <c r="L39" s="515">
        <v>911</v>
      </c>
      <c r="M39" s="515">
        <v>659</v>
      </c>
      <c r="N39" s="515">
        <v>1570</v>
      </c>
      <c r="O39" s="515">
        <v>242</v>
      </c>
      <c r="P39" s="515">
        <v>487</v>
      </c>
      <c r="Q39" s="515">
        <v>729</v>
      </c>
      <c r="R39" s="515">
        <v>13585</v>
      </c>
      <c r="S39" s="515">
        <v>4721</v>
      </c>
      <c r="T39" s="515">
        <v>18306</v>
      </c>
      <c r="U39" s="515">
        <v>213</v>
      </c>
      <c r="V39" s="515">
        <v>35</v>
      </c>
      <c r="W39" s="515">
        <v>248</v>
      </c>
      <c r="X39" s="515">
        <v>0</v>
      </c>
      <c r="Y39" s="515">
        <v>0</v>
      </c>
      <c r="Z39" s="515">
        <v>0</v>
      </c>
      <c r="AA39" s="515">
        <v>14952</v>
      </c>
      <c r="AB39" s="515">
        <v>5913</v>
      </c>
      <c r="AC39" s="515">
        <v>20865</v>
      </c>
    </row>
    <row r="40" spans="1:29" s="740" customFormat="1" ht="21.75" customHeight="1">
      <c r="A40" s="553">
        <v>36</v>
      </c>
      <c r="B40" s="556" t="s">
        <v>48</v>
      </c>
      <c r="C40" s="515">
        <v>6</v>
      </c>
      <c r="D40" s="515">
        <v>5</v>
      </c>
      <c r="E40" s="515">
        <v>11</v>
      </c>
      <c r="F40" s="592"/>
      <c r="G40" s="515">
        <v>0</v>
      </c>
      <c r="H40" s="515">
        <v>0</v>
      </c>
      <c r="I40" s="515">
        <v>376</v>
      </c>
      <c r="J40" s="515">
        <v>314</v>
      </c>
      <c r="K40" s="515">
        <v>690</v>
      </c>
      <c r="L40" s="515">
        <v>10183</v>
      </c>
      <c r="M40" s="515">
        <v>9810</v>
      </c>
      <c r="N40" s="515">
        <v>19993</v>
      </c>
      <c r="O40" s="515">
        <v>1279</v>
      </c>
      <c r="P40" s="515">
        <v>721</v>
      </c>
      <c r="Q40" s="515">
        <v>2000</v>
      </c>
      <c r="R40" s="515">
        <v>88581</v>
      </c>
      <c r="S40" s="515">
        <v>44771</v>
      </c>
      <c r="T40" s="515">
        <v>133352</v>
      </c>
      <c r="U40" s="515">
        <v>98</v>
      </c>
      <c r="V40" s="515">
        <v>164</v>
      </c>
      <c r="W40" s="515">
        <v>262</v>
      </c>
      <c r="X40" s="515">
        <v>9</v>
      </c>
      <c r="Y40" s="515">
        <v>12</v>
      </c>
      <c r="Z40" s="515">
        <v>21</v>
      </c>
      <c r="AA40" s="515">
        <v>100532</v>
      </c>
      <c r="AB40" s="515">
        <v>55797</v>
      </c>
      <c r="AC40" s="515">
        <v>156329</v>
      </c>
    </row>
    <row r="41" spans="1:29" s="844" customFormat="1" ht="21.75" customHeight="1">
      <c r="A41" s="965" t="s">
        <v>49</v>
      </c>
      <c r="B41" s="965"/>
      <c r="C41" s="556">
        <v>103</v>
      </c>
      <c r="D41" s="556">
        <v>104</v>
      </c>
      <c r="E41" s="556">
        <v>207</v>
      </c>
      <c r="F41" s="556"/>
      <c r="G41" s="556"/>
      <c r="H41" s="556"/>
      <c r="I41" s="556">
        <v>11680</v>
      </c>
      <c r="J41" s="556">
        <v>7948</v>
      </c>
      <c r="K41" s="556">
        <v>19628</v>
      </c>
      <c r="L41" s="556">
        <v>40634</v>
      </c>
      <c r="M41" s="556">
        <v>42435</v>
      </c>
      <c r="N41" s="556">
        <v>83069</v>
      </c>
      <c r="O41" s="556">
        <v>27997</v>
      </c>
      <c r="P41" s="556">
        <v>17616</v>
      </c>
      <c r="Q41" s="556">
        <v>45613</v>
      </c>
      <c r="R41" s="556">
        <v>1271537</v>
      </c>
      <c r="S41" s="556">
        <v>685669</v>
      </c>
      <c r="T41" s="556">
        <v>1957206</v>
      </c>
      <c r="U41" s="556">
        <v>8386</v>
      </c>
      <c r="V41" s="556">
        <v>9765</v>
      </c>
      <c r="W41" s="556">
        <v>18151</v>
      </c>
      <c r="X41" s="556">
        <v>119</v>
      </c>
      <c r="Y41" s="556">
        <v>440</v>
      </c>
      <c r="Z41" s="556">
        <v>559</v>
      </c>
      <c r="AA41" s="556">
        <v>1360456</v>
      </c>
      <c r="AB41" s="556">
        <v>763977</v>
      </c>
      <c r="AC41" s="556">
        <v>2124433</v>
      </c>
    </row>
  </sheetData>
  <mergeCells count="12">
    <mergeCell ref="A41:B41"/>
    <mergeCell ref="L2:N2"/>
    <mergeCell ref="O2:Q2"/>
    <mergeCell ref="R2:T2"/>
    <mergeCell ref="U2:W2"/>
    <mergeCell ref="X2:Z2"/>
    <mergeCell ref="AA2:AC2"/>
    <mergeCell ref="A2:A3"/>
    <mergeCell ref="B2:B3"/>
    <mergeCell ref="C2:E2"/>
    <mergeCell ref="F2:H2"/>
    <mergeCell ref="I2:K2"/>
  </mergeCells>
  <pageMargins left="0.43307086614173229" right="0.15748031496062992" top="0.51181102362204722" bottom="0.27559055118110237" header="0.19685039370078741" footer="0.15748031496062992"/>
  <pageSetup paperSize="9" scale="80" firstPageNumber="14" orientation="portrait" useFirstPageNumber="1" r:id="rId1"/>
  <headerFooter>
    <oddFooter>&amp;L&amp;"Arial,Italic"&amp;9AISHE 2020-21&amp;CT-9a</oddFooter>
  </headerFooter>
  <colBreaks count="2" manualBreakCount="2">
    <brk id="11" max="38" man="1"/>
    <brk id="20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B050"/>
  </sheetPr>
  <dimension ref="A1:Q41"/>
  <sheetViews>
    <sheetView view="pageBreakPreview" topLeftCell="A39" zoomScale="85" zoomScaleSheetLayoutView="85" workbookViewId="0">
      <selection activeCell="A41" sqref="A41:B41"/>
    </sheetView>
  </sheetViews>
  <sheetFormatPr defaultColWidth="9.1796875" defaultRowHeight="15.5"/>
  <cols>
    <col min="1" max="1" width="5.1796875" style="70" customWidth="1"/>
    <col min="2" max="2" width="30.453125" style="70" customWidth="1"/>
    <col min="3" max="8" width="11.26953125" style="70" customWidth="1"/>
    <col min="9" max="9" width="10.54296875" style="70" bestFit="1" customWidth="1"/>
    <col min="10" max="10" width="9.26953125" style="70" bestFit="1" customWidth="1"/>
    <col min="11" max="11" width="10.54296875" style="70" bestFit="1" customWidth="1"/>
    <col min="12" max="12" width="11.1796875" style="70" customWidth="1"/>
    <col min="13" max="13" width="11.54296875" style="70" customWidth="1"/>
    <col min="14" max="14" width="11.7265625" style="70" customWidth="1"/>
    <col min="15" max="16384" width="9.1796875" style="70"/>
  </cols>
  <sheetData>
    <row r="1" spans="1:17" s="735" customFormat="1" ht="27" customHeight="1">
      <c r="A1" s="591" t="s">
        <v>1061</v>
      </c>
      <c r="C1" s="591"/>
      <c r="F1" s="591"/>
    </row>
    <row r="2" spans="1:17" s="736" customFormat="1" ht="29.25" customHeight="1">
      <c r="A2" s="940" t="s">
        <v>84</v>
      </c>
      <c r="B2" s="915" t="s">
        <v>2</v>
      </c>
      <c r="C2" s="915" t="s">
        <v>1062</v>
      </c>
      <c r="D2" s="915"/>
      <c r="E2" s="915"/>
      <c r="F2" s="915" t="s">
        <v>238</v>
      </c>
      <c r="G2" s="915"/>
      <c r="H2" s="915"/>
      <c r="I2" s="915" t="s">
        <v>1063</v>
      </c>
      <c r="J2" s="915"/>
      <c r="K2" s="915"/>
      <c r="L2" s="937" t="s">
        <v>60</v>
      </c>
      <c r="M2" s="938"/>
      <c r="N2" s="939"/>
    </row>
    <row r="3" spans="1:17" s="184" customFormat="1" ht="24.75" customHeight="1">
      <c r="A3" s="941"/>
      <c r="B3" s="915"/>
      <c r="C3" s="529" t="s">
        <v>87</v>
      </c>
      <c r="D3" s="529" t="s">
        <v>88</v>
      </c>
      <c r="E3" s="529" t="s">
        <v>12</v>
      </c>
      <c r="F3" s="529" t="s">
        <v>87</v>
      </c>
      <c r="G3" s="529" t="s">
        <v>88</v>
      </c>
      <c r="H3" s="529" t="s">
        <v>12</v>
      </c>
      <c r="I3" s="529" t="s">
        <v>87</v>
      </c>
      <c r="J3" s="529" t="s">
        <v>88</v>
      </c>
      <c r="K3" s="529" t="s">
        <v>12</v>
      </c>
      <c r="L3" s="529" t="s">
        <v>87</v>
      </c>
      <c r="M3" s="529" t="s">
        <v>88</v>
      </c>
      <c r="N3" s="529" t="s">
        <v>12</v>
      </c>
    </row>
    <row r="4" spans="1:17" s="737" customFormat="1" ht="18.649999999999999" customHeight="1">
      <c r="A4" s="530">
        <v>1</v>
      </c>
      <c r="B4" s="530">
        <v>2</v>
      </c>
      <c r="C4" s="514">
        <v>3</v>
      </c>
      <c r="D4" s="514">
        <v>4</v>
      </c>
      <c r="E4" s="514">
        <v>5</v>
      </c>
      <c r="F4" s="514">
        <v>6</v>
      </c>
      <c r="G4" s="514">
        <v>7</v>
      </c>
      <c r="H4" s="514">
        <v>8</v>
      </c>
      <c r="I4" s="514">
        <v>9</v>
      </c>
      <c r="J4" s="514">
        <v>10</v>
      </c>
      <c r="K4" s="514">
        <v>11</v>
      </c>
      <c r="L4" s="514">
        <v>12</v>
      </c>
      <c r="M4" s="514">
        <v>13</v>
      </c>
      <c r="N4" s="514">
        <v>14</v>
      </c>
    </row>
    <row r="5" spans="1:17" s="184" customFormat="1" ht="34.5" customHeight="1">
      <c r="A5" s="82">
        <v>1</v>
      </c>
      <c r="B5" s="83" t="s">
        <v>171</v>
      </c>
      <c r="C5" s="68">
        <v>2186</v>
      </c>
      <c r="D5" s="68">
        <v>2042</v>
      </c>
      <c r="E5" s="68">
        <v>4228</v>
      </c>
      <c r="F5" s="68">
        <v>3316</v>
      </c>
      <c r="G5" s="68">
        <v>4297</v>
      </c>
      <c r="H5" s="68">
        <v>7613</v>
      </c>
      <c r="I5" s="68">
        <v>32</v>
      </c>
      <c r="J5" s="68">
        <v>92</v>
      </c>
      <c r="K5" s="68">
        <v>124</v>
      </c>
      <c r="L5" s="68">
        <f>C5+F5+I5</f>
        <v>5534</v>
      </c>
      <c r="M5" s="68">
        <f t="shared" ref="M5:N20" si="0">D5+G5+J5</f>
        <v>6431</v>
      </c>
      <c r="N5" s="68">
        <f t="shared" si="0"/>
        <v>11965</v>
      </c>
      <c r="O5" s="184" t="b">
        <f>L5='[1]6TotalEnr'!AA5</f>
        <v>1</v>
      </c>
      <c r="P5" s="184" t="b">
        <f>M5='[1]6TotalEnr'!AB5</f>
        <v>1</v>
      </c>
      <c r="Q5" s="184" t="b">
        <f>N5='[1]6TotalEnr'!AC5</f>
        <v>1</v>
      </c>
    </row>
    <row r="6" spans="1:17" s="184" customFormat="1" ht="34.5" customHeight="1">
      <c r="A6" s="82">
        <v>2</v>
      </c>
      <c r="B6" s="182" t="s">
        <v>15</v>
      </c>
      <c r="C6" s="68">
        <v>209150</v>
      </c>
      <c r="D6" s="68">
        <v>161584</v>
      </c>
      <c r="E6" s="68">
        <v>370734</v>
      </c>
      <c r="F6" s="68">
        <v>779036</v>
      </c>
      <c r="G6" s="68">
        <v>713068</v>
      </c>
      <c r="H6" s="68">
        <v>1492104</v>
      </c>
      <c r="I6" s="68">
        <v>67879</v>
      </c>
      <c r="J6" s="68">
        <v>56901</v>
      </c>
      <c r="K6" s="68">
        <v>124780</v>
      </c>
      <c r="L6" s="68">
        <f t="shared" ref="L6:N40" si="1">C6+F6+I6</f>
        <v>1056065</v>
      </c>
      <c r="M6" s="68">
        <f t="shared" si="0"/>
        <v>931553</v>
      </c>
      <c r="N6" s="68">
        <f t="shared" si="0"/>
        <v>1987618</v>
      </c>
      <c r="O6" s="184" t="b">
        <f>L6='[1]6TotalEnr'!AA6</f>
        <v>1</v>
      </c>
      <c r="P6" s="184" t="b">
        <f>M6='[1]6TotalEnr'!AB6</f>
        <v>1</v>
      </c>
      <c r="Q6" s="184" t="b">
        <f>N6='[1]6TotalEnr'!AC6</f>
        <v>1</v>
      </c>
    </row>
    <row r="7" spans="1:17" s="184" customFormat="1" ht="34.5" customHeight="1">
      <c r="A7" s="82">
        <v>3</v>
      </c>
      <c r="B7" s="182" t="s">
        <v>16</v>
      </c>
      <c r="C7" s="68">
        <v>19350</v>
      </c>
      <c r="D7" s="68">
        <v>16231</v>
      </c>
      <c r="E7" s="68">
        <v>35581</v>
      </c>
      <c r="F7" s="68">
        <v>11437</v>
      </c>
      <c r="G7" s="68">
        <v>11703</v>
      </c>
      <c r="H7" s="68">
        <v>23140</v>
      </c>
      <c r="I7" s="68">
        <v>678</v>
      </c>
      <c r="J7" s="68">
        <v>336</v>
      </c>
      <c r="K7" s="68">
        <v>1014</v>
      </c>
      <c r="L7" s="68">
        <f t="shared" si="1"/>
        <v>31465</v>
      </c>
      <c r="M7" s="68">
        <f t="shared" si="0"/>
        <v>28270</v>
      </c>
      <c r="N7" s="68">
        <f t="shared" si="0"/>
        <v>59735</v>
      </c>
      <c r="O7" s="184" t="b">
        <f>L7='[1]6TotalEnr'!AA7</f>
        <v>1</v>
      </c>
      <c r="P7" s="184" t="b">
        <f>M7='[1]6TotalEnr'!AB7</f>
        <v>1</v>
      </c>
      <c r="Q7" s="184" t="b">
        <f>N7='[1]6TotalEnr'!AC7</f>
        <v>1</v>
      </c>
    </row>
    <row r="8" spans="1:17" s="184" customFormat="1" ht="34.5" customHeight="1">
      <c r="A8" s="82">
        <v>4</v>
      </c>
      <c r="B8" s="182" t="s">
        <v>17</v>
      </c>
      <c r="C8" s="68">
        <v>64106</v>
      </c>
      <c r="D8" s="68">
        <v>55710</v>
      </c>
      <c r="E8" s="68">
        <v>119816</v>
      </c>
      <c r="F8" s="68">
        <v>266769</v>
      </c>
      <c r="G8" s="68">
        <v>291152</v>
      </c>
      <c r="H8" s="68">
        <v>557921</v>
      </c>
      <c r="I8" s="68">
        <v>11110</v>
      </c>
      <c r="J8" s="68">
        <v>8246</v>
      </c>
      <c r="K8" s="68">
        <v>19356</v>
      </c>
      <c r="L8" s="68">
        <f t="shared" si="1"/>
        <v>341985</v>
      </c>
      <c r="M8" s="68">
        <f t="shared" si="0"/>
        <v>355108</v>
      </c>
      <c r="N8" s="68">
        <f t="shared" si="0"/>
        <v>697093</v>
      </c>
      <c r="O8" s="184" t="b">
        <f>L8='[1]6TotalEnr'!AA8</f>
        <v>1</v>
      </c>
      <c r="P8" s="184" t="b">
        <f>M8='[1]6TotalEnr'!AB8</f>
        <v>1</v>
      </c>
      <c r="Q8" s="184" t="b">
        <f>N8='[1]6TotalEnr'!AC8</f>
        <v>1</v>
      </c>
    </row>
    <row r="9" spans="1:17" s="184" customFormat="1" ht="34.5" customHeight="1">
      <c r="A9" s="82">
        <v>5</v>
      </c>
      <c r="B9" s="182" t="s">
        <v>18</v>
      </c>
      <c r="C9" s="68">
        <v>204658</v>
      </c>
      <c r="D9" s="68">
        <v>130091</v>
      </c>
      <c r="E9" s="68">
        <v>334749</v>
      </c>
      <c r="F9" s="68">
        <v>1062729</v>
      </c>
      <c r="G9" s="68">
        <v>890467</v>
      </c>
      <c r="H9" s="68">
        <v>1953196</v>
      </c>
      <c r="I9" s="68">
        <v>42015</v>
      </c>
      <c r="J9" s="68">
        <v>30981</v>
      </c>
      <c r="K9" s="68">
        <v>72996</v>
      </c>
      <c r="L9" s="68">
        <f t="shared" si="1"/>
        <v>1309402</v>
      </c>
      <c r="M9" s="68">
        <f t="shared" si="0"/>
        <v>1051539</v>
      </c>
      <c r="N9" s="68">
        <f t="shared" si="0"/>
        <v>2360941</v>
      </c>
      <c r="O9" s="184" t="b">
        <f>L9='[1]6TotalEnr'!AA9</f>
        <v>1</v>
      </c>
      <c r="P9" s="184" t="b">
        <f>M9='[1]6TotalEnr'!AB9</f>
        <v>1</v>
      </c>
      <c r="Q9" s="184" t="b">
        <f>N9='[1]6TotalEnr'!AC9</f>
        <v>1</v>
      </c>
    </row>
    <row r="10" spans="1:17" s="184" customFormat="1" ht="34.5" customHeight="1">
      <c r="A10" s="82">
        <v>6</v>
      </c>
      <c r="B10" s="182" t="s">
        <v>19</v>
      </c>
      <c r="C10" s="68">
        <v>32551</v>
      </c>
      <c r="D10" s="68">
        <v>25038</v>
      </c>
      <c r="E10" s="68">
        <v>57589</v>
      </c>
      <c r="F10" s="68">
        <v>19812</v>
      </c>
      <c r="G10" s="68">
        <v>29334</v>
      </c>
      <c r="H10" s="68">
        <v>49146</v>
      </c>
      <c r="I10" s="68">
        <v>2446</v>
      </c>
      <c r="J10" s="68">
        <v>1284</v>
      </c>
      <c r="K10" s="68">
        <v>3730</v>
      </c>
      <c r="L10" s="68">
        <f t="shared" si="1"/>
        <v>54809</v>
      </c>
      <c r="M10" s="68">
        <f t="shared" si="0"/>
        <v>55656</v>
      </c>
      <c r="N10" s="68">
        <f t="shared" si="0"/>
        <v>110465</v>
      </c>
      <c r="O10" s="184" t="b">
        <f>L10='[1]6TotalEnr'!AA10</f>
        <v>1</v>
      </c>
      <c r="P10" s="184" t="b">
        <f>M10='[1]6TotalEnr'!AB10</f>
        <v>1</v>
      </c>
      <c r="Q10" s="184" t="b">
        <f>N10='[1]6TotalEnr'!AC10</f>
        <v>1</v>
      </c>
    </row>
    <row r="11" spans="1:17" s="184" customFormat="1" ht="34.5" customHeight="1">
      <c r="A11" s="82">
        <v>7</v>
      </c>
      <c r="B11" s="182" t="s">
        <v>20</v>
      </c>
      <c r="C11" s="68">
        <v>75672</v>
      </c>
      <c r="D11" s="68">
        <v>56505</v>
      </c>
      <c r="E11" s="68">
        <v>132177</v>
      </c>
      <c r="F11" s="68">
        <v>224633</v>
      </c>
      <c r="G11" s="68">
        <v>289185</v>
      </c>
      <c r="H11" s="68">
        <v>513818</v>
      </c>
      <c r="I11" s="68">
        <v>2535</v>
      </c>
      <c r="J11" s="68">
        <v>4875</v>
      </c>
      <c r="K11" s="68">
        <v>7410</v>
      </c>
      <c r="L11" s="68">
        <f t="shared" si="1"/>
        <v>302840</v>
      </c>
      <c r="M11" s="68">
        <f t="shared" si="0"/>
        <v>350565</v>
      </c>
      <c r="N11" s="68">
        <f t="shared" si="0"/>
        <v>653405</v>
      </c>
      <c r="O11" s="184" t="b">
        <f>L11='[1]6TotalEnr'!AA11</f>
        <v>1</v>
      </c>
      <c r="P11" s="184" t="b">
        <f>M11='[1]6TotalEnr'!AB11</f>
        <v>1</v>
      </c>
      <c r="Q11" s="184" t="b">
        <f>N11='[1]6TotalEnr'!AC11</f>
        <v>1</v>
      </c>
    </row>
    <row r="12" spans="1:17" s="184" customFormat="1" ht="34.5" customHeight="1">
      <c r="A12" s="82">
        <v>8</v>
      </c>
      <c r="B12" s="182" t="s">
        <v>23</v>
      </c>
      <c r="C12" s="68">
        <v>413119</v>
      </c>
      <c r="D12" s="68">
        <v>382452</v>
      </c>
      <c r="E12" s="68">
        <v>795571</v>
      </c>
      <c r="F12" s="68">
        <v>137262</v>
      </c>
      <c r="G12" s="68">
        <v>147576</v>
      </c>
      <c r="H12" s="68">
        <v>284838</v>
      </c>
      <c r="I12" s="68">
        <v>14468</v>
      </c>
      <c r="J12" s="68">
        <v>11394</v>
      </c>
      <c r="K12" s="68">
        <v>25862</v>
      </c>
      <c r="L12" s="68">
        <f t="shared" si="1"/>
        <v>564849</v>
      </c>
      <c r="M12" s="68">
        <f t="shared" si="0"/>
        <v>541422</v>
      </c>
      <c r="N12" s="68">
        <f t="shared" si="0"/>
        <v>1106271</v>
      </c>
      <c r="O12" s="184" t="b">
        <f>L12='[1]6TotalEnr'!AA12</f>
        <v>1</v>
      </c>
      <c r="P12" s="184" t="b">
        <f>M12='[1]6TotalEnr'!AB12</f>
        <v>1</v>
      </c>
      <c r="Q12" s="184" t="b">
        <f>N12='[1]6TotalEnr'!AC12</f>
        <v>1</v>
      </c>
    </row>
    <row r="13" spans="1:17" s="184" customFormat="1" ht="34.5" customHeight="1">
      <c r="A13" s="82">
        <v>9</v>
      </c>
      <c r="B13" s="182" t="s">
        <v>24</v>
      </c>
      <c r="C13" s="68">
        <v>6031</v>
      </c>
      <c r="D13" s="68">
        <v>4677</v>
      </c>
      <c r="E13" s="68">
        <v>10708</v>
      </c>
      <c r="F13" s="68">
        <v>17372</v>
      </c>
      <c r="G13" s="68">
        <v>24353</v>
      </c>
      <c r="H13" s="68">
        <v>41725</v>
      </c>
      <c r="I13" s="68">
        <v>6001</v>
      </c>
      <c r="J13" s="68">
        <v>1851</v>
      </c>
      <c r="K13" s="68">
        <v>7852</v>
      </c>
      <c r="L13" s="68">
        <f t="shared" si="1"/>
        <v>29404</v>
      </c>
      <c r="M13" s="68">
        <f t="shared" si="0"/>
        <v>30881</v>
      </c>
      <c r="N13" s="68">
        <f t="shared" si="0"/>
        <v>60285</v>
      </c>
      <c r="O13" s="184" t="b">
        <f>L13='[1]6TotalEnr'!AA13</f>
        <v>1</v>
      </c>
      <c r="P13" s="184" t="b">
        <f>M13='[1]6TotalEnr'!AB13</f>
        <v>1</v>
      </c>
      <c r="Q13" s="184" t="b">
        <f>N13='[1]6TotalEnr'!AC13</f>
        <v>1</v>
      </c>
    </row>
    <row r="14" spans="1:17" s="184" customFormat="1" ht="34.5" customHeight="1">
      <c r="A14" s="82">
        <v>10</v>
      </c>
      <c r="B14" s="182" t="s">
        <v>25</v>
      </c>
      <c r="C14" s="68">
        <v>253807</v>
      </c>
      <c r="D14" s="68">
        <v>160665</v>
      </c>
      <c r="E14" s="68">
        <v>414472</v>
      </c>
      <c r="F14" s="68">
        <v>675661</v>
      </c>
      <c r="G14" s="68">
        <v>532593</v>
      </c>
      <c r="H14" s="68">
        <v>1208254</v>
      </c>
      <c r="I14" s="68">
        <v>8676</v>
      </c>
      <c r="J14" s="68">
        <v>21728</v>
      </c>
      <c r="K14" s="68">
        <v>30404</v>
      </c>
      <c r="L14" s="68">
        <f t="shared" si="1"/>
        <v>938144</v>
      </c>
      <c r="M14" s="68">
        <f t="shared" si="0"/>
        <v>714986</v>
      </c>
      <c r="N14" s="68">
        <f t="shared" si="0"/>
        <v>1653130</v>
      </c>
      <c r="O14" s="184" t="b">
        <f>L14='[1]6TotalEnr'!AA14</f>
        <v>1</v>
      </c>
      <c r="P14" s="184" t="b">
        <f>M14='[1]6TotalEnr'!AB14</f>
        <v>1</v>
      </c>
      <c r="Q14" s="184" t="b">
        <f>N14='[1]6TotalEnr'!AC14</f>
        <v>1</v>
      </c>
    </row>
    <row r="15" spans="1:17" s="184" customFormat="1" ht="34.5" customHeight="1">
      <c r="A15" s="82">
        <v>11</v>
      </c>
      <c r="B15" s="182" t="s">
        <v>26</v>
      </c>
      <c r="C15" s="68">
        <v>195711</v>
      </c>
      <c r="D15" s="68">
        <v>132441</v>
      </c>
      <c r="E15" s="68">
        <v>328152</v>
      </c>
      <c r="F15" s="68">
        <v>275450</v>
      </c>
      <c r="G15" s="68">
        <v>363614</v>
      </c>
      <c r="H15" s="68">
        <v>639064</v>
      </c>
      <c r="I15" s="68">
        <v>46652</v>
      </c>
      <c r="J15" s="68">
        <v>15291</v>
      </c>
      <c r="K15" s="68">
        <v>61943</v>
      </c>
      <c r="L15" s="68">
        <f t="shared" si="1"/>
        <v>517813</v>
      </c>
      <c r="M15" s="68">
        <f t="shared" si="0"/>
        <v>511346</v>
      </c>
      <c r="N15" s="68">
        <f t="shared" si="0"/>
        <v>1029159</v>
      </c>
      <c r="O15" s="184" t="b">
        <f>L15='[1]6TotalEnr'!AA15</f>
        <v>1</v>
      </c>
      <c r="P15" s="184" t="b">
        <f>M15='[1]6TotalEnr'!AB15</f>
        <v>1</v>
      </c>
      <c r="Q15" s="184" t="b">
        <f>N15='[1]6TotalEnr'!AC15</f>
        <v>1</v>
      </c>
    </row>
    <row r="16" spans="1:17" s="184" customFormat="1" ht="34.5" customHeight="1">
      <c r="A16" s="82">
        <v>12</v>
      </c>
      <c r="B16" s="182" t="s">
        <v>27</v>
      </c>
      <c r="C16" s="68">
        <v>54319</v>
      </c>
      <c r="D16" s="68">
        <v>41496</v>
      </c>
      <c r="E16" s="68">
        <v>95815</v>
      </c>
      <c r="F16" s="68">
        <v>71783</v>
      </c>
      <c r="G16" s="68">
        <v>108737</v>
      </c>
      <c r="H16" s="68">
        <v>180520</v>
      </c>
      <c r="I16" s="68">
        <v>7094</v>
      </c>
      <c r="J16" s="68">
        <v>6156</v>
      </c>
      <c r="K16" s="68">
        <v>13250</v>
      </c>
      <c r="L16" s="68">
        <f t="shared" si="1"/>
        <v>133196</v>
      </c>
      <c r="M16" s="68">
        <f t="shared" si="0"/>
        <v>156389</v>
      </c>
      <c r="N16" s="68">
        <f t="shared" si="0"/>
        <v>289585</v>
      </c>
      <c r="O16" s="184" t="b">
        <f>L16='[1]6TotalEnr'!AA16</f>
        <v>1</v>
      </c>
      <c r="P16" s="184" t="b">
        <f>M16='[1]6TotalEnr'!AB16</f>
        <v>1</v>
      </c>
      <c r="Q16" s="184" t="b">
        <f>N16='[1]6TotalEnr'!AC16</f>
        <v>1</v>
      </c>
    </row>
    <row r="17" spans="1:17" s="184" customFormat="1" ht="34.5" customHeight="1">
      <c r="A17" s="82">
        <v>13</v>
      </c>
      <c r="B17" s="182" t="s">
        <v>57</v>
      </c>
      <c r="C17" s="68">
        <v>83034</v>
      </c>
      <c r="D17" s="68">
        <v>79750</v>
      </c>
      <c r="E17" s="68">
        <v>162784</v>
      </c>
      <c r="F17" s="68">
        <v>96684</v>
      </c>
      <c r="G17" s="68">
        <v>113233</v>
      </c>
      <c r="H17" s="68">
        <v>209917</v>
      </c>
      <c r="I17" s="68">
        <v>13758</v>
      </c>
      <c r="J17" s="68">
        <v>12395</v>
      </c>
      <c r="K17" s="68">
        <v>26153</v>
      </c>
      <c r="L17" s="68">
        <f t="shared" si="1"/>
        <v>193476</v>
      </c>
      <c r="M17" s="68">
        <f t="shared" si="0"/>
        <v>205378</v>
      </c>
      <c r="N17" s="68">
        <f t="shared" si="0"/>
        <v>398854</v>
      </c>
      <c r="O17" s="184" t="b">
        <f>L17='[1]6TotalEnr'!AA17</f>
        <v>1</v>
      </c>
      <c r="P17" s="184" t="b">
        <f>M17='[1]6TotalEnr'!AB17</f>
        <v>1</v>
      </c>
      <c r="Q17" s="184" t="b">
        <f>N17='[1]6TotalEnr'!AC17</f>
        <v>1</v>
      </c>
    </row>
    <row r="18" spans="1:17" s="184" customFormat="1" ht="34.5" customHeight="1">
      <c r="A18" s="82">
        <v>14</v>
      </c>
      <c r="B18" s="182" t="s">
        <v>29</v>
      </c>
      <c r="C18" s="68">
        <v>89165</v>
      </c>
      <c r="D18" s="68">
        <v>69525</v>
      </c>
      <c r="E18" s="68">
        <v>158690</v>
      </c>
      <c r="F18" s="68">
        <v>281232</v>
      </c>
      <c r="G18" s="68">
        <v>312527</v>
      </c>
      <c r="H18" s="68">
        <v>593759</v>
      </c>
      <c r="I18" s="68">
        <v>22952</v>
      </c>
      <c r="J18" s="68">
        <v>11286</v>
      </c>
      <c r="K18" s="68">
        <v>34238</v>
      </c>
      <c r="L18" s="68">
        <f>C18+F18+I18</f>
        <v>393349</v>
      </c>
      <c r="M18" s="68">
        <f t="shared" si="0"/>
        <v>393338</v>
      </c>
      <c r="N18" s="68">
        <f t="shared" si="0"/>
        <v>786687</v>
      </c>
      <c r="O18" s="184" t="b">
        <f>L18='[1]6TotalEnr'!AA18</f>
        <v>1</v>
      </c>
      <c r="P18" s="184" t="b">
        <f>M18='[1]6TotalEnr'!AB18</f>
        <v>1</v>
      </c>
      <c r="Q18" s="184" t="b">
        <f>N18='[1]6TotalEnr'!AC18</f>
        <v>1</v>
      </c>
    </row>
    <row r="19" spans="1:17" s="184" customFormat="1" ht="34.5" customHeight="1">
      <c r="A19" s="82">
        <v>15</v>
      </c>
      <c r="B19" s="182" t="s">
        <v>30</v>
      </c>
      <c r="C19" s="68">
        <v>235686</v>
      </c>
      <c r="D19" s="68">
        <v>208753</v>
      </c>
      <c r="E19" s="68">
        <v>444439</v>
      </c>
      <c r="F19" s="68">
        <v>854633</v>
      </c>
      <c r="G19" s="68">
        <v>897552</v>
      </c>
      <c r="H19" s="68">
        <v>1752185</v>
      </c>
      <c r="I19" s="68">
        <v>133282</v>
      </c>
      <c r="J19" s="68">
        <v>110531</v>
      </c>
      <c r="K19" s="68">
        <v>243813</v>
      </c>
      <c r="L19" s="68">
        <f t="shared" si="1"/>
        <v>1223601</v>
      </c>
      <c r="M19" s="68">
        <f t="shared" si="0"/>
        <v>1216836</v>
      </c>
      <c r="N19" s="68">
        <f t="shared" si="0"/>
        <v>2440437</v>
      </c>
      <c r="O19" s="184" t="b">
        <f>L19='[1]6TotalEnr'!AA19</f>
        <v>1</v>
      </c>
      <c r="P19" s="184" t="b">
        <f>M19='[1]6TotalEnr'!AB19</f>
        <v>1</v>
      </c>
      <c r="Q19" s="184" t="b">
        <f>N19='[1]6TotalEnr'!AC19</f>
        <v>1</v>
      </c>
    </row>
    <row r="20" spans="1:17" s="184" customFormat="1" ht="34.5" customHeight="1">
      <c r="A20" s="82">
        <v>16</v>
      </c>
      <c r="B20" s="182" t="s">
        <v>31</v>
      </c>
      <c r="C20" s="68">
        <v>189769</v>
      </c>
      <c r="D20" s="68">
        <v>261544</v>
      </c>
      <c r="E20" s="68">
        <v>451313</v>
      </c>
      <c r="F20" s="68">
        <v>323189</v>
      </c>
      <c r="G20" s="68">
        <v>512358</v>
      </c>
      <c r="H20" s="68">
        <v>835547</v>
      </c>
      <c r="I20" s="68">
        <v>46667</v>
      </c>
      <c r="J20" s="68">
        <v>31009</v>
      </c>
      <c r="K20" s="68">
        <v>77676</v>
      </c>
      <c r="L20" s="68">
        <f t="shared" si="1"/>
        <v>559625</v>
      </c>
      <c r="M20" s="68">
        <f t="shared" si="0"/>
        <v>804911</v>
      </c>
      <c r="N20" s="68">
        <f t="shared" si="0"/>
        <v>1364536</v>
      </c>
      <c r="O20" s="184" t="b">
        <f>L20='[1]6TotalEnr'!AA20</f>
        <v>1</v>
      </c>
      <c r="P20" s="184" t="b">
        <f>M20='[1]6TotalEnr'!AB20</f>
        <v>1</v>
      </c>
      <c r="Q20" s="184" t="b">
        <f>N20='[1]6TotalEnr'!AC20</f>
        <v>1</v>
      </c>
    </row>
    <row r="21" spans="1:17" s="184" customFormat="1" ht="34.5" customHeight="1">
      <c r="A21" s="82">
        <v>17</v>
      </c>
      <c r="B21" s="182" t="s">
        <v>172</v>
      </c>
      <c r="C21" s="68">
        <v>240</v>
      </c>
      <c r="D21" s="68">
        <v>185</v>
      </c>
      <c r="E21" s="68">
        <v>425</v>
      </c>
      <c r="F21" s="68">
        <v>663</v>
      </c>
      <c r="G21" s="68">
        <v>1669</v>
      </c>
      <c r="H21" s="68">
        <v>2332</v>
      </c>
      <c r="I21" s="68">
        <v>205</v>
      </c>
      <c r="J21" s="68">
        <v>185</v>
      </c>
      <c r="K21" s="68">
        <v>390</v>
      </c>
      <c r="L21" s="68">
        <f t="shared" si="1"/>
        <v>1108</v>
      </c>
      <c r="M21" s="68">
        <f t="shared" si="1"/>
        <v>2039</v>
      </c>
      <c r="N21" s="68">
        <f t="shared" si="1"/>
        <v>3147</v>
      </c>
      <c r="O21" s="184" t="b">
        <f>L21='[1]6TotalEnr'!AA21</f>
        <v>1</v>
      </c>
      <c r="P21" s="184" t="b">
        <f>M21='[1]6TotalEnr'!AB21</f>
        <v>1</v>
      </c>
      <c r="Q21" s="184" t="b">
        <f>N21='[1]6TotalEnr'!AC21</f>
        <v>1</v>
      </c>
    </row>
    <row r="22" spans="1:17" s="184" customFormat="1" ht="34.5" customHeight="1">
      <c r="A22" s="82">
        <v>18</v>
      </c>
      <c r="B22" s="182" t="s">
        <v>32</v>
      </c>
      <c r="C22" s="68">
        <v>133</v>
      </c>
      <c r="D22" s="68">
        <v>427</v>
      </c>
      <c r="E22" s="68">
        <v>560</v>
      </c>
      <c r="F22" s="68"/>
      <c r="G22" s="68"/>
      <c r="H22" s="68"/>
      <c r="I22" s="68"/>
      <c r="J22" s="68"/>
      <c r="K22" s="68"/>
      <c r="L22" s="68">
        <f t="shared" si="1"/>
        <v>133</v>
      </c>
      <c r="M22" s="68">
        <f t="shared" si="1"/>
        <v>427</v>
      </c>
      <c r="N22" s="68">
        <f t="shared" si="1"/>
        <v>560</v>
      </c>
      <c r="O22" s="184" t="b">
        <f>L22='[1]6TotalEnr'!AA22</f>
        <v>1</v>
      </c>
      <c r="P22" s="184" t="b">
        <f>M22='[1]6TotalEnr'!AB22</f>
        <v>1</v>
      </c>
      <c r="Q22" s="184" t="b">
        <f>N22='[1]6TotalEnr'!AC22</f>
        <v>1</v>
      </c>
    </row>
    <row r="23" spans="1:17" s="184" customFormat="1" ht="34.5" customHeight="1">
      <c r="A23" s="82">
        <v>19</v>
      </c>
      <c r="B23" s="182" t="s">
        <v>33</v>
      </c>
      <c r="C23" s="68">
        <v>400346</v>
      </c>
      <c r="D23" s="68">
        <v>251029</v>
      </c>
      <c r="E23" s="68">
        <v>651375</v>
      </c>
      <c r="F23" s="68">
        <v>937033</v>
      </c>
      <c r="G23" s="68">
        <v>945767</v>
      </c>
      <c r="H23" s="68">
        <v>1882800</v>
      </c>
      <c r="I23" s="68">
        <v>36657</v>
      </c>
      <c r="J23" s="68">
        <v>27729</v>
      </c>
      <c r="K23" s="68">
        <v>64386</v>
      </c>
      <c r="L23" s="68">
        <f t="shared" si="1"/>
        <v>1374036</v>
      </c>
      <c r="M23" s="68">
        <f t="shared" si="1"/>
        <v>1224525</v>
      </c>
      <c r="N23" s="68">
        <f t="shared" si="1"/>
        <v>2598561</v>
      </c>
      <c r="O23" s="184" t="b">
        <f>L23='[1]6TotalEnr'!AA23</f>
        <v>1</v>
      </c>
      <c r="P23" s="184" t="b">
        <f>M23='[1]6TotalEnr'!AB23</f>
        <v>1</v>
      </c>
      <c r="Q23" s="184" t="b">
        <f>N23='[1]6TotalEnr'!AC23</f>
        <v>1</v>
      </c>
    </row>
    <row r="24" spans="1:17" s="184" customFormat="1" ht="34.5" customHeight="1">
      <c r="A24" s="82">
        <v>20</v>
      </c>
      <c r="B24" s="182" t="s">
        <v>34</v>
      </c>
      <c r="C24" s="68">
        <v>632741</v>
      </c>
      <c r="D24" s="68">
        <v>455064</v>
      </c>
      <c r="E24" s="68">
        <v>1087805</v>
      </c>
      <c r="F24" s="68">
        <v>1651859</v>
      </c>
      <c r="G24" s="68">
        <v>1457921</v>
      </c>
      <c r="H24" s="68">
        <v>3109780</v>
      </c>
      <c r="I24" s="68">
        <v>207297</v>
      </c>
      <c r="J24" s="68">
        <v>141267</v>
      </c>
      <c r="K24" s="68">
        <v>348564</v>
      </c>
      <c r="L24" s="68">
        <f t="shared" si="1"/>
        <v>2491897</v>
      </c>
      <c r="M24" s="68">
        <f t="shared" si="1"/>
        <v>2054252</v>
      </c>
      <c r="N24" s="68">
        <f t="shared" si="1"/>
        <v>4546149</v>
      </c>
      <c r="O24" s="184" t="b">
        <f>L24='[1]6TotalEnr'!AA24</f>
        <v>1</v>
      </c>
      <c r="P24" s="184" t="b">
        <f>M24='[1]6TotalEnr'!AB24</f>
        <v>1</v>
      </c>
      <c r="Q24" s="184" t="b">
        <f>N24='[1]6TotalEnr'!AC24</f>
        <v>1</v>
      </c>
    </row>
    <row r="25" spans="1:17" s="184" customFormat="1" ht="34.5" customHeight="1">
      <c r="A25" s="82">
        <v>21</v>
      </c>
      <c r="B25" s="182" t="s">
        <v>35</v>
      </c>
      <c r="C25" s="68">
        <v>8630</v>
      </c>
      <c r="D25" s="68">
        <v>7643</v>
      </c>
      <c r="E25" s="68">
        <v>16273</v>
      </c>
      <c r="F25" s="68">
        <v>59206</v>
      </c>
      <c r="G25" s="68">
        <v>59562</v>
      </c>
      <c r="H25" s="68">
        <v>118768</v>
      </c>
      <c r="I25" s="68">
        <v>1080</v>
      </c>
      <c r="J25" s="68">
        <v>2378</v>
      </c>
      <c r="K25" s="68">
        <v>3458</v>
      </c>
      <c r="L25" s="68">
        <f t="shared" si="1"/>
        <v>68916</v>
      </c>
      <c r="M25" s="68">
        <f t="shared" si="1"/>
        <v>69583</v>
      </c>
      <c r="N25" s="68">
        <f t="shared" si="1"/>
        <v>138499</v>
      </c>
      <c r="O25" s="184" t="b">
        <f>L25='[1]6TotalEnr'!AA25</f>
        <v>1</v>
      </c>
      <c r="P25" s="184" t="b">
        <f>M25='[1]6TotalEnr'!AB25</f>
        <v>1</v>
      </c>
      <c r="Q25" s="184" t="b">
        <f>N25='[1]6TotalEnr'!AC25</f>
        <v>1</v>
      </c>
    </row>
    <row r="26" spans="1:17" s="184" customFormat="1" ht="34.5" customHeight="1">
      <c r="A26" s="82">
        <v>22</v>
      </c>
      <c r="B26" s="182" t="s">
        <v>36</v>
      </c>
      <c r="C26" s="68">
        <v>9838</v>
      </c>
      <c r="D26" s="68">
        <v>10994</v>
      </c>
      <c r="E26" s="68">
        <v>20832</v>
      </c>
      <c r="F26" s="68">
        <v>31643</v>
      </c>
      <c r="G26" s="68">
        <v>40763</v>
      </c>
      <c r="H26" s="68">
        <v>72406</v>
      </c>
      <c r="I26" s="68">
        <v>1623</v>
      </c>
      <c r="J26" s="68">
        <v>2723</v>
      </c>
      <c r="K26" s="68">
        <v>4346</v>
      </c>
      <c r="L26" s="68">
        <f t="shared" si="1"/>
        <v>43104</v>
      </c>
      <c r="M26" s="68">
        <f t="shared" si="1"/>
        <v>54480</v>
      </c>
      <c r="N26" s="68">
        <f t="shared" si="1"/>
        <v>97584</v>
      </c>
      <c r="O26" s="184" t="b">
        <f>L26='[1]6TotalEnr'!AA26</f>
        <v>1</v>
      </c>
      <c r="P26" s="184" t="b">
        <f>M26='[1]6TotalEnr'!AB26</f>
        <v>1</v>
      </c>
      <c r="Q26" s="184" t="b">
        <f>N26='[1]6TotalEnr'!AC26</f>
        <v>1</v>
      </c>
    </row>
    <row r="27" spans="1:17" s="184" customFormat="1" ht="34.5" customHeight="1">
      <c r="A27" s="82">
        <v>23</v>
      </c>
      <c r="B27" s="182" t="s">
        <v>37</v>
      </c>
      <c r="C27" s="68">
        <v>5498</v>
      </c>
      <c r="D27" s="68">
        <v>5432</v>
      </c>
      <c r="E27" s="68">
        <v>10930</v>
      </c>
      <c r="F27" s="68">
        <v>12994</v>
      </c>
      <c r="G27" s="68">
        <v>12374</v>
      </c>
      <c r="H27" s="68">
        <v>25368</v>
      </c>
      <c r="I27" s="68">
        <v>709</v>
      </c>
      <c r="J27" s="68">
        <v>1703</v>
      </c>
      <c r="K27" s="68">
        <v>2412</v>
      </c>
      <c r="L27" s="68">
        <f t="shared" si="1"/>
        <v>19201</v>
      </c>
      <c r="M27" s="68">
        <f t="shared" si="1"/>
        <v>19509</v>
      </c>
      <c r="N27" s="68">
        <f t="shared" si="1"/>
        <v>38710</v>
      </c>
      <c r="O27" s="184" t="b">
        <f>L27='[1]6TotalEnr'!AA27</f>
        <v>1</v>
      </c>
      <c r="P27" s="184" t="b">
        <f>M27='[1]6TotalEnr'!AB27</f>
        <v>1</v>
      </c>
      <c r="Q27" s="184" t="b">
        <f>N27='[1]6TotalEnr'!AC27</f>
        <v>1</v>
      </c>
    </row>
    <row r="28" spans="1:17" s="184" customFormat="1" ht="34.5" customHeight="1">
      <c r="A28" s="82">
        <v>24</v>
      </c>
      <c r="B28" s="182" t="s">
        <v>38</v>
      </c>
      <c r="C28" s="68">
        <v>5787</v>
      </c>
      <c r="D28" s="68">
        <v>5986</v>
      </c>
      <c r="E28" s="68">
        <v>11773</v>
      </c>
      <c r="F28" s="68">
        <v>15165</v>
      </c>
      <c r="G28" s="68">
        <v>18131</v>
      </c>
      <c r="H28" s="68">
        <v>33296</v>
      </c>
      <c r="I28" s="68">
        <v>798</v>
      </c>
      <c r="J28" s="68">
        <v>1087</v>
      </c>
      <c r="K28" s="68">
        <v>1885</v>
      </c>
      <c r="L28" s="68">
        <f t="shared" si="1"/>
        <v>21750</v>
      </c>
      <c r="M28" s="68">
        <f t="shared" si="1"/>
        <v>25204</v>
      </c>
      <c r="N28" s="68">
        <f t="shared" si="1"/>
        <v>46954</v>
      </c>
      <c r="O28" s="184" t="b">
        <f>L28='[1]6TotalEnr'!AA28</f>
        <v>1</v>
      </c>
      <c r="P28" s="184" t="b">
        <f>M28='[1]6TotalEnr'!AB28</f>
        <v>1</v>
      </c>
      <c r="Q28" s="184" t="b">
        <f>N28='[1]6TotalEnr'!AC28</f>
        <v>1</v>
      </c>
    </row>
    <row r="29" spans="1:17" s="184" customFormat="1" ht="34.5" customHeight="1">
      <c r="A29" s="82">
        <v>25</v>
      </c>
      <c r="B29" s="182" t="s">
        <v>39</v>
      </c>
      <c r="C29" s="68">
        <v>90244</v>
      </c>
      <c r="D29" s="68">
        <v>90725</v>
      </c>
      <c r="E29" s="68">
        <v>180969</v>
      </c>
      <c r="F29" s="68">
        <v>347634</v>
      </c>
      <c r="G29" s="68">
        <v>347797</v>
      </c>
      <c r="H29" s="68">
        <v>695431</v>
      </c>
      <c r="I29" s="68">
        <v>88005</v>
      </c>
      <c r="J29" s="68">
        <v>42617</v>
      </c>
      <c r="K29" s="68">
        <v>130622</v>
      </c>
      <c r="L29" s="68">
        <f t="shared" si="1"/>
        <v>525883</v>
      </c>
      <c r="M29" s="68">
        <f>D29+G29+J29</f>
        <v>481139</v>
      </c>
      <c r="N29" s="68">
        <f t="shared" si="1"/>
        <v>1007022</v>
      </c>
      <c r="O29" s="184" t="b">
        <f>L29='[1]6TotalEnr'!AA29</f>
        <v>1</v>
      </c>
      <c r="P29" s="184" t="b">
        <f>M29='[1]6TotalEnr'!AB29</f>
        <v>1</v>
      </c>
      <c r="Q29" s="184" t="b">
        <f>N29='[1]6TotalEnr'!AC29</f>
        <v>1</v>
      </c>
    </row>
    <row r="30" spans="1:17" s="184" customFormat="1" ht="34.5" customHeight="1">
      <c r="A30" s="82">
        <v>26</v>
      </c>
      <c r="B30" s="182" t="s">
        <v>40</v>
      </c>
      <c r="C30" s="68">
        <v>16282</v>
      </c>
      <c r="D30" s="68">
        <v>15375</v>
      </c>
      <c r="E30" s="68">
        <v>31657</v>
      </c>
      <c r="F30" s="68">
        <v>24088</v>
      </c>
      <c r="G30" s="68">
        <v>31770</v>
      </c>
      <c r="H30" s="68">
        <v>55858</v>
      </c>
      <c r="I30" s="68">
        <v>2817</v>
      </c>
      <c r="J30" s="68">
        <v>921</v>
      </c>
      <c r="K30" s="68">
        <v>3738</v>
      </c>
      <c r="L30" s="68">
        <f t="shared" si="1"/>
        <v>43187</v>
      </c>
      <c r="M30" s="68">
        <f t="shared" si="1"/>
        <v>48066</v>
      </c>
      <c r="N30" s="68">
        <f t="shared" si="1"/>
        <v>91253</v>
      </c>
      <c r="O30" s="184" t="b">
        <f>L30='[1]6TotalEnr'!AA30</f>
        <v>1</v>
      </c>
      <c r="P30" s="184" t="b">
        <f>M30='[1]6TotalEnr'!AB30</f>
        <v>1</v>
      </c>
      <c r="Q30" s="184" t="b">
        <f>N30='[1]6TotalEnr'!AC30</f>
        <v>1</v>
      </c>
    </row>
    <row r="31" spans="1:17" s="184" customFormat="1" ht="34.5" customHeight="1">
      <c r="A31" s="82">
        <v>27</v>
      </c>
      <c r="B31" s="182" t="s">
        <v>41</v>
      </c>
      <c r="C31" s="68">
        <v>157591</v>
      </c>
      <c r="D31" s="68">
        <v>107299</v>
      </c>
      <c r="E31" s="68">
        <v>264890</v>
      </c>
      <c r="F31" s="68">
        <v>222982</v>
      </c>
      <c r="G31" s="68">
        <v>283706</v>
      </c>
      <c r="H31" s="68">
        <v>506688</v>
      </c>
      <c r="I31" s="68">
        <v>37671</v>
      </c>
      <c r="J31" s="68">
        <v>24086</v>
      </c>
      <c r="K31" s="68">
        <v>61757</v>
      </c>
      <c r="L31" s="68">
        <f t="shared" si="1"/>
        <v>418244</v>
      </c>
      <c r="M31" s="68">
        <f t="shared" si="1"/>
        <v>415091</v>
      </c>
      <c r="N31" s="68">
        <f t="shared" si="1"/>
        <v>833335</v>
      </c>
      <c r="O31" s="184" t="b">
        <f>L31='[1]6TotalEnr'!AA31</f>
        <v>1</v>
      </c>
      <c r="P31" s="184" t="b">
        <f>M31='[1]6TotalEnr'!AB31</f>
        <v>1</v>
      </c>
      <c r="Q31" s="184" t="b">
        <f>N31='[1]6TotalEnr'!AC31</f>
        <v>1</v>
      </c>
    </row>
    <row r="32" spans="1:17" s="184" customFormat="1" ht="34.5" customHeight="1">
      <c r="A32" s="82">
        <v>28</v>
      </c>
      <c r="B32" s="182" t="s">
        <v>42</v>
      </c>
      <c r="C32" s="68">
        <v>326538</v>
      </c>
      <c r="D32" s="68">
        <v>188104</v>
      </c>
      <c r="E32" s="68">
        <v>514642</v>
      </c>
      <c r="F32" s="68">
        <v>902646</v>
      </c>
      <c r="G32" s="68">
        <v>941390</v>
      </c>
      <c r="H32" s="68">
        <v>1844036</v>
      </c>
      <c r="I32" s="68">
        <v>49120</v>
      </c>
      <c r="J32" s="68">
        <v>24992</v>
      </c>
      <c r="K32" s="68">
        <v>74112</v>
      </c>
      <c r="L32" s="68">
        <f t="shared" si="1"/>
        <v>1278304</v>
      </c>
      <c r="M32" s="68">
        <f t="shared" si="1"/>
        <v>1154486</v>
      </c>
      <c r="N32" s="68">
        <f t="shared" si="1"/>
        <v>2432790</v>
      </c>
      <c r="O32" s="184" t="b">
        <f>L32='[1]6TotalEnr'!AA32</f>
        <v>1</v>
      </c>
      <c r="P32" s="184" t="b">
        <f>M32='[1]6TotalEnr'!AB32</f>
        <v>1</v>
      </c>
      <c r="Q32" s="184" t="b">
        <f>N32='[1]6TotalEnr'!AC32</f>
        <v>1</v>
      </c>
    </row>
    <row r="33" spans="1:17" s="184" customFormat="1" ht="34.5" customHeight="1">
      <c r="A33" s="82">
        <v>29</v>
      </c>
      <c r="B33" s="182" t="s">
        <v>43</v>
      </c>
      <c r="C33" s="68">
        <v>9320</v>
      </c>
      <c r="D33" s="68">
        <v>10041</v>
      </c>
      <c r="E33" s="68">
        <v>19361</v>
      </c>
      <c r="F33" s="68">
        <v>6458</v>
      </c>
      <c r="G33" s="68">
        <v>7245</v>
      </c>
      <c r="H33" s="68">
        <v>13703</v>
      </c>
      <c r="I33" s="68">
        <v>929</v>
      </c>
      <c r="J33" s="68">
        <v>781</v>
      </c>
      <c r="K33" s="68">
        <v>1710</v>
      </c>
      <c r="L33" s="68">
        <f t="shared" si="1"/>
        <v>16707</v>
      </c>
      <c r="M33" s="68">
        <f t="shared" si="1"/>
        <v>18067</v>
      </c>
      <c r="N33" s="68">
        <f t="shared" si="1"/>
        <v>34774</v>
      </c>
      <c r="O33" s="184" t="b">
        <f>L33='[1]6TotalEnr'!AA33</f>
        <v>1</v>
      </c>
      <c r="P33" s="184" t="b">
        <f>M33='[1]6TotalEnr'!AB33</f>
        <v>1</v>
      </c>
      <c r="Q33" s="184" t="b">
        <f>N33='[1]6TotalEnr'!AC33</f>
        <v>1</v>
      </c>
    </row>
    <row r="34" spans="1:17" s="184" customFormat="1" ht="34.5" customHeight="1">
      <c r="A34" s="82">
        <v>30</v>
      </c>
      <c r="B34" s="182" t="s">
        <v>44</v>
      </c>
      <c r="C34" s="68">
        <v>428661</v>
      </c>
      <c r="D34" s="68">
        <v>379998</v>
      </c>
      <c r="E34" s="68">
        <v>808659</v>
      </c>
      <c r="F34" s="68">
        <v>998620</v>
      </c>
      <c r="G34" s="68">
        <v>1256015</v>
      </c>
      <c r="H34" s="68">
        <v>2254635</v>
      </c>
      <c r="I34" s="68">
        <v>234872</v>
      </c>
      <c r="J34" s="68">
        <v>38273</v>
      </c>
      <c r="K34" s="68">
        <v>273145</v>
      </c>
      <c r="L34" s="68">
        <f t="shared" si="1"/>
        <v>1662153</v>
      </c>
      <c r="M34" s="68">
        <f t="shared" si="1"/>
        <v>1674286</v>
      </c>
      <c r="N34" s="68">
        <f t="shared" si="1"/>
        <v>3336439</v>
      </c>
      <c r="O34" s="184" t="b">
        <f>L34='[1]6TotalEnr'!AA34</f>
        <v>1</v>
      </c>
      <c r="P34" s="184" t="b">
        <f>M34='[1]6TotalEnr'!AB34</f>
        <v>1</v>
      </c>
      <c r="Q34" s="184" t="b">
        <f>N34='[1]6TotalEnr'!AC34</f>
        <v>1</v>
      </c>
    </row>
    <row r="35" spans="1:17" s="184" customFormat="1" ht="34.5" customHeight="1">
      <c r="A35" s="82">
        <v>31</v>
      </c>
      <c r="B35" s="182" t="s">
        <v>142</v>
      </c>
      <c r="C35" s="68">
        <v>134789</v>
      </c>
      <c r="D35" s="68">
        <v>112678</v>
      </c>
      <c r="E35" s="68">
        <v>247467</v>
      </c>
      <c r="F35" s="68">
        <v>590145</v>
      </c>
      <c r="G35" s="68">
        <v>643347</v>
      </c>
      <c r="H35" s="68">
        <v>1233492</v>
      </c>
      <c r="I35" s="68">
        <v>50375</v>
      </c>
      <c r="J35" s="68">
        <v>42452</v>
      </c>
      <c r="K35" s="68">
        <v>92827</v>
      </c>
      <c r="L35" s="68">
        <f t="shared" si="1"/>
        <v>775309</v>
      </c>
      <c r="M35" s="68">
        <f t="shared" si="1"/>
        <v>798477</v>
      </c>
      <c r="N35" s="68">
        <f t="shared" si="1"/>
        <v>1573786</v>
      </c>
      <c r="O35" s="184" t="b">
        <f>L35='[1]6TotalEnr'!AA35</f>
        <v>1</v>
      </c>
      <c r="P35" s="184" t="b">
        <f>M35='[1]6TotalEnr'!AB35</f>
        <v>1</v>
      </c>
      <c r="Q35" s="184" t="b">
        <f>N35='[1]6TotalEnr'!AC35</f>
        <v>1</v>
      </c>
    </row>
    <row r="36" spans="1:17" s="184" customFormat="1" ht="34.5" customHeight="1">
      <c r="A36" s="82">
        <v>32</v>
      </c>
      <c r="B36" s="546" t="s">
        <v>173</v>
      </c>
      <c r="C36" s="68">
        <v>53</v>
      </c>
      <c r="D36" s="68">
        <v>61</v>
      </c>
      <c r="E36" s="68">
        <v>114</v>
      </c>
      <c r="F36" s="68">
        <v>5764</v>
      </c>
      <c r="G36" s="68">
        <v>5531</v>
      </c>
      <c r="H36" s="68">
        <v>11295</v>
      </c>
      <c r="I36" s="68">
        <v>131</v>
      </c>
      <c r="J36" s="68">
        <v>30</v>
      </c>
      <c r="K36" s="68">
        <v>161</v>
      </c>
      <c r="L36" s="68">
        <f t="shared" si="1"/>
        <v>5948</v>
      </c>
      <c r="M36" s="68">
        <f t="shared" si="1"/>
        <v>5622</v>
      </c>
      <c r="N36" s="68">
        <f t="shared" si="1"/>
        <v>11570</v>
      </c>
      <c r="O36" s="184" t="b">
        <f>L36='[1]6TotalEnr'!AA36</f>
        <v>1</v>
      </c>
      <c r="P36" s="184" t="b">
        <f>M36='[1]6TotalEnr'!AB36</f>
        <v>1</v>
      </c>
      <c r="Q36" s="184" t="b">
        <f>N36='[1]6TotalEnr'!AC36</f>
        <v>1</v>
      </c>
    </row>
    <row r="37" spans="1:17" s="184" customFormat="1" ht="34.5" customHeight="1">
      <c r="A37" s="82">
        <v>33</v>
      </c>
      <c r="B37" s="182" t="s">
        <v>45</v>
      </c>
      <c r="C37" s="68">
        <v>14795</v>
      </c>
      <c r="D37" s="68">
        <v>11420</v>
      </c>
      <c r="E37" s="68">
        <v>26215</v>
      </c>
      <c r="F37" s="68">
        <v>33124</v>
      </c>
      <c r="G37" s="68">
        <v>31606</v>
      </c>
      <c r="H37" s="68">
        <v>64730</v>
      </c>
      <c r="I37" s="68">
        <v>509</v>
      </c>
      <c r="J37" s="68">
        <v>1206</v>
      </c>
      <c r="K37" s="68">
        <v>1715</v>
      </c>
      <c r="L37" s="68">
        <f t="shared" si="1"/>
        <v>48428</v>
      </c>
      <c r="M37" s="68">
        <f t="shared" si="1"/>
        <v>44232</v>
      </c>
      <c r="N37" s="68">
        <f t="shared" si="1"/>
        <v>92660</v>
      </c>
      <c r="O37" s="184" t="b">
        <f>L37='[1]6TotalEnr'!AA37</f>
        <v>1</v>
      </c>
      <c r="P37" s="184" t="b">
        <f>M37='[1]6TotalEnr'!AB37</f>
        <v>1</v>
      </c>
      <c r="Q37" s="184" t="b">
        <f>N37='[1]6TotalEnr'!AC37</f>
        <v>1</v>
      </c>
    </row>
    <row r="38" spans="1:17" s="184" customFormat="1" ht="34.5" customHeight="1">
      <c r="A38" s="82">
        <v>34</v>
      </c>
      <c r="B38" s="182" t="s">
        <v>47</v>
      </c>
      <c r="C38" s="68">
        <v>385221</v>
      </c>
      <c r="D38" s="68">
        <v>226863</v>
      </c>
      <c r="E38" s="68">
        <v>612084</v>
      </c>
      <c r="F38" s="68">
        <v>2841373</v>
      </c>
      <c r="G38" s="68">
        <v>2926371</v>
      </c>
      <c r="H38" s="68">
        <v>5767744</v>
      </c>
      <c r="I38" s="68">
        <v>170418</v>
      </c>
      <c r="J38" s="68">
        <v>100821</v>
      </c>
      <c r="K38" s="68">
        <v>271239</v>
      </c>
      <c r="L38" s="68">
        <f t="shared" si="1"/>
        <v>3397012</v>
      </c>
      <c r="M38" s="68">
        <f t="shared" si="1"/>
        <v>3254055</v>
      </c>
      <c r="N38" s="68">
        <f t="shared" si="1"/>
        <v>6651067</v>
      </c>
      <c r="O38" s="184" t="b">
        <f>L38='[1]6TotalEnr'!AA38</f>
        <v>1</v>
      </c>
      <c r="P38" s="184" t="b">
        <f>M38='[1]6TotalEnr'!AB38</f>
        <v>1</v>
      </c>
      <c r="Q38" s="184" t="b">
        <f>N38='[1]6TotalEnr'!AC38</f>
        <v>1</v>
      </c>
    </row>
    <row r="39" spans="1:17" s="184" customFormat="1" ht="34.5" customHeight="1">
      <c r="A39" s="82">
        <v>35</v>
      </c>
      <c r="B39" s="182" t="s">
        <v>46</v>
      </c>
      <c r="C39" s="68">
        <v>150562</v>
      </c>
      <c r="D39" s="68">
        <v>139250</v>
      </c>
      <c r="E39" s="68">
        <v>289812</v>
      </c>
      <c r="F39" s="68">
        <v>138937</v>
      </c>
      <c r="G39" s="68">
        <v>169846</v>
      </c>
      <c r="H39" s="68">
        <v>308783</v>
      </c>
      <c r="I39" s="68">
        <v>15351</v>
      </c>
      <c r="J39" s="68">
        <v>6205</v>
      </c>
      <c r="K39" s="68">
        <v>21556</v>
      </c>
      <c r="L39" s="68">
        <f t="shared" si="1"/>
        <v>304850</v>
      </c>
      <c r="M39" s="68">
        <f t="shared" si="1"/>
        <v>315301</v>
      </c>
      <c r="N39" s="68">
        <f t="shared" si="1"/>
        <v>620151</v>
      </c>
      <c r="O39" s="184" t="b">
        <f>L39='[1]6TotalEnr'!AA39</f>
        <v>1</v>
      </c>
      <c r="P39" s="184" t="b">
        <f>M39='[1]6TotalEnr'!AB39</f>
        <v>1</v>
      </c>
      <c r="Q39" s="184" t="b">
        <f>N39='[1]6TotalEnr'!AC39</f>
        <v>1</v>
      </c>
    </row>
    <row r="40" spans="1:17" s="184" customFormat="1" ht="34.5" customHeight="1">
      <c r="A40" s="82">
        <v>36</v>
      </c>
      <c r="B40" s="182" t="s">
        <v>48</v>
      </c>
      <c r="C40" s="68">
        <v>200061</v>
      </c>
      <c r="D40" s="68">
        <v>171373</v>
      </c>
      <c r="E40" s="68">
        <v>371434</v>
      </c>
      <c r="F40" s="68">
        <v>784674</v>
      </c>
      <c r="G40" s="68">
        <v>901536</v>
      </c>
      <c r="H40" s="68">
        <v>1686210</v>
      </c>
      <c r="I40" s="68">
        <v>101448</v>
      </c>
      <c r="J40" s="68">
        <v>56444</v>
      </c>
      <c r="K40" s="68">
        <v>157892</v>
      </c>
      <c r="L40" s="68">
        <f t="shared" si="1"/>
        <v>1086183</v>
      </c>
      <c r="M40" s="68">
        <f t="shared" si="1"/>
        <v>1129353</v>
      </c>
      <c r="N40" s="68">
        <f t="shared" si="1"/>
        <v>2215536</v>
      </c>
      <c r="O40" s="184" t="b">
        <f>L40='[1]6TotalEnr'!AA40</f>
        <v>1</v>
      </c>
      <c r="P40" s="184" t="b">
        <f>M40='[1]6TotalEnr'!AB40</f>
        <v>1</v>
      </c>
      <c r="Q40" s="184" t="b">
        <f>N40='[1]6TotalEnr'!AC40</f>
        <v>1</v>
      </c>
    </row>
    <row r="41" spans="1:17" s="843" customFormat="1" ht="34.5" customHeight="1">
      <c r="A41" s="913" t="s">
        <v>49</v>
      </c>
      <c r="B41" s="913"/>
      <c r="C41" s="182">
        <f>SUM(C5:C40)</f>
        <v>5105644</v>
      </c>
      <c r="D41" s="182">
        <f t="shared" ref="D41:N41" si="2">SUM(D5:D40)</f>
        <v>3978451</v>
      </c>
      <c r="E41" s="182">
        <f t="shared" si="2"/>
        <v>9084095</v>
      </c>
      <c r="F41" s="182">
        <v>14474041</v>
      </c>
      <c r="G41" s="182">
        <v>15066351</v>
      </c>
      <c r="H41" s="182">
        <v>29540392</v>
      </c>
      <c r="I41" s="182">
        <f t="shared" si="2"/>
        <v>1426260</v>
      </c>
      <c r="J41" s="182">
        <f t="shared" si="2"/>
        <v>840256</v>
      </c>
      <c r="K41" s="182">
        <f t="shared" si="2"/>
        <v>2266516</v>
      </c>
      <c r="L41" s="182">
        <f t="shared" si="2"/>
        <v>21237910</v>
      </c>
      <c r="M41" s="182">
        <f t="shared" si="2"/>
        <v>20142803</v>
      </c>
      <c r="N41" s="182">
        <f t="shared" si="2"/>
        <v>41380713</v>
      </c>
      <c r="O41" s="184" t="b">
        <f>L41='[1]6TotalEnr'!AA41</f>
        <v>1</v>
      </c>
      <c r="P41" s="184" t="b">
        <f>M41='[1]6TotalEnr'!AB41</f>
        <v>1</v>
      </c>
      <c r="Q41" s="184" t="b">
        <f>N41='[1]6TotalEnr'!AC41</f>
        <v>1</v>
      </c>
    </row>
  </sheetData>
  <mergeCells count="7">
    <mergeCell ref="I2:K2"/>
    <mergeCell ref="L2:N2"/>
    <mergeCell ref="A41:B41"/>
    <mergeCell ref="A2:A3"/>
    <mergeCell ref="B2:B3"/>
    <mergeCell ref="C2:E2"/>
    <mergeCell ref="F2:H2"/>
  </mergeCells>
  <printOptions horizontalCentered="1"/>
  <pageMargins left="0.39370078740157483" right="0.15748031496062992" top="0.51181102362204722" bottom="0.35433070866141736" header="0.19685039370078741" footer="0.15748031496062992"/>
  <pageSetup paperSize="9" scale="57" firstPageNumber="20" orientation="portrait" useFirstPageNumber="1" r:id="rId1"/>
  <headerFooter>
    <oddFooter>&amp;L&amp;"Arial,Italic"&amp;9AISHE 2020-21&amp;CT-10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00B050"/>
  </sheetPr>
  <dimension ref="A1:Z219"/>
  <sheetViews>
    <sheetView view="pageBreakPreview" topLeftCell="U1" zoomScaleSheetLayoutView="100" workbookViewId="0">
      <pane ySplit="4" topLeftCell="A228" activePane="bottomLeft" state="frozen"/>
      <selection activeCell="H31" sqref="H31"/>
      <selection pane="bottomLeft" activeCell="Z219" sqref="Z219"/>
    </sheetView>
  </sheetViews>
  <sheetFormatPr defaultColWidth="9.1796875" defaultRowHeight="14"/>
  <cols>
    <col min="1" max="1" width="7.453125" style="138" bestFit="1" customWidth="1"/>
    <col min="2" max="2" width="30.7265625" style="142" customWidth="1"/>
    <col min="3" max="14" width="19.81640625" style="138" customWidth="1"/>
    <col min="15" max="19" width="10" style="138" customWidth="1"/>
    <col min="20" max="20" width="11.7265625" style="138" bestFit="1" customWidth="1"/>
    <col min="21" max="26" width="10" style="138" customWidth="1"/>
    <col min="27" max="16384" width="9.1796875" style="138"/>
  </cols>
  <sheetData>
    <row r="1" spans="1:26" s="143" customFormat="1" ht="29.25" customHeight="1">
      <c r="A1" s="977" t="s">
        <v>346</v>
      </c>
      <c r="B1" s="977"/>
      <c r="C1" s="978" t="s">
        <v>1022</v>
      </c>
      <c r="D1" s="979"/>
      <c r="E1" s="979"/>
      <c r="F1" s="979"/>
      <c r="G1" s="979"/>
      <c r="H1" s="979"/>
      <c r="I1" s="978" t="str">
        <f>C1</f>
        <v>Programme-wise Enrolment (Based on Actual Response)</v>
      </c>
      <c r="J1" s="980"/>
      <c r="K1" s="980"/>
      <c r="L1" s="980"/>
      <c r="M1" s="980"/>
      <c r="N1" s="980"/>
      <c r="O1" s="594" t="str">
        <f>I1</f>
        <v>Programme-wise Enrolment (Based on Actual Response)</v>
      </c>
    </row>
    <row r="2" spans="1:26" s="130" customFormat="1" ht="31.5" customHeight="1">
      <c r="A2" s="981" t="s">
        <v>235</v>
      </c>
      <c r="B2" s="983" t="s">
        <v>347</v>
      </c>
      <c r="C2" s="984" t="s">
        <v>152</v>
      </c>
      <c r="D2" s="984"/>
      <c r="E2" s="984"/>
      <c r="F2" s="984" t="s">
        <v>538</v>
      </c>
      <c r="G2" s="984"/>
      <c r="H2" s="984"/>
      <c r="I2" s="984" t="s">
        <v>315</v>
      </c>
      <c r="J2" s="984"/>
      <c r="K2" s="984"/>
      <c r="L2" s="984" t="s">
        <v>1074</v>
      </c>
      <c r="M2" s="984"/>
      <c r="N2" s="984"/>
      <c r="O2" s="984" t="s">
        <v>108</v>
      </c>
      <c r="P2" s="984"/>
      <c r="Q2" s="984"/>
      <c r="R2" s="984" t="s">
        <v>109</v>
      </c>
      <c r="S2" s="984"/>
      <c r="T2" s="984"/>
      <c r="U2" s="984" t="s">
        <v>110</v>
      </c>
      <c r="V2" s="984"/>
      <c r="W2" s="984"/>
      <c r="X2" s="984" t="s">
        <v>296</v>
      </c>
      <c r="Y2" s="984"/>
      <c r="Z2" s="984"/>
    </row>
    <row r="3" spans="1:26" s="132" customFormat="1" ht="23.25" customHeight="1">
      <c r="A3" s="982"/>
      <c r="B3" s="983"/>
      <c r="C3" s="131" t="s">
        <v>87</v>
      </c>
      <c r="D3" s="131" t="s">
        <v>88</v>
      </c>
      <c r="E3" s="131" t="s">
        <v>12</v>
      </c>
      <c r="F3" s="131" t="s">
        <v>87</v>
      </c>
      <c r="G3" s="131" t="s">
        <v>88</v>
      </c>
      <c r="H3" s="131" t="s">
        <v>12</v>
      </c>
      <c r="I3" s="131" t="s">
        <v>87</v>
      </c>
      <c r="J3" s="131" t="s">
        <v>88</v>
      </c>
      <c r="K3" s="131" t="s">
        <v>12</v>
      </c>
      <c r="L3" s="131" t="s">
        <v>87</v>
      </c>
      <c r="M3" s="131" t="s">
        <v>88</v>
      </c>
      <c r="N3" s="131" t="s">
        <v>12</v>
      </c>
      <c r="O3" s="131" t="s">
        <v>87</v>
      </c>
      <c r="P3" s="131" t="s">
        <v>88</v>
      </c>
      <c r="Q3" s="131" t="s">
        <v>12</v>
      </c>
      <c r="R3" s="131" t="s">
        <v>87</v>
      </c>
      <c r="S3" s="131" t="s">
        <v>88</v>
      </c>
      <c r="T3" s="131" t="s">
        <v>12</v>
      </c>
      <c r="U3" s="131" t="s">
        <v>87</v>
      </c>
      <c r="V3" s="131" t="s">
        <v>88</v>
      </c>
      <c r="W3" s="131" t="s">
        <v>12</v>
      </c>
      <c r="X3" s="131" t="s">
        <v>87</v>
      </c>
      <c r="Y3" s="131" t="s">
        <v>88</v>
      </c>
      <c r="Z3" s="131" t="s">
        <v>12</v>
      </c>
    </row>
    <row r="4" spans="1:26" s="493" customFormat="1" ht="10">
      <c r="A4" s="492">
        <v>1</v>
      </c>
      <c r="B4" s="492">
        <v>2</v>
      </c>
      <c r="C4" s="492">
        <v>3</v>
      </c>
      <c r="D4" s="492">
        <v>4</v>
      </c>
      <c r="E4" s="492">
        <v>5</v>
      </c>
      <c r="F4" s="492">
        <v>6</v>
      </c>
      <c r="G4" s="492">
        <v>7</v>
      </c>
      <c r="H4" s="492">
        <v>8</v>
      </c>
      <c r="I4" s="492">
        <v>9</v>
      </c>
      <c r="J4" s="492">
        <v>10</v>
      </c>
      <c r="K4" s="492">
        <v>11</v>
      </c>
      <c r="L4" s="492">
        <v>12</v>
      </c>
      <c r="M4" s="492">
        <v>13</v>
      </c>
      <c r="N4" s="492">
        <v>14</v>
      </c>
      <c r="O4" s="492">
        <v>15</v>
      </c>
      <c r="P4" s="492">
        <v>16</v>
      </c>
      <c r="Q4" s="492">
        <v>17</v>
      </c>
      <c r="R4" s="492">
        <v>18</v>
      </c>
      <c r="S4" s="492">
        <v>19</v>
      </c>
      <c r="T4" s="492">
        <v>20</v>
      </c>
      <c r="U4" s="492">
        <v>21</v>
      </c>
      <c r="V4" s="492">
        <v>22</v>
      </c>
      <c r="W4" s="492">
        <v>23</v>
      </c>
      <c r="X4" s="492">
        <v>24</v>
      </c>
      <c r="Y4" s="492">
        <v>25</v>
      </c>
      <c r="Z4" s="492">
        <v>26</v>
      </c>
    </row>
    <row r="5" spans="1:26">
      <c r="A5" s="251">
        <v>1</v>
      </c>
      <c r="B5" s="136" t="s">
        <v>348</v>
      </c>
      <c r="C5" s="733">
        <v>111649</v>
      </c>
      <c r="D5" s="733">
        <v>92104</v>
      </c>
      <c r="E5" s="733">
        <v>203753</v>
      </c>
      <c r="F5" s="733">
        <v>10338</v>
      </c>
      <c r="G5" s="733">
        <v>6777</v>
      </c>
      <c r="H5" s="733">
        <v>17115</v>
      </c>
      <c r="I5" s="733">
        <v>3792</v>
      </c>
      <c r="J5" s="733">
        <v>2975</v>
      </c>
      <c r="K5" s="733">
        <v>6767</v>
      </c>
      <c r="L5" s="733">
        <v>24100</v>
      </c>
      <c r="M5" s="733">
        <v>19243</v>
      </c>
      <c r="N5" s="733">
        <v>43343</v>
      </c>
      <c r="O5" s="733">
        <v>383</v>
      </c>
      <c r="P5" s="733">
        <v>145</v>
      </c>
      <c r="Q5" s="733">
        <v>528</v>
      </c>
      <c r="R5" s="733">
        <v>3987</v>
      </c>
      <c r="S5" s="733">
        <v>3247</v>
      </c>
      <c r="T5" s="733">
        <v>7234</v>
      </c>
      <c r="U5" s="733">
        <v>3940</v>
      </c>
      <c r="V5" s="733">
        <v>5457</v>
      </c>
      <c r="W5" s="733">
        <v>9397</v>
      </c>
      <c r="X5" s="733">
        <v>1828</v>
      </c>
      <c r="Y5" s="733">
        <v>1441</v>
      </c>
      <c r="Z5" s="733">
        <v>3269</v>
      </c>
    </row>
    <row r="6" spans="1:26">
      <c r="A6" s="251">
        <v>2</v>
      </c>
      <c r="B6" s="136" t="s">
        <v>350</v>
      </c>
      <c r="C6" s="733">
        <v>697</v>
      </c>
      <c r="D6" s="733">
        <v>307</v>
      </c>
      <c r="E6" s="733">
        <v>1004</v>
      </c>
      <c r="F6" s="733">
        <v>7</v>
      </c>
      <c r="G6" s="733">
        <v>21</v>
      </c>
      <c r="H6" s="733">
        <v>28</v>
      </c>
      <c r="I6" s="733">
        <v>1</v>
      </c>
      <c r="J6" s="733">
        <v>2</v>
      </c>
      <c r="K6" s="733">
        <v>3</v>
      </c>
      <c r="L6" s="733">
        <v>53</v>
      </c>
      <c r="M6" s="733">
        <v>58</v>
      </c>
      <c r="N6" s="733">
        <v>111</v>
      </c>
      <c r="O6" s="733">
        <v>1</v>
      </c>
      <c r="P6" s="733">
        <v>1</v>
      </c>
      <c r="Q6" s="733">
        <v>2</v>
      </c>
      <c r="R6" s="733">
        <v>22</v>
      </c>
      <c r="S6" s="733">
        <v>2</v>
      </c>
      <c r="T6" s="733">
        <v>24</v>
      </c>
      <c r="U6" s="733">
        <v>24</v>
      </c>
      <c r="V6" s="733">
        <v>8</v>
      </c>
      <c r="W6" s="733">
        <v>32</v>
      </c>
      <c r="X6" s="733">
        <v>1</v>
      </c>
      <c r="Y6" s="733">
        <v>0</v>
      </c>
      <c r="Z6" s="733">
        <v>1</v>
      </c>
    </row>
    <row r="7" spans="1:26">
      <c r="A7" s="251">
        <v>3</v>
      </c>
      <c r="B7" s="136" t="s">
        <v>351</v>
      </c>
      <c r="C7" s="733">
        <v>485</v>
      </c>
      <c r="D7" s="733">
        <v>97</v>
      </c>
      <c r="E7" s="733">
        <v>582</v>
      </c>
      <c r="F7" s="733">
        <v>11</v>
      </c>
      <c r="G7" s="733">
        <v>0</v>
      </c>
      <c r="H7" s="733">
        <v>11</v>
      </c>
      <c r="I7" s="733">
        <v>1</v>
      </c>
      <c r="J7" s="733">
        <v>1</v>
      </c>
      <c r="K7" s="733">
        <v>2</v>
      </c>
      <c r="L7" s="733">
        <v>45</v>
      </c>
      <c r="M7" s="733">
        <v>13</v>
      </c>
      <c r="N7" s="733">
        <v>58</v>
      </c>
      <c r="O7" s="733">
        <v>0</v>
      </c>
      <c r="P7" s="733">
        <v>0</v>
      </c>
      <c r="Q7" s="733">
        <v>0</v>
      </c>
      <c r="R7" s="733">
        <v>7</v>
      </c>
      <c r="S7" s="733">
        <v>3</v>
      </c>
      <c r="T7" s="733">
        <v>10</v>
      </c>
      <c r="U7" s="733">
        <v>14</v>
      </c>
      <c r="V7" s="733">
        <v>4</v>
      </c>
      <c r="W7" s="733">
        <v>18</v>
      </c>
      <c r="X7" s="733">
        <v>0</v>
      </c>
      <c r="Y7" s="733">
        <v>0</v>
      </c>
      <c r="Z7" s="733">
        <v>0</v>
      </c>
    </row>
    <row r="8" spans="1:26" ht="28">
      <c r="A8" s="251">
        <v>4</v>
      </c>
      <c r="B8" s="136" t="s">
        <v>354</v>
      </c>
      <c r="C8" s="733">
        <v>286</v>
      </c>
      <c r="D8" s="733">
        <v>278</v>
      </c>
      <c r="E8" s="733">
        <v>564</v>
      </c>
      <c r="F8" s="733">
        <v>21</v>
      </c>
      <c r="G8" s="733">
        <v>32</v>
      </c>
      <c r="H8" s="733">
        <v>53</v>
      </c>
      <c r="I8" s="733">
        <v>18</v>
      </c>
      <c r="J8" s="733">
        <v>16</v>
      </c>
      <c r="K8" s="733">
        <v>34</v>
      </c>
      <c r="L8" s="733">
        <v>67</v>
      </c>
      <c r="M8" s="733">
        <v>39</v>
      </c>
      <c r="N8" s="733">
        <v>106</v>
      </c>
      <c r="O8" s="733">
        <v>0</v>
      </c>
      <c r="P8" s="733">
        <v>0</v>
      </c>
      <c r="Q8" s="733">
        <v>0</v>
      </c>
      <c r="R8" s="733">
        <v>0</v>
      </c>
      <c r="S8" s="733">
        <v>0</v>
      </c>
      <c r="T8" s="733">
        <v>0</v>
      </c>
      <c r="U8" s="733">
        <v>0</v>
      </c>
      <c r="V8" s="733">
        <v>0</v>
      </c>
      <c r="W8" s="733">
        <v>0</v>
      </c>
      <c r="X8" s="733">
        <v>2</v>
      </c>
      <c r="Y8" s="733">
        <v>3</v>
      </c>
      <c r="Z8" s="733">
        <v>5</v>
      </c>
    </row>
    <row r="9" spans="1:26">
      <c r="A9" s="251">
        <v>5</v>
      </c>
      <c r="B9" s="136" t="s">
        <v>349</v>
      </c>
      <c r="C9" s="733">
        <v>345</v>
      </c>
      <c r="D9" s="733">
        <v>143</v>
      </c>
      <c r="E9" s="733">
        <v>488</v>
      </c>
      <c r="F9" s="733">
        <v>46</v>
      </c>
      <c r="G9" s="733">
        <v>19</v>
      </c>
      <c r="H9" s="733">
        <v>65</v>
      </c>
      <c r="I9" s="733">
        <v>3</v>
      </c>
      <c r="J9" s="733">
        <v>5</v>
      </c>
      <c r="K9" s="733">
        <v>8</v>
      </c>
      <c r="L9" s="733">
        <v>57</v>
      </c>
      <c r="M9" s="733">
        <v>42</v>
      </c>
      <c r="N9" s="733">
        <v>99</v>
      </c>
      <c r="O9" s="733">
        <v>0</v>
      </c>
      <c r="P9" s="733">
        <v>0</v>
      </c>
      <c r="Q9" s="733">
        <v>0</v>
      </c>
      <c r="R9" s="733">
        <v>0</v>
      </c>
      <c r="S9" s="733">
        <v>0</v>
      </c>
      <c r="T9" s="733">
        <v>0</v>
      </c>
      <c r="U9" s="733">
        <v>0</v>
      </c>
      <c r="V9" s="733">
        <v>0</v>
      </c>
      <c r="W9" s="733">
        <v>0</v>
      </c>
      <c r="X9" s="733">
        <v>27</v>
      </c>
      <c r="Y9" s="733">
        <v>13</v>
      </c>
      <c r="Z9" s="733">
        <v>40</v>
      </c>
    </row>
    <row r="10" spans="1:26">
      <c r="A10" s="251">
        <v>6</v>
      </c>
      <c r="B10" s="136" t="s">
        <v>355</v>
      </c>
      <c r="C10" s="733">
        <v>377</v>
      </c>
      <c r="D10" s="733">
        <v>97</v>
      </c>
      <c r="E10" s="733">
        <v>474</v>
      </c>
      <c r="F10" s="733">
        <v>6</v>
      </c>
      <c r="G10" s="733">
        <v>8</v>
      </c>
      <c r="H10" s="733">
        <v>14</v>
      </c>
      <c r="I10" s="733">
        <v>1</v>
      </c>
      <c r="J10" s="733">
        <v>1</v>
      </c>
      <c r="K10" s="733">
        <v>2</v>
      </c>
      <c r="L10" s="733">
        <v>7</v>
      </c>
      <c r="M10" s="733">
        <v>26</v>
      </c>
      <c r="N10" s="733">
        <v>33</v>
      </c>
      <c r="O10" s="733">
        <v>0</v>
      </c>
      <c r="P10" s="733">
        <v>0</v>
      </c>
      <c r="Q10" s="733">
        <v>0</v>
      </c>
      <c r="R10" s="733">
        <v>0</v>
      </c>
      <c r="S10" s="733">
        <v>0</v>
      </c>
      <c r="T10" s="733">
        <v>0</v>
      </c>
      <c r="U10" s="733">
        <v>0</v>
      </c>
      <c r="V10" s="733">
        <v>0</v>
      </c>
      <c r="W10" s="733">
        <v>0</v>
      </c>
      <c r="X10" s="733">
        <v>0</v>
      </c>
      <c r="Y10" s="733">
        <v>0</v>
      </c>
      <c r="Z10" s="733">
        <v>0</v>
      </c>
    </row>
    <row r="11" spans="1:26">
      <c r="A11" s="251">
        <v>7</v>
      </c>
      <c r="B11" s="136" t="s">
        <v>352</v>
      </c>
      <c r="C11" s="733">
        <v>184</v>
      </c>
      <c r="D11" s="733">
        <v>226</v>
      </c>
      <c r="E11" s="733">
        <v>410</v>
      </c>
      <c r="F11" s="733">
        <v>21</v>
      </c>
      <c r="G11" s="733">
        <v>19</v>
      </c>
      <c r="H11" s="733">
        <v>40</v>
      </c>
      <c r="I11" s="733">
        <v>6</v>
      </c>
      <c r="J11" s="733">
        <v>7</v>
      </c>
      <c r="K11" s="733">
        <v>13</v>
      </c>
      <c r="L11" s="733">
        <v>27</v>
      </c>
      <c r="M11" s="733">
        <v>75</v>
      </c>
      <c r="N11" s="733">
        <v>102</v>
      </c>
      <c r="O11" s="733">
        <v>0</v>
      </c>
      <c r="P11" s="733">
        <v>0</v>
      </c>
      <c r="Q11" s="733">
        <v>0</v>
      </c>
      <c r="R11" s="733">
        <v>3</v>
      </c>
      <c r="S11" s="733">
        <v>4</v>
      </c>
      <c r="T11" s="733">
        <v>7</v>
      </c>
      <c r="U11" s="733">
        <v>2</v>
      </c>
      <c r="V11" s="733">
        <v>6</v>
      </c>
      <c r="W11" s="733">
        <v>8</v>
      </c>
      <c r="X11" s="733">
        <v>6</v>
      </c>
      <c r="Y11" s="733">
        <v>4</v>
      </c>
      <c r="Z11" s="733">
        <v>10</v>
      </c>
    </row>
    <row r="12" spans="1:26">
      <c r="A12" s="251">
        <v>8</v>
      </c>
      <c r="B12" s="136" t="s">
        <v>353</v>
      </c>
      <c r="C12" s="733">
        <v>122</v>
      </c>
      <c r="D12" s="733">
        <v>140</v>
      </c>
      <c r="E12" s="733">
        <v>262</v>
      </c>
      <c r="F12" s="733">
        <v>13</v>
      </c>
      <c r="G12" s="733">
        <v>22</v>
      </c>
      <c r="H12" s="733">
        <v>35</v>
      </c>
      <c r="I12" s="733">
        <v>1</v>
      </c>
      <c r="J12" s="733">
        <v>1</v>
      </c>
      <c r="K12" s="733">
        <v>2</v>
      </c>
      <c r="L12" s="733">
        <v>29</v>
      </c>
      <c r="M12" s="733">
        <v>43</v>
      </c>
      <c r="N12" s="733">
        <v>72</v>
      </c>
      <c r="O12" s="733">
        <v>1</v>
      </c>
      <c r="P12" s="733">
        <v>0</v>
      </c>
      <c r="Q12" s="733">
        <v>1</v>
      </c>
      <c r="R12" s="733">
        <v>7</v>
      </c>
      <c r="S12" s="733">
        <v>19</v>
      </c>
      <c r="T12" s="733">
        <v>26</v>
      </c>
      <c r="U12" s="733">
        <v>4</v>
      </c>
      <c r="V12" s="733">
        <v>1</v>
      </c>
      <c r="W12" s="733">
        <v>5</v>
      </c>
      <c r="X12" s="733">
        <v>0</v>
      </c>
      <c r="Y12" s="733">
        <v>0</v>
      </c>
      <c r="Z12" s="733">
        <v>0</v>
      </c>
    </row>
    <row r="13" spans="1:26">
      <c r="A13" s="251">
        <v>9</v>
      </c>
      <c r="B13" s="136" t="s">
        <v>888</v>
      </c>
      <c r="C13" s="733">
        <v>16</v>
      </c>
      <c r="D13" s="733">
        <v>14</v>
      </c>
      <c r="E13" s="733">
        <v>30</v>
      </c>
      <c r="F13" s="733">
        <v>0</v>
      </c>
      <c r="G13" s="733">
        <v>1</v>
      </c>
      <c r="H13" s="733">
        <v>1</v>
      </c>
      <c r="I13" s="733">
        <v>0</v>
      </c>
      <c r="J13" s="733">
        <v>1</v>
      </c>
      <c r="K13" s="733">
        <v>1</v>
      </c>
      <c r="L13" s="733">
        <v>0</v>
      </c>
      <c r="M13" s="733">
        <v>0</v>
      </c>
      <c r="N13" s="733">
        <v>0</v>
      </c>
      <c r="O13" s="733">
        <v>0</v>
      </c>
      <c r="P13" s="733">
        <v>0</v>
      </c>
      <c r="Q13" s="733">
        <v>0</v>
      </c>
      <c r="R13" s="733">
        <v>0</v>
      </c>
      <c r="S13" s="733">
        <v>0</v>
      </c>
      <c r="T13" s="733">
        <v>0</v>
      </c>
      <c r="U13" s="733">
        <v>0</v>
      </c>
      <c r="V13" s="733">
        <v>0</v>
      </c>
      <c r="W13" s="733">
        <v>0</v>
      </c>
      <c r="X13" s="733">
        <v>0</v>
      </c>
      <c r="Y13" s="733">
        <v>0</v>
      </c>
      <c r="Z13" s="733">
        <v>0</v>
      </c>
    </row>
    <row r="14" spans="1:26">
      <c r="A14" s="251">
        <v>10</v>
      </c>
      <c r="B14" s="136" t="s">
        <v>356</v>
      </c>
      <c r="C14" s="733">
        <v>6313</v>
      </c>
      <c r="D14" s="733">
        <v>10356</v>
      </c>
      <c r="E14" s="733">
        <v>16669</v>
      </c>
      <c r="F14" s="733">
        <v>1115</v>
      </c>
      <c r="G14" s="733">
        <v>1453</v>
      </c>
      <c r="H14" s="733">
        <v>2568</v>
      </c>
      <c r="I14" s="733">
        <v>353</v>
      </c>
      <c r="J14" s="733">
        <v>384</v>
      </c>
      <c r="K14" s="733">
        <v>737</v>
      </c>
      <c r="L14" s="733">
        <v>1781</v>
      </c>
      <c r="M14" s="733">
        <v>3949</v>
      </c>
      <c r="N14" s="733">
        <v>5730</v>
      </c>
      <c r="O14" s="733">
        <v>41</v>
      </c>
      <c r="P14" s="733">
        <v>18</v>
      </c>
      <c r="Q14" s="733">
        <v>59</v>
      </c>
      <c r="R14" s="733">
        <v>310</v>
      </c>
      <c r="S14" s="733">
        <v>378</v>
      </c>
      <c r="T14" s="733">
        <v>688</v>
      </c>
      <c r="U14" s="733">
        <v>365</v>
      </c>
      <c r="V14" s="733">
        <v>649</v>
      </c>
      <c r="W14" s="733">
        <v>1014</v>
      </c>
      <c r="X14" s="733">
        <v>109</v>
      </c>
      <c r="Y14" s="733">
        <v>80</v>
      </c>
      <c r="Z14" s="733">
        <v>189</v>
      </c>
    </row>
    <row r="15" spans="1:26">
      <c r="A15" s="251">
        <v>11</v>
      </c>
      <c r="B15" s="136" t="s">
        <v>889</v>
      </c>
      <c r="C15" s="733">
        <v>0</v>
      </c>
      <c r="D15" s="733">
        <v>1</v>
      </c>
      <c r="E15" s="733">
        <v>1</v>
      </c>
      <c r="F15" s="733">
        <v>0</v>
      </c>
      <c r="G15" s="733">
        <v>1</v>
      </c>
      <c r="H15" s="733">
        <v>1</v>
      </c>
      <c r="I15" s="733">
        <v>0</v>
      </c>
      <c r="J15" s="733">
        <v>0</v>
      </c>
      <c r="K15" s="733">
        <v>0</v>
      </c>
      <c r="L15" s="733">
        <v>0</v>
      </c>
      <c r="M15" s="733">
        <v>0</v>
      </c>
      <c r="N15" s="733">
        <v>0</v>
      </c>
      <c r="O15" s="733">
        <v>0</v>
      </c>
      <c r="P15" s="733">
        <v>0</v>
      </c>
      <c r="Q15" s="733">
        <v>0</v>
      </c>
      <c r="R15" s="733">
        <v>0</v>
      </c>
      <c r="S15" s="733">
        <v>0</v>
      </c>
      <c r="T15" s="733">
        <v>0</v>
      </c>
      <c r="U15" s="733">
        <v>0</v>
      </c>
      <c r="V15" s="733">
        <v>0</v>
      </c>
      <c r="W15" s="733">
        <v>0</v>
      </c>
      <c r="X15" s="733">
        <v>0</v>
      </c>
      <c r="Y15" s="733">
        <v>0</v>
      </c>
      <c r="Z15" s="733">
        <v>0</v>
      </c>
    </row>
    <row r="16" spans="1:26">
      <c r="A16" s="251">
        <v>12</v>
      </c>
      <c r="B16" s="136" t="s">
        <v>357</v>
      </c>
      <c r="C16" s="733">
        <v>692518</v>
      </c>
      <c r="D16" s="733">
        <v>1042225</v>
      </c>
      <c r="E16" s="733">
        <v>1734743</v>
      </c>
      <c r="F16" s="733">
        <v>110630</v>
      </c>
      <c r="G16" s="733">
        <v>151487</v>
      </c>
      <c r="H16" s="733">
        <v>262117</v>
      </c>
      <c r="I16" s="733">
        <v>57006</v>
      </c>
      <c r="J16" s="733">
        <v>77449</v>
      </c>
      <c r="K16" s="733">
        <v>134455</v>
      </c>
      <c r="L16" s="733">
        <v>221779</v>
      </c>
      <c r="M16" s="733">
        <v>332605</v>
      </c>
      <c r="N16" s="733">
        <v>554384</v>
      </c>
      <c r="O16" s="733">
        <v>3140</v>
      </c>
      <c r="P16" s="733">
        <v>2027</v>
      </c>
      <c r="Q16" s="733">
        <v>5167</v>
      </c>
      <c r="R16" s="733">
        <v>25532</v>
      </c>
      <c r="S16" s="733">
        <v>41241</v>
      </c>
      <c r="T16" s="733">
        <v>66773</v>
      </c>
      <c r="U16" s="733">
        <v>9437</v>
      </c>
      <c r="V16" s="733">
        <v>18251</v>
      </c>
      <c r="W16" s="733">
        <v>27688</v>
      </c>
      <c r="X16" s="733">
        <v>8705</v>
      </c>
      <c r="Y16" s="733">
        <v>15693</v>
      </c>
      <c r="Z16" s="733">
        <v>24398</v>
      </c>
    </row>
    <row r="17" spans="1:26">
      <c r="A17" s="251">
        <v>13</v>
      </c>
      <c r="B17" s="136" t="s">
        <v>358</v>
      </c>
      <c r="C17" s="733">
        <v>336064</v>
      </c>
      <c r="D17" s="733">
        <v>524278</v>
      </c>
      <c r="E17" s="733">
        <v>860342</v>
      </c>
      <c r="F17" s="733">
        <v>43525</v>
      </c>
      <c r="G17" s="733">
        <v>58744</v>
      </c>
      <c r="H17" s="733">
        <v>102269</v>
      </c>
      <c r="I17" s="733">
        <v>17750</v>
      </c>
      <c r="J17" s="733">
        <v>22857</v>
      </c>
      <c r="K17" s="733">
        <v>40607</v>
      </c>
      <c r="L17" s="733">
        <v>125519</v>
      </c>
      <c r="M17" s="733">
        <v>210519</v>
      </c>
      <c r="N17" s="733">
        <v>336038</v>
      </c>
      <c r="O17" s="733">
        <v>737</v>
      </c>
      <c r="P17" s="733">
        <v>517</v>
      </c>
      <c r="Q17" s="733">
        <v>1254</v>
      </c>
      <c r="R17" s="733">
        <v>10852</v>
      </c>
      <c r="S17" s="733">
        <v>18005</v>
      </c>
      <c r="T17" s="733">
        <v>28857</v>
      </c>
      <c r="U17" s="733">
        <v>6404</v>
      </c>
      <c r="V17" s="733">
        <v>17216</v>
      </c>
      <c r="W17" s="733">
        <v>23620</v>
      </c>
      <c r="X17" s="733">
        <v>5846</v>
      </c>
      <c r="Y17" s="733">
        <v>9178</v>
      </c>
      <c r="Z17" s="733">
        <v>15024</v>
      </c>
    </row>
    <row r="18" spans="1:26" ht="28">
      <c r="A18" s="251">
        <v>14</v>
      </c>
      <c r="B18" s="136" t="s">
        <v>359</v>
      </c>
      <c r="C18" s="733">
        <v>342741</v>
      </c>
      <c r="D18" s="733">
        <v>262239</v>
      </c>
      <c r="E18" s="733">
        <v>604980</v>
      </c>
      <c r="F18" s="733">
        <v>36887</v>
      </c>
      <c r="G18" s="733">
        <v>26989</v>
      </c>
      <c r="H18" s="733">
        <v>63876</v>
      </c>
      <c r="I18" s="733">
        <v>8831</v>
      </c>
      <c r="J18" s="733">
        <v>5860</v>
      </c>
      <c r="K18" s="733">
        <v>14691</v>
      </c>
      <c r="L18" s="733">
        <v>113250</v>
      </c>
      <c r="M18" s="733">
        <v>82394</v>
      </c>
      <c r="N18" s="733">
        <v>195644</v>
      </c>
      <c r="O18" s="733">
        <v>590</v>
      </c>
      <c r="P18" s="733">
        <v>179</v>
      </c>
      <c r="Q18" s="733">
        <v>769</v>
      </c>
      <c r="R18" s="733">
        <v>14179</v>
      </c>
      <c r="S18" s="733">
        <v>8075</v>
      </c>
      <c r="T18" s="733">
        <v>22254</v>
      </c>
      <c r="U18" s="733">
        <v>8022</v>
      </c>
      <c r="V18" s="733">
        <v>7199</v>
      </c>
      <c r="W18" s="733">
        <v>15221</v>
      </c>
      <c r="X18" s="733">
        <v>4128</v>
      </c>
      <c r="Y18" s="733">
        <v>3411</v>
      </c>
      <c r="Z18" s="733">
        <v>7539</v>
      </c>
    </row>
    <row r="19" spans="1:26">
      <c r="A19" s="251">
        <v>15</v>
      </c>
      <c r="B19" s="136" t="s">
        <v>360</v>
      </c>
      <c r="C19" s="733">
        <v>179816</v>
      </c>
      <c r="D19" s="733">
        <v>356752</v>
      </c>
      <c r="E19" s="733">
        <v>536568</v>
      </c>
      <c r="F19" s="733">
        <v>19753</v>
      </c>
      <c r="G19" s="733">
        <v>30093</v>
      </c>
      <c r="H19" s="733">
        <v>49846</v>
      </c>
      <c r="I19" s="733">
        <v>7662</v>
      </c>
      <c r="J19" s="733">
        <v>9668</v>
      </c>
      <c r="K19" s="733">
        <v>17330</v>
      </c>
      <c r="L19" s="733">
        <v>57921</v>
      </c>
      <c r="M19" s="733">
        <v>100191</v>
      </c>
      <c r="N19" s="733">
        <v>158112</v>
      </c>
      <c r="O19" s="733">
        <v>456</v>
      </c>
      <c r="P19" s="733">
        <v>302</v>
      </c>
      <c r="Q19" s="733">
        <v>758</v>
      </c>
      <c r="R19" s="733">
        <v>5436</v>
      </c>
      <c r="S19" s="733">
        <v>9063</v>
      </c>
      <c r="T19" s="733">
        <v>14499</v>
      </c>
      <c r="U19" s="733">
        <v>3559</v>
      </c>
      <c r="V19" s="733">
        <v>7812</v>
      </c>
      <c r="W19" s="733">
        <v>11371</v>
      </c>
      <c r="X19" s="733">
        <v>2031</v>
      </c>
      <c r="Y19" s="733">
        <v>6899</v>
      </c>
      <c r="Z19" s="733">
        <v>8930</v>
      </c>
    </row>
    <row r="20" spans="1:26" ht="28">
      <c r="A20" s="251">
        <v>16</v>
      </c>
      <c r="B20" s="136" t="s">
        <v>361</v>
      </c>
      <c r="C20" s="733">
        <v>82168</v>
      </c>
      <c r="D20" s="733">
        <v>63303</v>
      </c>
      <c r="E20" s="733">
        <v>145471</v>
      </c>
      <c r="F20" s="733">
        <v>6127</v>
      </c>
      <c r="G20" s="733">
        <v>4659</v>
      </c>
      <c r="H20" s="733">
        <v>10786</v>
      </c>
      <c r="I20" s="733">
        <v>1875</v>
      </c>
      <c r="J20" s="733">
        <v>1292</v>
      </c>
      <c r="K20" s="733">
        <v>3167</v>
      </c>
      <c r="L20" s="733">
        <v>25812</v>
      </c>
      <c r="M20" s="733">
        <v>21471</v>
      </c>
      <c r="N20" s="733">
        <v>47283</v>
      </c>
      <c r="O20" s="733">
        <v>123</v>
      </c>
      <c r="P20" s="733">
        <v>31</v>
      </c>
      <c r="Q20" s="733">
        <v>154</v>
      </c>
      <c r="R20" s="733">
        <v>2844</v>
      </c>
      <c r="S20" s="733">
        <v>1547</v>
      </c>
      <c r="T20" s="733">
        <v>4391</v>
      </c>
      <c r="U20" s="733">
        <v>2080</v>
      </c>
      <c r="V20" s="733">
        <v>2082</v>
      </c>
      <c r="W20" s="733">
        <v>4162</v>
      </c>
      <c r="X20" s="733">
        <v>1226</v>
      </c>
      <c r="Y20" s="733">
        <v>842</v>
      </c>
      <c r="Z20" s="733">
        <v>2068</v>
      </c>
    </row>
    <row r="21" spans="1:26">
      <c r="A21" s="251">
        <v>17</v>
      </c>
      <c r="B21" s="136" t="s">
        <v>362</v>
      </c>
      <c r="C21" s="733">
        <v>94066</v>
      </c>
      <c r="D21" s="733">
        <v>44467</v>
      </c>
      <c r="E21" s="733">
        <v>138533</v>
      </c>
      <c r="F21" s="733">
        <v>10594</v>
      </c>
      <c r="G21" s="733">
        <v>5294</v>
      </c>
      <c r="H21" s="733">
        <v>15888</v>
      </c>
      <c r="I21" s="733">
        <v>3508</v>
      </c>
      <c r="J21" s="733">
        <v>1403</v>
      </c>
      <c r="K21" s="733">
        <v>4911</v>
      </c>
      <c r="L21" s="733">
        <v>25656</v>
      </c>
      <c r="M21" s="733">
        <v>13612</v>
      </c>
      <c r="N21" s="733">
        <v>39268</v>
      </c>
      <c r="O21" s="733">
        <v>260</v>
      </c>
      <c r="P21" s="733">
        <v>48</v>
      </c>
      <c r="Q21" s="733">
        <v>308</v>
      </c>
      <c r="R21" s="733">
        <v>4206</v>
      </c>
      <c r="S21" s="733">
        <v>1961</v>
      </c>
      <c r="T21" s="733">
        <v>6167</v>
      </c>
      <c r="U21" s="733">
        <v>1797</v>
      </c>
      <c r="V21" s="733">
        <v>1364</v>
      </c>
      <c r="W21" s="733">
        <v>3161</v>
      </c>
      <c r="X21" s="733">
        <v>2984</v>
      </c>
      <c r="Y21" s="733">
        <v>754</v>
      </c>
      <c r="Z21" s="733">
        <v>3738</v>
      </c>
    </row>
    <row r="22" spans="1:26">
      <c r="A22" s="251">
        <v>18</v>
      </c>
      <c r="B22" s="136" t="s">
        <v>363</v>
      </c>
      <c r="C22" s="733">
        <v>28656</v>
      </c>
      <c r="D22" s="733">
        <v>31959</v>
      </c>
      <c r="E22" s="733">
        <v>60615</v>
      </c>
      <c r="F22" s="733">
        <v>2329</v>
      </c>
      <c r="G22" s="733">
        <v>2516</v>
      </c>
      <c r="H22" s="733">
        <v>4845</v>
      </c>
      <c r="I22" s="733">
        <v>1068</v>
      </c>
      <c r="J22" s="733">
        <v>1156</v>
      </c>
      <c r="K22" s="733">
        <v>2224</v>
      </c>
      <c r="L22" s="733">
        <v>6081</v>
      </c>
      <c r="M22" s="733">
        <v>6696</v>
      </c>
      <c r="N22" s="733">
        <v>12777</v>
      </c>
      <c r="O22" s="733">
        <v>94</v>
      </c>
      <c r="P22" s="733">
        <v>94</v>
      </c>
      <c r="Q22" s="733">
        <v>188</v>
      </c>
      <c r="R22" s="733">
        <v>1006</v>
      </c>
      <c r="S22" s="733">
        <v>1059</v>
      </c>
      <c r="T22" s="733">
        <v>2065</v>
      </c>
      <c r="U22" s="733">
        <v>564</v>
      </c>
      <c r="V22" s="733">
        <v>835</v>
      </c>
      <c r="W22" s="733">
        <v>1399</v>
      </c>
      <c r="X22" s="733">
        <v>363</v>
      </c>
      <c r="Y22" s="733">
        <v>336</v>
      </c>
      <c r="Z22" s="733">
        <v>699</v>
      </c>
    </row>
    <row r="23" spans="1:26">
      <c r="A23" s="251">
        <v>19</v>
      </c>
      <c r="B23" s="136" t="s">
        <v>364</v>
      </c>
      <c r="C23" s="733">
        <v>27155</v>
      </c>
      <c r="D23" s="733">
        <v>32310</v>
      </c>
      <c r="E23" s="733">
        <v>59465</v>
      </c>
      <c r="F23" s="733">
        <v>6227</v>
      </c>
      <c r="G23" s="733">
        <v>6079</v>
      </c>
      <c r="H23" s="733">
        <v>12306</v>
      </c>
      <c r="I23" s="733">
        <v>5330</v>
      </c>
      <c r="J23" s="733">
        <v>5249</v>
      </c>
      <c r="K23" s="733">
        <v>10579</v>
      </c>
      <c r="L23" s="733">
        <v>7308</v>
      </c>
      <c r="M23" s="733">
        <v>8947</v>
      </c>
      <c r="N23" s="733">
        <v>16255</v>
      </c>
      <c r="O23" s="733">
        <v>87</v>
      </c>
      <c r="P23" s="733">
        <v>64</v>
      </c>
      <c r="Q23" s="733">
        <v>151</v>
      </c>
      <c r="R23" s="733">
        <v>406</v>
      </c>
      <c r="S23" s="733">
        <v>520</v>
      </c>
      <c r="T23" s="733">
        <v>926</v>
      </c>
      <c r="U23" s="733">
        <v>961</v>
      </c>
      <c r="V23" s="733">
        <v>1712</v>
      </c>
      <c r="W23" s="733">
        <v>2673</v>
      </c>
      <c r="X23" s="733">
        <v>230</v>
      </c>
      <c r="Y23" s="733">
        <v>246</v>
      </c>
      <c r="Z23" s="733">
        <v>476</v>
      </c>
    </row>
    <row r="24" spans="1:26">
      <c r="A24" s="251">
        <v>20</v>
      </c>
      <c r="B24" s="136" t="s">
        <v>365</v>
      </c>
      <c r="C24" s="733">
        <v>19790</v>
      </c>
      <c r="D24" s="733">
        <v>37577</v>
      </c>
      <c r="E24" s="733">
        <v>57367</v>
      </c>
      <c r="F24" s="733">
        <v>5322</v>
      </c>
      <c r="G24" s="733">
        <v>7715</v>
      </c>
      <c r="H24" s="733">
        <v>13037</v>
      </c>
      <c r="I24" s="733">
        <v>1636</v>
      </c>
      <c r="J24" s="733">
        <v>2855</v>
      </c>
      <c r="K24" s="733">
        <v>4491</v>
      </c>
      <c r="L24" s="733">
        <v>5499</v>
      </c>
      <c r="M24" s="733">
        <v>9373</v>
      </c>
      <c r="N24" s="733">
        <v>14872</v>
      </c>
      <c r="O24" s="733">
        <v>135</v>
      </c>
      <c r="P24" s="733">
        <v>102</v>
      </c>
      <c r="Q24" s="733">
        <v>237</v>
      </c>
      <c r="R24" s="733">
        <v>868</v>
      </c>
      <c r="S24" s="733">
        <v>1603</v>
      </c>
      <c r="T24" s="733">
        <v>2471</v>
      </c>
      <c r="U24" s="733">
        <v>323</v>
      </c>
      <c r="V24" s="733">
        <v>1198</v>
      </c>
      <c r="W24" s="733">
        <v>1521</v>
      </c>
      <c r="X24" s="733">
        <v>307</v>
      </c>
      <c r="Y24" s="733">
        <v>442</v>
      </c>
      <c r="Z24" s="733">
        <v>749</v>
      </c>
    </row>
    <row r="25" spans="1:26">
      <c r="A25" s="251">
        <v>21</v>
      </c>
      <c r="B25" s="136" t="s">
        <v>366</v>
      </c>
      <c r="C25" s="733">
        <v>17372</v>
      </c>
      <c r="D25" s="733">
        <v>20203</v>
      </c>
      <c r="E25" s="733">
        <v>37575</v>
      </c>
      <c r="F25" s="733">
        <v>1969</v>
      </c>
      <c r="G25" s="733">
        <v>2433</v>
      </c>
      <c r="H25" s="733">
        <v>4402</v>
      </c>
      <c r="I25" s="733">
        <v>632</v>
      </c>
      <c r="J25" s="733">
        <v>673</v>
      </c>
      <c r="K25" s="733">
        <v>1305</v>
      </c>
      <c r="L25" s="733">
        <v>5905</v>
      </c>
      <c r="M25" s="733">
        <v>6853</v>
      </c>
      <c r="N25" s="733">
        <v>12758</v>
      </c>
      <c r="O25" s="733">
        <v>19</v>
      </c>
      <c r="P25" s="733">
        <v>14</v>
      </c>
      <c r="Q25" s="733">
        <v>33</v>
      </c>
      <c r="R25" s="733">
        <v>813</v>
      </c>
      <c r="S25" s="733">
        <v>965</v>
      </c>
      <c r="T25" s="733">
        <v>1778</v>
      </c>
      <c r="U25" s="733">
        <v>206</v>
      </c>
      <c r="V25" s="733">
        <v>374</v>
      </c>
      <c r="W25" s="733">
        <v>580</v>
      </c>
      <c r="X25" s="733">
        <v>317</v>
      </c>
      <c r="Y25" s="733">
        <v>350</v>
      </c>
      <c r="Z25" s="733">
        <v>667</v>
      </c>
    </row>
    <row r="26" spans="1:26">
      <c r="A26" s="251">
        <v>22</v>
      </c>
      <c r="B26" s="136" t="s">
        <v>369</v>
      </c>
      <c r="C26" s="733">
        <v>21039</v>
      </c>
      <c r="D26" s="733">
        <v>16455</v>
      </c>
      <c r="E26" s="733">
        <v>37494</v>
      </c>
      <c r="F26" s="733">
        <v>2647</v>
      </c>
      <c r="G26" s="733">
        <v>1795</v>
      </c>
      <c r="H26" s="733">
        <v>4442</v>
      </c>
      <c r="I26" s="733">
        <v>684</v>
      </c>
      <c r="J26" s="733">
        <v>515</v>
      </c>
      <c r="K26" s="733">
        <v>1199</v>
      </c>
      <c r="L26" s="733">
        <v>4250</v>
      </c>
      <c r="M26" s="733">
        <v>3199</v>
      </c>
      <c r="N26" s="733">
        <v>7449</v>
      </c>
      <c r="O26" s="733">
        <v>69</v>
      </c>
      <c r="P26" s="733">
        <v>37</v>
      </c>
      <c r="Q26" s="733">
        <v>106</v>
      </c>
      <c r="R26" s="733">
        <v>508</v>
      </c>
      <c r="S26" s="733">
        <v>461</v>
      </c>
      <c r="T26" s="733">
        <v>969</v>
      </c>
      <c r="U26" s="733">
        <v>341</v>
      </c>
      <c r="V26" s="733">
        <v>354</v>
      </c>
      <c r="W26" s="733">
        <v>695</v>
      </c>
      <c r="X26" s="733">
        <v>239</v>
      </c>
      <c r="Y26" s="733">
        <v>188</v>
      </c>
      <c r="Z26" s="733">
        <v>427</v>
      </c>
    </row>
    <row r="27" spans="1:26">
      <c r="A27" s="251">
        <v>23</v>
      </c>
      <c r="B27" s="136" t="s">
        <v>368</v>
      </c>
      <c r="C27" s="733">
        <v>13171</v>
      </c>
      <c r="D27" s="733">
        <v>22160</v>
      </c>
      <c r="E27" s="733">
        <v>35331</v>
      </c>
      <c r="F27" s="733">
        <v>1103</v>
      </c>
      <c r="G27" s="733">
        <v>2112</v>
      </c>
      <c r="H27" s="733">
        <v>3215</v>
      </c>
      <c r="I27" s="733">
        <v>395</v>
      </c>
      <c r="J27" s="733">
        <v>607</v>
      </c>
      <c r="K27" s="733">
        <v>1002</v>
      </c>
      <c r="L27" s="733">
        <v>5269</v>
      </c>
      <c r="M27" s="733">
        <v>8904</v>
      </c>
      <c r="N27" s="733">
        <v>14173</v>
      </c>
      <c r="O27" s="733">
        <v>23</v>
      </c>
      <c r="P27" s="733">
        <v>42</v>
      </c>
      <c r="Q27" s="733">
        <v>65</v>
      </c>
      <c r="R27" s="733">
        <v>1283</v>
      </c>
      <c r="S27" s="733">
        <v>2157</v>
      </c>
      <c r="T27" s="733">
        <v>3440</v>
      </c>
      <c r="U27" s="733">
        <v>547</v>
      </c>
      <c r="V27" s="733">
        <v>1231</v>
      </c>
      <c r="W27" s="733">
        <v>1778</v>
      </c>
      <c r="X27" s="733">
        <v>204</v>
      </c>
      <c r="Y27" s="733">
        <v>281</v>
      </c>
      <c r="Z27" s="733">
        <v>485</v>
      </c>
    </row>
    <row r="28" spans="1:26">
      <c r="A28" s="251">
        <v>24</v>
      </c>
      <c r="B28" s="136" t="s">
        <v>367</v>
      </c>
      <c r="C28" s="733">
        <v>20124</v>
      </c>
      <c r="D28" s="733">
        <v>11275</v>
      </c>
      <c r="E28" s="733">
        <v>31399</v>
      </c>
      <c r="F28" s="733">
        <v>2624</v>
      </c>
      <c r="G28" s="733">
        <v>1786</v>
      </c>
      <c r="H28" s="733">
        <v>4410</v>
      </c>
      <c r="I28" s="733">
        <v>747</v>
      </c>
      <c r="J28" s="733">
        <v>279</v>
      </c>
      <c r="K28" s="733">
        <v>1026</v>
      </c>
      <c r="L28" s="733">
        <v>7402</v>
      </c>
      <c r="M28" s="733">
        <v>4912</v>
      </c>
      <c r="N28" s="733">
        <v>12314</v>
      </c>
      <c r="O28" s="733">
        <v>12</v>
      </c>
      <c r="P28" s="733">
        <v>1</v>
      </c>
      <c r="Q28" s="733">
        <v>13</v>
      </c>
      <c r="R28" s="733">
        <v>833</v>
      </c>
      <c r="S28" s="733">
        <v>288</v>
      </c>
      <c r="T28" s="733">
        <v>1121</v>
      </c>
      <c r="U28" s="733">
        <v>401</v>
      </c>
      <c r="V28" s="733">
        <v>480</v>
      </c>
      <c r="W28" s="733">
        <v>881</v>
      </c>
      <c r="X28" s="733">
        <v>320</v>
      </c>
      <c r="Y28" s="733">
        <v>135</v>
      </c>
      <c r="Z28" s="733">
        <v>455</v>
      </c>
    </row>
    <row r="29" spans="1:26">
      <c r="A29" s="251">
        <v>25</v>
      </c>
      <c r="B29" s="136" t="s">
        <v>377</v>
      </c>
      <c r="C29" s="733">
        <v>12904</v>
      </c>
      <c r="D29" s="733">
        <v>7329</v>
      </c>
      <c r="E29" s="733">
        <v>20233</v>
      </c>
      <c r="F29" s="733">
        <v>1326</v>
      </c>
      <c r="G29" s="733">
        <v>701</v>
      </c>
      <c r="H29" s="733">
        <v>2027</v>
      </c>
      <c r="I29" s="733">
        <v>360</v>
      </c>
      <c r="J29" s="733">
        <v>222</v>
      </c>
      <c r="K29" s="733">
        <v>582</v>
      </c>
      <c r="L29" s="733">
        <v>2425</v>
      </c>
      <c r="M29" s="733">
        <v>1510</v>
      </c>
      <c r="N29" s="733">
        <v>3935</v>
      </c>
      <c r="O29" s="733">
        <v>31</v>
      </c>
      <c r="P29" s="733">
        <v>3</v>
      </c>
      <c r="Q29" s="733">
        <v>34</v>
      </c>
      <c r="R29" s="733">
        <v>330</v>
      </c>
      <c r="S29" s="733">
        <v>107</v>
      </c>
      <c r="T29" s="733">
        <v>437</v>
      </c>
      <c r="U29" s="733">
        <v>125</v>
      </c>
      <c r="V29" s="733">
        <v>118</v>
      </c>
      <c r="W29" s="733">
        <v>243</v>
      </c>
      <c r="X29" s="733">
        <v>48</v>
      </c>
      <c r="Y29" s="733">
        <v>36</v>
      </c>
      <c r="Z29" s="733">
        <v>84</v>
      </c>
    </row>
    <row r="30" spans="1:26">
      <c r="A30" s="251">
        <v>26</v>
      </c>
      <c r="B30" s="136" t="s">
        <v>371</v>
      </c>
      <c r="C30" s="733">
        <v>11463</v>
      </c>
      <c r="D30" s="733">
        <v>6914</v>
      </c>
      <c r="E30" s="733">
        <v>18377</v>
      </c>
      <c r="F30" s="733">
        <v>568</v>
      </c>
      <c r="G30" s="733">
        <v>699</v>
      </c>
      <c r="H30" s="733">
        <v>1267</v>
      </c>
      <c r="I30" s="733">
        <v>295</v>
      </c>
      <c r="J30" s="733">
        <v>433</v>
      </c>
      <c r="K30" s="733">
        <v>728</v>
      </c>
      <c r="L30" s="733">
        <v>1921</v>
      </c>
      <c r="M30" s="733">
        <v>2245</v>
      </c>
      <c r="N30" s="733">
        <v>4166</v>
      </c>
      <c r="O30" s="733">
        <v>2</v>
      </c>
      <c r="P30" s="733">
        <v>3</v>
      </c>
      <c r="Q30" s="733">
        <v>5</v>
      </c>
      <c r="R30" s="733">
        <v>13</v>
      </c>
      <c r="S30" s="733">
        <v>7</v>
      </c>
      <c r="T30" s="733">
        <v>20</v>
      </c>
      <c r="U30" s="733">
        <v>26</v>
      </c>
      <c r="V30" s="733">
        <v>45</v>
      </c>
      <c r="W30" s="733">
        <v>71</v>
      </c>
      <c r="X30" s="733">
        <v>28</v>
      </c>
      <c r="Y30" s="733">
        <v>2</v>
      </c>
      <c r="Z30" s="733">
        <v>30</v>
      </c>
    </row>
    <row r="31" spans="1:26">
      <c r="A31" s="251">
        <v>27</v>
      </c>
      <c r="B31" s="136" t="s">
        <v>370</v>
      </c>
      <c r="C31" s="733">
        <v>10128</v>
      </c>
      <c r="D31" s="733">
        <v>7739</v>
      </c>
      <c r="E31" s="733">
        <v>17867</v>
      </c>
      <c r="F31" s="733">
        <v>719</v>
      </c>
      <c r="G31" s="733">
        <v>564</v>
      </c>
      <c r="H31" s="733">
        <v>1283</v>
      </c>
      <c r="I31" s="733">
        <v>338</v>
      </c>
      <c r="J31" s="733">
        <v>239</v>
      </c>
      <c r="K31" s="733">
        <v>577</v>
      </c>
      <c r="L31" s="733">
        <v>2169</v>
      </c>
      <c r="M31" s="733">
        <v>1766</v>
      </c>
      <c r="N31" s="733">
        <v>3935</v>
      </c>
      <c r="O31" s="733">
        <v>19</v>
      </c>
      <c r="P31" s="733">
        <v>34</v>
      </c>
      <c r="Q31" s="733">
        <v>53</v>
      </c>
      <c r="R31" s="733">
        <v>294</v>
      </c>
      <c r="S31" s="733">
        <v>318</v>
      </c>
      <c r="T31" s="733">
        <v>612</v>
      </c>
      <c r="U31" s="733">
        <v>288</v>
      </c>
      <c r="V31" s="733">
        <v>253</v>
      </c>
      <c r="W31" s="733">
        <v>541</v>
      </c>
      <c r="X31" s="733">
        <v>62</v>
      </c>
      <c r="Y31" s="733">
        <v>24</v>
      </c>
      <c r="Z31" s="733">
        <v>86</v>
      </c>
    </row>
    <row r="32" spans="1:26" ht="28">
      <c r="A32" s="251">
        <v>28</v>
      </c>
      <c r="B32" s="136" t="s">
        <v>372</v>
      </c>
      <c r="C32" s="733">
        <v>10957</v>
      </c>
      <c r="D32" s="734">
        <v>6649</v>
      </c>
      <c r="E32" s="733">
        <v>17606</v>
      </c>
      <c r="F32" s="733">
        <v>505</v>
      </c>
      <c r="G32" s="733">
        <v>280</v>
      </c>
      <c r="H32" s="733">
        <v>785</v>
      </c>
      <c r="I32" s="733">
        <v>256</v>
      </c>
      <c r="J32" s="733">
        <v>182</v>
      </c>
      <c r="K32" s="733">
        <v>438</v>
      </c>
      <c r="L32" s="733">
        <v>1937</v>
      </c>
      <c r="M32" s="733">
        <v>1006</v>
      </c>
      <c r="N32" s="733">
        <v>2943</v>
      </c>
      <c r="O32" s="733">
        <v>8</v>
      </c>
      <c r="P32" s="733">
        <v>0</v>
      </c>
      <c r="Q32" s="733">
        <v>8</v>
      </c>
      <c r="R32" s="733">
        <v>216</v>
      </c>
      <c r="S32" s="733">
        <v>109</v>
      </c>
      <c r="T32" s="733">
        <v>325</v>
      </c>
      <c r="U32" s="733">
        <v>301</v>
      </c>
      <c r="V32" s="733">
        <v>297</v>
      </c>
      <c r="W32" s="733">
        <v>598</v>
      </c>
      <c r="X32" s="733">
        <v>61</v>
      </c>
      <c r="Y32" s="733">
        <v>24</v>
      </c>
      <c r="Z32" s="733">
        <v>85</v>
      </c>
    </row>
    <row r="33" spans="1:26" ht="14.25" customHeight="1">
      <c r="A33" s="251">
        <v>29</v>
      </c>
      <c r="B33" s="136" t="s">
        <v>373</v>
      </c>
      <c r="C33" s="733">
        <v>5201</v>
      </c>
      <c r="D33" s="733">
        <v>11139</v>
      </c>
      <c r="E33" s="733">
        <v>16340</v>
      </c>
      <c r="F33" s="733">
        <v>369</v>
      </c>
      <c r="G33" s="733">
        <v>713</v>
      </c>
      <c r="H33" s="733">
        <v>1082</v>
      </c>
      <c r="I33" s="733">
        <v>126</v>
      </c>
      <c r="J33" s="733">
        <v>189</v>
      </c>
      <c r="K33" s="733">
        <v>315</v>
      </c>
      <c r="L33" s="733">
        <v>1259</v>
      </c>
      <c r="M33" s="733">
        <v>2565</v>
      </c>
      <c r="N33" s="733">
        <v>3824</v>
      </c>
      <c r="O33" s="733">
        <v>11</v>
      </c>
      <c r="P33" s="733">
        <v>3</v>
      </c>
      <c r="Q33" s="733">
        <v>14</v>
      </c>
      <c r="R33" s="733">
        <v>260</v>
      </c>
      <c r="S33" s="733">
        <v>436</v>
      </c>
      <c r="T33" s="733">
        <v>696</v>
      </c>
      <c r="U33" s="733">
        <v>189</v>
      </c>
      <c r="V33" s="733">
        <v>480</v>
      </c>
      <c r="W33" s="733">
        <v>669</v>
      </c>
      <c r="X33" s="733">
        <v>38</v>
      </c>
      <c r="Y33" s="733">
        <v>56</v>
      </c>
      <c r="Z33" s="733">
        <v>94</v>
      </c>
    </row>
    <row r="34" spans="1:26" ht="28">
      <c r="A34" s="251">
        <v>30</v>
      </c>
      <c r="B34" s="136" t="s">
        <v>374</v>
      </c>
      <c r="C34" s="733">
        <v>3060</v>
      </c>
      <c r="D34" s="733">
        <v>11860</v>
      </c>
      <c r="E34" s="733">
        <v>14920</v>
      </c>
      <c r="F34" s="733">
        <v>418</v>
      </c>
      <c r="G34" s="733">
        <v>1659</v>
      </c>
      <c r="H34" s="733">
        <v>2077</v>
      </c>
      <c r="I34" s="733">
        <v>166</v>
      </c>
      <c r="J34" s="733">
        <v>703</v>
      </c>
      <c r="K34" s="733">
        <v>869</v>
      </c>
      <c r="L34" s="733">
        <v>839</v>
      </c>
      <c r="M34" s="733">
        <v>2826</v>
      </c>
      <c r="N34" s="733">
        <v>3665</v>
      </c>
      <c r="O34" s="733">
        <v>5</v>
      </c>
      <c r="P34" s="733">
        <v>2</v>
      </c>
      <c r="Q34" s="733">
        <v>7</v>
      </c>
      <c r="R34" s="733">
        <v>92</v>
      </c>
      <c r="S34" s="733">
        <v>208</v>
      </c>
      <c r="T34" s="733">
        <v>300</v>
      </c>
      <c r="U34" s="733">
        <v>82</v>
      </c>
      <c r="V34" s="733">
        <v>576</v>
      </c>
      <c r="W34" s="733">
        <v>658</v>
      </c>
      <c r="X34" s="733">
        <v>27</v>
      </c>
      <c r="Y34" s="733">
        <v>108</v>
      </c>
      <c r="Z34" s="733">
        <v>135</v>
      </c>
    </row>
    <row r="35" spans="1:26" ht="42">
      <c r="A35" s="251">
        <v>31</v>
      </c>
      <c r="B35" s="136" t="s">
        <v>384</v>
      </c>
      <c r="C35" s="733">
        <v>7528</v>
      </c>
      <c r="D35" s="733">
        <v>5954</v>
      </c>
      <c r="E35" s="733">
        <v>13482</v>
      </c>
      <c r="F35" s="733">
        <v>660</v>
      </c>
      <c r="G35" s="733">
        <v>695</v>
      </c>
      <c r="H35" s="733">
        <v>1355</v>
      </c>
      <c r="I35" s="733">
        <v>77</v>
      </c>
      <c r="J35" s="733">
        <v>62</v>
      </c>
      <c r="K35" s="733">
        <v>139</v>
      </c>
      <c r="L35" s="733">
        <v>2225</v>
      </c>
      <c r="M35" s="733">
        <v>2365</v>
      </c>
      <c r="N35" s="733">
        <v>4590</v>
      </c>
      <c r="O35" s="733">
        <v>8</v>
      </c>
      <c r="P35" s="733">
        <v>7</v>
      </c>
      <c r="Q35" s="733">
        <v>15</v>
      </c>
      <c r="R35" s="733">
        <v>358</v>
      </c>
      <c r="S35" s="733">
        <v>72</v>
      </c>
      <c r="T35" s="733">
        <v>430</v>
      </c>
      <c r="U35" s="733">
        <v>570</v>
      </c>
      <c r="V35" s="733">
        <v>211</v>
      </c>
      <c r="W35" s="733">
        <v>781</v>
      </c>
      <c r="X35" s="733">
        <v>8</v>
      </c>
      <c r="Y35" s="733">
        <v>7</v>
      </c>
      <c r="Z35" s="733">
        <v>15</v>
      </c>
    </row>
    <row r="36" spans="1:26" ht="28">
      <c r="A36" s="251">
        <v>32</v>
      </c>
      <c r="B36" s="136" t="s">
        <v>375</v>
      </c>
      <c r="C36" s="733">
        <v>7047</v>
      </c>
      <c r="D36" s="733">
        <v>3498</v>
      </c>
      <c r="E36" s="733">
        <v>10545</v>
      </c>
      <c r="F36" s="733">
        <v>1174</v>
      </c>
      <c r="G36" s="733">
        <v>539</v>
      </c>
      <c r="H36" s="733">
        <v>1713</v>
      </c>
      <c r="I36" s="733">
        <v>362</v>
      </c>
      <c r="J36" s="733">
        <v>180</v>
      </c>
      <c r="K36" s="733">
        <v>542</v>
      </c>
      <c r="L36" s="733">
        <v>2173</v>
      </c>
      <c r="M36" s="733">
        <v>1021</v>
      </c>
      <c r="N36" s="733">
        <v>3194</v>
      </c>
      <c r="O36" s="733">
        <v>1</v>
      </c>
      <c r="P36" s="733">
        <v>0</v>
      </c>
      <c r="Q36" s="733">
        <v>1</v>
      </c>
      <c r="R36" s="733">
        <v>206</v>
      </c>
      <c r="S36" s="733">
        <v>64</v>
      </c>
      <c r="T36" s="733">
        <v>270</v>
      </c>
      <c r="U36" s="733">
        <v>232</v>
      </c>
      <c r="V36" s="733">
        <v>168</v>
      </c>
      <c r="W36" s="733">
        <v>400</v>
      </c>
      <c r="X36" s="733">
        <v>61</v>
      </c>
      <c r="Y36" s="733">
        <v>28</v>
      </c>
      <c r="Z36" s="733">
        <v>89</v>
      </c>
    </row>
    <row r="37" spans="1:26">
      <c r="A37" s="251">
        <v>33</v>
      </c>
      <c r="B37" s="136" t="s">
        <v>376</v>
      </c>
      <c r="C37" s="733">
        <v>4376</v>
      </c>
      <c r="D37" s="733">
        <v>5101</v>
      </c>
      <c r="E37" s="733">
        <v>9477</v>
      </c>
      <c r="F37" s="733">
        <v>395</v>
      </c>
      <c r="G37" s="733">
        <v>583</v>
      </c>
      <c r="H37" s="733">
        <v>978</v>
      </c>
      <c r="I37" s="733">
        <v>170</v>
      </c>
      <c r="J37" s="733">
        <v>191</v>
      </c>
      <c r="K37" s="733">
        <v>361</v>
      </c>
      <c r="L37" s="733">
        <v>1388</v>
      </c>
      <c r="M37" s="733">
        <v>1807</v>
      </c>
      <c r="N37" s="733">
        <v>3195</v>
      </c>
      <c r="O37" s="733">
        <v>15</v>
      </c>
      <c r="P37" s="733">
        <v>5</v>
      </c>
      <c r="Q37" s="733">
        <v>20</v>
      </c>
      <c r="R37" s="733">
        <v>164</v>
      </c>
      <c r="S37" s="733">
        <v>233</v>
      </c>
      <c r="T37" s="733">
        <v>397</v>
      </c>
      <c r="U37" s="733">
        <v>123</v>
      </c>
      <c r="V37" s="733">
        <v>230</v>
      </c>
      <c r="W37" s="733">
        <v>353</v>
      </c>
      <c r="X37" s="733">
        <v>141</v>
      </c>
      <c r="Y37" s="733">
        <v>100</v>
      </c>
      <c r="Z37" s="733">
        <v>241</v>
      </c>
    </row>
    <row r="38" spans="1:26">
      <c r="A38" s="251">
        <v>34</v>
      </c>
      <c r="B38" s="136" t="s">
        <v>379</v>
      </c>
      <c r="C38" s="733">
        <v>2367</v>
      </c>
      <c r="D38" s="733">
        <v>5528</v>
      </c>
      <c r="E38" s="733">
        <v>7895</v>
      </c>
      <c r="F38" s="733">
        <v>206</v>
      </c>
      <c r="G38" s="733">
        <v>362</v>
      </c>
      <c r="H38" s="733">
        <v>568</v>
      </c>
      <c r="I38" s="733">
        <v>62</v>
      </c>
      <c r="J38" s="733">
        <v>107</v>
      </c>
      <c r="K38" s="733">
        <v>169</v>
      </c>
      <c r="L38" s="733">
        <v>556</v>
      </c>
      <c r="M38" s="733">
        <v>1107</v>
      </c>
      <c r="N38" s="733">
        <v>1663</v>
      </c>
      <c r="O38" s="733">
        <v>1</v>
      </c>
      <c r="P38" s="733">
        <v>6</v>
      </c>
      <c r="Q38" s="733">
        <v>7</v>
      </c>
      <c r="R38" s="733">
        <v>164</v>
      </c>
      <c r="S38" s="733">
        <v>264</v>
      </c>
      <c r="T38" s="733">
        <v>428</v>
      </c>
      <c r="U38" s="733">
        <v>93</v>
      </c>
      <c r="V38" s="733">
        <v>239</v>
      </c>
      <c r="W38" s="733">
        <v>332</v>
      </c>
      <c r="X38" s="733">
        <v>24</v>
      </c>
      <c r="Y38" s="733">
        <v>95</v>
      </c>
      <c r="Z38" s="733">
        <v>119</v>
      </c>
    </row>
    <row r="39" spans="1:26" ht="28">
      <c r="A39" s="251">
        <v>35</v>
      </c>
      <c r="B39" s="136" t="s">
        <v>890</v>
      </c>
      <c r="C39" s="733">
        <v>4798</v>
      </c>
      <c r="D39" s="733">
        <v>2690</v>
      </c>
      <c r="E39" s="733">
        <v>7488</v>
      </c>
      <c r="F39" s="733">
        <v>576</v>
      </c>
      <c r="G39" s="733">
        <v>309</v>
      </c>
      <c r="H39" s="733">
        <v>885</v>
      </c>
      <c r="I39" s="733">
        <v>225</v>
      </c>
      <c r="J39" s="733">
        <v>214</v>
      </c>
      <c r="K39" s="733">
        <v>439</v>
      </c>
      <c r="L39" s="733">
        <v>1158</v>
      </c>
      <c r="M39" s="733">
        <v>655</v>
      </c>
      <c r="N39" s="733">
        <v>1813</v>
      </c>
      <c r="O39" s="733">
        <v>7</v>
      </c>
      <c r="P39" s="733">
        <v>1</v>
      </c>
      <c r="Q39" s="733">
        <v>8</v>
      </c>
      <c r="R39" s="733">
        <v>51</v>
      </c>
      <c r="S39" s="733">
        <v>32</v>
      </c>
      <c r="T39" s="733">
        <v>83</v>
      </c>
      <c r="U39" s="733">
        <v>19</v>
      </c>
      <c r="V39" s="733">
        <v>23</v>
      </c>
      <c r="W39" s="733">
        <v>42</v>
      </c>
      <c r="X39" s="733">
        <v>84</v>
      </c>
      <c r="Y39" s="733">
        <v>33</v>
      </c>
      <c r="Z39" s="733">
        <v>117</v>
      </c>
    </row>
    <row r="40" spans="1:26" ht="28">
      <c r="A40" s="251">
        <v>36</v>
      </c>
      <c r="B40" s="136" t="s">
        <v>382</v>
      </c>
      <c r="C40" s="733">
        <v>3362</v>
      </c>
      <c r="D40" s="733">
        <v>3514</v>
      </c>
      <c r="E40" s="733">
        <v>6876</v>
      </c>
      <c r="F40" s="733">
        <v>657</v>
      </c>
      <c r="G40" s="733">
        <v>553</v>
      </c>
      <c r="H40" s="733">
        <v>1210</v>
      </c>
      <c r="I40" s="733">
        <v>308</v>
      </c>
      <c r="J40" s="733">
        <v>266</v>
      </c>
      <c r="K40" s="733">
        <v>574</v>
      </c>
      <c r="L40" s="733">
        <v>1111</v>
      </c>
      <c r="M40" s="733">
        <v>1098</v>
      </c>
      <c r="N40" s="733">
        <v>2209</v>
      </c>
      <c r="O40" s="733">
        <v>40</v>
      </c>
      <c r="P40" s="733">
        <v>16</v>
      </c>
      <c r="Q40" s="733">
        <v>56</v>
      </c>
      <c r="R40" s="733">
        <v>91</v>
      </c>
      <c r="S40" s="733">
        <v>68</v>
      </c>
      <c r="T40" s="733">
        <v>159</v>
      </c>
      <c r="U40" s="733">
        <v>86</v>
      </c>
      <c r="V40" s="733">
        <v>109</v>
      </c>
      <c r="W40" s="733">
        <v>195</v>
      </c>
      <c r="X40" s="733">
        <v>29</v>
      </c>
      <c r="Y40" s="733">
        <v>60</v>
      </c>
      <c r="Z40" s="733">
        <v>89</v>
      </c>
    </row>
    <row r="41" spans="1:26" ht="28">
      <c r="A41" s="251">
        <v>37</v>
      </c>
      <c r="B41" s="136" t="s">
        <v>378</v>
      </c>
      <c r="C41" s="733">
        <v>2805</v>
      </c>
      <c r="D41" s="733">
        <v>2924</v>
      </c>
      <c r="E41" s="733">
        <v>5729</v>
      </c>
      <c r="F41" s="733">
        <v>436</v>
      </c>
      <c r="G41" s="733">
        <v>374</v>
      </c>
      <c r="H41" s="733">
        <v>810</v>
      </c>
      <c r="I41" s="733">
        <v>234</v>
      </c>
      <c r="J41" s="733">
        <v>195</v>
      </c>
      <c r="K41" s="733">
        <v>429</v>
      </c>
      <c r="L41" s="733">
        <v>955</v>
      </c>
      <c r="M41" s="733">
        <v>944</v>
      </c>
      <c r="N41" s="733">
        <v>1899</v>
      </c>
      <c r="O41" s="733">
        <v>10</v>
      </c>
      <c r="P41" s="733">
        <v>1</v>
      </c>
      <c r="Q41" s="733">
        <v>11</v>
      </c>
      <c r="R41" s="733">
        <v>54</v>
      </c>
      <c r="S41" s="733">
        <v>49</v>
      </c>
      <c r="T41" s="733">
        <v>103</v>
      </c>
      <c r="U41" s="733">
        <v>31</v>
      </c>
      <c r="V41" s="733">
        <v>34</v>
      </c>
      <c r="W41" s="733">
        <v>65</v>
      </c>
      <c r="X41" s="733">
        <v>38</v>
      </c>
      <c r="Y41" s="733">
        <v>35</v>
      </c>
      <c r="Z41" s="733">
        <v>73</v>
      </c>
    </row>
    <row r="42" spans="1:26">
      <c r="A42" s="251">
        <v>38</v>
      </c>
      <c r="B42" s="136" t="s">
        <v>381</v>
      </c>
      <c r="C42" s="733">
        <v>2635</v>
      </c>
      <c r="D42" s="733">
        <v>2757</v>
      </c>
      <c r="E42" s="733">
        <v>5392</v>
      </c>
      <c r="F42" s="733">
        <v>449</v>
      </c>
      <c r="G42" s="733">
        <v>299</v>
      </c>
      <c r="H42" s="733">
        <v>748</v>
      </c>
      <c r="I42" s="733">
        <v>112</v>
      </c>
      <c r="J42" s="733">
        <v>60</v>
      </c>
      <c r="K42" s="733">
        <v>172</v>
      </c>
      <c r="L42" s="733">
        <v>760</v>
      </c>
      <c r="M42" s="733">
        <v>731</v>
      </c>
      <c r="N42" s="733">
        <v>1491</v>
      </c>
      <c r="O42" s="733">
        <v>17</v>
      </c>
      <c r="P42" s="733">
        <v>15</v>
      </c>
      <c r="Q42" s="733">
        <v>32</v>
      </c>
      <c r="R42" s="733">
        <v>30</v>
      </c>
      <c r="S42" s="733">
        <v>46</v>
      </c>
      <c r="T42" s="733">
        <v>76</v>
      </c>
      <c r="U42" s="733">
        <v>48</v>
      </c>
      <c r="V42" s="733">
        <v>95</v>
      </c>
      <c r="W42" s="733">
        <v>143</v>
      </c>
      <c r="X42" s="733">
        <v>61</v>
      </c>
      <c r="Y42" s="733">
        <v>59</v>
      </c>
      <c r="Z42" s="733">
        <v>120</v>
      </c>
    </row>
    <row r="43" spans="1:26" ht="28">
      <c r="A43" s="251">
        <v>39</v>
      </c>
      <c r="B43" s="136" t="s">
        <v>380</v>
      </c>
      <c r="C43" s="733">
        <v>2664</v>
      </c>
      <c r="D43" s="733">
        <v>2068</v>
      </c>
      <c r="E43" s="733">
        <v>4732</v>
      </c>
      <c r="F43" s="733">
        <v>372</v>
      </c>
      <c r="G43" s="733">
        <v>192</v>
      </c>
      <c r="H43" s="733">
        <v>564</v>
      </c>
      <c r="I43" s="733">
        <v>98</v>
      </c>
      <c r="J43" s="733">
        <v>61</v>
      </c>
      <c r="K43" s="733">
        <v>159</v>
      </c>
      <c r="L43" s="733">
        <v>607</v>
      </c>
      <c r="M43" s="733">
        <v>367</v>
      </c>
      <c r="N43" s="733">
        <v>974</v>
      </c>
      <c r="O43" s="733">
        <v>1</v>
      </c>
      <c r="P43" s="733">
        <v>12</v>
      </c>
      <c r="Q43" s="733">
        <v>13</v>
      </c>
      <c r="R43" s="733">
        <v>81</v>
      </c>
      <c r="S43" s="733">
        <v>103</v>
      </c>
      <c r="T43" s="733">
        <v>184</v>
      </c>
      <c r="U43" s="733">
        <v>51</v>
      </c>
      <c r="V43" s="733">
        <v>77</v>
      </c>
      <c r="W43" s="733">
        <v>128</v>
      </c>
      <c r="X43" s="733">
        <v>30</v>
      </c>
      <c r="Y43" s="733">
        <v>32</v>
      </c>
      <c r="Z43" s="733">
        <v>62</v>
      </c>
    </row>
    <row r="44" spans="1:26" ht="28">
      <c r="A44" s="251">
        <v>40</v>
      </c>
      <c r="B44" s="136" t="s">
        <v>387</v>
      </c>
      <c r="C44" s="733">
        <v>2174</v>
      </c>
      <c r="D44" s="733">
        <v>2535</v>
      </c>
      <c r="E44" s="733">
        <v>4709</v>
      </c>
      <c r="F44" s="733">
        <v>255</v>
      </c>
      <c r="G44" s="733">
        <v>231</v>
      </c>
      <c r="H44" s="733">
        <v>486</v>
      </c>
      <c r="I44" s="733">
        <v>68</v>
      </c>
      <c r="J44" s="733">
        <v>85</v>
      </c>
      <c r="K44" s="733">
        <v>153</v>
      </c>
      <c r="L44" s="733">
        <v>346</v>
      </c>
      <c r="M44" s="733">
        <v>507</v>
      </c>
      <c r="N44" s="733">
        <v>853</v>
      </c>
      <c r="O44" s="733">
        <v>1</v>
      </c>
      <c r="P44" s="733">
        <v>0</v>
      </c>
      <c r="Q44" s="733">
        <v>1</v>
      </c>
      <c r="R44" s="733">
        <v>72</v>
      </c>
      <c r="S44" s="733">
        <v>116</v>
      </c>
      <c r="T44" s="733">
        <v>188</v>
      </c>
      <c r="U44" s="733">
        <v>50</v>
      </c>
      <c r="V44" s="733">
        <v>139</v>
      </c>
      <c r="W44" s="733">
        <v>189</v>
      </c>
      <c r="X44" s="733">
        <v>11</v>
      </c>
      <c r="Y44" s="733">
        <v>19</v>
      </c>
      <c r="Z44" s="733">
        <v>30</v>
      </c>
    </row>
    <row r="45" spans="1:26">
      <c r="A45" s="251">
        <v>41</v>
      </c>
      <c r="B45" s="136" t="s">
        <v>891</v>
      </c>
      <c r="C45" s="733">
        <v>1728</v>
      </c>
      <c r="D45" s="733">
        <v>2577</v>
      </c>
      <c r="E45" s="733">
        <v>4305</v>
      </c>
      <c r="F45" s="733">
        <v>182</v>
      </c>
      <c r="G45" s="733">
        <v>248</v>
      </c>
      <c r="H45" s="733">
        <v>430</v>
      </c>
      <c r="I45" s="733">
        <v>34</v>
      </c>
      <c r="J45" s="733">
        <v>28</v>
      </c>
      <c r="K45" s="733">
        <v>62</v>
      </c>
      <c r="L45" s="733">
        <v>1008</v>
      </c>
      <c r="M45" s="733">
        <v>1425</v>
      </c>
      <c r="N45" s="733">
        <v>2433</v>
      </c>
      <c r="O45" s="733">
        <v>1</v>
      </c>
      <c r="P45" s="733">
        <v>1</v>
      </c>
      <c r="Q45" s="733">
        <v>2</v>
      </c>
      <c r="R45" s="733">
        <v>6</v>
      </c>
      <c r="S45" s="733">
        <v>6</v>
      </c>
      <c r="T45" s="733">
        <v>12</v>
      </c>
      <c r="U45" s="733">
        <v>62</v>
      </c>
      <c r="V45" s="733">
        <v>66</v>
      </c>
      <c r="W45" s="733">
        <v>128</v>
      </c>
      <c r="X45" s="733">
        <v>5</v>
      </c>
      <c r="Y45" s="733">
        <v>0</v>
      </c>
      <c r="Z45" s="733">
        <v>5</v>
      </c>
    </row>
    <row r="46" spans="1:26">
      <c r="A46" s="251">
        <v>42</v>
      </c>
      <c r="B46" s="136" t="s">
        <v>388</v>
      </c>
      <c r="C46" s="733">
        <v>1852</v>
      </c>
      <c r="D46" s="733">
        <v>2130</v>
      </c>
      <c r="E46" s="733">
        <v>3982</v>
      </c>
      <c r="F46" s="733">
        <v>155</v>
      </c>
      <c r="G46" s="733">
        <v>146</v>
      </c>
      <c r="H46" s="733">
        <v>301</v>
      </c>
      <c r="I46" s="733">
        <v>50</v>
      </c>
      <c r="J46" s="733">
        <v>64</v>
      </c>
      <c r="K46" s="733">
        <v>114</v>
      </c>
      <c r="L46" s="733">
        <v>581</v>
      </c>
      <c r="M46" s="733">
        <v>445</v>
      </c>
      <c r="N46" s="733">
        <v>1026</v>
      </c>
      <c r="O46" s="733">
        <v>6</v>
      </c>
      <c r="P46" s="733">
        <v>11</v>
      </c>
      <c r="Q46" s="733">
        <v>17</v>
      </c>
      <c r="R46" s="733">
        <v>10</v>
      </c>
      <c r="S46" s="733">
        <v>27</v>
      </c>
      <c r="T46" s="733">
        <v>37</v>
      </c>
      <c r="U46" s="733">
        <v>14</v>
      </c>
      <c r="V46" s="733">
        <v>30</v>
      </c>
      <c r="W46" s="733">
        <v>44</v>
      </c>
      <c r="X46" s="733">
        <v>35</v>
      </c>
      <c r="Y46" s="733">
        <v>11</v>
      </c>
      <c r="Z46" s="733">
        <v>46</v>
      </c>
    </row>
    <row r="47" spans="1:26" ht="28">
      <c r="A47" s="251">
        <v>43</v>
      </c>
      <c r="B47" s="136" t="s">
        <v>385</v>
      </c>
      <c r="C47" s="733">
        <v>2033</v>
      </c>
      <c r="D47" s="733">
        <v>1622</v>
      </c>
      <c r="E47" s="733">
        <v>3655</v>
      </c>
      <c r="F47" s="733">
        <v>224</v>
      </c>
      <c r="G47" s="733">
        <v>169</v>
      </c>
      <c r="H47" s="733">
        <v>393</v>
      </c>
      <c r="I47" s="733">
        <v>156</v>
      </c>
      <c r="J47" s="733">
        <v>124</v>
      </c>
      <c r="K47" s="733">
        <v>280</v>
      </c>
      <c r="L47" s="733">
        <v>633</v>
      </c>
      <c r="M47" s="733">
        <v>496</v>
      </c>
      <c r="N47" s="733">
        <v>1129</v>
      </c>
      <c r="O47" s="733">
        <v>2</v>
      </c>
      <c r="P47" s="733">
        <v>2</v>
      </c>
      <c r="Q47" s="733">
        <v>4</v>
      </c>
      <c r="R47" s="733">
        <v>82</v>
      </c>
      <c r="S47" s="733">
        <v>60</v>
      </c>
      <c r="T47" s="733">
        <v>142</v>
      </c>
      <c r="U47" s="733">
        <v>39</v>
      </c>
      <c r="V47" s="733">
        <v>30</v>
      </c>
      <c r="W47" s="733">
        <v>69</v>
      </c>
      <c r="X47" s="733">
        <v>37</v>
      </c>
      <c r="Y47" s="733">
        <v>9</v>
      </c>
      <c r="Z47" s="733">
        <v>46</v>
      </c>
    </row>
    <row r="48" spans="1:26">
      <c r="A48" s="251">
        <v>44</v>
      </c>
      <c r="B48" s="136" t="s">
        <v>386</v>
      </c>
      <c r="C48" s="733">
        <v>1508</v>
      </c>
      <c r="D48" s="733">
        <v>2141</v>
      </c>
      <c r="E48" s="733">
        <v>3649</v>
      </c>
      <c r="F48" s="733">
        <v>85</v>
      </c>
      <c r="G48" s="733">
        <v>85</v>
      </c>
      <c r="H48" s="733">
        <v>170</v>
      </c>
      <c r="I48" s="733">
        <v>31</v>
      </c>
      <c r="J48" s="733">
        <v>35</v>
      </c>
      <c r="K48" s="733">
        <v>66</v>
      </c>
      <c r="L48" s="733">
        <v>436</v>
      </c>
      <c r="M48" s="733">
        <v>533</v>
      </c>
      <c r="N48" s="733">
        <v>969</v>
      </c>
      <c r="O48" s="733">
        <v>1</v>
      </c>
      <c r="P48" s="733">
        <v>1</v>
      </c>
      <c r="Q48" s="733">
        <v>2</v>
      </c>
      <c r="R48" s="733">
        <v>127</v>
      </c>
      <c r="S48" s="733">
        <v>108</v>
      </c>
      <c r="T48" s="733">
        <v>235</v>
      </c>
      <c r="U48" s="733">
        <v>39</v>
      </c>
      <c r="V48" s="733">
        <v>58</v>
      </c>
      <c r="W48" s="733">
        <v>97</v>
      </c>
      <c r="X48" s="733">
        <v>131</v>
      </c>
      <c r="Y48" s="733">
        <v>127</v>
      </c>
      <c r="Z48" s="733">
        <v>258</v>
      </c>
    </row>
    <row r="49" spans="1:26" ht="28">
      <c r="A49" s="251">
        <v>45</v>
      </c>
      <c r="B49" s="136" t="s">
        <v>383</v>
      </c>
      <c r="C49" s="733">
        <v>2092</v>
      </c>
      <c r="D49" s="733">
        <v>1434</v>
      </c>
      <c r="E49" s="733">
        <v>3526</v>
      </c>
      <c r="F49" s="733">
        <v>331</v>
      </c>
      <c r="G49" s="733">
        <v>228</v>
      </c>
      <c r="H49" s="733">
        <v>559</v>
      </c>
      <c r="I49" s="733">
        <v>198</v>
      </c>
      <c r="J49" s="733">
        <v>80</v>
      </c>
      <c r="K49" s="733">
        <v>278</v>
      </c>
      <c r="L49" s="733">
        <v>479</v>
      </c>
      <c r="M49" s="733">
        <v>305</v>
      </c>
      <c r="N49" s="733">
        <v>784</v>
      </c>
      <c r="O49" s="733">
        <v>45</v>
      </c>
      <c r="P49" s="733">
        <v>6</v>
      </c>
      <c r="Q49" s="733">
        <v>51</v>
      </c>
      <c r="R49" s="733">
        <v>16</v>
      </c>
      <c r="S49" s="733">
        <v>6</v>
      </c>
      <c r="T49" s="733">
        <v>22</v>
      </c>
      <c r="U49" s="733">
        <v>6</v>
      </c>
      <c r="V49" s="733">
        <v>3</v>
      </c>
      <c r="W49" s="733">
        <v>9</v>
      </c>
      <c r="X49" s="733">
        <v>40</v>
      </c>
      <c r="Y49" s="733">
        <v>23</v>
      </c>
      <c r="Z49" s="733">
        <v>63</v>
      </c>
    </row>
    <row r="50" spans="1:26" ht="28">
      <c r="A50" s="251">
        <v>46</v>
      </c>
      <c r="B50" s="136" t="s">
        <v>393</v>
      </c>
      <c r="C50" s="733">
        <v>2100</v>
      </c>
      <c r="D50" s="733">
        <v>850</v>
      </c>
      <c r="E50" s="733">
        <v>2950</v>
      </c>
      <c r="F50" s="733">
        <v>140</v>
      </c>
      <c r="G50" s="733">
        <v>147</v>
      </c>
      <c r="H50" s="733">
        <v>287</v>
      </c>
      <c r="I50" s="733">
        <v>28</v>
      </c>
      <c r="J50" s="733">
        <v>18</v>
      </c>
      <c r="K50" s="733">
        <v>46</v>
      </c>
      <c r="L50" s="733">
        <v>259</v>
      </c>
      <c r="M50" s="733">
        <v>169</v>
      </c>
      <c r="N50" s="733">
        <v>428</v>
      </c>
      <c r="O50" s="733">
        <v>1</v>
      </c>
      <c r="P50" s="733">
        <v>0</v>
      </c>
      <c r="Q50" s="733">
        <v>1</v>
      </c>
      <c r="R50" s="733">
        <v>19</v>
      </c>
      <c r="S50" s="733">
        <v>11</v>
      </c>
      <c r="T50" s="733">
        <v>30</v>
      </c>
      <c r="U50" s="733">
        <v>26</v>
      </c>
      <c r="V50" s="733">
        <v>61</v>
      </c>
      <c r="W50" s="733">
        <v>87</v>
      </c>
      <c r="X50" s="733">
        <v>19</v>
      </c>
      <c r="Y50" s="733">
        <v>4</v>
      </c>
      <c r="Z50" s="733">
        <v>23</v>
      </c>
    </row>
    <row r="51" spans="1:26">
      <c r="A51" s="251">
        <v>47</v>
      </c>
      <c r="B51" s="136" t="s">
        <v>390</v>
      </c>
      <c r="C51" s="733">
        <v>1014</v>
      </c>
      <c r="D51" s="733">
        <v>1772</v>
      </c>
      <c r="E51" s="733">
        <v>2786</v>
      </c>
      <c r="F51" s="733">
        <v>111</v>
      </c>
      <c r="G51" s="733">
        <v>134</v>
      </c>
      <c r="H51" s="733">
        <v>245</v>
      </c>
      <c r="I51" s="733">
        <v>54</v>
      </c>
      <c r="J51" s="733">
        <v>97</v>
      </c>
      <c r="K51" s="733">
        <v>151</v>
      </c>
      <c r="L51" s="733">
        <v>198</v>
      </c>
      <c r="M51" s="733">
        <v>384</v>
      </c>
      <c r="N51" s="733">
        <v>582</v>
      </c>
      <c r="O51" s="733">
        <v>5</v>
      </c>
      <c r="P51" s="733">
        <v>2</v>
      </c>
      <c r="Q51" s="733">
        <v>7</v>
      </c>
      <c r="R51" s="733">
        <v>53</v>
      </c>
      <c r="S51" s="733">
        <v>77</v>
      </c>
      <c r="T51" s="733">
        <v>130</v>
      </c>
      <c r="U51" s="733">
        <v>27</v>
      </c>
      <c r="V51" s="733">
        <v>84</v>
      </c>
      <c r="W51" s="733">
        <v>111</v>
      </c>
      <c r="X51" s="733">
        <v>23</v>
      </c>
      <c r="Y51" s="733">
        <v>28</v>
      </c>
      <c r="Z51" s="733">
        <v>51</v>
      </c>
    </row>
    <row r="52" spans="1:26">
      <c r="A52" s="251">
        <v>48</v>
      </c>
      <c r="B52" s="136" t="s">
        <v>389</v>
      </c>
      <c r="C52" s="733">
        <v>942</v>
      </c>
      <c r="D52" s="733">
        <v>1732</v>
      </c>
      <c r="E52" s="733">
        <v>2674</v>
      </c>
      <c r="F52" s="733">
        <v>94</v>
      </c>
      <c r="G52" s="733">
        <v>156</v>
      </c>
      <c r="H52" s="733">
        <v>250</v>
      </c>
      <c r="I52" s="733">
        <v>17</v>
      </c>
      <c r="J52" s="733">
        <v>57</v>
      </c>
      <c r="K52" s="733">
        <v>74</v>
      </c>
      <c r="L52" s="733">
        <v>255</v>
      </c>
      <c r="M52" s="733">
        <v>478</v>
      </c>
      <c r="N52" s="733">
        <v>733</v>
      </c>
      <c r="O52" s="733">
        <v>2</v>
      </c>
      <c r="P52" s="733">
        <v>0</v>
      </c>
      <c r="Q52" s="733">
        <v>2</v>
      </c>
      <c r="R52" s="733">
        <v>16</v>
      </c>
      <c r="S52" s="733">
        <v>18</v>
      </c>
      <c r="T52" s="733">
        <v>34</v>
      </c>
      <c r="U52" s="733">
        <v>5</v>
      </c>
      <c r="V52" s="733">
        <v>17</v>
      </c>
      <c r="W52" s="733">
        <v>22</v>
      </c>
      <c r="X52" s="733">
        <v>22</v>
      </c>
      <c r="Y52" s="733">
        <v>17</v>
      </c>
      <c r="Z52" s="733">
        <v>39</v>
      </c>
    </row>
    <row r="53" spans="1:26" ht="28">
      <c r="A53" s="251">
        <v>49</v>
      </c>
      <c r="B53" s="136" t="s">
        <v>409</v>
      </c>
      <c r="C53" s="733">
        <v>1222</v>
      </c>
      <c r="D53" s="733">
        <v>1118</v>
      </c>
      <c r="E53" s="733">
        <v>2340</v>
      </c>
      <c r="F53" s="733">
        <v>86</v>
      </c>
      <c r="G53" s="733">
        <v>67</v>
      </c>
      <c r="H53" s="733">
        <v>153</v>
      </c>
      <c r="I53" s="733">
        <v>26</v>
      </c>
      <c r="J53" s="733">
        <v>27</v>
      </c>
      <c r="K53" s="733">
        <v>53</v>
      </c>
      <c r="L53" s="733">
        <v>225</v>
      </c>
      <c r="M53" s="733">
        <v>125</v>
      </c>
      <c r="N53" s="733">
        <v>350</v>
      </c>
      <c r="O53" s="733">
        <v>1</v>
      </c>
      <c r="P53" s="733">
        <v>0</v>
      </c>
      <c r="Q53" s="733">
        <v>1</v>
      </c>
      <c r="R53" s="733">
        <v>6</v>
      </c>
      <c r="S53" s="733">
        <v>7</v>
      </c>
      <c r="T53" s="733">
        <v>13</v>
      </c>
      <c r="U53" s="733">
        <v>2</v>
      </c>
      <c r="V53" s="733">
        <v>2</v>
      </c>
      <c r="W53" s="733">
        <v>4</v>
      </c>
      <c r="X53" s="733">
        <v>19</v>
      </c>
      <c r="Y53" s="733">
        <v>14</v>
      </c>
      <c r="Z53" s="733">
        <v>33</v>
      </c>
    </row>
    <row r="54" spans="1:26">
      <c r="A54" s="251">
        <v>50</v>
      </c>
      <c r="B54" s="136" t="s">
        <v>410</v>
      </c>
      <c r="C54" s="733">
        <v>812</v>
      </c>
      <c r="D54" s="733">
        <v>1379</v>
      </c>
      <c r="E54" s="733">
        <v>2191</v>
      </c>
      <c r="F54" s="733">
        <v>103</v>
      </c>
      <c r="G54" s="733">
        <v>153</v>
      </c>
      <c r="H54" s="733">
        <v>256</v>
      </c>
      <c r="I54" s="733">
        <v>37</v>
      </c>
      <c r="J54" s="733">
        <v>40</v>
      </c>
      <c r="K54" s="733">
        <v>77</v>
      </c>
      <c r="L54" s="733">
        <v>277</v>
      </c>
      <c r="M54" s="733">
        <v>560</v>
      </c>
      <c r="N54" s="733">
        <v>837</v>
      </c>
      <c r="O54" s="733">
        <v>19</v>
      </c>
      <c r="P54" s="733">
        <v>7</v>
      </c>
      <c r="Q54" s="733">
        <v>26</v>
      </c>
      <c r="R54" s="733">
        <v>31</v>
      </c>
      <c r="S54" s="733">
        <v>36</v>
      </c>
      <c r="T54" s="733">
        <v>67</v>
      </c>
      <c r="U54" s="733">
        <v>32</v>
      </c>
      <c r="V54" s="733">
        <v>67</v>
      </c>
      <c r="W54" s="733">
        <v>99</v>
      </c>
      <c r="X54" s="733">
        <v>5</v>
      </c>
      <c r="Y54" s="733">
        <v>19</v>
      </c>
      <c r="Z54" s="733">
        <v>24</v>
      </c>
    </row>
    <row r="55" spans="1:26">
      <c r="A55" s="251">
        <v>51</v>
      </c>
      <c r="B55" s="136" t="s">
        <v>391</v>
      </c>
      <c r="C55" s="733">
        <v>1340</v>
      </c>
      <c r="D55" s="733">
        <v>732</v>
      </c>
      <c r="E55" s="733">
        <v>2072</v>
      </c>
      <c r="F55" s="733">
        <v>257</v>
      </c>
      <c r="G55" s="733">
        <v>110</v>
      </c>
      <c r="H55" s="733">
        <v>367</v>
      </c>
      <c r="I55" s="733">
        <v>94</v>
      </c>
      <c r="J55" s="733">
        <v>48</v>
      </c>
      <c r="K55" s="733">
        <v>142</v>
      </c>
      <c r="L55" s="733">
        <v>420</v>
      </c>
      <c r="M55" s="733">
        <v>121</v>
      </c>
      <c r="N55" s="733">
        <v>541</v>
      </c>
      <c r="O55" s="733">
        <v>12</v>
      </c>
      <c r="P55" s="733">
        <v>2</v>
      </c>
      <c r="Q55" s="733">
        <v>14</v>
      </c>
      <c r="R55" s="733">
        <v>64</v>
      </c>
      <c r="S55" s="733">
        <v>21</v>
      </c>
      <c r="T55" s="733">
        <v>85</v>
      </c>
      <c r="U55" s="733">
        <v>29</v>
      </c>
      <c r="V55" s="733">
        <v>17</v>
      </c>
      <c r="W55" s="733">
        <v>46</v>
      </c>
      <c r="X55" s="733">
        <v>6</v>
      </c>
      <c r="Y55" s="733">
        <v>8</v>
      </c>
      <c r="Z55" s="733">
        <v>14</v>
      </c>
    </row>
    <row r="56" spans="1:26" ht="28">
      <c r="A56" s="251">
        <v>52</v>
      </c>
      <c r="B56" s="136" t="s">
        <v>392</v>
      </c>
      <c r="C56" s="733">
        <v>842</v>
      </c>
      <c r="D56" s="733">
        <v>1185</v>
      </c>
      <c r="E56" s="733">
        <v>2027</v>
      </c>
      <c r="F56" s="733">
        <v>94</v>
      </c>
      <c r="G56" s="733">
        <v>116</v>
      </c>
      <c r="H56" s="733">
        <v>210</v>
      </c>
      <c r="I56" s="733">
        <v>36</v>
      </c>
      <c r="J56" s="733">
        <v>91</v>
      </c>
      <c r="K56" s="733">
        <v>127</v>
      </c>
      <c r="L56" s="733">
        <v>238</v>
      </c>
      <c r="M56" s="733">
        <v>356</v>
      </c>
      <c r="N56" s="733">
        <v>594</v>
      </c>
      <c r="O56" s="733">
        <v>1</v>
      </c>
      <c r="P56" s="733">
        <v>1</v>
      </c>
      <c r="Q56" s="733">
        <v>2</v>
      </c>
      <c r="R56" s="733">
        <v>8</v>
      </c>
      <c r="S56" s="733">
        <v>8</v>
      </c>
      <c r="T56" s="733">
        <v>16</v>
      </c>
      <c r="U56" s="733">
        <v>42</v>
      </c>
      <c r="V56" s="733">
        <v>37</v>
      </c>
      <c r="W56" s="733">
        <v>79</v>
      </c>
      <c r="X56" s="733">
        <v>0</v>
      </c>
      <c r="Y56" s="733">
        <v>2</v>
      </c>
      <c r="Z56" s="733">
        <v>2</v>
      </c>
    </row>
    <row r="57" spans="1:26">
      <c r="A57" s="251">
        <v>53</v>
      </c>
      <c r="B57" s="136" t="s">
        <v>395</v>
      </c>
      <c r="C57" s="733">
        <v>936</v>
      </c>
      <c r="D57" s="733">
        <v>1005</v>
      </c>
      <c r="E57" s="733">
        <v>1941</v>
      </c>
      <c r="F57" s="733">
        <v>108</v>
      </c>
      <c r="G57" s="733">
        <v>73</v>
      </c>
      <c r="H57" s="733">
        <v>181</v>
      </c>
      <c r="I57" s="733">
        <v>36</v>
      </c>
      <c r="J57" s="733">
        <v>24</v>
      </c>
      <c r="K57" s="733">
        <v>60</v>
      </c>
      <c r="L57" s="733">
        <v>208</v>
      </c>
      <c r="M57" s="733">
        <v>203</v>
      </c>
      <c r="N57" s="733">
        <v>411</v>
      </c>
      <c r="O57" s="733">
        <v>4</v>
      </c>
      <c r="P57" s="733">
        <v>0</v>
      </c>
      <c r="Q57" s="733">
        <v>4</v>
      </c>
      <c r="R57" s="733">
        <v>32</v>
      </c>
      <c r="S57" s="733">
        <v>13</v>
      </c>
      <c r="T57" s="733">
        <v>45</v>
      </c>
      <c r="U57" s="733">
        <v>38</v>
      </c>
      <c r="V57" s="733">
        <v>39</v>
      </c>
      <c r="W57" s="733">
        <v>77</v>
      </c>
      <c r="X57" s="733">
        <v>41</v>
      </c>
      <c r="Y57" s="733">
        <v>31</v>
      </c>
      <c r="Z57" s="733">
        <v>72</v>
      </c>
    </row>
    <row r="58" spans="1:26">
      <c r="A58" s="251">
        <v>54</v>
      </c>
      <c r="B58" s="136" t="s">
        <v>396</v>
      </c>
      <c r="C58" s="733">
        <v>627</v>
      </c>
      <c r="D58" s="733">
        <v>1087</v>
      </c>
      <c r="E58" s="733">
        <v>1714</v>
      </c>
      <c r="F58" s="733">
        <v>105</v>
      </c>
      <c r="G58" s="733">
        <v>179</v>
      </c>
      <c r="H58" s="733">
        <v>284</v>
      </c>
      <c r="I58" s="733">
        <v>23</v>
      </c>
      <c r="J58" s="733">
        <v>50</v>
      </c>
      <c r="K58" s="733">
        <v>73</v>
      </c>
      <c r="L58" s="733">
        <v>176</v>
      </c>
      <c r="M58" s="733">
        <v>258</v>
      </c>
      <c r="N58" s="733">
        <v>434</v>
      </c>
      <c r="O58" s="733">
        <v>9</v>
      </c>
      <c r="P58" s="733">
        <v>8</v>
      </c>
      <c r="Q58" s="733">
        <v>17</v>
      </c>
      <c r="R58" s="733">
        <v>3</v>
      </c>
      <c r="S58" s="733">
        <v>1</v>
      </c>
      <c r="T58" s="733">
        <v>4</v>
      </c>
      <c r="U58" s="733">
        <v>38</v>
      </c>
      <c r="V58" s="733">
        <v>37</v>
      </c>
      <c r="W58" s="733">
        <v>75</v>
      </c>
      <c r="X58" s="733">
        <v>1</v>
      </c>
      <c r="Y58" s="733">
        <v>9</v>
      </c>
      <c r="Z58" s="733">
        <v>10</v>
      </c>
    </row>
    <row r="59" spans="1:26">
      <c r="A59" s="251">
        <v>55</v>
      </c>
      <c r="B59" s="136" t="s">
        <v>892</v>
      </c>
      <c r="C59" s="733">
        <v>1353</v>
      </c>
      <c r="D59" s="733">
        <v>267</v>
      </c>
      <c r="E59" s="733">
        <v>1620</v>
      </c>
      <c r="F59" s="733">
        <v>50</v>
      </c>
      <c r="G59" s="733">
        <v>12</v>
      </c>
      <c r="H59" s="733">
        <v>62</v>
      </c>
      <c r="I59" s="733">
        <v>4</v>
      </c>
      <c r="J59" s="733">
        <v>0</v>
      </c>
      <c r="K59" s="733">
        <v>4</v>
      </c>
      <c r="L59" s="733">
        <v>62</v>
      </c>
      <c r="M59" s="733">
        <v>3</v>
      </c>
      <c r="N59" s="733">
        <v>65</v>
      </c>
      <c r="O59" s="733">
        <v>2</v>
      </c>
      <c r="P59" s="733">
        <v>0</v>
      </c>
      <c r="Q59" s="733">
        <v>2</v>
      </c>
      <c r="R59" s="733">
        <v>1</v>
      </c>
      <c r="S59" s="733">
        <v>0</v>
      </c>
      <c r="T59" s="733">
        <v>1</v>
      </c>
      <c r="U59" s="733">
        <v>0</v>
      </c>
      <c r="V59" s="733">
        <v>0</v>
      </c>
      <c r="W59" s="733">
        <v>0</v>
      </c>
      <c r="X59" s="733">
        <v>0</v>
      </c>
      <c r="Y59" s="733">
        <v>0</v>
      </c>
      <c r="Z59" s="733">
        <v>0</v>
      </c>
    </row>
    <row r="60" spans="1:26" ht="28">
      <c r="A60" s="251">
        <v>56</v>
      </c>
      <c r="B60" s="136" t="s">
        <v>399</v>
      </c>
      <c r="C60" s="733">
        <v>797</v>
      </c>
      <c r="D60" s="733">
        <v>684</v>
      </c>
      <c r="E60" s="733">
        <v>1481</v>
      </c>
      <c r="F60" s="733">
        <v>152</v>
      </c>
      <c r="G60" s="733">
        <v>65</v>
      </c>
      <c r="H60" s="733">
        <v>217</v>
      </c>
      <c r="I60" s="733">
        <v>23</v>
      </c>
      <c r="J60" s="733">
        <v>27</v>
      </c>
      <c r="K60" s="733">
        <v>50</v>
      </c>
      <c r="L60" s="733">
        <v>209</v>
      </c>
      <c r="M60" s="733">
        <v>145</v>
      </c>
      <c r="N60" s="733">
        <v>354</v>
      </c>
      <c r="O60" s="733">
        <v>3</v>
      </c>
      <c r="P60" s="733">
        <v>3</v>
      </c>
      <c r="Q60" s="733">
        <v>6</v>
      </c>
      <c r="R60" s="733">
        <v>2</v>
      </c>
      <c r="S60" s="733">
        <v>1</v>
      </c>
      <c r="T60" s="733">
        <v>3</v>
      </c>
      <c r="U60" s="733">
        <v>9</v>
      </c>
      <c r="V60" s="733">
        <v>4</v>
      </c>
      <c r="W60" s="733">
        <v>13</v>
      </c>
      <c r="X60" s="733">
        <v>16</v>
      </c>
      <c r="Y60" s="733">
        <v>27</v>
      </c>
      <c r="Z60" s="733">
        <v>43</v>
      </c>
    </row>
    <row r="61" spans="1:26" ht="28">
      <c r="A61" s="251">
        <v>57</v>
      </c>
      <c r="B61" s="136" t="s">
        <v>394</v>
      </c>
      <c r="C61" s="733">
        <v>784</v>
      </c>
      <c r="D61" s="733">
        <v>658</v>
      </c>
      <c r="E61" s="733">
        <v>1442</v>
      </c>
      <c r="F61" s="733">
        <v>160</v>
      </c>
      <c r="G61" s="733">
        <v>150</v>
      </c>
      <c r="H61" s="733">
        <v>310</v>
      </c>
      <c r="I61" s="733">
        <v>55</v>
      </c>
      <c r="J61" s="733">
        <v>49</v>
      </c>
      <c r="K61" s="733">
        <v>104</v>
      </c>
      <c r="L61" s="733">
        <v>66</v>
      </c>
      <c r="M61" s="733">
        <v>86</v>
      </c>
      <c r="N61" s="733">
        <v>152</v>
      </c>
      <c r="O61" s="733">
        <v>1</v>
      </c>
      <c r="P61" s="733">
        <v>0</v>
      </c>
      <c r="Q61" s="733">
        <v>1</v>
      </c>
      <c r="R61" s="733">
        <v>52</v>
      </c>
      <c r="S61" s="733">
        <v>22</v>
      </c>
      <c r="T61" s="733">
        <v>74</v>
      </c>
      <c r="U61" s="733">
        <v>13</v>
      </c>
      <c r="V61" s="733">
        <v>47</v>
      </c>
      <c r="W61" s="733">
        <v>60</v>
      </c>
      <c r="X61" s="733">
        <v>0</v>
      </c>
      <c r="Y61" s="733">
        <v>0</v>
      </c>
      <c r="Z61" s="733">
        <v>0</v>
      </c>
    </row>
    <row r="62" spans="1:26" ht="28">
      <c r="A62" s="251">
        <v>58</v>
      </c>
      <c r="B62" s="136" t="s">
        <v>402</v>
      </c>
      <c r="C62" s="733">
        <v>962</v>
      </c>
      <c r="D62" s="733">
        <v>467</v>
      </c>
      <c r="E62" s="733">
        <v>1429</v>
      </c>
      <c r="F62" s="733">
        <v>121</v>
      </c>
      <c r="G62" s="733">
        <v>78</v>
      </c>
      <c r="H62" s="733">
        <v>199</v>
      </c>
      <c r="I62" s="733">
        <v>95</v>
      </c>
      <c r="J62" s="733">
        <v>39</v>
      </c>
      <c r="K62" s="733">
        <v>134</v>
      </c>
      <c r="L62" s="733">
        <v>256</v>
      </c>
      <c r="M62" s="733">
        <v>118</v>
      </c>
      <c r="N62" s="733">
        <v>374</v>
      </c>
      <c r="O62" s="733">
        <v>0</v>
      </c>
      <c r="P62" s="733">
        <v>0</v>
      </c>
      <c r="Q62" s="733">
        <v>0</v>
      </c>
      <c r="R62" s="733">
        <v>39</v>
      </c>
      <c r="S62" s="733">
        <v>8</v>
      </c>
      <c r="T62" s="733">
        <v>47</v>
      </c>
      <c r="U62" s="733">
        <v>67</v>
      </c>
      <c r="V62" s="733">
        <v>18</v>
      </c>
      <c r="W62" s="733">
        <v>85</v>
      </c>
      <c r="X62" s="733">
        <v>5</v>
      </c>
      <c r="Y62" s="733">
        <v>2</v>
      </c>
      <c r="Z62" s="733">
        <v>7</v>
      </c>
    </row>
    <row r="63" spans="1:26">
      <c r="A63" s="251">
        <v>59</v>
      </c>
      <c r="B63" s="136" t="s">
        <v>397</v>
      </c>
      <c r="C63" s="733">
        <v>736</v>
      </c>
      <c r="D63" s="733">
        <v>617</v>
      </c>
      <c r="E63" s="733">
        <v>1353</v>
      </c>
      <c r="F63" s="733">
        <v>62</v>
      </c>
      <c r="G63" s="733">
        <v>47</v>
      </c>
      <c r="H63" s="733">
        <v>109</v>
      </c>
      <c r="I63" s="733">
        <v>37</v>
      </c>
      <c r="J63" s="733">
        <v>42</v>
      </c>
      <c r="K63" s="733">
        <v>79</v>
      </c>
      <c r="L63" s="733">
        <v>156</v>
      </c>
      <c r="M63" s="733">
        <v>116</v>
      </c>
      <c r="N63" s="733">
        <v>272</v>
      </c>
      <c r="O63" s="733">
        <v>0</v>
      </c>
      <c r="P63" s="733">
        <v>0</v>
      </c>
      <c r="Q63" s="733">
        <v>0</v>
      </c>
      <c r="R63" s="733">
        <v>26</v>
      </c>
      <c r="S63" s="733">
        <v>23</v>
      </c>
      <c r="T63" s="733">
        <v>49</v>
      </c>
      <c r="U63" s="733">
        <v>3</v>
      </c>
      <c r="V63" s="733">
        <v>0</v>
      </c>
      <c r="W63" s="733">
        <v>3</v>
      </c>
      <c r="X63" s="733">
        <v>3</v>
      </c>
      <c r="Y63" s="733">
        <v>6</v>
      </c>
      <c r="Z63" s="733">
        <v>9</v>
      </c>
    </row>
    <row r="64" spans="1:26">
      <c r="A64" s="251">
        <v>60</v>
      </c>
      <c r="B64" s="136" t="s">
        <v>893</v>
      </c>
      <c r="C64" s="733">
        <v>632</v>
      </c>
      <c r="D64" s="733">
        <v>686</v>
      </c>
      <c r="E64" s="733">
        <v>1318</v>
      </c>
      <c r="F64" s="733">
        <v>60</v>
      </c>
      <c r="G64" s="733">
        <v>54</v>
      </c>
      <c r="H64" s="733">
        <v>114</v>
      </c>
      <c r="I64" s="733">
        <v>15</v>
      </c>
      <c r="J64" s="733">
        <v>19</v>
      </c>
      <c r="K64" s="733">
        <v>34</v>
      </c>
      <c r="L64" s="733">
        <v>243</v>
      </c>
      <c r="M64" s="733">
        <v>240</v>
      </c>
      <c r="N64" s="733">
        <v>483</v>
      </c>
      <c r="O64" s="733">
        <v>0</v>
      </c>
      <c r="P64" s="733">
        <v>0</v>
      </c>
      <c r="Q64" s="733">
        <v>0</v>
      </c>
      <c r="R64" s="733">
        <v>23</v>
      </c>
      <c r="S64" s="733">
        <v>31</v>
      </c>
      <c r="T64" s="733">
        <v>54</v>
      </c>
      <c r="U64" s="733">
        <v>57</v>
      </c>
      <c r="V64" s="733">
        <v>36</v>
      </c>
      <c r="W64" s="733">
        <v>93</v>
      </c>
      <c r="X64" s="733">
        <v>22</v>
      </c>
      <c r="Y64" s="733">
        <v>11</v>
      </c>
      <c r="Z64" s="733">
        <v>33</v>
      </c>
    </row>
    <row r="65" spans="1:26" ht="28">
      <c r="A65" s="251">
        <v>61</v>
      </c>
      <c r="B65" s="136" t="s">
        <v>400</v>
      </c>
      <c r="C65" s="733">
        <v>475</v>
      </c>
      <c r="D65" s="733">
        <v>423</v>
      </c>
      <c r="E65" s="733">
        <v>898</v>
      </c>
      <c r="F65" s="733">
        <v>77</v>
      </c>
      <c r="G65" s="733">
        <v>43</v>
      </c>
      <c r="H65" s="733">
        <v>120</v>
      </c>
      <c r="I65" s="733">
        <v>34</v>
      </c>
      <c r="J65" s="733">
        <v>37</v>
      </c>
      <c r="K65" s="733">
        <v>71</v>
      </c>
      <c r="L65" s="733">
        <v>184</v>
      </c>
      <c r="M65" s="733">
        <v>148</v>
      </c>
      <c r="N65" s="733">
        <v>332</v>
      </c>
      <c r="O65" s="733">
        <v>3</v>
      </c>
      <c r="P65" s="733">
        <v>0</v>
      </c>
      <c r="Q65" s="733">
        <v>3</v>
      </c>
      <c r="R65" s="733">
        <v>13</v>
      </c>
      <c r="S65" s="733">
        <v>12</v>
      </c>
      <c r="T65" s="733">
        <v>25</v>
      </c>
      <c r="U65" s="733">
        <v>17</v>
      </c>
      <c r="V65" s="733">
        <v>31</v>
      </c>
      <c r="W65" s="733">
        <v>48</v>
      </c>
      <c r="X65" s="733">
        <v>15</v>
      </c>
      <c r="Y65" s="733">
        <v>10</v>
      </c>
      <c r="Z65" s="733">
        <v>25</v>
      </c>
    </row>
    <row r="66" spans="1:26" ht="28">
      <c r="A66" s="251">
        <v>62</v>
      </c>
      <c r="B66" s="136" t="s">
        <v>401</v>
      </c>
      <c r="C66" s="733">
        <v>582</v>
      </c>
      <c r="D66" s="733">
        <v>302</v>
      </c>
      <c r="E66" s="733">
        <v>884</v>
      </c>
      <c r="F66" s="733">
        <v>14</v>
      </c>
      <c r="G66" s="733">
        <v>11</v>
      </c>
      <c r="H66" s="733">
        <v>25</v>
      </c>
      <c r="I66" s="733">
        <v>3</v>
      </c>
      <c r="J66" s="733">
        <v>4</v>
      </c>
      <c r="K66" s="733">
        <v>7</v>
      </c>
      <c r="L66" s="733">
        <v>56</v>
      </c>
      <c r="M66" s="733">
        <v>22</v>
      </c>
      <c r="N66" s="733">
        <v>78</v>
      </c>
      <c r="O66" s="733">
        <v>0</v>
      </c>
      <c r="P66" s="733">
        <v>0</v>
      </c>
      <c r="Q66" s="733">
        <v>0</v>
      </c>
      <c r="R66" s="733">
        <v>15</v>
      </c>
      <c r="S66" s="733">
        <v>4</v>
      </c>
      <c r="T66" s="733">
        <v>19</v>
      </c>
      <c r="U66" s="733">
        <v>10</v>
      </c>
      <c r="V66" s="733">
        <v>4</v>
      </c>
      <c r="W66" s="733">
        <v>14</v>
      </c>
      <c r="X66" s="733">
        <v>0</v>
      </c>
      <c r="Y66" s="733">
        <v>0</v>
      </c>
      <c r="Z66" s="733">
        <v>0</v>
      </c>
    </row>
    <row r="67" spans="1:26" ht="28">
      <c r="A67" s="251">
        <v>63</v>
      </c>
      <c r="B67" s="136" t="s">
        <v>398</v>
      </c>
      <c r="C67" s="733">
        <v>473</v>
      </c>
      <c r="D67" s="733">
        <v>386</v>
      </c>
      <c r="E67" s="733">
        <v>859</v>
      </c>
      <c r="F67" s="733">
        <v>28</v>
      </c>
      <c r="G67" s="733">
        <v>20</v>
      </c>
      <c r="H67" s="733">
        <v>48</v>
      </c>
      <c r="I67" s="733">
        <v>0</v>
      </c>
      <c r="J67" s="733">
        <v>3</v>
      </c>
      <c r="K67" s="733">
        <v>3</v>
      </c>
      <c r="L67" s="733">
        <v>109</v>
      </c>
      <c r="M67" s="733">
        <v>80</v>
      </c>
      <c r="N67" s="733">
        <v>189</v>
      </c>
      <c r="O67" s="733">
        <v>0</v>
      </c>
      <c r="P67" s="733">
        <v>1</v>
      </c>
      <c r="Q67" s="733">
        <v>1</v>
      </c>
      <c r="R67" s="733">
        <v>49</v>
      </c>
      <c r="S67" s="733">
        <v>33</v>
      </c>
      <c r="T67" s="733">
        <v>82</v>
      </c>
      <c r="U67" s="733">
        <v>13</v>
      </c>
      <c r="V67" s="733">
        <v>12</v>
      </c>
      <c r="W67" s="733">
        <v>25</v>
      </c>
      <c r="X67" s="733">
        <v>6</v>
      </c>
      <c r="Y67" s="733">
        <v>1</v>
      </c>
      <c r="Z67" s="733">
        <v>7</v>
      </c>
    </row>
    <row r="68" spans="1:26" ht="14.25" customHeight="1">
      <c r="A68" s="251">
        <v>64</v>
      </c>
      <c r="B68" s="136" t="s">
        <v>404</v>
      </c>
      <c r="C68" s="733">
        <v>213</v>
      </c>
      <c r="D68" s="733">
        <v>445</v>
      </c>
      <c r="E68" s="733">
        <v>658</v>
      </c>
      <c r="F68" s="733">
        <v>8</v>
      </c>
      <c r="G68" s="733">
        <v>23</v>
      </c>
      <c r="H68" s="733">
        <v>31</v>
      </c>
      <c r="I68" s="733">
        <v>10</v>
      </c>
      <c r="J68" s="733">
        <v>17</v>
      </c>
      <c r="K68" s="733">
        <v>27</v>
      </c>
      <c r="L68" s="733">
        <v>35</v>
      </c>
      <c r="M68" s="733">
        <v>111</v>
      </c>
      <c r="N68" s="733">
        <v>146</v>
      </c>
      <c r="O68" s="733">
        <v>0</v>
      </c>
      <c r="P68" s="733">
        <v>0</v>
      </c>
      <c r="Q68" s="733">
        <v>0</v>
      </c>
      <c r="R68" s="733">
        <v>4</v>
      </c>
      <c r="S68" s="733">
        <v>9</v>
      </c>
      <c r="T68" s="733">
        <v>13</v>
      </c>
      <c r="U68" s="733">
        <v>9</v>
      </c>
      <c r="V68" s="733">
        <v>5</v>
      </c>
      <c r="W68" s="733">
        <v>14</v>
      </c>
      <c r="X68" s="733">
        <v>2</v>
      </c>
      <c r="Y68" s="733">
        <v>3</v>
      </c>
      <c r="Z68" s="733">
        <v>5</v>
      </c>
    </row>
    <row r="69" spans="1:26" ht="28">
      <c r="A69" s="251">
        <v>65</v>
      </c>
      <c r="B69" s="136" t="s">
        <v>403</v>
      </c>
      <c r="C69" s="733">
        <v>136</v>
      </c>
      <c r="D69" s="733">
        <v>509</v>
      </c>
      <c r="E69" s="733">
        <v>645</v>
      </c>
      <c r="F69" s="733">
        <v>12</v>
      </c>
      <c r="G69" s="733">
        <v>40</v>
      </c>
      <c r="H69" s="733">
        <v>52</v>
      </c>
      <c r="I69" s="733">
        <v>4</v>
      </c>
      <c r="J69" s="733">
        <v>12</v>
      </c>
      <c r="K69" s="733">
        <v>16</v>
      </c>
      <c r="L69" s="733">
        <v>51</v>
      </c>
      <c r="M69" s="733">
        <v>117</v>
      </c>
      <c r="N69" s="733">
        <v>168</v>
      </c>
      <c r="O69" s="733">
        <v>0</v>
      </c>
      <c r="P69" s="733">
        <v>1</v>
      </c>
      <c r="Q69" s="733">
        <v>1</v>
      </c>
      <c r="R69" s="733">
        <v>2</v>
      </c>
      <c r="S69" s="733">
        <v>13</v>
      </c>
      <c r="T69" s="733">
        <v>15</v>
      </c>
      <c r="U69" s="733">
        <v>2</v>
      </c>
      <c r="V69" s="733">
        <v>28</v>
      </c>
      <c r="W69" s="733">
        <v>30</v>
      </c>
      <c r="X69" s="733">
        <v>3</v>
      </c>
      <c r="Y69" s="733">
        <v>25</v>
      </c>
      <c r="Z69" s="733">
        <v>28</v>
      </c>
    </row>
    <row r="70" spans="1:26" ht="42">
      <c r="A70" s="251">
        <v>66</v>
      </c>
      <c r="B70" s="136" t="s">
        <v>411</v>
      </c>
      <c r="C70" s="733">
        <v>184</v>
      </c>
      <c r="D70" s="733">
        <v>432</v>
      </c>
      <c r="E70" s="733">
        <v>616</v>
      </c>
      <c r="F70" s="733">
        <v>29</v>
      </c>
      <c r="G70" s="733">
        <v>35</v>
      </c>
      <c r="H70" s="733">
        <v>64</v>
      </c>
      <c r="I70" s="733">
        <v>3</v>
      </c>
      <c r="J70" s="733">
        <v>6</v>
      </c>
      <c r="K70" s="733">
        <v>9</v>
      </c>
      <c r="L70" s="733">
        <v>75</v>
      </c>
      <c r="M70" s="733">
        <v>159</v>
      </c>
      <c r="N70" s="733">
        <v>234</v>
      </c>
      <c r="O70" s="733">
        <v>1</v>
      </c>
      <c r="P70" s="733">
        <v>0</v>
      </c>
      <c r="Q70" s="733">
        <v>1</v>
      </c>
      <c r="R70" s="733">
        <v>18</v>
      </c>
      <c r="S70" s="733">
        <v>43</v>
      </c>
      <c r="T70" s="733">
        <v>61</v>
      </c>
      <c r="U70" s="733">
        <v>5</v>
      </c>
      <c r="V70" s="733">
        <v>30</v>
      </c>
      <c r="W70" s="733">
        <v>35</v>
      </c>
      <c r="X70" s="733">
        <v>1</v>
      </c>
      <c r="Y70" s="733">
        <v>4</v>
      </c>
      <c r="Z70" s="733">
        <v>5</v>
      </c>
    </row>
    <row r="71" spans="1:26" ht="28">
      <c r="A71" s="251">
        <v>67</v>
      </c>
      <c r="B71" s="136" t="s">
        <v>417</v>
      </c>
      <c r="C71" s="733">
        <v>228</v>
      </c>
      <c r="D71" s="733">
        <v>237</v>
      </c>
      <c r="E71" s="733">
        <v>465</v>
      </c>
      <c r="F71" s="733">
        <v>30</v>
      </c>
      <c r="G71" s="733">
        <v>47</v>
      </c>
      <c r="H71" s="733">
        <v>77</v>
      </c>
      <c r="I71" s="733">
        <v>22</v>
      </c>
      <c r="J71" s="733">
        <v>20</v>
      </c>
      <c r="K71" s="733">
        <v>42</v>
      </c>
      <c r="L71" s="733">
        <v>48</v>
      </c>
      <c r="M71" s="733">
        <v>89</v>
      </c>
      <c r="N71" s="733">
        <v>137</v>
      </c>
      <c r="O71" s="733">
        <v>12</v>
      </c>
      <c r="P71" s="733">
        <v>32</v>
      </c>
      <c r="Q71" s="733">
        <v>44</v>
      </c>
      <c r="R71" s="733">
        <v>0</v>
      </c>
      <c r="S71" s="733">
        <v>2</v>
      </c>
      <c r="T71" s="733">
        <v>2</v>
      </c>
      <c r="U71" s="733">
        <v>0</v>
      </c>
      <c r="V71" s="733">
        <v>0</v>
      </c>
      <c r="W71" s="733">
        <v>0</v>
      </c>
      <c r="X71" s="733">
        <v>27</v>
      </c>
      <c r="Y71" s="733">
        <v>19</v>
      </c>
      <c r="Z71" s="733">
        <v>46</v>
      </c>
    </row>
    <row r="72" spans="1:26" ht="42">
      <c r="A72" s="251">
        <v>68</v>
      </c>
      <c r="B72" s="136" t="s">
        <v>407</v>
      </c>
      <c r="C72" s="733">
        <v>184</v>
      </c>
      <c r="D72" s="733">
        <v>278</v>
      </c>
      <c r="E72" s="733">
        <v>462</v>
      </c>
      <c r="F72" s="733">
        <v>15</v>
      </c>
      <c r="G72" s="733">
        <v>17</v>
      </c>
      <c r="H72" s="733">
        <v>32</v>
      </c>
      <c r="I72" s="733">
        <v>5</v>
      </c>
      <c r="J72" s="733">
        <v>4</v>
      </c>
      <c r="K72" s="733">
        <v>9</v>
      </c>
      <c r="L72" s="733">
        <v>73</v>
      </c>
      <c r="M72" s="733">
        <v>79</v>
      </c>
      <c r="N72" s="733">
        <v>152</v>
      </c>
      <c r="O72" s="733">
        <v>18</v>
      </c>
      <c r="P72" s="733">
        <v>0</v>
      </c>
      <c r="Q72" s="733">
        <v>18</v>
      </c>
      <c r="R72" s="733">
        <v>28</v>
      </c>
      <c r="S72" s="733">
        <v>24</v>
      </c>
      <c r="T72" s="733">
        <v>52</v>
      </c>
      <c r="U72" s="733">
        <v>10</v>
      </c>
      <c r="V72" s="733">
        <v>30</v>
      </c>
      <c r="W72" s="733">
        <v>40</v>
      </c>
      <c r="X72" s="733">
        <v>2</v>
      </c>
      <c r="Y72" s="733">
        <v>1</v>
      </c>
      <c r="Z72" s="733">
        <v>3</v>
      </c>
    </row>
    <row r="73" spans="1:26" ht="28">
      <c r="A73" s="251">
        <v>69</v>
      </c>
      <c r="B73" s="136" t="s">
        <v>412</v>
      </c>
      <c r="C73" s="733">
        <v>137</v>
      </c>
      <c r="D73" s="733">
        <v>314</v>
      </c>
      <c r="E73" s="733">
        <v>451</v>
      </c>
      <c r="F73" s="733">
        <v>7</v>
      </c>
      <c r="G73" s="733">
        <v>31</v>
      </c>
      <c r="H73" s="733">
        <v>38</v>
      </c>
      <c r="I73" s="733">
        <v>0</v>
      </c>
      <c r="J73" s="733">
        <v>7</v>
      </c>
      <c r="K73" s="733">
        <v>7</v>
      </c>
      <c r="L73" s="733">
        <v>26</v>
      </c>
      <c r="M73" s="733">
        <v>57</v>
      </c>
      <c r="N73" s="733">
        <v>83</v>
      </c>
      <c r="O73" s="733">
        <v>0</v>
      </c>
      <c r="P73" s="733">
        <v>0</v>
      </c>
      <c r="Q73" s="733">
        <v>0</v>
      </c>
      <c r="R73" s="733">
        <v>10</v>
      </c>
      <c r="S73" s="733">
        <v>13</v>
      </c>
      <c r="T73" s="733">
        <v>23</v>
      </c>
      <c r="U73" s="733">
        <v>5</v>
      </c>
      <c r="V73" s="733">
        <v>16</v>
      </c>
      <c r="W73" s="733">
        <v>21</v>
      </c>
      <c r="X73" s="733">
        <v>1</v>
      </c>
      <c r="Y73" s="733">
        <v>0</v>
      </c>
      <c r="Z73" s="733">
        <v>1</v>
      </c>
    </row>
    <row r="74" spans="1:26" ht="42">
      <c r="A74" s="251">
        <v>70</v>
      </c>
      <c r="B74" s="136" t="s">
        <v>416</v>
      </c>
      <c r="C74" s="733">
        <v>250</v>
      </c>
      <c r="D74" s="733">
        <v>169</v>
      </c>
      <c r="E74" s="733">
        <v>419</v>
      </c>
      <c r="F74" s="733">
        <v>14</v>
      </c>
      <c r="G74" s="733">
        <v>21</v>
      </c>
      <c r="H74" s="733">
        <v>35</v>
      </c>
      <c r="I74" s="733">
        <v>4</v>
      </c>
      <c r="J74" s="733">
        <v>2</v>
      </c>
      <c r="K74" s="733">
        <v>6</v>
      </c>
      <c r="L74" s="733">
        <v>52</v>
      </c>
      <c r="M74" s="733">
        <v>33</v>
      </c>
      <c r="N74" s="733">
        <v>85</v>
      </c>
      <c r="O74" s="733">
        <v>2</v>
      </c>
      <c r="P74" s="733">
        <v>0</v>
      </c>
      <c r="Q74" s="733">
        <v>2</v>
      </c>
      <c r="R74" s="733">
        <v>77</v>
      </c>
      <c r="S74" s="733">
        <v>42</v>
      </c>
      <c r="T74" s="733">
        <v>119</v>
      </c>
      <c r="U74" s="733">
        <v>5</v>
      </c>
      <c r="V74" s="733">
        <v>6</v>
      </c>
      <c r="W74" s="733">
        <v>11</v>
      </c>
      <c r="X74" s="733">
        <v>12</v>
      </c>
      <c r="Y74" s="733">
        <v>2</v>
      </c>
      <c r="Z74" s="733">
        <v>14</v>
      </c>
    </row>
    <row r="75" spans="1:26" ht="42">
      <c r="A75" s="251">
        <v>71</v>
      </c>
      <c r="B75" s="136" t="s">
        <v>423</v>
      </c>
      <c r="C75" s="733">
        <v>179</v>
      </c>
      <c r="D75" s="733">
        <v>225</v>
      </c>
      <c r="E75" s="733">
        <v>404</v>
      </c>
      <c r="F75" s="733">
        <v>12</v>
      </c>
      <c r="G75" s="733">
        <v>25</v>
      </c>
      <c r="H75" s="733">
        <v>37</v>
      </c>
      <c r="I75" s="733">
        <v>4</v>
      </c>
      <c r="J75" s="733">
        <v>3</v>
      </c>
      <c r="K75" s="733">
        <v>7</v>
      </c>
      <c r="L75" s="733">
        <v>18</v>
      </c>
      <c r="M75" s="733">
        <v>37</v>
      </c>
      <c r="N75" s="733">
        <v>55</v>
      </c>
      <c r="O75" s="733">
        <v>1</v>
      </c>
      <c r="P75" s="733">
        <v>0</v>
      </c>
      <c r="Q75" s="733">
        <v>1</v>
      </c>
      <c r="R75" s="733">
        <v>3</v>
      </c>
      <c r="S75" s="733">
        <v>12</v>
      </c>
      <c r="T75" s="733">
        <v>15</v>
      </c>
      <c r="U75" s="733">
        <v>1</v>
      </c>
      <c r="V75" s="733">
        <v>5</v>
      </c>
      <c r="W75" s="733">
        <v>6</v>
      </c>
      <c r="X75" s="733">
        <v>0</v>
      </c>
      <c r="Y75" s="733">
        <v>1</v>
      </c>
      <c r="Z75" s="733">
        <v>1</v>
      </c>
    </row>
    <row r="76" spans="1:26" ht="28">
      <c r="A76" s="251">
        <v>72</v>
      </c>
      <c r="B76" s="136" t="s">
        <v>406</v>
      </c>
      <c r="C76" s="733">
        <v>116</v>
      </c>
      <c r="D76" s="733">
        <v>265</v>
      </c>
      <c r="E76" s="733">
        <v>381</v>
      </c>
      <c r="F76" s="733">
        <v>12</v>
      </c>
      <c r="G76" s="733">
        <v>17</v>
      </c>
      <c r="H76" s="733">
        <v>29</v>
      </c>
      <c r="I76" s="733">
        <v>3</v>
      </c>
      <c r="J76" s="733">
        <v>11</v>
      </c>
      <c r="K76" s="733">
        <v>14</v>
      </c>
      <c r="L76" s="733">
        <v>23</v>
      </c>
      <c r="M76" s="733">
        <v>88</v>
      </c>
      <c r="N76" s="733">
        <v>111</v>
      </c>
      <c r="O76" s="733">
        <v>0</v>
      </c>
      <c r="P76" s="733">
        <v>2</v>
      </c>
      <c r="Q76" s="733">
        <v>2</v>
      </c>
      <c r="R76" s="733">
        <v>0</v>
      </c>
      <c r="S76" s="733">
        <v>7</v>
      </c>
      <c r="T76" s="733">
        <v>7</v>
      </c>
      <c r="U76" s="733">
        <v>0</v>
      </c>
      <c r="V76" s="733">
        <v>33</v>
      </c>
      <c r="W76" s="733">
        <v>33</v>
      </c>
      <c r="X76" s="733">
        <v>4</v>
      </c>
      <c r="Y76" s="733">
        <v>4</v>
      </c>
      <c r="Z76" s="733">
        <v>8</v>
      </c>
    </row>
    <row r="77" spans="1:26" ht="28">
      <c r="A77" s="251">
        <v>73</v>
      </c>
      <c r="B77" s="136" t="s">
        <v>413</v>
      </c>
      <c r="C77" s="733">
        <v>378</v>
      </c>
      <c r="D77" s="733">
        <v>0</v>
      </c>
      <c r="E77" s="733">
        <v>378</v>
      </c>
      <c r="F77" s="733">
        <v>0</v>
      </c>
      <c r="G77" s="733">
        <v>0</v>
      </c>
      <c r="H77" s="733">
        <v>0</v>
      </c>
      <c r="I77" s="733">
        <v>0</v>
      </c>
      <c r="J77" s="733">
        <v>0</v>
      </c>
      <c r="K77" s="733">
        <v>0</v>
      </c>
      <c r="L77" s="733">
        <v>0</v>
      </c>
      <c r="M77" s="733">
        <v>0</v>
      </c>
      <c r="N77" s="733">
        <v>0</v>
      </c>
      <c r="O77" s="733">
        <v>0</v>
      </c>
      <c r="P77" s="733">
        <v>0</v>
      </c>
      <c r="Q77" s="733">
        <v>0</v>
      </c>
      <c r="R77" s="733">
        <v>378</v>
      </c>
      <c r="S77" s="733">
        <v>0</v>
      </c>
      <c r="T77" s="733">
        <v>378</v>
      </c>
      <c r="U77" s="733">
        <v>0</v>
      </c>
      <c r="V77" s="733">
        <v>0</v>
      </c>
      <c r="W77" s="733">
        <v>0</v>
      </c>
      <c r="X77" s="733">
        <v>0</v>
      </c>
      <c r="Y77" s="733">
        <v>0</v>
      </c>
      <c r="Z77" s="733">
        <v>0</v>
      </c>
    </row>
    <row r="78" spans="1:26" ht="56">
      <c r="A78" s="251">
        <v>74</v>
      </c>
      <c r="B78" s="136" t="s">
        <v>408</v>
      </c>
      <c r="C78" s="733">
        <v>180</v>
      </c>
      <c r="D78" s="733">
        <v>105</v>
      </c>
      <c r="E78" s="733">
        <v>285</v>
      </c>
      <c r="F78" s="733">
        <v>21</v>
      </c>
      <c r="G78" s="733">
        <v>7</v>
      </c>
      <c r="H78" s="733">
        <v>28</v>
      </c>
      <c r="I78" s="733">
        <v>13</v>
      </c>
      <c r="J78" s="733">
        <v>4</v>
      </c>
      <c r="K78" s="733">
        <v>17</v>
      </c>
      <c r="L78" s="733">
        <v>69</v>
      </c>
      <c r="M78" s="733">
        <v>30</v>
      </c>
      <c r="N78" s="733">
        <v>99</v>
      </c>
      <c r="O78" s="733">
        <v>0</v>
      </c>
      <c r="P78" s="733">
        <v>0</v>
      </c>
      <c r="Q78" s="733">
        <v>0</v>
      </c>
      <c r="R78" s="733">
        <v>3</v>
      </c>
      <c r="S78" s="733">
        <v>0</v>
      </c>
      <c r="T78" s="733">
        <v>3</v>
      </c>
      <c r="U78" s="733">
        <v>5</v>
      </c>
      <c r="V78" s="733">
        <v>0</v>
      </c>
      <c r="W78" s="733">
        <v>5</v>
      </c>
      <c r="X78" s="733">
        <v>5</v>
      </c>
      <c r="Y78" s="733">
        <v>1</v>
      </c>
      <c r="Z78" s="733">
        <v>6</v>
      </c>
    </row>
    <row r="79" spans="1:26" ht="28">
      <c r="A79" s="251">
        <v>75</v>
      </c>
      <c r="B79" s="136" t="s">
        <v>415</v>
      </c>
      <c r="C79" s="733">
        <v>58</v>
      </c>
      <c r="D79" s="733">
        <v>226</v>
      </c>
      <c r="E79" s="733">
        <v>284</v>
      </c>
      <c r="F79" s="733">
        <v>11</v>
      </c>
      <c r="G79" s="733">
        <v>25</v>
      </c>
      <c r="H79" s="733">
        <v>36</v>
      </c>
      <c r="I79" s="733">
        <v>0</v>
      </c>
      <c r="J79" s="733">
        <v>5</v>
      </c>
      <c r="K79" s="733">
        <v>5</v>
      </c>
      <c r="L79" s="733">
        <v>14</v>
      </c>
      <c r="M79" s="733">
        <v>45</v>
      </c>
      <c r="N79" s="733">
        <v>59</v>
      </c>
      <c r="O79" s="733">
        <v>0</v>
      </c>
      <c r="P79" s="733">
        <v>0</v>
      </c>
      <c r="Q79" s="733">
        <v>0</v>
      </c>
      <c r="R79" s="733">
        <v>4</v>
      </c>
      <c r="S79" s="733">
        <v>0</v>
      </c>
      <c r="T79" s="733">
        <v>4</v>
      </c>
      <c r="U79" s="733">
        <v>1</v>
      </c>
      <c r="V79" s="733">
        <v>19</v>
      </c>
      <c r="W79" s="733">
        <v>20</v>
      </c>
      <c r="X79" s="733">
        <v>1</v>
      </c>
      <c r="Y79" s="733">
        <v>3</v>
      </c>
      <c r="Z79" s="733">
        <v>4</v>
      </c>
    </row>
    <row r="80" spans="1:26" ht="28">
      <c r="A80" s="251">
        <v>76</v>
      </c>
      <c r="B80" s="136" t="s">
        <v>894</v>
      </c>
      <c r="C80" s="733">
        <v>179</v>
      </c>
      <c r="D80" s="733">
        <v>105</v>
      </c>
      <c r="E80" s="733">
        <v>284</v>
      </c>
      <c r="F80" s="733">
        <v>20</v>
      </c>
      <c r="G80" s="733">
        <v>8</v>
      </c>
      <c r="H80" s="733">
        <v>28</v>
      </c>
      <c r="I80" s="733">
        <v>4</v>
      </c>
      <c r="J80" s="733">
        <v>0</v>
      </c>
      <c r="K80" s="733">
        <v>4</v>
      </c>
      <c r="L80" s="733">
        <v>46</v>
      </c>
      <c r="M80" s="733">
        <v>24</v>
      </c>
      <c r="N80" s="733">
        <v>70</v>
      </c>
      <c r="O80" s="733">
        <v>1</v>
      </c>
      <c r="P80" s="733">
        <v>0</v>
      </c>
      <c r="Q80" s="733">
        <v>1</v>
      </c>
      <c r="R80" s="733">
        <v>8</v>
      </c>
      <c r="S80" s="733">
        <v>3</v>
      </c>
      <c r="T80" s="733">
        <v>11</v>
      </c>
      <c r="U80" s="733">
        <v>11</v>
      </c>
      <c r="V80" s="733">
        <v>7</v>
      </c>
      <c r="W80" s="733">
        <v>18</v>
      </c>
      <c r="X80" s="733">
        <v>4</v>
      </c>
      <c r="Y80" s="733">
        <v>4</v>
      </c>
      <c r="Z80" s="733">
        <v>8</v>
      </c>
    </row>
    <row r="81" spans="1:26">
      <c r="A81" s="251">
        <v>77</v>
      </c>
      <c r="B81" s="136" t="s">
        <v>421</v>
      </c>
      <c r="C81" s="733">
        <v>109</v>
      </c>
      <c r="D81" s="733">
        <v>169</v>
      </c>
      <c r="E81" s="733">
        <v>278</v>
      </c>
      <c r="F81" s="733">
        <v>18</v>
      </c>
      <c r="G81" s="733">
        <v>10</v>
      </c>
      <c r="H81" s="733">
        <v>28</v>
      </c>
      <c r="I81" s="733">
        <v>0</v>
      </c>
      <c r="J81" s="733">
        <v>1</v>
      </c>
      <c r="K81" s="733">
        <v>1</v>
      </c>
      <c r="L81" s="733">
        <v>14</v>
      </c>
      <c r="M81" s="733">
        <v>28</v>
      </c>
      <c r="N81" s="733">
        <v>42</v>
      </c>
      <c r="O81" s="733">
        <v>0</v>
      </c>
      <c r="P81" s="733">
        <v>0</v>
      </c>
      <c r="Q81" s="733">
        <v>0</v>
      </c>
      <c r="R81" s="733">
        <v>0</v>
      </c>
      <c r="S81" s="733">
        <v>0</v>
      </c>
      <c r="T81" s="733">
        <v>0</v>
      </c>
      <c r="U81" s="733">
        <v>1</v>
      </c>
      <c r="V81" s="733">
        <v>1</v>
      </c>
      <c r="W81" s="733">
        <v>2</v>
      </c>
      <c r="X81" s="733">
        <v>0</v>
      </c>
      <c r="Y81" s="733">
        <v>2</v>
      </c>
      <c r="Z81" s="733">
        <v>2</v>
      </c>
    </row>
    <row r="82" spans="1:26" ht="28">
      <c r="A82" s="251">
        <v>78</v>
      </c>
      <c r="B82" s="136" t="s">
        <v>419</v>
      </c>
      <c r="C82" s="733">
        <v>49</v>
      </c>
      <c r="D82" s="733">
        <v>186</v>
      </c>
      <c r="E82" s="733">
        <v>235</v>
      </c>
      <c r="F82" s="733">
        <v>10</v>
      </c>
      <c r="G82" s="733">
        <v>25</v>
      </c>
      <c r="H82" s="733">
        <v>35</v>
      </c>
      <c r="I82" s="733">
        <v>0</v>
      </c>
      <c r="J82" s="733">
        <v>0</v>
      </c>
      <c r="K82" s="733">
        <v>0</v>
      </c>
      <c r="L82" s="733">
        <v>29</v>
      </c>
      <c r="M82" s="733">
        <v>78</v>
      </c>
      <c r="N82" s="733">
        <v>107</v>
      </c>
      <c r="O82" s="733">
        <v>0</v>
      </c>
      <c r="P82" s="733">
        <v>0</v>
      </c>
      <c r="Q82" s="733">
        <v>0</v>
      </c>
      <c r="R82" s="733">
        <v>1</v>
      </c>
      <c r="S82" s="733">
        <v>0</v>
      </c>
      <c r="T82" s="733">
        <v>1</v>
      </c>
      <c r="U82" s="733">
        <v>0</v>
      </c>
      <c r="V82" s="733">
        <v>1</v>
      </c>
      <c r="W82" s="733">
        <v>1</v>
      </c>
      <c r="X82" s="733">
        <v>0</v>
      </c>
      <c r="Y82" s="733">
        <v>0</v>
      </c>
      <c r="Z82" s="733">
        <v>0</v>
      </c>
    </row>
    <row r="83" spans="1:26">
      <c r="A83" s="251">
        <v>79</v>
      </c>
      <c r="B83" s="136" t="s">
        <v>895</v>
      </c>
      <c r="C83" s="733">
        <v>117</v>
      </c>
      <c r="D83" s="733">
        <v>97</v>
      </c>
      <c r="E83" s="733">
        <v>214</v>
      </c>
      <c r="F83" s="733">
        <v>43</v>
      </c>
      <c r="G83" s="733">
        <v>19</v>
      </c>
      <c r="H83" s="733">
        <v>62</v>
      </c>
      <c r="I83" s="733">
        <v>0</v>
      </c>
      <c r="J83" s="733">
        <v>4</v>
      </c>
      <c r="K83" s="733">
        <v>4</v>
      </c>
      <c r="L83" s="733">
        <v>45</v>
      </c>
      <c r="M83" s="733">
        <v>35</v>
      </c>
      <c r="N83" s="733">
        <v>80</v>
      </c>
      <c r="O83" s="733">
        <v>0</v>
      </c>
      <c r="P83" s="733">
        <v>0</v>
      </c>
      <c r="Q83" s="733">
        <v>0</v>
      </c>
      <c r="R83" s="733">
        <v>2</v>
      </c>
      <c r="S83" s="733">
        <v>1</v>
      </c>
      <c r="T83" s="733">
        <v>3</v>
      </c>
      <c r="U83" s="733">
        <v>2</v>
      </c>
      <c r="V83" s="733">
        <v>3</v>
      </c>
      <c r="W83" s="733">
        <v>5</v>
      </c>
      <c r="X83" s="733">
        <v>0</v>
      </c>
      <c r="Y83" s="733">
        <v>0</v>
      </c>
      <c r="Z83" s="733">
        <v>0</v>
      </c>
    </row>
    <row r="84" spans="1:26" ht="42">
      <c r="A84" s="251">
        <v>80</v>
      </c>
      <c r="B84" s="136" t="s">
        <v>426</v>
      </c>
      <c r="C84" s="733">
        <v>76</v>
      </c>
      <c r="D84" s="733">
        <v>114</v>
      </c>
      <c r="E84" s="733">
        <v>190</v>
      </c>
      <c r="F84" s="733">
        <v>16</v>
      </c>
      <c r="G84" s="733">
        <v>11</v>
      </c>
      <c r="H84" s="733">
        <v>27</v>
      </c>
      <c r="I84" s="733">
        <v>6</v>
      </c>
      <c r="J84" s="733">
        <v>5</v>
      </c>
      <c r="K84" s="733">
        <v>11</v>
      </c>
      <c r="L84" s="733">
        <v>38</v>
      </c>
      <c r="M84" s="733">
        <v>72</v>
      </c>
      <c r="N84" s="733">
        <v>110</v>
      </c>
      <c r="O84" s="733">
        <v>0</v>
      </c>
      <c r="P84" s="733">
        <v>0</v>
      </c>
      <c r="Q84" s="733">
        <v>0</v>
      </c>
      <c r="R84" s="733">
        <v>4</v>
      </c>
      <c r="S84" s="733">
        <v>4</v>
      </c>
      <c r="T84" s="733">
        <v>8</v>
      </c>
      <c r="U84" s="733">
        <v>4</v>
      </c>
      <c r="V84" s="733">
        <v>8</v>
      </c>
      <c r="W84" s="733">
        <v>12</v>
      </c>
      <c r="X84" s="733">
        <v>0</v>
      </c>
      <c r="Y84" s="733">
        <v>0</v>
      </c>
      <c r="Z84" s="733">
        <v>0</v>
      </c>
    </row>
    <row r="85" spans="1:26">
      <c r="A85" s="251">
        <v>81</v>
      </c>
      <c r="B85" s="136" t="s">
        <v>420</v>
      </c>
      <c r="C85" s="733">
        <v>94</v>
      </c>
      <c r="D85" s="733">
        <v>93</v>
      </c>
      <c r="E85" s="733">
        <v>187</v>
      </c>
      <c r="F85" s="733">
        <v>13</v>
      </c>
      <c r="G85" s="733">
        <v>7</v>
      </c>
      <c r="H85" s="733">
        <v>20</v>
      </c>
      <c r="I85" s="733">
        <v>1</v>
      </c>
      <c r="J85" s="733">
        <v>0</v>
      </c>
      <c r="K85" s="733">
        <v>1</v>
      </c>
      <c r="L85" s="733">
        <v>14</v>
      </c>
      <c r="M85" s="733">
        <v>11</v>
      </c>
      <c r="N85" s="733">
        <v>25</v>
      </c>
      <c r="O85" s="733">
        <v>0</v>
      </c>
      <c r="P85" s="733">
        <v>0</v>
      </c>
      <c r="Q85" s="733">
        <v>0</v>
      </c>
      <c r="R85" s="733">
        <v>1</v>
      </c>
      <c r="S85" s="733">
        <v>3</v>
      </c>
      <c r="T85" s="733">
        <v>4</v>
      </c>
      <c r="U85" s="733">
        <v>1</v>
      </c>
      <c r="V85" s="733">
        <v>3</v>
      </c>
      <c r="W85" s="733">
        <v>4</v>
      </c>
      <c r="X85" s="733">
        <v>0</v>
      </c>
      <c r="Y85" s="733">
        <v>0</v>
      </c>
      <c r="Z85" s="733">
        <v>0</v>
      </c>
    </row>
    <row r="86" spans="1:26" ht="28">
      <c r="A86" s="251">
        <v>82</v>
      </c>
      <c r="B86" s="136" t="s">
        <v>896</v>
      </c>
      <c r="C86" s="733">
        <v>38</v>
      </c>
      <c r="D86" s="733">
        <v>131</v>
      </c>
      <c r="E86" s="733">
        <v>169</v>
      </c>
      <c r="F86" s="733">
        <v>5</v>
      </c>
      <c r="G86" s="733">
        <v>6</v>
      </c>
      <c r="H86" s="733">
        <v>11</v>
      </c>
      <c r="I86" s="733">
        <v>2</v>
      </c>
      <c r="J86" s="733">
        <v>3</v>
      </c>
      <c r="K86" s="733">
        <v>5</v>
      </c>
      <c r="L86" s="733">
        <v>2</v>
      </c>
      <c r="M86" s="733">
        <v>21</v>
      </c>
      <c r="N86" s="733">
        <v>23</v>
      </c>
      <c r="O86" s="733">
        <v>0</v>
      </c>
      <c r="P86" s="733">
        <v>0</v>
      </c>
      <c r="Q86" s="733">
        <v>0</v>
      </c>
      <c r="R86" s="733">
        <v>2</v>
      </c>
      <c r="S86" s="733">
        <v>4</v>
      </c>
      <c r="T86" s="733">
        <v>6</v>
      </c>
      <c r="U86" s="733">
        <v>1</v>
      </c>
      <c r="V86" s="733">
        <v>15</v>
      </c>
      <c r="W86" s="733">
        <v>16</v>
      </c>
      <c r="X86" s="733">
        <v>2</v>
      </c>
      <c r="Y86" s="733">
        <v>0</v>
      </c>
      <c r="Z86" s="733">
        <v>2</v>
      </c>
    </row>
    <row r="87" spans="1:26" ht="42">
      <c r="A87" s="251">
        <v>83</v>
      </c>
      <c r="B87" s="136" t="s">
        <v>414</v>
      </c>
      <c r="C87" s="733">
        <v>32</v>
      </c>
      <c r="D87" s="733">
        <v>109</v>
      </c>
      <c r="E87" s="733">
        <v>141</v>
      </c>
      <c r="F87" s="733">
        <v>1</v>
      </c>
      <c r="G87" s="733">
        <v>3</v>
      </c>
      <c r="H87" s="733">
        <v>4</v>
      </c>
      <c r="I87" s="733">
        <v>0</v>
      </c>
      <c r="J87" s="733">
        <v>2</v>
      </c>
      <c r="K87" s="733">
        <v>2</v>
      </c>
      <c r="L87" s="733">
        <v>13</v>
      </c>
      <c r="M87" s="733">
        <v>46</v>
      </c>
      <c r="N87" s="733">
        <v>59</v>
      </c>
      <c r="O87" s="733">
        <v>0</v>
      </c>
      <c r="P87" s="733">
        <v>0</v>
      </c>
      <c r="Q87" s="733">
        <v>0</v>
      </c>
      <c r="R87" s="733">
        <v>4</v>
      </c>
      <c r="S87" s="733">
        <v>10</v>
      </c>
      <c r="T87" s="733">
        <v>14</v>
      </c>
      <c r="U87" s="733">
        <v>2</v>
      </c>
      <c r="V87" s="733">
        <v>0</v>
      </c>
      <c r="W87" s="733">
        <v>2</v>
      </c>
      <c r="X87" s="733">
        <v>0</v>
      </c>
      <c r="Y87" s="733">
        <v>5</v>
      </c>
      <c r="Z87" s="733">
        <v>5</v>
      </c>
    </row>
    <row r="88" spans="1:26" ht="28">
      <c r="A88" s="251">
        <v>84</v>
      </c>
      <c r="B88" s="136" t="s">
        <v>405</v>
      </c>
      <c r="C88" s="733">
        <v>86</v>
      </c>
      <c r="D88" s="733">
        <v>41</v>
      </c>
      <c r="E88" s="733">
        <v>127</v>
      </c>
      <c r="F88" s="733">
        <v>12</v>
      </c>
      <c r="G88" s="733">
        <v>4</v>
      </c>
      <c r="H88" s="733">
        <v>16</v>
      </c>
      <c r="I88" s="733">
        <v>3</v>
      </c>
      <c r="J88" s="733">
        <v>2</v>
      </c>
      <c r="K88" s="733">
        <v>5</v>
      </c>
      <c r="L88" s="733">
        <v>25</v>
      </c>
      <c r="M88" s="733">
        <v>6</v>
      </c>
      <c r="N88" s="733">
        <v>31</v>
      </c>
      <c r="O88" s="733">
        <v>1</v>
      </c>
      <c r="P88" s="733">
        <v>0</v>
      </c>
      <c r="Q88" s="733">
        <v>1</v>
      </c>
      <c r="R88" s="733">
        <v>12</v>
      </c>
      <c r="S88" s="733">
        <v>0</v>
      </c>
      <c r="T88" s="733">
        <v>12</v>
      </c>
      <c r="U88" s="733">
        <v>1</v>
      </c>
      <c r="V88" s="733">
        <v>4</v>
      </c>
      <c r="W88" s="733">
        <v>5</v>
      </c>
      <c r="X88" s="733">
        <v>4</v>
      </c>
      <c r="Y88" s="733">
        <v>2</v>
      </c>
      <c r="Z88" s="733">
        <v>6</v>
      </c>
    </row>
    <row r="89" spans="1:26" ht="30" customHeight="1">
      <c r="A89" s="251">
        <v>85</v>
      </c>
      <c r="B89" s="136" t="s">
        <v>422</v>
      </c>
      <c r="C89" s="733">
        <v>41</v>
      </c>
      <c r="D89" s="733">
        <v>63</v>
      </c>
      <c r="E89" s="733">
        <v>104</v>
      </c>
      <c r="F89" s="733">
        <v>7</v>
      </c>
      <c r="G89" s="733">
        <v>5</v>
      </c>
      <c r="H89" s="733">
        <v>12</v>
      </c>
      <c r="I89" s="733">
        <v>0</v>
      </c>
      <c r="J89" s="733">
        <v>0</v>
      </c>
      <c r="K89" s="733">
        <v>0</v>
      </c>
      <c r="L89" s="733">
        <v>12</v>
      </c>
      <c r="M89" s="733">
        <v>15</v>
      </c>
      <c r="N89" s="733">
        <v>27</v>
      </c>
      <c r="O89" s="733">
        <v>0</v>
      </c>
      <c r="P89" s="733">
        <v>0</v>
      </c>
      <c r="Q89" s="733">
        <v>0</v>
      </c>
      <c r="R89" s="733">
        <v>2</v>
      </c>
      <c r="S89" s="733">
        <v>4</v>
      </c>
      <c r="T89" s="733">
        <v>6</v>
      </c>
      <c r="U89" s="733">
        <v>0</v>
      </c>
      <c r="V89" s="733">
        <v>1</v>
      </c>
      <c r="W89" s="733">
        <v>1</v>
      </c>
      <c r="X89" s="733">
        <v>0</v>
      </c>
      <c r="Y89" s="733">
        <v>0</v>
      </c>
      <c r="Z89" s="733">
        <v>0</v>
      </c>
    </row>
    <row r="90" spans="1:26" ht="28">
      <c r="A90" s="251">
        <v>86</v>
      </c>
      <c r="B90" s="136" t="s">
        <v>418</v>
      </c>
      <c r="C90" s="733">
        <v>14</v>
      </c>
      <c r="D90" s="733">
        <v>74</v>
      </c>
      <c r="E90" s="733">
        <v>88</v>
      </c>
      <c r="F90" s="733">
        <v>2</v>
      </c>
      <c r="G90" s="733">
        <v>8</v>
      </c>
      <c r="H90" s="733">
        <v>10</v>
      </c>
      <c r="I90" s="733">
        <v>1</v>
      </c>
      <c r="J90" s="733">
        <v>12</v>
      </c>
      <c r="K90" s="733">
        <v>13</v>
      </c>
      <c r="L90" s="733">
        <v>4</v>
      </c>
      <c r="M90" s="733">
        <v>18</v>
      </c>
      <c r="N90" s="733">
        <v>22</v>
      </c>
      <c r="O90" s="733">
        <v>0</v>
      </c>
      <c r="P90" s="733">
        <v>0</v>
      </c>
      <c r="Q90" s="733">
        <v>0</v>
      </c>
      <c r="R90" s="733">
        <v>0</v>
      </c>
      <c r="S90" s="733">
        <v>0</v>
      </c>
      <c r="T90" s="733">
        <v>0</v>
      </c>
      <c r="U90" s="733">
        <v>0</v>
      </c>
      <c r="V90" s="733">
        <v>0</v>
      </c>
      <c r="W90" s="733">
        <v>0</v>
      </c>
      <c r="X90" s="733">
        <v>0</v>
      </c>
      <c r="Y90" s="733">
        <v>0</v>
      </c>
      <c r="Z90" s="733">
        <v>0</v>
      </c>
    </row>
    <row r="91" spans="1:26" ht="42">
      <c r="A91" s="251">
        <v>87</v>
      </c>
      <c r="B91" s="136" t="s">
        <v>425</v>
      </c>
      <c r="C91" s="733">
        <v>22</v>
      </c>
      <c r="D91" s="733">
        <v>16</v>
      </c>
      <c r="E91" s="733">
        <v>38</v>
      </c>
      <c r="F91" s="733">
        <v>0</v>
      </c>
      <c r="G91" s="733">
        <v>1</v>
      </c>
      <c r="H91" s="733">
        <v>1</v>
      </c>
      <c r="I91" s="733">
        <v>0</v>
      </c>
      <c r="J91" s="733">
        <v>0</v>
      </c>
      <c r="K91" s="733">
        <v>0</v>
      </c>
      <c r="L91" s="733">
        <v>3</v>
      </c>
      <c r="M91" s="733">
        <v>1</v>
      </c>
      <c r="N91" s="733">
        <v>4</v>
      </c>
      <c r="O91" s="733">
        <v>0</v>
      </c>
      <c r="P91" s="733">
        <v>0</v>
      </c>
      <c r="Q91" s="733">
        <v>0</v>
      </c>
      <c r="R91" s="733">
        <v>0</v>
      </c>
      <c r="S91" s="733">
        <v>0</v>
      </c>
      <c r="T91" s="733">
        <v>0</v>
      </c>
      <c r="U91" s="733">
        <v>0</v>
      </c>
      <c r="V91" s="733">
        <v>0</v>
      </c>
      <c r="W91" s="733">
        <v>0</v>
      </c>
      <c r="X91" s="733">
        <v>0</v>
      </c>
      <c r="Y91" s="733">
        <v>0</v>
      </c>
      <c r="Z91" s="733">
        <v>0</v>
      </c>
    </row>
    <row r="92" spans="1:26" ht="14.25" customHeight="1">
      <c r="A92" s="251">
        <v>88</v>
      </c>
      <c r="B92" s="136" t="s">
        <v>424</v>
      </c>
      <c r="C92" s="733">
        <v>2</v>
      </c>
      <c r="D92" s="733">
        <v>0</v>
      </c>
      <c r="E92" s="733">
        <v>2</v>
      </c>
      <c r="F92" s="733">
        <v>0</v>
      </c>
      <c r="G92" s="733">
        <v>0</v>
      </c>
      <c r="H92" s="733">
        <v>0</v>
      </c>
      <c r="I92" s="733">
        <v>0</v>
      </c>
      <c r="J92" s="733">
        <v>0</v>
      </c>
      <c r="K92" s="733">
        <v>0</v>
      </c>
      <c r="L92" s="733">
        <v>2</v>
      </c>
      <c r="M92" s="733">
        <v>0</v>
      </c>
      <c r="N92" s="733">
        <v>2</v>
      </c>
      <c r="O92" s="733">
        <v>0</v>
      </c>
      <c r="P92" s="733">
        <v>0</v>
      </c>
      <c r="Q92" s="733">
        <v>0</v>
      </c>
      <c r="R92" s="733">
        <v>0</v>
      </c>
      <c r="S92" s="733">
        <v>0</v>
      </c>
      <c r="T92" s="733">
        <v>0</v>
      </c>
      <c r="U92" s="733">
        <v>0</v>
      </c>
      <c r="V92" s="733">
        <v>0</v>
      </c>
      <c r="W92" s="733">
        <v>0</v>
      </c>
      <c r="X92" s="733">
        <v>0</v>
      </c>
      <c r="Y92" s="733">
        <v>0</v>
      </c>
      <c r="Z92" s="733">
        <v>0</v>
      </c>
    </row>
    <row r="93" spans="1:26">
      <c r="A93" s="251">
        <v>89</v>
      </c>
      <c r="B93" s="136" t="s">
        <v>427</v>
      </c>
      <c r="C93" s="733">
        <v>4992607</v>
      </c>
      <c r="D93" s="733">
        <v>5420376</v>
      </c>
      <c r="E93" s="733">
        <v>10412983</v>
      </c>
      <c r="F93" s="733">
        <v>899596</v>
      </c>
      <c r="G93" s="733">
        <v>941697</v>
      </c>
      <c r="H93" s="733">
        <v>1841293</v>
      </c>
      <c r="I93" s="733">
        <v>399321</v>
      </c>
      <c r="J93" s="733">
        <v>410928</v>
      </c>
      <c r="K93" s="733">
        <v>810249</v>
      </c>
      <c r="L93" s="733">
        <v>1779613</v>
      </c>
      <c r="M93" s="733">
        <v>1960606</v>
      </c>
      <c r="N93" s="733">
        <v>3740219</v>
      </c>
      <c r="O93" s="733">
        <v>12931</v>
      </c>
      <c r="P93" s="733">
        <v>8676</v>
      </c>
      <c r="Q93" s="733">
        <v>21607</v>
      </c>
      <c r="R93" s="733">
        <v>210619</v>
      </c>
      <c r="S93" s="733">
        <v>313152</v>
      </c>
      <c r="T93" s="733">
        <v>523771</v>
      </c>
      <c r="U93" s="733">
        <v>61728</v>
      </c>
      <c r="V93" s="733">
        <v>78603</v>
      </c>
      <c r="W93" s="733">
        <v>140331</v>
      </c>
      <c r="X93" s="733">
        <v>37960</v>
      </c>
      <c r="Y93" s="733">
        <v>46985</v>
      </c>
      <c r="Z93" s="733">
        <v>84945</v>
      </c>
    </row>
    <row r="94" spans="1:26">
      <c r="A94" s="251">
        <v>90</v>
      </c>
      <c r="B94" s="136" t="s">
        <v>428</v>
      </c>
      <c r="C94" s="733">
        <v>2341226</v>
      </c>
      <c r="D94" s="733">
        <v>2571438</v>
      </c>
      <c r="E94" s="733">
        <v>4912664</v>
      </c>
      <c r="F94" s="733">
        <v>340557</v>
      </c>
      <c r="G94" s="733">
        <v>357047</v>
      </c>
      <c r="H94" s="733">
        <v>697604</v>
      </c>
      <c r="I94" s="733">
        <v>122241</v>
      </c>
      <c r="J94" s="733">
        <v>131704</v>
      </c>
      <c r="K94" s="733">
        <v>253945</v>
      </c>
      <c r="L94" s="733">
        <v>973002</v>
      </c>
      <c r="M94" s="733">
        <v>1136554</v>
      </c>
      <c r="N94" s="733">
        <v>2109556</v>
      </c>
      <c r="O94" s="733">
        <v>2521</v>
      </c>
      <c r="P94" s="733">
        <v>2293</v>
      </c>
      <c r="Q94" s="733">
        <v>4814</v>
      </c>
      <c r="R94" s="733">
        <v>89352</v>
      </c>
      <c r="S94" s="733">
        <v>122274</v>
      </c>
      <c r="T94" s="733">
        <v>211626</v>
      </c>
      <c r="U94" s="733">
        <v>36358</v>
      </c>
      <c r="V94" s="733">
        <v>55417</v>
      </c>
      <c r="W94" s="733">
        <v>91775</v>
      </c>
      <c r="X94" s="733">
        <v>24591</v>
      </c>
      <c r="Y94" s="733">
        <v>28650</v>
      </c>
      <c r="Z94" s="733">
        <v>53241</v>
      </c>
    </row>
    <row r="95" spans="1:26" ht="14.25" customHeight="1">
      <c r="A95" s="251">
        <v>91</v>
      </c>
      <c r="B95" s="136" t="s">
        <v>429</v>
      </c>
      <c r="C95" s="733">
        <v>2226693</v>
      </c>
      <c r="D95" s="733">
        <v>2096193</v>
      </c>
      <c r="E95" s="733">
        <v>4322886</v>
      </c>
      <c r="F95" s="733">
        <v>256157</v>
      </c>
      <c r="G95" s="733">
        <v>246707</v>
      </c>
      <c r="H95" s="733">
        <v>502864</v>
      </c>
      <c r="I95" s="733">
        <v>80520</v>
      </c>
      <c r="J95" s="733">
        <v>70672</v>
      </c>
      <c r="K95" s="733">
        <v>151192</v>
      </c>
      <c r="L95" s="733">
        <v>818942</v>
      </c>
      <c r="M95" s="733">
        <v>831169</v>
      </c>
      <c r="N95" s="733">
        <v>1650111</v>
      </c>
      <c r="O95" s="733">
        <v>4273</v>
      </c>
      <c r="P95" s="733">
        <v>2627</v>
      </c>
      <c r="Q95" s="733">
        <v>6900</v>
      </c>
      <c r="R95" s="733">
        <v>120672</v>
      </c>
      <c r="S95" s="733">
        <v>103064</v>
      </c>
      <c r="T95" s="733">
        <v>223736</v>
      </c>
      <c r="U95" s="733">
        <v>54419</v>
      </c>
      <c r="V95" s="733">
        <v>61069</v>
      </c>
      <c r="W95" s="733">
        <v>115488</v>
      </c>
      <c r="X95" s="733">
        <v>24385</v>
      </c>
      <c r="Y95" s="733">
        <v>25568</v>
      </c>
      <c r="Z95" s="733">
        <v>49953</v>
      </c>
    </row>
    <row r="96" spans="1:26" ht="14.25" customHeight="1">
      <c r="A96" s="251">
        <v>92</v>
      </c>
      <c r="B96" s="136" t="s">
        <v>430</v>
      </c>
      <c r="C96" s="733">
        <v>1654260</v>
      </c>
      <c r="D96" s="733">
        <v>666565</v>
      </c>
      <c r="E96" s="733">
        <v>2320825</v>
      </c>
      <c r="F96" s="733">
        <v>166114</v>
      </c>
      <c r="G96" s="733">
        <v>68992</v>
      </c>
      <c r="H96" s="733">
        <v>235106</v>
      </c>
      <c r="I96" s="733">
        <v>56841</v>
      </c>
      <c r="J96" s="733">
        <v>20769</v>
      </c>
      <c r="K96" s="733">
        <v>77610</v>
      </c>
      <c r="L96" s="733">
        <v>515229</v>
      </c>
      <c r="M96" s="733">
        <v>223129</v>
      </c>
      <c r="N96" s="733">
        <v>738358</v>
      </c>
      <c r="O96" s="733">
        <v>3543</v>
      </c>
      <c r="P96" s="733">
        <v>839</v>
      </c>
      <c r="Q96" s="733">
        <v>4382</v>
      </c>
      <c r="R96" s="733">
        <v>67584</v>
      </c>
      <c r="S96" s="733">
        <v>20482</v>
      </c>
      <c r="T96" s="733">
        <v>88066</v>
      </c>
      <c r="U96" s="733">
        <v>40568</v>
      </c>
      <c r="V96" s="733">
        <v>16884</v>
      </c>
      <c r="W96" s="733">
        <v>57452</v>
      </c>
      <c r="X96" s="733">
        <v>31855</v>
      </c>
      <c r="Y96" s="733">
        <v>12513</v>
      </c>
      <c r="Z96" s="733">
        <v>44368</v>
      </c>
    </row>
    <row r="97" spans="1:26" ht="28">
      <c r="A97" s="251">
        <v>93</v>
      </c>
      <c r="B97" s="136" t="s">
        <v>431</v>
      </c>
      <c r="C97" s="733">
        <v>785357</v>
      </c>
      <c r="D97" s="733">
        <v>956168</v>
      </c>
      <c r="E97" s="733">
        <v>1741525</v>
      </c>
      <c r="F97" s="733">
        <v>102977</v>
      </c>
      <c r="G97" s="733">
        <v>114164</v>
      </c>
      <c r="H97" s="733">
        <v>217141</v>
      </c>
      <c r="I97" s="733">
        <v>83166</v>
      </c>
      <c r="J97" s="733">
        <v>96956</v>
      </c>
      <c r="K97" s="733">
        <v>180122</v>
      </c>
      <c r="L97" s="733">
        <v>277142</v>
      </c>
      <c r="M97" s="733">
        <v>309522</v>
      </c>
      <c r="N97" s="733">
        <v>586664</v>
      </c>
      <c r="O97" s="733">
        <v>3130</v>
      </c>
      <c r="P97" s="733">
        <v>2440</v>
      </c>
      <c r="Q97" s="733">
        <v>5570</v>
      </c>
      <c r="R97" s="733">
        <v>54818</v>
      </c>
      <c r="S97" s="733">
        <v>75468</v>
      </c>
      <c r="T97" s="733">
        <v>130286</v>
      </c>
      <c r="U97" s="733">
        <v>15682</v>
      </c>
      <c r="V97" s="733">
        <v>20881</v>
      </c>
      <c r="W97" s="733">
        <v>36563</v>
      </c>
      <c r="X97" s="733">
        <v>8969</v>
      </c>
      <c r="Y97" s="733">
        <v>9850</v>
      </c>
      <c r="Z97" s="733">
        <v>18819</v>
      </c>
    </row>
    <row r="98" spans="1:26">
      <c r="A98" s="251">
        <v>94</v>
      </c>
      <c r="B98" s="136" t="s">
        <v>433</v>
      </c>
      <c r="C98" s="733">
        <v>509444</v>
      </c>
      <c r="D98" s="733">
        <v>928883</v>
      </c>
      <c r="E98" s="733">
        <v>1438327</v>
      </c>
      <c r="F98" s="733">
        <v>98852</v>
      </c>
      <c r="G98" s="733">
        <v>147575</v>
      </c>
      <c r="H98" s="733">
        <v>246427</v>
      </c>
      <c r="I98" s="733">
        <v>37701</v>
      </c>
      <c r="J98" s="733">
        <v>56351</v>
      </c>
      <c r="K98" s="733">
        <v>94052</v>
      </c>
      <c r="L98" s="733">
        <v>179677</v>
      </c>
      <c r="M98" s="733">
        <v>317504</v>
      </c>
      <c r="N98" s="733">
        <v>497181</v>
      </c>
      <c r="O98" s="733">
        <v>1495</v>
      </c>
      <c r="P98" s="733">
        <v>1257</v>
      </c>
      <c r="Q98" s="733">
        <v>2752</v>
      </c>
      <c r="R98" s="733">
        <v>20920</v>
      </c>
      <c r="S98" s="733">
        <v>38937</v>
      </c>
      <c r="T98" s="733">
        <v>59857</v>
      </c>
      <c r="U98" s="733">
        <v>5567</v>
      </c>
      <c r="V98" s="733">
        <v>21425</v>
      </c>
      <c r="W98" s="733">
        <v>26992</v>
      </c>
      <c r="X98" s="733">
        <v>7658</v>
      </c>
      <c r="Y98" s="733">
        <v>11369</v>
      </c>
      <c r="Z98" s="733">
        <v>19027</v>
      </c>
    </row>
    <row r="99" spans="1:26">
      <c r="A99" s="251">
        <v>95</v>
      </c>
      <c r="B99" s="136" t="s">
        <v>432</v>
      </c>
      <c r="C99" s="733">
        <v>960510</v>
      </c>
      <c r="D99" s="733">
        <v>382350</v>
      </c>
      <c r="E99" s="733">
        <v>1342860</v>
      </c>
      <c r="F99" s="733">
        <v>102388</v>
      </c>
      <c r="G99" s="733">
        <v>52494</v>
      </c>
      <c r="H99" s="733">
        <v>154882</v>
      </c>
      <c r="I99" s="733">
        <v>24142</v>
      </c>
      <c r="J99" s="733">
        <v>10048</v>
      </c>
      <c r="K99" s="733">
        <v>34190</v>
      </c>
      <c r="L99" s="733">
        <v>410830</v>
      </c>
      <c r="M99" s="733">
        <v>175606</v>
      </c>
      <c r="N99" s="733">
        <v>586436</v>
      </c>
      <c r="O99" s="733">
        <v>751</v>
      </c>
      <c r="P99" s="733">
        <v>200</v>
      </c>
      <c r="Q99" s="733">
        <v>951</v>
      </c>
      <c r="R99" s="733">
        <v>45946</v>
      </c>
      <c r="S99" s="733">
        <v>10325</v>
      </c>
      <c r="T99" s="733">
        <v>56271</v>
      </c>
      <c r="U99" s="733">
        <v>23943</v>
      </c>
      <c r="V99" s="733">
        <v>10222</v>
      </c>
      <c r="W99" s="733">
        <v>34165</v>
      </c>
      <c r="X99" s="733">
        <v>16134</v>
      </c>
      <c r="Y99" s="733">
        <v>5592</v>
      </c>
      <c r="Z99" s="733">
        <v>21726</v>
      </c>
    </row>
    <row r="100" spans="1:26" ht="28">
      <c r="A100" s="251">
        <v>96</v>
      </c>
      <c r="B100" s="136" t="s">
        <v>435</v>
      </c>
      <c r="C100" s="733">
        <v>392536</v>
      </c>
      <c r="D100" s="733">
        <v>244141</v>
      </c>
      <c r="E100" s="733">
        <v>636677</v>
      </c>
      <c r="F100" s="733">
        <v>32386</v>
      </c>
      <c r="G100" s="733">
        <v>24514</v>
      </c>
      <c r="H100" s="733">
        <v>56900</v>
      </c>
      <c r="I100" s="733">
        <v>7924</v>
      </c>
      <c r="J100" s="733">
        <v>5097</v>
      </c>
      <c r="K100" s="733">
        <v>13021</v>
      </c>
      <c r="L100" s="733">
        <v>122870</v>
      </c>
      <c r="M100" s="733">
        <v>80773</v>
      </c>
      <c r="N100" s="733">
        <v>203643</v>
      </c>
      <c r="O100" s="733">
        <v>420</v>
      </c>
      <c r="P100" s="733">
        <v>190</v>
      </c>
      <c r="Q100" s="733">
        <v>610</v>
      </c>
      <c r="R100" s="733">
        <v>27165</v>
      </c>
      <c r="S100" s="733">
        <v>14229</v>
      </c>
      <c r="T100" s="733">
        <v>41394</v>
      </c>
      <c r="U100" s="733">
        <v>14304</v>
      </c>
      <c r="V100" s="733">
        <v>9702</v>
      </c>
      <c r="W100" s="733">
        <v>24006</v>
      </c>
      <c r="X100" s="733">
        <v>4430</v>
      </c>
      <c r="Y100" s="733">
        <v>3148</v>
      </c>
      <c r="Z100" s="733">
        <v>7578</v>
      </c>
    </row>
    <row r="101" spans="1:26" ht="28">
      <c r="A101" s="251">
        <v>97</v>
      </c>
      <c r="B101" s="136" t="s">
        <v>434</v>
      </c>
      <c r="C101" s="733">
        <v>321703</v>
      </c>
      <c r="D101" s="733">
        <v>265510</v>
      </c>
      <c r="E101" s="733">
        <v>587213</v>
      </c>
      <c r="F101" s="733">
        <v>39184</v>
      </c>
      <c r="G101" s="733">
        <v>27622</v>
      </c>
      <c r="H101" s="733">
        <v>66806</v>
      </c>
      <c r="I101" s="733">
        <v>18709</v>
      </c>
      <c r="J101" s="733">
        <v>16187</v>
      </c>
      <c r="K101" s="733">
        <v>34896</v>
      </c>
      <c r="L101" s="733">
        <v>115374</v>
      </c>
      <c r="M101" s="733">
        <v>86784</v>
      </c>
      <c r="N101" s="733">
        <v>202158</v>
      </c>
      <c r="O101" s="733">
        <v>423</v>
      </c>
      <c r="P101" s="733">
        <v>246</v>
      </c>
      <c r="Q101" s="733">
        <v>669</v>
      </c>
      <c r="R101" s="733">
        <v>15735</v>
      </c>
      <c r="S101" s="733">
        <v>12919</v>
      </c>
      <c r="T101" s="733">
        <v>28654</v>
      </c>
      <c r="U101" s="733">
        <v>3719</v>
      </c>
      <c r="V101" s="733">
        <v>4854</v>
      </c>
      <c r="W101" s="733">
        <v>8573</v>
      </c>
      <c r="X101" s="733">
        <v>3787</v>
      </c>
      <c r="Y101" s="733">
        <v>2990</v>
      </c>
      <c r="Z101" s="733">
        <v>6777</v>
      </c>
    </row>
    <row r="102" spans="1:26" ht="28">
      <c r="A102" s="251">
        <v>98</v>
      </c>
      <c r="B102" s="136" t="s">
        <v>436</v>
      </c>
      <c r="C102" s="733">
        <v>345014</v>
      </c>
      <c r="D102" s="733">
        <v>204315</v>
      </c>
      <c r="E102" s="733">
        <v>549329</v>
      </c>
      <c r="F102" s="733">
        <v>40997</v>
      </c>
      <c r="G102" s="733">
        <v>27364</v>
      </c>
      <c r="H102" s="733">
        <v>68361</v>
      </c>
      <c r="I102" s="733">
        <v>10086</v>
      </c>
      <c r="J102" s="733">
        <v>5482</v>
      </c>
      <c r="K102" s="733">
        <v>15568</v>
      </c>
      <c r="L102" s="733">
        <v>119729</v>
      </c>
      <c r="M102" s="733">
        <v>78331</v>
      </c>
      <c r="N102" s="733">
        <v>198060</v>
      </c>
      <c r="O102" s="733">
        <v>452</v>
      </c>
      <c r="P102" s="733">
        <v>158</v>
      </c>
      <c r="Q102" s="733">
        <v>610</v>
      </c>
      <c r="R102" s="733">
        <v>17365</v>
      </c>
      <c r="S102" s="733">
        <v>8163</v>
      </c>
      <c r="T102" s="733">
        <v>25528</v>
      </c>
      <c r="U102" s="733">
        <v>10334</v>
      </c>
      <c r="V102" s="733">
        <v>7854</v>
      </c>
      <c r="W102" s="733">
        <v>18188</v>
      </c>
      <c r="X102" s="733">
        <v>3824</v>
      </c>
      <c r="Y102" s="733">
        <v>2503</v>
      </c>
      <c r="Z102" s="733">
        <v>6327</v>
      </c>
    </row>
    <row r="103" spans="1:26">
      <c r="A103" s="251">
        <v>99</v>
      </c>
      <c r="B103" s="136" t="s">
        <v>437</v>
      </c>
      <c r="C103" s="733">
        <v>276801</v>
      </c>
      <c r="D103" s="733">
        <v>136299</v>
      </c>
      <c r="E103" s="733">
        <v>413100</v>
      </c>
      <c r="F103" s="733">
        <v>35926</v>
      </c>
      <c r="G103" s="733">
        <v>17163</v>
      </c>
      <c r="H103" s="733">
        <v>53089</v>
      </c>
      <c r="I103" s="733">
        <v>9187</v>
      </c>
      <c r="J103" s="733">
        <v>5276</v>
      </c>
      <c r="K103" s="733">
        <v>14463</v>
      </c>
      <c r="L103" s="733">
        <v>78719</v>
      </c>
      <c r="M103" s="733">
        <v>33775</v>
      </c>
      <c r="N103" s="733">
        <v>112494</v>
      </c>
      <c r="O103" s="733">
        <v>891</v>
      </c>
      <c r="P103" s="733">
        <v>344</v>
      </c>
      <c r="Q103" s="733">
        <v>1235</v>
      </c>
      <c r="R103" s="733">
        <v>11351</v>
      </c>
      <c r="S103" s="733">
        <v>6404</v>
      </c>
      <c r="T103" s="733">
        <v>17755</v>
      </c>
      <c r="U103" s="733">
        <v>4462</v>
      </c>
      <c r="V103" s="733">
        <v>2914</v>
      </c>
      <c r="W103" s="733">
        <v>7376</v>
      </c>
      <c r="X103" s="733">
        <v>3711</v>
      </c>
      <c r="Y103" s="733">
        <v>1738</v>
      </c>
      <c r="Z103" s="733">
        <v>5449</v>
      </c>
    </row>
    <row r="104" spans="1:26">
      <c r="A104" s="251">
        <v>100</v>
      </c>
      <c r="B104" s="136" t="s">
        <v>438</v>
      </c>
      <c r="C104" s="733">
        <v>224874</v>
      </c>
      <c r="D104" s="733">
        <v>149821</v>
      </c>
      <c r="E104" s="733">
        <v>374695</v>
      </c>
      <c r="F104" s="733">
        <v>21182</v>
      </c>
      <c r="G104" s="733">
        <v>17765</v>
      </c>
      <c r="H104" s="733">
        <v>38947</v>
      </c>
      <c r="I104" s="733">
        <v>5894</v>
      </c>
      <c r="J104" s="733">
        <v>4699</v>
      </c>
      <c r="K104" s="733">
        <v>10593</v>
      </c>
      <c r="L104" s="733">
        <v>82022</v>
      </c>
      <c r="M104" s="733">
        <v>57106</v>
      </c>
      <c r="N104" s="733">
        <v>139128</v>
      </c>
      <c r="O104" s="733">
        <v>300</v>
      </c>
      <c r="P104" s="733">
        <v>87</v>
      </c>
      <c r="Q104" s="733">
        <v>387</v>
      </c>
      <c r="R104" s="733">
        <v>16322</v>
      </c>
      <c r="S104" s="733">
        <v>8560</v>
      </c>
      <c r="T104" s="733">
        <v>24882</v>
      </c>
      <c r="U104" s="733">
        <v>2705</v>
      </c>
      <c r="V104" s="733">
        <v>3159</v>
      </c>
      <c r="W104" s="733">
        <v>5864</v>
      </c>
      <c r="X104" s="733">
        <v>3006</v>
      </c>
      <c r="Y104" s="733">
        <v>2235</v>
      </c>
      <c r="Z104" s="733">
        <v>5241</v>
      </c>
    </row>
    <row r="105" spans="1:26" ht="28">
      <c r="A105" s="251">
        <v>101</v>
      </c>
      <c r="B105" s="136" t="s">
        <v>439</v>
      </c>
      <c r="C105" s="733">
        <v>83867</v>
      </c>
      <c r="D105" s="733">
        <v>257937</v>
      </c>
      <c r="E105" s="733">
        <v>341804</v>
      </c>
      <c r="F105" s="733">
        <v>13108</v>
      </c>
      <c r="G105" s="733">
        <v>43714</v>
      </c>
      <c r="H105" s="733">
        <v>56822</v>
      </c>
      <c r="I105" s="733">
        <v>5578</v>
      </c>
      <c r="J105" s="733">
        <v>20638</v>
      </c>
      <c r="K105" s="733">
        <v>26216</v>
      </c>
      <c r="L105" s="733">
        <v>30065</v>
      </c>
      <c r="M105" s="733">
        <v>73517</v>
      </c>
      <c r="N105" s="733">
        <v>103582</v>
      </c>
      <c r="O105" s="733">
        <v>151</v>
      </c>
      <c r="P105" s="733">
        <v>250</v>
      </c>
      <c r="Q105" s="733">
        <v>401</v>
      </c>
      <c r="R105" s="733">
        <v>4838</v>
      </c>
      <c r="S105" s="733">
        <v>6623</v>
      </c>
      <c r="T105" s="733">
        <v>11461</v>
      </c>
      <c r="U105" s="733">
        <v>2214</v>
      </c>
      <c r="V105" s="733">
        <v>15715</v>
      </c>
      <c r="W105" s="733">
        <v>17929</v>
      </c>
      <c r="X105" s="733">
        <v>1196</v>
      </c>
      <c r="Y105" s="733">
        <v>2821</v>
      </c>
      <c r="Z105" s="733">
        <v>4017</v>
      </c>
    </row>
    <row r="106" spans="1:26" ht="28">
      <c r="A106" s="251">
        <v>102</v>
      </c>
      <c r="B106" s="136" t="s">
        <v>440</v>
      </c>
      <c r="C106" s="733">
        <v>149206</v>
      </c>
      <c r="D106" s="733">
        <v>148650</v>
      </c>
      <c r="E106" s="733">
        <v>297856</v>
      </c>
      <c r="F106" s="733">
        <v>13842</v>
      </c>
      <c r="G106" s="733">
        <v>12870</v>
      </c>
      <c r="H106" s="733">
        <v>26712</v>
      </c>
      <c r="I106" s="733">
        <v>6396</v>
      </c>
      <c r="J106" s="733">
        <v>6587</v>
      </c>
      <c r="K106" s="733">
        <v>12983</v>
      </c>
      <c r="L106" s="733">
        <v>42166</v>
      </c>
      <c r="M106" s="733">
        <v>40984</v>
      </c>
      <c r="N106" s="733">
        <v>83150</v>
      </c>
      <c r="O106" s="733">
        <v>637</v>
      </c>
      <c r="P106" s="733">
        <v>406</v>
      </c>
      <c r="Q106" s="733">
        <v>1043</v>
      </c>
      <c r="R106" s="733">
        <v>6057</v>
      </c>
      <c r="S106" s="733">
        <v>6412</v>
      </c>
      <c r="T106" s="733">
        <v>12469</v>
      </c>
      <c r="U106" s="733">
        <v>3386</v>
      </c>
      <c r="V106" s="733">
        <v>4117</v>
      </c>
      <c r="W106" s="733">
        <v>7503</v>
      </c>
      <c r="X106" s="733">
        <v>2097</v>
      </c>
      <c r="Y106" s="733">
        <v>1459</v>
      </c>
      <c r="Z106" s="733">
        <v>3556</v>
      </c>
    </row>
    <row r="107" spans="1:26">
      <c r="A107" s="251">
        <v>103</v>
      </c>
      <c r="B107" s="136" t="s">
        <v>441</v>
      </c>
      <c r="C107" s="733">
        <v>117915</v>
      </c>
      <c r="D107" s="733">
        <v>40365</v>
      </c>
      <c r="E107" s="733">
        <v>158280</v>
      </c>
      <c r="F107" s="733">
        <v>14813</v>
      </c>
      <c r="G107" s="733">
        <v>5274</v>
      </c>
      <c r="H107" s="733">
        <v>20087</v>
      </c>
      <c r="I107" s="733">
        <v>4644</v>
      </c>
      <c r="J107" s="733">
        <v>2685</v>
      </c>
      <c r="K107" s="733">
        <v>7329</v>
      </c>
      <c r="L107" s="733">
        <v>50896</v>
      </c>
      <c r="M107" s="733">
        <v>15757</v>
      </c>
      <c r="N107" s="733">
        <v>66653</v>
      </c>
      <c r="O107" s="733">
        <v>800</v>
      </c>
      <c r="P107" s="733">
        <v>413</v>
      </c>
      <c r="Q107" s="733">
        <v>1213</v>
      </c>
      <c r="R107" s="733">
        <v>1559</v>
      </c>
      <c r="S107" s="733">
        <v>948</v>
      </c>
      <c r="T107" s="733">
        <v>2507</v>
      </c>
      <c r="U107" s="733">
        <v>681</v>
      </c>
      <c r="V107" s="733">
        <v>947</v>
      </c>
      <c r="W107" s="733">
        <v>1628</v>
      </c>
      <c r="X107" s="733">
        <v>1565</v>
      </c>
      <c r="Y107" s="733">
        <v>499</v>
      </c>
      <c r="Z107" s="733">
        <v>2064</v>
      </c>
    </row>
    <row r="108" spans="1:26" ht="28">
      <c r="A108" s="251">
        <v>104</v>
      </c>
      <c r="B108" s="136" t="s">
        <v>442</v>
      </c>
      <c r="C108" s="733">
        <v>26518</v>
      </c>
      <c r="D108" s="733">
        <v>72575</v>
      </c>
      <c r="E108" s="733">
        <v>99093</v>
      </c>
      <c r="F108" s="733">
        <v>2730</v>
      </c>
      <c r="G108" s="733">
        <v>6440</v>
      </c>
      <c r="H108" s="733">
        <v>9170</v>
      </c>
      <c r="I108" s="733">
        <v>776</v>
      </c>
      <c r="J108" s="733">
        <v>1755</v>
      </c>
      <c r="K108" s="733">
        <v>2531</v>
      </c>
      <c r="L108" s="733">
        <v>7931</v>
      </c>
      <c r="M108" s="733">
        <v>23192</v>
      </c>
      <c r="N108" s="733">
        <v>31123</v>
      </c>
      <c r="O108" s="733">
        <v>18</v>
      </c>
      <c r="P108" s="733">
        <v>13</v>
      </c>
      <c r="Q108" s="733">
        <v>31</v>
      </c>
      <c r="R108" s="733">
        <v>1520</v>
      </c>
      <c r="S108" s="733">
        <v>4288</v>
      </c>
      <c r="T108" s="733">
        <v>5808</v>
      </c>
      <c r="U108" s="733">
        <v>895</v>
      </c>
      <c r="V108" s="733">
        <v>2927</v>
      </c>
      <c r="W108" s="733">
        <v>3822</v>
      </c>
      <c r="X108" s="733">
        <v>284</v>
      </c>
      <c r="Y108" s="733">
        <v>600</v>
      </c>
      <c r="Z108" s="733">
        <v>884</v>
      </c>
    </row>
    <row r="109" spans="1:26">
      <c r="A109" s="251">
        <v>105</v>
      </c>
      <c r="B109" s="136" t="s">
        <v>444</v>
      </c>
      <c r="C109" s="733">
        <v>30685</v>
      </c>
      <c r="D109" s="733">
        <v>57966</v>
      </c>
      <c r="E109" s="733">
        <v>88651</v>
      </c>
      <c r="F109" s="733">
        <v>3099</v>
      </c>
      <c r="G109" s="733">
        <v>5298</v>
      </c>
      <c r="H109" s="733">
        <v>8397</v>
      </c>
      <c r="I109" s="733">
        <v>1104</v>
      </c>
      <c r="J109" s="733">
        <v>1597</v>
      </c>
      <c r="K109" s="733">
        <v>2701</v>
      </c>
      <c r="L109" s="733">
        <v>9337</v>
      </c>
      <c r="M109" s="733">
        <v>15721</v>
      </c>
      <c r="N109" s="733">
        <v>25058</v>
      </c>
      <c r="O109" s="733">
        <v>14</v>
      </c>
      <c r="P109" s="733">
        <v>11</v>
      </c>
      <c r="Q109" s="733">
        <v>25</v>
      </c>
      <c r="R109" s="733">
        <v>2419</v>
      </c>
      <c r="S109" s="733">
        <v>3317</v>
      </c>
      <c r="T109" s="733">
        <v>5736</v>
      </c>
      <c r="U109" s="733">
        <v>1569</v>
      </c>
      <c r="V109" s="733">
        <v>3078</v>
      </c>
      <c r="W109" s="733">
        <v>4647</v>
      </c>
      <c r="X109" s="733">
        <v>398</v>
      </c>
      <c r="Y109" s="733">
        <v>1000</v>
      </c>
      <c r="Z109" s="733">
        <v>1398</v>
      </c>
    </row>
    <row r="110" spans="1:26" ht="28">
      <c r="A110" s="251">
        <v>106</v>
      </c>
      <c r="B110" s="136" t="s">
        <v>443</v>
      </c>
      <c r="C110" s="733">
        <v>36964</v>
      </c>
      <c r="D110" s="733">
        <v>41692</v>
      </c>
      <c r="E110" s="733">
        <v>78656</v>
      </c>
      <c r="F110" s="733">
        <v>2187</v>
      </c>
      <c r="G110" s="733">
        <v>2084</v>
      </c>
      <c r="H110" s="733">
        <v>4271</v>
      </c>
      <c r="I110" s="733">
        <v>712</v>
      </c>
      <c r="J110" s="733">
        <v>640</v>
      </c>
      <c r="K110" s="733">
        <v>1352</v>
      </c>
      <c r="L110" s="733">
        <v>11831</v>
      </c>
      <c r="M110" s="733">
        <v>11557</v>
      </c>
      <c r="N110" s="733">
        <v>23388</v>
      </c>
      <c r="O110" s="733">
        <v>43</v>
      </c>
      <c r="P110" s="733">
        <v>29</v>
      </c>
      <c r="Q110" s="733">
        <v>72</v>
      </c>
      <c r="R110" s="733">
        <v>2929</v>
      </c>
      <c r="S110" s="733">
        <v>2236</v>
      </c>
      <c r="T110" s="733">
        <v>5165</v>
      </c>
      <c r="U110" s="733">
        <v>1510</v>
      </c>
      <c r="V110" s="733">
        <v>1792</v>
      </c>
      <c r="W110" s="733">
        <v>3302</v>
      </c>
      <c r="X110" s="733">
        <v>988</v>
      </c>
      <c r="Y110" s="733">
        <v>874</v>
      </c>
      <c r="Z110" s="733">
        <v>1862</v>
      </c>
    </row>
    <row r="111" spans="1:26">
      <c r="A111" s="251">
        <v>107</v>
      </c>
      <c r="B111" s="136" t="s">
        <v>452</v>
      </c>
      <c r="C111" s="733">
        <v>38249</v>
      </c>
      <c r="D111" s="733">
        <v>24836</v>
      </c>
      <c r="E111" s="733">
        <v>63085</v>
      </c>
      <c r="F111" s="733">
        <v>4533</v>
      </c>
      <c r="G111" s="733">
        <v>3143</v>
      </c>
      <c r="H111" s="733">
        <v>7676</v>
      </c>
      <c r="I111" s="733">
        <v>909</v>
      </c>
      <c r="J111" s="733">
        <v>730</v>
      </c>
      <c r="K111" s="733">
        <v>1639</v>
      </c>
      <c r="L111" s="733">
        <v>9659</v>
      </c>
      <c r="M111" s="733">
        <v>5748</v>
      </c>
      <c r="N111" s="733">
        <v>15407</v>
      </c>
      <c r="O111" s="733">
        <v>57</v>
      </c>
      <c r="P111" s="733">
        <v>28</v>
      </c>
      <c r="Q111" s="733">
        <v>85</v>
      </c>
      <c r="R111" s="733">
        <v>1994</v>
      </c>
      <c r="S111" s="733">
        <v>1437</v>
      </c>
      <c r="T111" s="733">
        <v>3431</v>
      </c>
      <c r="U111" s="733">
        <v>634</v>
      </c>
      <c r="V111" s="733">
        <v>544</v>
      </c>
      <c r="W111" s="733">
        <v>1178</v>
      </c>
      <c r="X111" s="733">
        <v>441</v>
      </c>
      <c r="Y111" s="733">
        <v>255</v>
      </c>
      <c r="Z111" s="733">
        <v>696</v>
      </c>
    </row>
    <row r="112" spans="1:26" ht="28">
      <c r="A112" s="251">
        <v>108</v>
      </c>
      <c r="B112" s="136" t="s">
        <v>445</v>
      </c>
      <c r="C112" s="733">
        <v>26488</v>
      </c>
      <c r="D112" s="733">
        <v>35415</v>
      </c>
      <c r="E112" s="733">
        <v>61903</v>
      </c>
      <c r="F112" s="733">
        <v>2548</v>
      </c>
      <c r="G112" s="733">
        <v>3517</v>
      </c>
      <c r="H112" s="733">
        <v>6065</v>
      </c>
      <c r="I112" s="733">
        <v>1147</v>
      </c>
      <c r="J112" s="733">
        <v>1479</v>
      </c>
      <c r="K112" s="733">
        <v>2626</v>
      </c>
      <c r="L112" s="733">
        <v>9360</v>
      </c>
      <c r="M112" s="733">
        <v>11633</v>
      </c>
      <c r="N112" s="733">
        <v>20993</v>
      </c>
      <c r="O112" s="733">
        <v>48</v>
      </c>
      <c r="P112" s="733">
        <v>59</v>
      </c>
      <c r="Q112" s="733">
        <v>107</v>
      </c>
      <c r="R112" s="733">
        <v>1409</v>
      </c>
      <c r="S112" s="733">
        <v>1295</v>
      </c>
      <c r="T112" s="733">
        <v>2704</v>
      </c>
      <c r="U112" s="733">
        <v>283</v>
      </c>
      <c r="V112" s="733">
        <v>480</v>
      </c>
      <c r="W112" s="733">
        <v>763</v>
      </c>
      <c r="X112" s="733">
        <v>469</v>
      </c>
      <c r="Y112" s="733">
        <v>583</v>
      </c>
      <c r="Z112" s="733">
        <v>1052</v>
      </c>
    </row>
    <row r="113" spans="1:26" ht="42">
      <c r="A113" s="251">
        <v>109</v>
      </c>
      <c r="B113" s="136" t="s">
        <v>446</v>
      </c>
      <c r="C113" s="733">
        <v>23301</v>
      </c>
      <c r="D113" s="733">
        <v>37564</v>
      </c>
      <c r="E113" s="733">
        <v>60865</v>
      </c>
      <c r="F113" s="733">
        <v>2232</v>
      </c>
      <c r="G113" s="733">
        <v>3549</v>
      </c>
      <c r="H113" s="733">
        <v>5781</v>
      </c>
      <c r="I113" s="733">
        <v>1029</v>
      </c>
      <c r="J113" s="733">
        <v>1342</v>
      </c>
      <c r="K113" s="733">
        <v>2371</v>
      </c>
      <c r="L113" s="733">
        <v>8787</v>
      </c>
      <c r="M113" s="733">
        <v>12908</v>
      </c>
      <c r="N113" s="733">
        <v>21695</v>
      </c>
      <c r="O113" s="733">
        <v>3</v>
      </c>
      <c r="P113" s="733">
        <v>20</v>
      </c>
      <c r="Q113" s="733">
        <v>23</v>
      </c>
      <c r="R113" s="733">
        <v>1186</v>
      </c>
      <c r="S113" s="733">
        <v>2502</v>
      </c>
      <c r="T113" s="733">
        <v>3688</v>
      </c>
      <c r="U113" s="733">
        <v>233</v>
      </c>
      <c r="V113" s="733">
        <v>656</v>
      </c>
      <c r="W113" s="733">
        <v>889</v>
      </c>
      <c r="X113" s="733">
        <v>324</v>
      </c>
      <c r="Y113" s="733">
        <v>672</v>
      </c>
      <c r="Z113" s="733">
        <v>996</v>
      </c>
    </row>
    <row r="114" spans="1:26">
      <c r="A114" s="251">
        <v>110</v>
      </c>
      <c r="B114" s="136" t="s">
        <v>899</v>
      </c>
      <c r="C114" s="733">
        <v>33419</v>
      </c>
      <c r="D114" s="733">
        <v>24642</v>
      </c>
      <c r="E114" s="733">
        <v>58061</v>
      </c>
      <c r="F114" s="733">
        <v>3793</v>
      </c>
      <c r="G114" s="733">
        <v>2875</v>
      </c>
      <c r="H114" s="733">
        <v>6668</v>
      </c>
      <c r="I114" s="733">
        <v>1085</v>
      </c>
      <c r="J114" s="733">
        <v>600</v>
      </c>
      <c r="K114" s="733">
        <v>1685</v>
      </c>
      <c r="L114" s="733">
        <v>10178</v>
      </c>
      <c r="M114" s="733">
        <v>8013</v>
      </c>
      <c r="N114" s="733">
        <v>18191</v>
      </c>
      <c r="O114" s="733">
        <v>79</v>
      </c>
      <c r="P114" s="733">
        <v>22</v>
      </c>
      <c r="Q114" s="733">
        <v>101</v>
      </c>
      <c r="R114" s="733">
        <v>2418</v>
      </c>
      <c r="S114" s="733">
        <v>1720</v>
      </c>
      <c r="T114" s="733">
        <v>4138</v>
      </c>
      <c r="U114" s="733">
        <v>1796</v>
      </c>
      <c r="V114" s="733">
        <v>1743</v>
      </c>
      <c r="W114" s="733">
        <v>3539</v>
      </c>
      <c r="X114" s="733">
        <v>715</v>
      </c>
      <c r="Y114" s="733">
        <v>494</v>
      </c>
      <c r="Z114" s="733">
        <v>1209</v>
      </c>
    </row>
    <row r="115" spans="1:26">
      <c r="A115" s="251">
        <v>111</v>
      </c>
      <c r="B115" s="136" t="s">
        <v>448</v>
      </c>
      <c r="C115" s="733">
        <v>33560</v>
      </c>
      <c r="D115" s="733">
        <v>22700</v>
      </c>
      <c r="E115" s="733">
        <v>56260</v>
      </c>
      <c r="F115" s="733">
        <v>2621</v>
      </c>
      <c r="G115" s="733">
        <v>3550</v>
      </c>
      <c r="H115" s="733">
        <v>6171</v>
      </c>
      <c r="I115" s="733">
        <v>1337</v>
      </c>
      <c r="J115" s="733">
        <v>1784</v>
      </c>
      <c r="K115" s="733">
        <v>3121</v>
      </c>
      <c r="L115" s="733">
        <v>7298</v>
      </c>
      <c r="M115" s="733">
        <v>8388</v>
      </c>
      <c r="N115" s="733">
        <v>15686</v>
      </c>
      <c r="O115" s="733">
        <v>14</v>
      </c>
      <c r="P115" s="733">
        <v>7</v>
      </c>
      <c r="Q115" s="733">
        <v>21</v>
      </c>
      <c r="R115" s="733">
        <v>102</v>
      </c>
      <c r="S115" s="733">
        <v>104</v>
      </c>
      <c r="T115" s="733">
        <v>206</v>
      </c>
      <c r="U115" s="733">
        <v>255</v>
      </c>
      <c r="V115" s="733">
        <v>82</v>
      </c>
      <c r="W115" s="733">
        <v>337</v>
      </c>
      <c r="X115" s="733">
        <v>173</v>
      </c>
      <c r="Y115" s="733">
        <v>72</v>
      </c>
      <c r="Z115" s="733">
        <v>245</v>
      </c>
    </row>
    <row r="116" spans="1:26" ht="28">
      <c r="A116" s="251">
        <v>112</v>
      </c>
      <c r="B116" s="136" t="s">
        <v>453</v>
      </c>
      <c r="C116" s="733">
        <v>45163</v>
      </c>
      <c r="D116" s="733">
        <v>9920</v>
      </c>
      <c r="E116" s="733">
        <v>55083</v>
      </c>
      <c r="F116" s="733">
        <v>4884</v>
      </c>
      <c r="G116" s="733">
        <v>1276</v>
      </c>
      <c r="H116" s="733">
        <v>6160</v>
      </c>
      <c r="I116" s="733">
        <v>2090</v>
      </c>
      <c r="J116" s="733">
        <v>834</v>
      </c>
      <c r="K116" s="733">
        <v>2924</v>
      </c>
      <c r="L116" s="733">
        <v>6851</v>
      </c>
      <c r="M116" s="733">
        <v>1018</v>
      </c>
      <c r="N116" s="733">
        <v>7869</v>
      </c>
      <c r="O116" s="733">
        <v>37</v>
      </c>
      <c r="P116" s="733">
        <v>5</v>
      </c>
      <c r="Q116" s="733">
        <v>42</v>
      </c>
      <c r="R116" s="733">
        <v>867</v>
      </c>
      <c r="S116" s="733">
        <v>110</v>
      </c>
      <c r="T116" s="733">
        <v>977</v>
      </c>
      <c r="U116" s="733">
        <v>1395</v>
      </c>
      <c r="V116" s="733">
        <v>205</v>
      </c>
      <c r="W116" s="733">
        <v>1600</v>
      </c>
      <c r="X116" s="733">
        <v>505</v>
      </c>
      <c r="Y116" s="733">
        <v>87</v>
      </c>
      <c r="Z116" s="733">
        <v>592</v>
      </c>
    </row>
    <row r="117" spans="1:26" ht="28">
      <c r="A117" s="251">
        <v>113</v>
      </c>
      <c r="B117" s="136" t="s">
        <v>449</v>
      </c>
      <c r="C117" s="733">
        <v>28258</v>
      </c>
      <c r="D117" s="733">
        <v>22179</v>
      </c>
      <c r="E117" s="733">
        <v>50437</v>
      </c>
      <c r="F117" s="733">
        <v>1769</v>
      </c>
      <c r="G117" s="733">
        <v>1782</v>
      </c>
      <c r="H117" s="733">
        <v>3551</v>
      </c>
      <c r="I117" s="733">
        <v>454</v>
      </c>
      <c r="J117" s="733">
        <v>331</v>
      </c>
      <c r="K117" s="733">
        <v>785</v>
      </c>
      <c r="L117" s="733">
        <v>3435</v>
      </c>
      <c r="M117" s="733">
        <v>2762</v>
      </c>
      <c r="N117" s="733">
        <v>6197</v>
      </c>
      <c r="O117" s="733">
        <v>43</v>
      </c>
      <c r="P117" s="733">
        <v>17</v>
      </c>
      <c r="Q117" s="733">
        <v>60</v>
      </c>
      <c r="R117" s="733">
        <v>3289</v>
      </c>
      <c r="S117" s="733">
        <v>1964</v>
      </c>
      <c r="T117" s="733">
        <v>5253</v>
      </c>
      <c r="U117" s="733">
        <v>2085</v>
      </c>
      <c r="V117" s="733">
        <v>1867</v>
      </c>
      <c r="W117" s="733">
        <v>3952</v>
      </c>
      <c r="X117" s="733">
        <v>312</v>
      </c>
      <c r="Y117" s="733">
        <v>325</v>
      </c>
      <c r="Z117" s="733">
        <v>637</v>
      </c>
    </row>
    <row r="118" spans="1:26" ht="28">
      <c r="A118" s="251">
        <v>114</v>
      </c>
      <c r="B118" s="136" t="s">
        <v>456</v>
      </c>
      <c r="C118" s="733">
        <v>8268</v>
      </c>
      <c r="D118" s="733">
        <v>33676</v>
      </c>
      <c r="E118" s="733">
        <v>41944</v>
      </c>
      <c r="F118" s="733">
        <v>1255</v>
      </c>
      <c r="G118" s="733">
        <v>5097</v>
      </c>
      <c r="H118" s="733">
        <v>6352</v>
      </c>
      <c r="I118" s="733">
        <v>525</v>
      </c>
      <c r="J118" s="733">
        <v>2304</v>
      </c>
      <c r="K118" s="733">
        <v>2829</v>
      </c>
      <c r="L118" s="733">
        <v>2060</v>
      </c>
      <c r="M118" s="733">
        <v>6872</v>
      </c>
      <c r="N118" s="733">
        <v>8932</v>
      </c>
      <c r="O118" s="733">
        <v>9</v>
      </c>
      <c r="P118" s="733">
        <v>13</v>
      </c>
      <c r="Q118" s="733">
        <v>22</v>
      </c>
      <c r="R118" s="733">
        <v>282</v>
      </c>
      <c r="S118" s="733">
        <v>579</v>
      </c>
      <c r="T118" s="733">
        <v>861</v>
      </c>
      <c r="U118" s="733">
        <v>229</v>
      </c>
      <c r="V118" s="733">
        <v>1348</v>
      </c>
      <c r="W118" s="733">
        <v>1577</v>
      </c>
      <c r="X118" s="733">
        <v>71</v>
      </c>
      <c r="Y118" s="733">
        <v>285</v>
      </c>
      <c r="Z118" s="733">
        <v>356</v>
      </c>
    </row>
    <row r="119" spans="1:26" ht="28">
      <c r="A119" s="251">
        <v>115</v>
      </c>
      <c r="B119" s="136" t="s">
        <v>450</v>
      </c>
      <c r="C119" s="733">
        <v>27901</v>
      </c>
      <c r="D119" s="733">
        <v>13401</v>
      </c>
      <c r="E119" s="733">
        <v>41302</v>
      </c>
      <c r="F119" s="733">
        <v>4545</v>
      </c>
      <c r="G119" s="733">
        <v>2274</v>
      </c>
      <c r="H119" s="733">
        <v>6819</v>
      </c>
      <c r="I119" s="733">
        <v>1758</v>
      </c>
      <c r="J119" s="733">
        <v>918</v>
      </c>
      <c r="K119" s="733">
        <v>2676</v>
      </c>
      <c r="L119" s="733">
        <v>8628</v>
      </c>
      <c r="M119" s="733">
        <v>4238</v>
      </c>
      <c r="N119" s="733">
        <v>12866</v>
      </c>
      <c r="O119" s="733">
        <v>86</v>
      </c>
      <c r="P119" s="733">
        <v>41</v>
      </c>
      <c r="Q119" s="733">
        <v>127</v>
      </c>
      <c r="R119" s="733">
        <v>455</v>
      </c>
      <c r="S119" s="733">
        <v>127</v>
      </c>
      <c r="T119" s="733">
        <v>582</v>
      </c>
      <c r="U119" s="733">
        <v>567</v>
      </c>
      <c r="V119" s="733">
        <v>276</v>
      </c>
      <c r="W119" s="733">
        <v>843</v>
      </c>
      <c r="X119" s="733">
        <v>363</v>
      </c>
      <c r="Y119" s="733">
        <v>99</v>
      </c>
      <c r="Z119" s="733">
        <v>462</v>
      </c>
    </row>
    <row r="120" spans="1:26">
      <c r="A120" s="251">
        <v>116</v>
      </c>
      <c r="B120" s="136" t="s">
        <v>455</v>
      </c>
      <c r="C120" s="733">
        <v>12685</v>
      </c>
      <c r="D120" s="733">
        <v>27782</v>
      </c>
      <c r="E120" s="733">
        <v>40467</v>
      </c>
      <c r="F120" s="733">
        <v>823</v>
      </c>
      <c r="G120" s="733">
        <v>1949</v>
      </c>
      <c r="H120" s="733">
        <v>2772</v>
      </c>
      <c r="I120" s="733">
        <v>329</v>
      </c>
      <c r="J120" s="733">
        <v>1041</v>
      </c>
      <c r="K120" s="733">
        <v>1370</v>
      </c>
      <c r="L120" s="733">
        <v>2530</v>
      </c>
      <c r="M120" s="733">
        <v>4130</v>
      </c>
      <c r="N120" s="733">
        <v>6660</v>
      </c>
      <c r="O120" s="733">
        <v>32</v>
      </c>
      <c r="P120" s="733">
        <v>67</v>
      </c>
      <c r="Q120" s="733">
        <v>99</v>
      </c>
      <c r="R120" s="733">
        <v>294</v>
      </c>
      <c r="S120" s="733">
        <v>425</v>
      </c>
      <c r="T120" s="733">
        <v>719</v>
      </c>
      <c r="U120" s="733">
        <v>319</v>
      </c>
      <c r="V120" s="733">
        <v>963</v>
      </c>
      <c r="W120" s="733">
        <v>1282</v>
      </c>
      <c r="X120" s="733">
        <v>92</v>
      </c>
      <c r="Y120" s="733">
        <v>301</v>
      </c>
      <c r="Z120" s="733">
        <v>393</v>
      </c>
    </row>
    <row r="121" spans="1:26">
      <c r="A121" s="251">
        <v>117</v>
      </c>
      <c r="B121" s="136" t="s">
        <v>457</v>
      </c>
      <c r="C121" s="733">
        <v>14057</v>
      </c>
      <c r="D121" s="733">
        <v>18625</v>
      </c>
      <c r="E121" s="733">
        <v>32682</v>
      </c>
      <c r="F121" s="733">
        <v>1430</v>
      </c>
      <c r="G121" s="733">
        <v>1938</v>
      </c>
      <c r="H121" s="733">
        <v>3368</v>
      </c>
      <c r="I121" s="733">
        <v>736</v>
      </c>
      <c r="J121" s="733">
        <v>1099</v>
      </c>
      <c r="K121" s="733">
        <v>1835</v>
      </c>
      <c r="L121" s="733">
        <v>5293</v>
      </c>
      <c r="M121" s="733">
        <v>6364</v>
      </c>
      <c r="N121" s="733">
        <v>11657</v>
      </c>
      <c r="O121" s="733">
        <v>14</v>
      </c>
      <c r="P121" s="733">
        <v>11</v>
      </c>
      <c r="Q121" s="733">
        <v>25</v>
      </c>
      <c r="R121" s="733">
        <v>379</v>
      </c>
      <c r="S121" s="733">
        <v>350</v>
      </c>
      <c r="T121" s="733">
        <v>729</v>
      </c>
      <c r="U121" s="733">
        <v>53</v>
      </c>
      <c r="V121" s="733">
        <v>75</v>
      </c>
      <c r="W121" s="733">
        <v>128</v>
      </c>
      <c r="X121" s="733">
        <v>242</v>
      </c>
      <c r="Y121" s="733">
        <v>311</v>
      </c>
      <c r="Z121" s="733">
        <v>553</v>
      </c>
    </row>
    <row r="122" spans="1:26" ht="14.25" customHeight="1">
      <c r="A122" s="251">
        <v>118</v>
      </c>
      <c r="B122" s="136" t="s">
        <v>447</v>
      </c>
      <c r="C122" s="733">
        <v>15092</v>
      </c>
      <c r="D122" s="733">
        <v>16416</v>
      </c>
      <c r="E122" s="733">
        <v>31508</v>
      </c>
      <c r="F122" s="733">
        <v>2918</v>
      </c>
      <c r="G122" s="733">
        <v>2498</v>
      </c>
      <c r="H122" s="733">
        <v>5416</v>
      </c>
      <c r="I122" s="733">
        <v>3118</v>
      </c>
      <c r="J122" s="733">
        <v>3866</v>
      </c>
      <c r="K122" s="733">
        <v>6984</v>
      </c>
      <c r="L122" s="733">
        <v>4500</v>
      </c>
      <c r="M122" s="733">
        <v>4522</v>
      </c>
      <c r="N122" s="733">
        <v>9022</v>
      </c>
      <c r="O122" s="733">
        <v>23</v>
      </c>
      <c r="P122" s="733">
        <v>9</v>
      </c>
      <c r="Q122" s="733">
        <v>32</v>
      </c>
      <c r="R122" s="733">
        <v>333</v>
      </c>
      <c r="S122" s="733">
        <v>450</v>
      </c>
      <c r="T122" s="733">
        <v>783</v>
      </c>
      <c r="U122" s="733">
        <v>564</v>
      </c>
      <c r="V122" s="733">
        <v>722</v>
      </c>
      <c r="W122" s="733">
        <v>1286</v>
      </c>
      <c r="X122" s="733">
        <v>97</v>
      </c>
      <c r="Y122" s="733">
        <v>154</v>
      </c>
      <c r="Z122" s="733">
        <v>251</v>
      </c>
    </row>
    <row r="123" spans="1:26" ht="28">
      <c r="A123" s="251">
        <v>119</v>
      </c>
      <c r="B123" s="136" t="s">
        <v>469</v>
      </c>
      <c r="C123" s="733">
        <v>15827</v>
      </c>
      <c r="D123" s="733">
        <v>13002</v>
      </c>
      <c r="E123" s="733">
        <v>28829</v>
      </c>
      <c r="F123" s="733">
        <v>2952</v>
      </c>
      <c r="G123" s="733">
        <v>2072</v>
      </c>
      <c r="H123" s="733">
        <v>5024</v>
      </c>
      <c r="I123" s="733">
        <v>1667</v>
      </c>
      <c r="J123" s="733">
        <v>1182</v>
      </c>
      <c r="K123" s="733">
        <v>2849</v>
      </c>
      <c r="L123" s="733">
        <v>4584</v>
      </c>
      <c r="M123" s="733">
        <v>3587</v>
      </c>
      <c r="N123" s="733">
        <v>8171</v>
      </c>
      <c r="O123" s="733">
        <v>57</v>
      </c>
      <c r="P123" s="733">
        <v>27</v>
      </c>
      <c r="Q123" s="733">
        <v>84</v>
      </c>
      <c r="R123" s="733">
        <v>244</v>
      </c>
      <c r="S123" s="733">
        <v>165</v>
      </c>
      <c r="T123" s="733">
        <v>409</v>
      </c>
      <c r="U123" s="733">
        <v>85</v>
      </c>
      <c r="V123" s="733">
        <v>62</v>
      </c>
      <c r="W123" s="733">
        <v>147</v>
      </c>
      <c r="X123" s="733">
        <v>250</v>
      </c>
      <c r="Y123" s="733">
        <v>280</v>
      </c>
      <c r="Z123" s="733">
        <v>530</v>
      </c>
    </row>
    <row r="124" spans="1:26" ht="14.25" customHeight="1">
      <c r="A124" s="251">
        <v>120</v>
      </c>
      <c r="B124" s="136" t="s">
        <v>459</v>
      </c>
      <c r="C124" s="733">
        <v>13926</v>
      </c>
      <c r="D124" s="733">
        <v>14443</v>
      </c>
      <c r="E124" s="733">
        <v>28369</v>
      </c>
      <c r="F124" s="733">
        <v>2348</v>
      </c>
      <c r="G124" s="733">
        <v>1510</v>
      </c>
      <c r="H124" s="733">
        <v>3858</v>
      </c>
      <c r="I124" s="733">
        <v>885</v>
      </c>
      <c r="J124" s="733">
        <v>532</v>
      </c>
      <c r="K124" s="733">
        <v>1417</v>
      </c>
      <c r="L124" s="733">
        <v>4485</v>
      </c>
      <c r="M124" s="733">
        <v>3675</v>
      </c>
      <c r="N124" s="733">
        <v>8160</v>
      </c>
      <c r="O124" s="733">
        <v>142</v>
      </c>
      <c r="P124" s="733">
        <v>85</v>
      </c>
      <c r="Q124" s="733">
        <v>227</v>
      </c>
      <c r="R124" s="733">
        <v>210</v>
      </c>
      <c r="S124" s="733">
        <v>280</v>
      </c>
      <c r="T124" s="733">
        <v>490</v>
      </c>
      <c r="U124" s="733">
        <v>384</v>
      </c>
      <c r="V124" s="733">
        <v>539</v>
      </c>
      <c r="W124" s="733">
        <v>923</v>
      </c>
      <c r="X124" s="733">
        <v>243</v>
      </c>
      <c r="Y124" s="733">
        <v>186</v>
      </c>
      <c r="Z124" s="733">
        <v>429</v>
      </c>
    </row>
    <row r="125" spans="1:26" ht="28">
      <c r="A125" s="251">
        <v>121</v>
      </c>
      <c r="B125" s="136" t="s">
        <v>454</v>
      </c>
      <c r="C125" s="733">
        <v>15596</v>
      </c>
      <c r="D125" s="733">
        <v>10348</v>
      </c>
      <c r="E125" s="733">
        <v>25944</v>
      </c>
      <c r="F125" s="733">
        <v>1419</v>
      </c>
      <c r="G125" s="733">
        <v>1003</v>
      </c>
      <c r="H125" s="733">
        <v>2422</v>
      </c>
      <c r="I125" s="733">
        <v>503</v>
      </c>
      <c r="J125" s="733">
        <v>311</v>
      </c>
      <c r="K125" s="733">
        <v>814</v>
      </c>
      <c r="L125" s="733">
        <v>5778</v>
      </c>
      <c r="M125" s="733">
        <v>3596</v>
      </c>
      <c r="N125" s="733">
        <v>9374</v>
      </c>
      <c r="O125" s="733">
        <v>13</v>
      </c>
      <c r="P125" s="733">
        <v>14</v>
      </c>
      <c r="Q125" s="733">
        <v>27</v>
      </c>
      <c r="R125" s="733">
        <v>1354</v>
      </c>
      <c r="S125" s="733">
        <v>657</v>
      </c>
      <c r="T125" s="733">
        <v>2011</v>
      </c>
      <c r="U125" s="733">
        <v>314</v>
      </c>
      <c r="V125" s="733">
        <v>184</v>
      </c>
      <c r="W125" s="733">
        <v>498</v>
      </c>
      <c r="X125" s="733">
        <v>215</v>
      </c>
      <c r="Y125" s="733">
        <v>142</v>
      </c>
      <c r="Z125" s="733">
        <v>357</v>
      </c>
    </row>
    <row r="126" spans="1:26" ht="28">
      <c r="A126" s="251">
        <v>122</v>
      </c>
      <c r="B126" s="136" t="s">
        <v>461</v>
      </c>
      <c r="C126" s="733">
        <v>16678</v>
      </c>
      <c r="D126" s="733">
        <v>5137</v>
      </c>
      <c r="E126" s="733">
        <v>21815</v>
      </c>
      <c r="F126" s="733">
        <v>2223</v>
      </c>
      <c r="G126" s="733">
        <v>846</v>
      </c>
      <c r="H126" s="733">
        <v>3069</v>
      </c>
      <c r="I126" s="733">
        <v>888</v>
      </c>
      <c r="J126" s="733">
        <v>306</v>
      </c>
      <c r="K126" s="733">
        <v>1194</v>
      </c>
      <c r="L126" s="733">
        <v>4441</v>
      </c>
      <c r="M126" s="733">
        <v>1404</v>
      </c>
      <c r="N126" s="733">
        <v>5845</v>
      </c>
      <c r="O126" s="733">
        <v>2</v>
      </c>
      <c r="P126" s="733">
        <v>2</v>
      </c>
      <c r="Q126" s="733">
        <v>4</v>
      </c>
      <c r="R126" s="733">
        <v>408</v>
      </c>
      <c r="S126" s="733">
        <v>110</v>
      </c>
      <c r="T126" s="733">
        <v>518</v>
      </c>
      <c r="U126" s="733">
        <v>301</v>
      </c>
      <c r="V126" s="733">
        <v>109</v>
      </c>
      <c r="W126" s="733">
        <v>410</v>
      </c>
      <c r="X126" s="733">
        <v>33</v>
      </c>
      <c r="Y126" s="733">
        <v>14</v>
      </c>
      <c r="Z126" s="733">
        <v>47</v>
      </c>
    </row>
    <row r="127" spans="1:26" ht="28">
      <c r="A127" s="251">
        <v>123</v>
      </c>
      <c r="B127" s="136" t="s">
        <v>451</v>
      </c>
      <c r="C127" s="733">
        <v>13135</v>
      </c>
      <c r="D127" s="733">
        <v>8110</v>
      </c>
      <c r="E127" s="733">
        <v>21245</v>
      </c>
      <c r="F127" s="733">
        <v>1329</v>
      </c>
      <c r="G127" s="733">
        <v>1100</v>
      </c>
      <c r="H127" s="733">
        <v>2429</v>
      </c>
      <c r="I127" s="733">
        <v>458</v>
      </c>
      <c r="J127" s="733">
        <v>349</v>
      </c>
      <c r="K127" s="733">
        <v>807</v>
      </c>
      <c r="L127" s="733">
        <v>5647</v>
      </c>
      <c r="M127" s="733">
        <v>4102</v>
      </c>
      <c r="N127" s="733">
        <v>9749</v>
      </c>
      <c r="O127" s="733">
        <v>32</v>
      </c>
      <c r="P127" s="733">
        <v>5</v>
      </c>
      <c r="Q127" s="733">
        <v>37</v>
      </c>
      <c r="R127" s="733">
        <v>742</v>
      </c>
      <c r="S127" s="733">
        <v>443</v>
      </c>
      <c r="T127" s="733">
        <v>1185</v>
      </c>
      <c r="U127" s="733">
        <v>84</v>
      </c>
      <c r="V127" s="733">
        <v>95</v>
      </c>
      <c r="W127" s="733">
        <v>179</v>
      </c>
      <c r="X127" s="733">
        <v>41</v>
      </c>
      <c r="Y127" s="733">
        <v>36</v>
      </c>
      <c r="Z127" s="733">
        <v>77</v>
      </c>
    </row>
    <row r="128" spans="1:26" ht="42">
      <c r="A128" s="251">
        <v>124</v>
      </c>
      <c r="B128" s="136" t="s">
        <v>460</v>
      </c>
      <c r="C128" s="733">
        <v>17116</v>
      </c>
      <c r="D128" s="733">
        <v>3283</v>
      </c>
      <c r="E128" s="733">
        <v>20399</v>
      </c>
      <c r="F128" s="733">
        <v>2091</v>
      </c>
      <c r="G128" s="733">
        <v>655</v>
      </c>
      <c r="H128" s="733">
        <v>2746</v>
      </c>
      <c r="I128" s="733">
        <v>262</v>
      </c>
      <c r="J128" s="733">
        <v>61</v>
      </c>
      <c r="K128" s="733">
        <v>323</v>
      </c>
      <c r="L128" s="733">
        <v>3765</v>
      </c>
      <c r="M128" s="733">
        <v>470</v>
      </c>
      <c r="N128" s="733">
        <v>4235</v>
      </c>
      <c r="O128" s="733">
        <v>3</v>
      </c>
      <c r="P128" s="733">
        <v>0</v>
      </c>
      <c r="Q128" s="733">
        <v>3</v>
      </c>
      <c r="R128" s="733">
        <v>519</v>
      </c>
      <c r="S128" s="733">
        <v>40</v>
      </c>
      <c r="T128" s="733">
        <v>559</v>
      </c>
      <c r="U128" s="733">
        <v>530</v>
      </c>
      <c r="V128" s="733">
        <v>148</v>
      </c>
      <c r="W128" s="733">
        <v>678</v>
      </c>
      <c r="X128" s="733">
        <v>303</v>
      </c>
      <c r="Y128" s="733">
        <v>40</v>
      </c>
      <c r="Z128" s="733">
        <v>343</v>
      </c>
    </row>
    <row r="129" spans="1:26" ht="33.75" customHeight="1">
      <c r="A129" s="251">
        <v>125</v>
      </c>
      <c r="B129" s="136" t="s">
        <v>463</v>
      </c>
      <c r="C129" s="733">
        <v>9870</v>
      </c>
      <c r="D129" s="733">
        <v>9728</v>
      </c>
      <c r="E129" s="733">
        <v>19598</v>
      </c>
      <c r="F129" s="733">
        <v>1262</v>
      </c>
      <c r="G129" s="733">
        <v>973</v>
      </c>
      <c r="H129" s="733">
        <v>2235</v>
      </c>
      <c r="I129" s="733">
        <v>398</v>
      </c>
      <c r="J129" s="733">
        <v>241</v>
      </c>
      <c r="K129" s="733">
        <v>639</v>
      </c>
      <c r="L129" s="733">
        <v>1575</v>
      </c>
      <c r="M129" s="733">
        <v>1241</v>
      </c>
      <c r="N129" s="733">
        <v>2816</v>
      </c>
      <c r="O129" s="733">
        <v>17</v>
      </c>
      <c r="P129" s="733">
        <v>3</v>
      </c>
      <c r="Q129" s="733">
        <v>20</v>
      </c>
      <c r="R129" s="733">
        <v>341</v>
      </c>
      <c r="S129" s="733">
        <v>215</v>
      </c>
      <c r="T129" s="733">
        <v>556</v>
      </c>
      <c r="U129" s="733">
        <v>315</v>
      </c>
      <c r="V129" s="733">
        <v>345</v>
      </c>
      <c r="W129" s="733">
        <v>660</v>
      </c>
      <c r="X129" s="733">
        <v>62</v>
      </c>
      <c r="Y129" s="733">
        <v>51</v>
      </c>
      <c r="Z129" s="733">
        <v>113</v>
      </c>
    </row>
    <row r="130" spans="1:26" ht="28">
      <c r="A130" s="251">
        <v>126</v>
      </c>
      <c r="B130" s="136" t="s">
        <v>474</v>
      </c>
      <c r="C130" s="733">
        <v>12798</v>
      </c>
      <c r="D130" s="733">
        <v>5108</v>
      </c>
      <c r="E130" s="733">
        <v>17906</v>
      </c>
      <c r="F130" s="733">
        <v>798</v>
      </c>
      <c r="G130" s="733">
        <v>417</v>
      </c>
      <c r="H130" s="733">
        <v>1215</v>
      </c>
      <c r="I130" s="733">
        <v>674</v>
      </c>
      <c r="J130" s="733">
        <v>406</v>
      </c>
      <c r="K130" s="733">
        <v>1080</v>
      </c>
      <c r="L130" s="733">
        <v>1549</v>
      </c>
      <c r="M130" s="733">
        <v>564</v>
      </c>
      <c r="N130" s="733">
        <v>2113</v>
      </c>
      <c r="O130" s="733">
        <v>9</v>
      </c>
      <c r="P130" s="733">
        <v>1</v>
      </c>
      <c r="Q130" s="733">
        <v>10</v>
      </c>
      <c r="R130" s="733">
        <v>255</v>
      </c>
      <c r="S130" s="733">
        <v>78</v>
      </c>
      <c r="T130" s="733">
        <v>333</v>
      </c>
      <c r="U130" s="733">
        <v>109</v>
      </c>
      <c r="V130" s="733">
        <v>70</v>
      </c>
      <c r="W130" s="733">
        <v>179</v>
      </c>
      <c r="X130" s="733">
        <v>174</v>
      </c>
      <c r="Y130" s="733">
        <v>58</v>
      </c>
      <c r="Z130" s="733">
        <v>232</v>
      </c>
    </row>
    <row r="131" spans="1:26" ht="42">
      <c r="A131" s="251">
        <v>127</v>
      </c>
      <c r="B131" s="136" t="s">
        <v>462</v>
      </c>
      <c r="C131" s="733">
        <v>10482</v>
      </c>
      <c r="D131" s="733">
        <v>7358</v>
      </c>
      <c r="E131" s="733">
        <v>17840</v>
      </c>
      <c r="F131" s="733">
        <v>1272</v>
      </c>
      <c r="G131" s="733">
        <v>835</v>
      </c>
      <c r="H131" s="733">
        <v>2107</v>
      </c>
      <c r="I131" s="733">
        <v>817</v>
      </c>
      <c r="J131" s="733">
        <v>773</v>
      </c>
      <c r="K131" s="733">
        <v>1590</v>
      </c>
      <c r="L131" s="733">
        <v>4102</v>
      </c>
      <c r="M131" s="733">
        <v>2918</v>
      </c>
      <c r="N131" s="733">
        <v>7020</v>
      </c>
      <c r="O131" s="733">
        <v>68</v>
      </c>
      <c r="P131" s="733">
        <v>41</v>
      </c>
      <c r="Q131" s="733">
        <v>109</v>
      </c>
      <c r="R131" s="733">
        <v>330</v>
      </c>
      <c r="S131" s="733">
        <v>122</v>
      </c>
      <c r="T131" s="733">
        <v>452</v>
      </c>
      <c r="U131" s="733">
        <v>330</v>
      </c>
      <c r="V131" s="733">
        <v>294</v>
      </c>
      <c r="W131" s="733">
        <v>624</v>
      </c>
      <c r="X131" s="733">
        <v>121</v>
      </c>
      <c r="Y131" s="733">
        <v>60</v>
      </c>
      <c r="Z131" s="733">
        <v>181</v>
      </c>
    </row>
    <row r="132" spans="1:26">
      <c r="A132" s="251">
        <v>128</v>
      </c>
      <c r="B132" s="136" t="s">
        <v>458</v>
      </c>
      <c r="C132" s="733">
        <v>4966</v>
      </c>
      <c r="D132" s="733">
        <v>9457</v>
      </c>
      <c r="E132" s="733">
        <v>14423</v>
      </c>
      <c r="F132" s="733">
        <v>1136</v>
      </c>
      <c r="G132" s="733">
        <v>2245</v>
      </c>
      <c r="H132" s="733">
        <v>3381</v>
      </c>
      <c r="I132" s="733">
        <v>71</v>
      </c>
      <c r="J132" s="733">
        <v>143</v>
      </c>
      <c r="K132" s="733">
        <v>214</v>
      </c>
      <c r="L132" s="733">
        <v>2858</v>
      </c>
      <c r="M132" s="733">
        <v>5874</v>
      </c>
      <c r="N132" s="733">
        <v>8732</v>
      </c>
      <c r="O132" s="733">
        <v>8</v>
      </c>
      <c r="P132" s="733">
        <v>3</v>
      </c>
      <c r="Q132" s="733">
        <v>11</v>
      </c>
      <c r="R132" s="733">
        <v>30</v>
      </c>
      <c r="S132" s="733">
        <v>24</v>
      </c>
      <c r="T132" s="733">
        <v>54</v>
      </c>
      <c r="U132" s="733">
        <v>70</v>
      </c>
      <c r="V132" s="733">
        <v>119</v>
      </c>
      <c r="W132" s="733">
        <v>189</v>
      </c>
      <c r="X132" s="733">
        <v>30</v>
      </c>
      <c r="Y132" s="733">
        <v>25</v>
      </c>
      <c r="Z132" s="733">
        <v>55</v>
      </c>
    </row>
    <row r="133" spans="1:26" ht="28">
      <c r="A133" s="251">
        <v>129</v>
      </c>
      <c r="B133" s="136" t="s">
        <v>466</v>
      </c>
      <c r="C133" s="733">
        <v>4039</v>
      </c>
      <c r="D133" s="733">
        <v>4865</v>
      </c>
      <c r="E133" s="733">
        <v>8904</v>
      </c>
      <c r="F133" s="733">
        <v>37</v>
      </c>
      <c r="G133" s="733">
        <v>16</v>
      </c>
      <c r="H133" s="733">
        <v>53</v>
      </c>
      <c r="I133" s="733">
        <v>50</v>
      </c>
      <c r="J133" s="733">
        <v>22</v>
      </c>
      <c r="K133" s="733">
        <v>72</v>
      </c>
      <c r="L133" s="733">
        <v>1388</v>
      </c>
      <c r="M133" s="733">
        <v>1468</v>
      </c>
      <c r="N133" s="733">
        <v>2856</v>
      </c>
      <c r="O133" s="733">
        <v>3</v>
      </c>
      <c r="P133" s="733">
        <v>0</v>
      </c>
      <c r="Q133" s="733">
        <v>3</v>
      </c>
      <c r="R133" s="733">
        <v>1977</v>
      </c>
      <c r="S133" s="733">
        <v>2476</v>
      </c>
      <c r="T133" s="733">
        <v>4453</v>
      </c>
      <c r="U133" s="733">
        <v>1</v>
      </c>
      <c r="V133" s="733">
        <v>0</v>
      </c>
      <c r="W133" s="733">
        <v>1</v>
      </c>
      <c r="X133" s="733">
        <v>23</v>
      </c>
      <c r="Y133" s="733">
        <v>19</v>
      </c>
      <c r="Z133" s="733">
        <v>42</v>
      </c>
    </row>
    <row r="134" spans="1:26">
      <c r="A134" s="251">
        <v>130</v>
      </c>
      <c r="B134" s="136" t="s">
        <v>465</v>
      </c>
      <c r="C134" s="733">
        <v>4386</v>
      </c>
      <c r="D134" s="733">
        <v>4146</v>
      </c>
      <c r="E134" s="733">
        <v>8532</v>
      </c>
      <c r="F134" s="733">
        <v>493</v>
      </c>
      <c r="G134" s="733">
        <v>392</v>
      </c>
      <c r="H134" s="733">
        <v>885</v>
      </c>
      <c r="I134" s="733">
        <v>58</v>
      </c>
      <c r="J134" s="733">
        <v>55</v>
      </c>
      <c r="K134" s="733">
        <v>113</v>
      </c>
      <c r="L134" s="733">
        <v>686</v>
      </c>
      <c r="M134" s="733">
        <v>450</v>
      </c>
      <c r="N134" s="733">
        <v>1136</v>
      </c>
      <c r="O134" s="733">
        <v>18</v>
      </c>
      <c r="P134" s="733">
        <v>6</v>
      </c>
      <c r="Q134" s="733">
        <v>24</v>
      </c>
      <c r="R134" s="733">
        <v>454</v>
      </c>
      <c r="S134" s="733">
        <v>360</v>
      </c>
      <c r="T134" s="733">
        <v>814</v>
      </c>
      <c r="U134" s="733">
        <v>452</v>
      </c>
      <c r="V134" s="733">
        <v>510</v>
      </c>
      <c r="W134" s="733">
        <v>962</v>
      </c>
      <c r="X134" s="733">
        <v>59</v>
      </c>
      <c r="Y134" s="733">
        <v>38</v>
      </c>
      <c r="Z134" s="733">
        <v>97</v>
      </c>
    </row>
    <row r="135" spans="1:26" ht="28">
      <c r="A135" s="251">
        <v>131</v>
      </c>
      <c r="B135" s="136" t="s">
        <v>467</v>
      </c>
      <c r="C135" s="733">
        <v>2882</v>
      </c>
      <c r="D135" s="733">
        <v>4853</v>
      </c>
      <c r="E135" s="733">
        <v>7735</v>
      </c>
      <c r="F135" s="733">
        <v>197</v>
      </c>
      <c r="G135" s="733">
        <v>322</v>
      </c>
      <c r="H135" s="733">
        <v>519</v>
      </c>
      <c r="I135" s="733">
        <v>79</v>
      </c>
      <c r="J135" s="733">
        <v>202</v>
      </c>
      <c r="K135" s="733">
        <v>281</v>
      </c>
      <c r="L135" s="733">
        <v>777</v>
      </c>
      <c r="M135" s="733">
        <v>1480</v>
      </c>
      <c r="N135" s="733">
        <v>2257</v>
      </c>
      <c r="O135" s="733">
        <v>32</v>
      </c>
      <c r="P135" s="733">
        <v>1</v>
      </c>
      <c r="Q135" s="733">
        <v>33</v>
      </c>
      <c r="R135" s="733">
        <v>279</v>
      </c>
      <c r="S135" s="733">
        <v>298</v>
      </c>
      <c r="T135" s="733">
        <v>577</v>
      </c>
      <c r="U135" s="733">
        <v>71</v>
      </c>
      <c r="V135" s="733">
        <v>83</v>
      </c>
      <c r="W135" s="733">
        <v>154</v>
      </c>
      <c r="X135" s="733">
        <v>16</v>
      </c>
      <c r="Y135" s="733">
        <v>41</v>
      </c>
      <c r="Z135" s="733">
        <v>57</v>
      </c>
    </row>
    <row r="136" spans="1:26" ht="28">
      <c r="A136" s="251">
        <v>132</v>
      </c>
      <c r="B136" s="136" t="s">
        <v>470</v>
      </c>
      <c r="C136" s="733">
        <v>2544</v>
      </c>
      <c r="D136" s="733">
        <v>4242</v>
      </c>
      <c r="E136" s="733">
        <v>6786</v>
      </c>
      <c r="F136" s="733">
        <v>354</v>
      </c>
      <c r="G136" s="733">
        <v>485</v>
      </c>
      <c r="H136" s="733">
        <v>839</v>
      </c>
      <c r="I136" s="733">
        <v>113</v>
      </c>
      <c r="J136" s="733">
        <v>115</v>
      </c>
      <c r="K136" s="733">
        <v>228</v>
      </c>
      <c r="L136" s="733">
        <v>951</v>
      </c>
      <c r="M136" s="733">
        <v>1995</v>
      </c>
      <c r="N136" s="733">
        <v>2946</v>
      </c>
      <c r="O136" s="733">
        <v>1</v>
      </c>
      <c r="P136" s="733">
        <v>0</v>
      </c>
      <c r="Q136" s="733">
        <v>1</v>
      </c>
      <c r="R136" s="733">
        <v>39</v>
      </c>
      <c r="S136" s="733">
        <v>37</v>
      </c>
      <c r="T136" s="733">
        <v>76</v>
      </c>
      <c r="U136" s="733">
        <v>2</v>
      </c>
      <c r="V136" s="733">
        <v>14</v>
      </c>
      <c r="W136" s="733">
        <v>16</v>
      </c>
      <c r="X136" s="733">
        <v>1</v>
      </c>
      <c r="Y136" s="733">
        <v>0</v>
      </c>
      <c r="Z136" s="733">
        <v>1</v>
      </c>
    </row>
    <row r="137" spans="1:26" ht="28">
      <c r="A137" s="251">
        <v>133</v>
      </c>
      <c r="B137" s="136" t="s">
        <v>464</v>
      </c>
      <c r="C137" s="733">
        <v>3123</v>
      </c>
      <c r="D137" s="733">
        <v>3229</v>
      </c>
      <c r="E137" s="733">
        <v>6352</v>
      </c>
      <c r="F137" s="733">
        <v>368</v>
      </c>
      <c r="G137" s="733">
        <v>329</v>
      </c>
      <c r="H137" s="733">
        <v>697</v>
      </c>
      <c r="I137" s="733">
        <v>146</v>
      </c>
      <c r="J137" s="733">
        <v>194</v>
      </c>
      <c r="K137" s="733">
        <v>340</v>
      </c>
      <c r="L137" s="733">
        <v>850</v>
      </c>
      <c r="M137" s="733">
        <v>927</v>
      </c>
      <c r="N137" s="733">
        <v>1777</v>
      </c>
      <c r="O137" s="733">
        <v>0</v>
      </c>
      <c r="P137" s="733">
        <v>1</v>
      </c>
      <c r="Q137" s="733">
        <v>1</v>
      </c>
      <c r="R137" s="733">
        <v>333</v>
      </c>
      <c r="S137" s="733">
        <v>332</v>
      </c>
      <c r="T137" s="733">
        <v>665</v>
      </c>
      <c r="U137" s="733">
        <v>12</v>
      </c>
      <c r="V137" s="733">
        <v>22</v>
      </c>
      <c r="W137" s="733">
        <v>34</v>
      </c>
      <c r="X137" s="733">
        <v>104</v>
      </c>
      <c r="Y137" s="733">
        <v>54</v>
      </c>
      <c r="Z137" s="733">
        <v>158</v>
      </c>
    </row>
    <row r="138" spans="1:26" ht="14.25" customHeight="1">
      <c r="A138" s="251">
        <v>134</v>
      </c>
      <c r="B138" s="136" t="s">
        <v>468</v>
      </c>
      <c r="C138" s="733">
        <v>2745</v>
      </c>
      <c r="D138" s="733">
        <v>3606</v>
      </c>
      <c r="E138" s="733">
        <v>6351</v>
      </c>
      <c r="F138" s="733">
        <v>373</v>
      </c>
      <c r="G138" s="733">
        <v>582</v>
      </c>
      <c r="H138" s="733">
        <v>955</v>
      </c>
      <c r="I138" s="733">
        <v>310</v>
      </c>
      <c r="J138" s="733">
        <v>639</v>
      </c>
      <c r="K138" s="733">
        <v>949</v>
      </c>
      <c r="L138" s="733">
        <v>734</v>
      </c>
      <c r="M138" s="733">
        <v>1404</v>
      </c>
      <c r="N138" s="733">
        <v>2138</v>
      </c>
      <c r="O138" s="733">
        <v>127</v>
      </c>
      <c r="P138" s="733">
        <v>5</v>
      </c>
      <c r="Q138" s="733">
        <v>132</v>
      </c>
      <c r="R138" s="733">
        <v>2</v>
      </c>
      <c r="S138" s="733">
        <v>1</v>
      </c>
      <c r="T138" s="733">
        <v>3</v>
      </c>
      <c r="U138" s="733">
        <v>12</v>
      </c>
      <c r="V138" s="733">
        <v>5</v>
      </c>
      <c r="W138" s="733">
        <v>17</v>
      </c>
      <c r="X138" s="733">
        <v>73</v>
      </c>
      <c r="Y138" s="733">
        <v>81</v>
      </c>
      <c r="Z138" s="733">
        <v>154</v>
      </c>
    </row>
    <row r="139" spans="1:26" ht="28">
      <c r="A139" s="251">
        <v>135</v>
      </c>
      <c r="B139" s="136" t="s">
        <v>475</v>
      </c>
      <c r="C139" s="733">
        <v>3103</v>
      </c>
      <c r="D139" s="733">
        <v>2728</v>
      </c>
      <c r="E139" s="733">
        <v>5831</v>
      </c>
      <c r="F139" s="733">
        <v>388</v>
      </c>
      <c r="G139" s="733">
        <v>377</v>
      </c>
      <c r="H139" s="733">
        <v>765</v>
      </c>
      <c r="I139" s="733">
        <v>264</v>
      </c>
      <c r="J139" s="733">
        <v>250</v>
      </c>
      <c r="K139" s="733">
        <v>514</v>
      </c>
      <c r="L139" s="733">
        <v>1368</v>
      </c>
      <c r="M139" s="733">
        <v>1322</v>
      </c>
      <c r="N139" s="733">
        <v>2690</v>
      </c>
      <c r="O139" s="733">
        <v>9</v>
      </c>
      <c r="P139" s="733">
        <v>5</v>
      </c>
      <c r="Q139" s="733">
        <v>14</v>
      </c>
      <c r="R139" s="733">
        <v>133</v>
      </c>
      <c r="S139" s="733">
        <v>180</v>
      </c>
      <c r="T139" s="733">
        <v>313</v>
      </c>
      <c r="U139" s="733">
        <v>117</v>
      </c>
      <c r="V139" s="733">
        <v>201</v>
      </c>
      <c r="W139" s="733">
        <v>318</v>
      </c>
      <c r="X139" s="733">
        <v>50</v>
      </c>
      <c r="Y139" s="733">
        <v>49</v>
      </c>
      <c r="Z139" s="733">
        <v>99</v>
      </c>
    </row>
    <row r="140" spans="1:26" ht="28">
      <c r="A140" s="251">
        <v>136</v>
      </c>
      <c r="B140" s="136" t="s">
        <v>484</v>
      </c>
      <c r="C140" s="733">
        <v>3352</v>
      </c>
      <c r="D140" s="733">
        <v>1800</v>
      </c>
      <c r="E140" s="733">
        <v>5152</v>
      </c>
      <c r="F140" s="733">
        <v>406</v>
      </c>
      <c r="G140" s="733">
        <v>231</v>
      </c>
      <c r="H140" s="733">
        <v>637</v>
      </c>
      <c r="I140" s="733">
        <v>293</v>
      </c>
      <c r="J140" s="733">
        <v>201</v>
      </c>
      <c r="K140" s="733">
        <v>494</v>
      </c>
      <c r="L140" s="733">
        <v>1161</v>
      </c>
      <c r="M140" s="733">
        <v>499</v>
      </c>
      <c r="N140" s="733">
        <v>1660</v>
      </c>
      <c r="O140" s="733">
        <v>17</v>
      </c>
      <c r="P140" s="733">
        <v>3</v>
      </c>
      <c r="Q140" s="733">
        <v>20</v>
      </c>
      <c r="R140" s="733">
        <v>273</v>
      </c>
      <c r="S140" s="733">
        <v>124</v>
      </c>
      <c r="T140" s="733">
        <v>397</v>
      </c>
      <c r="U140" s="733">
        <v>163</v>
      </c>
      <c r="V140" s="733">
        <v>82</v>
      </c>
      <c r="W140" s="733">
        <v>245</v>
      </c>
      <c r="X140" s="733">
        <v>41</v>
      </c>
      <c r="Y140" s="733">
        <v>25</v>
      </c>
      <c r="Z140" s="733">
        <v>66</v>
      </c>
    </row>
    <row r="141" spans="1:26" ht="28">
      <c r="A141" s="251">
        <v>137</v>
      </c>
      <c r="B141" s="136" t="s">
        <v>471</v>
      </c>
      <c r="C141" s="733">
        <v>2664</v>
      </c>
      <c r="D141" s="733">
        <v>2300</v>
      </c>
      <c r="E141" s="733">
        <v>4964</v>
      </c>
      <c r="F141" s="733">
        <v>351</v>
      </c>
      <c r="G141" s="733">
        <v>279</v>
      </c>
      <c r="H141" s="733">
        <v>630</v>
      </c>
      <c r="I141" s="733">
        <v>155</v>
      </c>
      <c r="J141" s="733">
        <v>142</v>
      </c>
      <c r="K141" s="733">
        <v>297</v>
      </c>
      <c r="L141" s="733">
        <v>784</v>
      </c>
      <c r="M141" s="733">
        <v>529</v>
      </c>
      <c r="N141" s="733">
        <v>1313</v>
      </c>
      <c r="O141" s="733">
        <v>25</v>
      </c>
      <c r="P141" s="733">
        <v>18</v>
      </c>
      <c r="Q141" s="733">
        <v>43</v>
      </c>
      <c r="R141" s="733">
        <v>13</v>
      </c>
      <c r="S141" s="733">
        <v>6</v>
      </c>
      <c r="T141" s="733">
        <v>19</v>
      </c>
      <c r="U141" s="733">
        <v>28</v>
      </c>
      <c r="V141" s="733">
        <v>20</v>
      </c>
      <c r="W141" s="733">
        <v>48</v>
      </c>
      <c r="X141" s="733">
        <v>10</v>
      </c>
      <c r="Y141" s="733">
        <v>3</v>
      </c>
      <c r="Z141" s="733">
        <v>13</v>
      </c>
    </row>
    <row r="142" spans="1:26" ht="28">
      <c r="A142" s="251">
        <v>138</v>
      </c>
      <c r="B142" s="136" t="s">
        <v>483</v>
      </c>
      <c r="C142" s="733">
        <v>2150</v>
      </c>
      <c r="D142" s="733">
        <v>2565</v>
      </c>
      <c r="E142" s="733">
        <v>4715</v>
      </c>
      <c r="F142" s="733">
        <v>157</v>
      </c>
      <c r="G142" s="733">
        <v>190</v>
      </c>
      <c r="H142" s="733">
        <v>347</v>
      </c>
      <c r="I142" s="733">
        <v>91</v>
      </c>
      <c r="J142" s="733">
        <v>112</v>
      </c>
      <c r="K142" s="733">
        <v>203</v>
      </c>
      <c r="L142" s="733">
        <v>771</v>
      </c>
      <c r="M142" s="733">
        <v>771</v>
      </c>
      <c r="N142" s="733">
        <v>1542</v>
      </c>
      <c r="O142" s="733">
        <v>0</v>
      </c>
      <c r="P142" s="733">
        <v>0</v>
      </c>
      <c r="Q142" s="733">
        <v>0</v>
      </c>
      <c r="R142" s="733">
        <v>196</v>
      </c>
      <c r="S142" s="733">
        <v>82</v>
      </c>
      <c r="T142" s="733">
        <v>278</v>
      </c>
      <c r="U142" s="733">
        <v>6</v>
      </c>
      <c r="V142" s="733">
        <v>7</v>
      </c>
      <c r="W142" s="733">
        <v>13</v>
      </c>
      <c r="X142" s="733">
        <v>51</v>
      </c>
      <c r="Y142" s="733">
        <v>64</v>
      </c>
      <c r="Z142" s="733">
        <v>115</v>
      </c>
    </row>
    <row r="143" spans="1:26">
      <c r="A143" s="251">
        <v>139</v>
      </c>
      <c r="B143" s="136" t="s">
        <v>488</v>
      </c>
      <c r="C143" s="733">
        <v>2623</v>
      </c>
      <c r="D143" s="733">
        <v>1971</v>
      </c>
      <c r="E143" s="733">
        <v>4594</v>
      </c>
      <c r="F143" s="733">
        <v>341</v>
      </c>
      <c r="G143" s="733">
        <v>195</v>
      </c>
      <c r="H143" s="733">
        <v>536</v>
      </c>
      <c r="I143" s="733">
        <v>207</v>
      </c>
      <c r="J143" s="733">
        <v>164</v>
      </c>
      <c r="K143" s="733">
        <v>371</v>
      </c>
      <c r="L143" s="733">
        <v>1259</v>
      </c>
      <c r="M143" s="733">
        <v>783</v>
      </c>
      <c r="N143" s="733">
        <v>2042</v>
      </c>
      <c r="O143" s="733">
        <v>0</v>
      </c>
      <c r="P143" s="733">
        <v>0</v>
      </c>
      <c r="Q143" s="733">
        <v>0</v>
      </c>
      <c r="R143" s="733">
        <v>46</v>
      </c>
      <c r="S143" s="733">
        <v>90</v>
      </c>
      <c r="T143" s="733">
        <v>136</v>
      </c>
      <c r="U143" s="733">
        <v>119</v>
      </c>
      <c r="V143" s="733">
        <v>91</v>
      </c>
      <c r="W143" s="733">
        <v>210</v>
      </c>
      <c r="X143" s="733">
        <v>70</v>
      </c>
      <c r="Y143" s="733">
        <v>65</v>
      </c>
      <c r="Z143" s="733">
        <v>135</v>
      </c>
    </row>
    <row r="144" spans="1:26">
      <c r="A144" s="251">
        <v>140</v>
      </c>
      <c r="B144" s="136" t="s">
        <v>506</v>
      </c>
      <c r="C144" s="733">
        <v>2472</v>
      </c>
      <c r="D144" s="733">
        <v>1931</v>
      </c>
      <c r="E144" s="733">
        <v>4403</v>
      </c>
      <c r="F144" s="733">
        <v>295</v>
      </c>
      <c r="G144" s="733">
        <v>202</v>
      </c>
      <c r="H144" s="733">
        <v>497</v>
      </c>
      <c r="I144" s="733">
        <v>145</v>
      </c>
      <c r="J144" s="733">
        <v>169</v>
      </c>
      <c r="K144" s="733">
        <v>314</v>
      </c>
      <c r="L144" s="733">
        <v>795</v>
      </c>
      <c r="M144" s="733">
        <v>566</v>
      </c>
      <c r="N144" s="733">
        <v>1361</v>
      </c>
      <c r="O144" s="733">
        <v>10</v>
      </c>
      <c r="P144" s="733">
        <v>24</v>
      </c>
      <c r="Q144" s="733">
        <v>34</v>
      </c>
      <c r="R144" s="733">
        <v>234</v>
      </c>
      <c r="S144" s="733">
        <v>153</v>
      </c>
      <c r="T144" s="733">
        <v>387</v>
      </c>
      <c r="U144" s="733">
        <v>29</v>
      </c>
      <c r="V144" s="733">
        <v>100</v>
      </c>
      <c r="W144" s="733">
        <v>129</v>
      </c>
      <c r="X144" s="733">
        <v>37</v>
      </c>
      <c r="Y144" s="733">
        <v>43</v>
      </c>
      <c r="Z144" s="733">
        <v>80</v>
      </c>
    </row>
    <row r="145" spans="1:26" ht="28">
      <c r="A145" s="251">
        <v>141</v>
      </c>
      <c r="B145" s="136" t="s">
        <v>472</v>
      </c>
      <c r="C145" s="733">
        <v>1121</v>
      </c>
      <c r="D145" s="733">
        <v>2697</v>
      </c>
      <c r="E145" s="733">
        <v>3818</v>
      </c>
      <c r="F145" s="733">
        <v>133</v>
      </c>
      <c r="G145" s="733">
        <v>268</v>
      </c>
      <c r="H145" s="733">
        <v>401</v>
      </c>
      <c r="I145" s="733">
        <v>25</v>
      </c>
      <c r="J145" s="733">
        <v>68</v>
      </c>
      <c r="K145" s="733">
        <v>93</v>
      </c>
      <c r="L145" s="733">
        <v>460</v>
      </c>
      <c r="M145" s="733">
        <v>898</v>
      </c>
      <c r="N145" s="733">
        <v>1358</v>
      </c>
      <c r="O145" s="733">
        <v>0</v>
      </c>
      <c r="P145" s="733">
        <v>1</v>
      </c>
      <c r="Q145" s="733">
        <v>1</v>
      </c>
      <c r="R145" s="733">
        <v>61</v>
      </c>
      <c r="S145" s="733">
        <v>81</v>
      </c>
      <c r="T145" s="733">
        <v>142</v>
      </c>
      <c r="U145" s="733">
        <v>77</v>
      </c>
      <c r="V145" s="733">
        <v>136</v>
      </c>
      <c r="W145" s="733">
        <v>213</v>
      </c>
      <c r="X145" s="733">
        <v>11</v>
      </c>
      <c r="Y145" s="733">
        <v>30</v>
      </c>
      <c r="Z145" s="733">
        <v>41</v>
      </c>
    </row>
    <row r="146" spans="1:26" ht="28">
      <c r="A146" s="251">
        <v>142</v>
      </c>
      <c r="B146" s="136" t="s">
        <v>477</v>
      </c>
      <c r="C146" s="733">
        <v>937</v>
      </c>
      <c r="D146" s="733">
        <v>2834</v>
      </c>
      <c r="E146" s="733">
        <v>3771</v>
      </c>
      <c r="F146" s="733">
        <v>76</v>
      </c>
      <c r="G146" s="733">
        <v>148</v>
      </c>
      <c r="H146" s="733">
        <v>224</v>
      </c>
      <c r="I146" s="733">
        <v>20</v>
      </c>
      <c r="J146" s="733">
        <v>55</v>
      </c>
      <c r="K146" s="733">
        <v>75</v>
      </c>
      <c r="L146" s="733">
        <v>356</v>
      </c>
      <c r="M146" s="733">
        <v>1005</v>
      </c>
      <c r="N146" s="733">
        <v>1361</v>
      </c>
      <c r="O146" s="733">
        <v>4</v>
      </c>
      <c r="P146" s="733">
        <v>6</v>
      </c>
      <c r="Q146" s="733">
        <v>10</v>
      </c>
      <c r="R146" s="733">
        <v>73</v>
      </c>
      <c r="S146" s="733">
        <v>276</v>
      </c>
      <c r="T146" s="733">
        <v>349</v>
      </c>
      <c r="U146" s="733">
        <v>46</v>
      </c>
      <c r="V146" s="733">
        <v>381</v>
      </c>
      <c r="W146" s="733">
        <v>427</v>
      </c>
      <c r="X146" s="733">
        <v>5</v>
      </c>
      <c r="Y146" s="733">
        <v>17</v>
      </c>
      <c r="Z146" s="733">
        <v>22</v>
      </c>
    </row>
    <row r="147" spans="1:26" ht="56">
      <c r="A147" s="251">
        <v>143</v>
      </c>
      <c r="B147" s="136" t="s">
        <v>476</v>
      </c>
      <c r="C147" s="733">
        <v>1430</v>
      </c>
      <c r="D147" s="733">
        <v>2160</v>
      </c>
      <c r="E147" s="733">
        <v>3590</v>
      </c>
      <c r="F147" s="733">
        <v>116</v>
      </c>
      <c r="G147" s="733">
        <v>280</v>
      </c>
      <c r="H147" s="733">
        <v>396</v>
      </c>
      <c r="I147" s="733">
        <v>44</v>
      </c>
      <c r="J147" s="733">
        <v>66</v>
      </c>
      <c r="K147" s="733">
        <v>110</v>
      </c>
      <c r="L147" s="733">
        <v>568</v>
      </c>
      <c r="M147" s="733">
        <v>823</v>
      </c>
      <c r="N147" s="733">
        <v>1391</v>
      </c>
      <c r="O147" s="733">
        <v>0</v>
      </c>
      <c r="P147" s="733">
        <v>0</v>
      </c>
      <c r="Q147" s="733">
        <v>0</v>
      </c>
      <c r="R147" s="733">
        <v>260</v>
      </c>
      <c r="S147" s="733">
        <v>195</v>
      </c>
      <c r="T147" s="733">
        <v>455</v>
      </c>
      <c r="U147" s="733">
        <v>84</v>
      </c>
      <c r="V147" s="733">
        <v>48</v>
      </c>
      <c r="W147" s="733">
        <v>132</v>
      </c>
      <c r="X147" s="733">
        <v>2</v>
      </c>
      <c r="Y147" s="733">
        <v>2</v>
      </c>
      <c r="Z147" s="733">
        <v>4</v>
      </c>
    </row>
    <row r="148" spans="1:26" ht="28">
      <c r="A148" s="251">
        <v>144</v>
      </c>
      <c r="B148" s="136" t="s">
        <v>473</v>
      </c>
      <c r="C148" s="733">
        <v>1378</v>
      </c>
      <c r="D148" s="733">
        <v>1796</v>
      </c>
      <c r="E148" s="733">
        <v>3174</v>
      </c>
      <c r="F148" s="733">
        <v>116</v>
      </c>
      <c r="G148" s="733">
        <v>135</v>
      </c>
      <c r="H148" s="733">
        <v>251</v>
      </c>
      <c r="I148" s="733">
        <v>26</v>
      </c>
      <c r="J148" s="733">
        <v>43</v>
      </c>
      <c r="K148" s="733">
        <v>69</v>
      </c>
      <c r="L148" s="733">
        <v>263</v>
      </c>
      <c r="M148" s="733">
        <v>237</v>
      </c>
      <c r="N148" s="733">
        <v>500</v>
      </c>
      <c r="O148" s="733">
        <v>1</v>
      </c>
      <c r="P148" s="733">
        <v>0</v>
      </c>
      <c r="Q148" s="733">
        <v>1</v>
      </c>
      <c r="R148" s="733">
        <v>58</v>
      </c>
      <c r="S148" s="733">
        <v>45</v>
      </c>
      <c r="T148" s="733">
        <v>103</v>
      </c>
      <c r="U148" s="733">
        <v>25</v>
      </c>
      <c r="V148" s="733">
        <v>27</v>
      </c>
      <c r="W148" s="733">
        <v>52</v>
      </c>
      <c r="X148" s="733">
        <v>0</v>
      </c>
      <c r="Y148" s="733">
        <v>0</v>
      </c>
      <c r="Z148" s="733">
        <v>0</v>
      </c>
    </row>
    <row r="149" spans="1:26" ht="28">
      <c r="A149" s="251">
        <v>145</v>
      </c>
      <c r="B149" s="136" t="s">
        <v>485</v>
      </c>
      <c r="C149" s="733">
        <v>775</v>
      </c>
      <c r="D149" s="733">
        <v>2394</v>
      </c>
      <c r="E149" s="733">
        <v>3169</v>
      </c>
      <c r="F149" s="733">
        <v>124</v>
      </c>
      <c r="G149" s="733">
        <v>399</v>
      </c>
      <c r="H149" s="733">
        <v>523</v>
      </c>
      <c r="I149" s="733">
        <v>12</v>
      </c>
      <c r="J149" s="733">
        <v>15</v>
      </c>
      <c r="K149" s="733">
        <v>27</v>
      </c>
      <c r="L149" s="733">
        <v>501</v>
      </c>
      <c r="M149" s="733">
        <v>1694</v>
      </c>
      <c r="N149" s="733">
        <v>2195</v>
      </c>
      <c r="O149" s="733">
        <v>1</v>
      </c>
      <c r="P149" s="733">
        <v>0</v>
      </c>
      <c r="Q149" s="733">
        <v>1</v>
      </c>
      <c r="R149" s="733">
        <v>12</v>
      </c>
      <c r="S149" s="733">
        <v>78</v>
      </c>
      <c r="T149" s="733">
        <v>90</v>
      </c>
      <c r="U149" s="733">
        <v>5</v>
      </c>
      <c r="V149" s="733">
        <v>31</v>
      </c>
      <c r="W149" s="733">
        <v>36</v>
      </c>
      <c r="X149" s="733">
        <v>43</v>
      </c>
      <c r="Y149" s="733">
        <v>89</v>
      </c>
      <c r="Z149" s="733">
        <v>132</v>
      </c>
    </row>
    <row r="150" spans="1:26">
      <c r="A150" s="251">
        <v>146</v>
      </c>
      <c r="B150" s="136" t="s">
        <v>480</v>
      </c>
      <c r="C150" s="733">
        <v>1731</v>
      </c>
      <c r="D150" s="733">
        <v>1313</v>
      </c>
      <c r="E150" s="733">
        <v>3044</v>
      </c>
      <c r="F150" s="733">
        <v>231</v>
      </c>
      <c r="G150" s="733">
        <v>79</v>
      </c>
      <c r="H150" s="733">
        <v>310</v>
      </c>
      <c r="I150" s="733">
        <v>140</v>
      </c>
      <c r="J150" s="733">
        <v>45</v>
      </c>
      <c r="K150" s="733">
        <v>185</v>
      </c>
      <c r="L150" s="733">
        <v>330</v>
      </c>
      <c r="M150" s="733">
        <v>173</v>
      </c>
      <c r="N150" s="733">
        <v>503</v>
      </c>
      <c r="O150" s="733">
        <v>3</v>
      </c>
      <c r="P150" s="733">
        <v>0</v>
      </c>
      <c r="Q150" s="733">
        <v>3</v>
      </c>
      <c r="R150" s="733">
        <v>31</v>
      </c>
      <c r="S150" s="733">
        <v>16</v>
      </c>
      <c r="T150" s="733">
        <v>47</v>
      </c>
      <c r="U150" s="733">
        <v>26</v>
      </c>
      <c r="V150" s="733">
        <v>45</v>
      </c>
      <c r="W150" s="733">
        <v>71</v>
      </c>
      <c r="X150" s="733">
        <v>17</v>
      </c>
      <c r="Y150" s="733">
        <v>17</v>
      </c>
      <c r="Z150" s="733">
        <v>34</v>
      </c>
    </row>
    <row r="151" spans="1:26" ht="28">
      <c r="A151" s="251">
        <v>147</v>
      </c>
      <c r="B151" s="136" t="s">
        <v>478</v>
      </c>
      <c r="C151" s="733">
        <v>1940</v>
      </c>
      <c r="D151" s="733">
        <v>996</v>
      </c>
      <c r="E151" s="733">
        <v>2936</v>
      </c>
      <c r="F151" s="733">
        <v>335</v>
      </c>
      <c r="G151" s="733">
        <v>231</v>
      </c>
      <c r="H151" s="733">
        <v>566</v>
      </c>
      <c r="I151" s="733">
        <v>129</v>
      </c>
      <c r="J151" s="733">
        <v>99</v>
      </c>
      <c r="K151" s="733">
        <v>228</v>
      </c>
      <c r="L151" s="733">
        <v>275</v>
      </c>
      <c r="M151" s="733">
        <v>94</v>
      </c>
      <c r="N151" s="733">
        <v>369</v>
      </c>
      <c r="O151" s="733">
        <v>0</v>
      </c>
      <c r="P151" s="733">
        <v>0</v>
      </c>
      <c r="Q151" s="733">
        <v>0</v>
      </c>
      <c r="R151" s="733">
        <v>101</v>
      </c>
      <c r="S151" s="733">
        <v>8</v>
      </c>
      <c r="T151" s="733">
        <v>109</v>
      </c>
      <c r="U151" s="733">
        <v>77</v>
      </c>
      <c r="V151" s="733">
        <v>24</v>
      </c>
      <c r="W151" s="733">
        <v>101</v>
      </c>
      <c r="X151" s="733">
        <v>5</v>
      </c>
      <c r="Y151" s="733">
        <v>2</v>
      </c>
      <c r="Z151" s="733">
        <v>7</v>
      </c>
    </row>
    <row r="152" spans="1:26" ht="14.25" customHeight="1">
      <c r="A152" s="251">
        <v>148</v>
      </c>
      <c r="B152" s="136" t="s">
        <v>900</v>
      </c>
      <c r="C152" s="733">
        <v>1376</v>
      </c>
      <c r="D152" s="733">
        <v>1185</v>
      </c>
      <c r="E152" s="733">
        <v>2561</v>
      </c>
      <c r="F152" s="733">
        <v>13</v>
      </c>
      <c r="G152" s="733">
        <v>15</v>
      </c>
      <c r="H152" s="733">
        <v>28</v>
      </c>
      <c r="I152" s="733">
        <v>29</v>
      </c>
      <c r="J152" s="733">
        <v>9</v>
      </c>
      <c r="K152" s="733">
        <v>38</v>
      </c>
      <c r="L152" s="733">
        <v>110</v>
      </c>
      <c r="M152" s="733">
        <v>24</v>
      </c>
      <c r="N152" s="733">
        <v>134</v>
      </c>
      <c r="O152" s="733">
        <v>0</v>
      </c>
      <c r="P152" s="733">
        <v>0</v>
      </c>
      <c r="Q152" s="733">
        <v>0</v>
      </c>
      <c r="R152" s="733">
        <v>1</v>
      </c>
      <c r="S152" s="733">
        <v>3</v>
      </c>
      <c r="T152" s="733">
        <v>4</v>
      </c>
      <c r="U152" s="733">
        <v>6</v>
      </c>
      <c r="V152" s="733">
        <v>5</v>
      </c>
      <c r="W152" s="733">
        <v>11</v>
      </c>
      <c r="X152" s="733">
        <v>0</v>
      </c>
      <c r="Y152" s="733">
        <v>0</v>
      </c>
      <c r="Z152" s="733">
        <v>0</v>
      </c>
    </row>
    <row r="153" spans="1:26" ht="28">
      <c r="A153" s="251">
        <v>149</v>
      </c>
      <c r="B153" s="136" t="s">
        <v>479</v>
      </c>
      <c r="C153" s="733">
        <v>517</v>
      </c>
      <c r="D153" s="733">
        <v>1890</v>
      </c>
      <c r="E153" s="733">
        <v>2407</v>
      </c>
      <c r="F153" s="733">
        <v>78</v>
      </c>
      <c r="G153" s="733">
        <v>237</v>
      </c>
      <c r="H153" s="733">
        <v>315</v>
      </c>
      <c r="I153" s="733">
        <v>23</v>
      </c>
      <c r="J153" s="733">
        <v>130</v>
      </c>
      <c r="K153" s="733">
        <v>153</v>
      </c>
      <c r="L153" s="733">
        <v>147</v>
      </c>
      <c r="M153" s="733">
        <v>453</v>
      </c>
      <c r="N153" s="733">
        <v>600</v>
      </c>
      <c r="O153" s="733">
        <v>2</v>
      </c>
      <c r="P153" s="733">
        <v>0</v>
      </c>
      <c r="Q153" s="733">
        <v>2</v>
      </c>
      <c r="R153" s="733">
        <v>20</v>
      </c>
      <c r="S153" s="733">
        <v>32</v>
      </c>
      <c r="T153" s="733">
        <v>52</v>
      </c>
      <c r="U153" s="733">
        <v>17</v>
      </c>
      <c r="V153" s="733">
        <v>101</v>
      </c>
      <c r="W153" s="733">
        <v>118</v>
      </c>
      <c r="X153" s="733">
        <v>11</v>
      </c>
      <c r="Y153" s="733">
        <v>16</v>
      </c>
      <c r="Z153" s="733">
        <v>27</v>
      </c>
    </row>
    <row r="154" spans="1:26">
      <c r="A154" s="251">
        <v>150</v>
      </c>
      <c r="B154" s="136" t="s">
        <v>482</v>
      </c>
      <c r="C154" s="733">
        <v>1073</v>
      </c>
      <c r="D154" s="733">
        <v>1273</v>
      </c>
      <c r="E154" s="733">
        <v>2346</v>
      </c>
      <c r="F154" s="733">
        <v>124</v>
      </c>
      <c r="G154" s="733">
        <v>169</v>
      </c>
      <c r="H154" s="733">
        <v>293</v>
      </c>
      <c r="I154" s="733">
        <v>269</v>
      </c>
      <c r="J154" s="733">
        <v>201</v>
      </c>
      <c r="K154" s="733">
        <v>470</v>
      </c>
      <c r="L154" s="733">
        <v>175</v>
      </c>
      <c r="M154" s="733">
        <v>272</v>
      </c>
      <c r="N154" s="733">
        <v>447</v>
      </c>
      <c r="O154" s="733">
        <v>29</v>
      </c>
      <c r="P154" s="733">
        <v>7</v>
      </c>
      <c r="Q154" s="733">
        <v>36</v>
      </c>
      <c r="R154" s="733">
        <v>5</v>
      </c>
      <c r="S154" s="733">
        <v>2</v>
      </c>
      <c r="T154" s="733">
        <v>7</v>
      </c>
      <c r="U154" s="733">
        <v>88</v>
      </c>
      <c r="V154" s="733">
        <v>135</v>
      </c>
      <c r="W154" s="733">
        <v>223</v>
      </c>
      <c r="X154" s="733">
        <v>19</v>
      </c>
      <c r="Y154" s="733">
        <v>27</v>
      </c>
      <c r="Z154" s="733">
        <v>46</v>
      </c>
    </row>
    <row r="155" spans="1:26" ht="14.25" customHeight="1">
      <c r="A155" s="251">
        <v>151</v>
      </c>
      <c r="B155" s="136" t="s">
        <v>486</v>
      </c>
      <c r="C155" s="733">
        <v>1065</v>
      </c>
      <c r="D155" s="733">
        <v>762</v>
      </c>
      <c r="E155" s="733">
        <v>1827</v>
      </c>
      <c r="F155" s="733">
        <v>149</v>
      </c>
      <c r="G155" s="733">
        <v>170</v>
      </c>
      <c r="H155" s="733">
        <v>319</v>
      </c>
      <c r="I155" s="733">
        <v>30</v>
      </c>
      <c r="J155" s="733">
        <v>14</v>
      </c>
      <c r="K155" s="733">
        <v>44</v>
      </c>
      <c r="L155" s="733">
        <v>112</v>
      </c>
      <c r="M155" s="733">
        <v>54</v>
      </c>
      <c r="N155" s="733">
        <v>166</v>
      </c>
      <c r="O155" s="733">
        <v>0</v>
      </c>
      <c r="P155" s="733">
        <v>0</v>
      </c>
      <c r="Q155" s="733">
        <v>0</v>
      </c>
      <c r="R155" s="733">
        <v>24</v>
      </c>
      <c r="S155" s="733">
        <v>10</v>
      </c>
      <c r="T155" s="733">
        <v>34</v>
      </c>
      <c r="U155" s="733">
        <v>44</v>
      </c>
      <c r="V155" s="733">
        <v>74</v>
      </c>
      <c r="W155" s="733">
        <v>118</v>
      </c>
      <c r="X155" s="733">
        <v>66</v>
      </c>
      <c r="Y155" s="733">
        <v>35</v>
      </c>
      <c r="Z155" s="733">
        <v>101</v>
      </c>
    </row>
    <row r="156" spans="1:26" ht="28">
      <c r="A156" s="251">
        <v>152</v>
      </c>
      <c r="B156" s="136" t="s">
        <v>490</v>
      </c>
      <c r="C156" s="733">
        <v>1054</v>
      </c>
      <c r="D156" s="733">
        <v>463</v>
      </c>
      <c r="E156" s="733">
        <v>1517</v>
      </c>
      <c r="F156" s="733">
        <v>55</v>
      </c>
      <c r="G156" s="733">
        <v>54</v>
      </c>
      <c r="H156" s="733">
        <v>109</v>
      </c>
      <c r="I156" s="733">
        <v>48</v>
      </c>
      <c r="J156" s="733">
        <v>17</v>
      </c>
      <c r="K156" s="733">
        <v>65</v>
      </c>
      <c r="L156" s="733">
        <v>341</v>
      </c>
      <c r="M156" s="733">
        <v>123</v>
      </c>
      <c r="N156" s="733">
        <v>464</v>
      </c>
      <c r="O156" s="733">
        <v>1</v>
      </c>
      <c r="P156" s="733">
        <v>0</v>
      </c>
      <c r="Q156" s="733">
        <v>1</v>
      </c>
      <c r="R156" s="733">
        <v>29</v>
      </c>
      <c r="S156" s="733">
        <v>10</v>
      </c>
      <c r="T156" s="733">
        <v>39</v>
      </c>
      <c r="U156" s="733">
        <v>36</v>
      </c>
      <c r="V156" s="733">
        <v>25</v>
      </c>
      <c r="W156" s="733">
        <v>61</v>
      </c>
      <c r="X156" s="733">
        <v>9</v>
      </c>
      <c r="Y156" s="733">
        <v>6</v>
      </c>
      <c r="Z156" s="733">
        <v>15</v>
      </c>
    </row>
    <row r="157" spans="1:26" ht="28">
      <c r="A157" s="251">
        <v>153</v>
      </c>
      <c r="B157" s="136" t="s">
        <v>497</v>
      </c>
      <c r="C157" s="733">
        <v>684</v>
      </c>
      <c r="D157" s="733">
        <v>381</v>
      </c>
      <c r="E157" s="733">
        <v>1065</v>
      </c>
      <c r="F157" s="733">
        <v>31</v>
      </c>
      <c r="G157" s="733">
        <v>27</v>
      </c>
      <c r="H157" s="733">
        <v>58</v>
      </c>
      <c r="I157" s="733">
        <v>8</v>
      </c>
      <c r="J157" s="733">
        <v>13</v>
      </c>
      <c r="K157" s="733">
        <v>21</v>
      </c>
      <c r="L157" s="733">
        <v>89</v>
      </c>
      <c r="M157" s="733">
        <v>66</v>
      </c>
      <c r="N157" s="733">
        <v>155</v>
      </c>
      <c r="O157" s="733">
        <v>0</v>
      </c>
      <c r="P157" s="733">
        <v>0</v>
      </c>
      <c r="Q157" s="733">
        <v>0</v>
      </c>
      <c r="R157" s="733">
        <v>28</v>
      </c>
      <c r="S157" s="733">
        <v>64</v>
      </c>
      <c r="T157" s="733">
        <v>92</v>
      </c>
      <c r="U157" s="733">
        <v>4</v>
      </c>
      <c r="V157" s="733">
        <v>4</v>
      </c>
      <c r="W157" s="733">
        <v>8</v>
      </c>
      <c r="X157" s="733">
        <v>7</v>
      </c>
      <c r="Y157" s="733">
        <v>0</v>
      </c>
      <c r="Z157" s="733">
        <v>7</v>
      </c>
    </row>
    <row r="158" spans="1:26" ht="42">
      <c r="A158" s="251">
        <v>154</v>
      </c>
      <c r="B158" s="136" t="s">
        <v>489</v>
      </c>
      <c r="C158" s="733">
        <v>328</v>
      </c>
      <c r="D158" s="733">
        <v>652</v>
      </c>
      <c r="E158" s="733">
        <v>980</v>
      </c>
      <c r="F158" s="733">
        <v>38</v>
      </c>
      <c r="G158" s="733">
        <v>40</v>
      </c>
      <c r="H158" s="733">
        <v>78</v>
      </c>
      <c r="I158" s="733">
        <v>13</v>
      </c>
      <c r="J158" s="733">
        <v>4</v>
      </c>
      <c r="K158" s="733">
        <v>17</v>
      </c>
      <c r="L158" s="733">
        <v>102</v>
      </c>
      <c r="M158" s="733">
        <v>143</v>
      </c>
      <c r="N158" s="733">
        <v>245</v>
      </c>
      <c r="O158" s="733">
        <v>0</v>
      </c>
      <c r="P158" s="733">
        <v>0</v>
      </c>
      <c r="Q158" s="733">
        <v>0</v>
      </c>
      <c r="R158" s="733">
        <v>9</v>
      </c>
      <c r="S158" s="733">
        <v>4</v>
      </c>
      <c r="T158" s="733">
        <v>13</v>
      </c>
      <c r="U158" s="733">
        <v>2</v>
      </c>
      <c r="V158" s="733">
        <v>4</v>
      </c>
      <c r="W158" s="733">
        <v>6</v>
      </c>
      <c r="X158" s="733">
        <v>0</v>
      </c>
      <c r="Y158" s="733">
        <v>0</v>
      </c>
      <c r="Z158" s="733">
        <v>0</v>
      </c>
    </row>
    <row r="159" spans="1:26">
      <c r="A159" s="251">
        <v>155</v>
      </c>
      <c r="B159" s="136" t="s">
        <v>901</v>
      </c>
      <c r="C159" s="733">
        <v>98</v>
      </c>
      <c r="D159" s="733">
        <v>852</v>
      </c>
      <c r="E159" s="733">
        <v>950</v>
      </c>
      <c r="F159" s="733">
        <v>24</v>
      </c>
      <c r="G159" s="733">
        <v>84</v>
      </c>
      <c r="H159" s="733">
        <v>108</v>
      </c>
      <c r="I159" s="733">
        <v>1</v>
      </c>
      <c r="J159" s="733">
        <v>24</v>
      </c>
      <c r="K159" s="733">
        <v>25</v>
      </c>
      <c r="L159" s="733">
        <v>12</v>
      </c>
      <c r="M159" s="733">
        <v>131</v>
      </c>
      <c r="N159" s="733">
        <v>143</v>
      </c>
      <c r="O159" s="733">
        <v>0</v>
      </c>
      <c r="P159" s="733">
        <v>0</v>
      </c>
      <c r="Q159" s="733">
        <v>0</v>
      </c>
      <c r="R159" s="733">
        <v>9</v>
      </c>
      <c r="S159" s="733">
        <v>91</v>
      </c>
      <c r="T159" s="733">
        <v>100</v>
      </c>
      <c r="U159" s="733">
        <v>5</v>
      </c>
      <c r="V159" s="733">
        <v>14</v>
      </c>
      <c r="W159" s="733">
        <v>19</v>
      </c>
      <c r="X159" s="733">
        <v>4</v>
      </c>
      <c r="Y159" s="733">
        <v>44</v>
      </c>
      <c r="Z159" s="733">
        <v>48</v>
      </c>
    </row>
    <row r="160" spans="1:26">
      <c r="A160" s="251">
        <v>156</v>
      </c>
      <c r="B160" s="136" t="s">
        <v>487</v>
      </c>
      <c r="C160" s="733">
        <v>522</v>
      </c>
      <c r="D160" s="733">
        <v>413</v>
      </c>
      <c r="E160" s="733">
        <v>935</v>
      </c>
      <c r="F160" s="733">
        <v>74</v>
      </c>
      <c r="G160" s="733">
        <v>44</v>
      </c>
      <c r="H160" s="733">
        <v>118</v>
      </c>
      <c r="I160" s="733">
        <v>32</v>
      </c>
      <c r="J160" s="733">
        <v>26</v>
      </c>
      <c r="K160" s="733">
        <v>58</v>
      </c>
      <c r="L160" s="733">
        <v>138</v>
      </c>
      <c r="M160" s="733">
        <v>71</v>
      </c>
      <c r="N160" s="733">
        <v>209</v>
      </c>
      <c r="O160" s="733">
        <v>1</v>
      </c>
      <c r="P160" s="733">
        <v>1</v>
      </c>
      <c r="Q160" s="733">
        <v>2</v>
      </c>
      <c r="R160" s="733">
        <v>8</v>
      </c>
      <c r="S160" s="733">
        <v>7</v>
      </c>
      <c r="T160" s="733">
        <v>15</v>
      </c>
      <c r="U160" s="733">
        <v>10</v>
      </c>
      <c r="V160" s="733">
        <v>11</v>
      </c>
      <c r="W160" s="733">
        <v>21</v>
      </c>
      <c r="X160" s="733">
        <v>19</v>
      </c>
      <c r="Y160" s="733">
        <v>10</v>
      </c>
      <c r="Z160" s="733">
        <v>29</v>
      </c>
    </row>
    <row r="161" spans="1:26" ht="28">
      <c r="A161" s="251">
        <v>157</v>
      </c>
      <c r="B161" s="136" t="s">
        <v>508</v>
      </c>
      <c r="C161" s="733">
        <v>361</v>
      </c>
      <c r="D161" s="733">
        <v>482</v>
      </c>
      <c r="E161" s="733">
        <v>843</v>
      </c>
      <c r="F161" s="733">
        <v>24</v>
      </c>
      <c r="G161" s="733">
        <v>33</v>
      </c>
      <c r="H161" s="733">
        <v>57</v>
      </c>
      <c r="I161" s="733">
        <v>13</v>
      </c>
      <c r="J161" s="733">
        <v>30</v>
      </c>
      <c r="K161" s="733">
        <v>43</v>
      </c>
      <c r="L161" s="733">
        <v>195</v>
      </c>
      <c r="M161" s="733">
        <v>198</v>
      </c>
      <c r="N161" s="733">
        <v>393</v>
      </c>
      <c r="O161" s="733">
        <v>0</v>
      </c>
      <c r="P161" s="733">
        <v>0</v>
      </c>
      <c r="Q161" s="733">
        <v>0</v>
      </c>
      <c r="R161" s="733">
        <v>6</v>
      </c>
      <c r="S161" s="733">
        <v>1</v>
      </c>
      <c r="T161" s="733">
        <v>7</v>
      </c>
      <c r="U161" s="733">
        <v>10</v>
      </c>
      <c r="V161" s="733">
        <v>28</v>
      </c>
      <c r="W161" s="733">
        <v>38</v>
      </c>
      <c r="X161" s="733">
        <v>1</v>
      </c>
      <c r="Y161" s="733">
        <v>1</v>
      </c>
      <c r="Z161" s="733">
        <v>2</v>
      </c>
    </row>
    <row r="162" spans="1:26" ht="28">
      <c r="A162" s="251">
        <v>158</v>
      </c>
      <c r="B162" s="136" t="s">
        <v>498</v>
      </c>
      <c r="C162" s="733">
        <v>608</v>
      </c>
      <c r="D162" s="733">
        <v>197</v>
      </c>
      <c r="E162" s="733">
        <v>805</v>
      </c>
      <c r="F162" s="733">
        <v>72</v>
      </c>
      <c r="G162" s="733">
        <v>27</v>
      </c>
      <c r="H162" s="733">
        <v>99</v>
      </c>
      <c r="I162" s="733">
        <v>13</v>
      </c>
      <c r="J162" s="733">
        <v>0</v>
      </c>
      <c r="K162" s="733">
        <v>13</v>
      </c>
      <c r="L162" s="733">
        <v>228</v>
      </c>
      <c r="M162" s="733">
        <v>76</v>
      </c>
      <c r="N162" s="733">
        <v>304</v>
      </c>
      <c r="O162" s="733">
        <v>0</v>
      </c>
      <c r="P162" s="733">
        <v>1</v>
      </c>
      <c r="Q162" s="733">
        <v>1</v>
      </c>
      <c r="R162" s="733">
        <v>1</v>
      </c>
      <c r="S162" s="733">
        <v>1</v>
      </c>
      <c r="T162" s="733">
        <v>2</v>
      </c>
      <c r="U162" s="733">
        <v>0</v>
      </c>
      <c r="V162" s="733">
        <v>0</v>
      </c>
      <c r="W162" s="733">
        <v>0</v>
      </c>
      <c r="X162" s="733">
        <v>8</v>
      </c>
      <c r="Y162" s="733">
        <v>8</v>
      </c>
      <c r="Z162" s="733">
        <v>16</v>
      </c>
    </row>
    <row r="163" spans="1:26">
      <c r="A163" s="251">
        <v>159</v>
      </c>
      <c r="B163" s="136" t="s">
        <v>902</v>
      </c>
      <c r="C163" s="733">
        <v>344</v>
      </c>
      <c r="D163" s="733">
        <v>277</v>
      </c>
      <c r="E163" s="733">
        <v>621</v>
      </c>
      <c r="F163" s="733">
        <v>7</v>
      </c>
      <c r="G163" s="733">
        <v>5</v>
      </c>
      <c r="H163" s="733">
        <v>12</v>
      </c>
      <c r="I163" s="733">
        <v>1</v>
      </c>
      <c r="J163" s="733">
        <v>5</v>
      </c>
      <c r="K163" s="733">
        <v>6</v>
      </c>
      <c r="L163" s="733">
        <v>118</v>
      </c>
      <c r="M163" s="733">
        <v>106</v>
      </c>
      <c r="N163" s="733">
        <v>224</v>
      </c>
      <c r="O163" s="733">
        <v>0</v>
      </c>
      <c r="P163" s="733">
        <v>0</v>
      </c>
      <c r="Q163" s="733">
        <v>0</v>
      </c>
      <c r="R163" s="733">
        <v>138</v>
      </c>
      <c r="S163" s="733">
        <v>58</v>
      </c>
      <c r="T163" s="733">
        <v>196</v>
      </c>
      <c r="U163" s="733">
        <v>38</v>
      </c>
      <c r="V163" s="733">
        <v>11</v>
      </c>
      <c r="W163" s="733">
        <v>49</v>
      </c>
      <c r="X163" s="733">
        <v>2</v>
      </c>
      <c r="Y163" s="733">
        <v>4</v>
      </c>
      <c r="Z163" s="733">
        <v>6</v>
      </c>
    </row>
    <row r="164" spans="1:26" ht="28">
      <c r="A164" s="251">
        <v>160</v>
      </c>
      <c r="B164" s="136" t="s">
        <v>493</v>
      </c>
      <c r="C164" s="733">
        <v>368</v>
      </c>
      <c r="D164" s="733">
        <v>245</v>
      </c>
      <c r="E164" s="733">
        <v>613</v>
      </c>
      <c r="F164" s="733">
        <v>7</v>
      </c>
      <c r="G164" s="733">
        <v>6</v>
      </c>
      <c r="H164" s="733">
        <v>13</v>
      </c>
      <c r="I164" s="733">
        <v>29</v>
      </c>
      <c r="J164" s="733">
        <v>17</v>
      </c>
      <c r="K164" s="733">
        <v>46</v>
      </c>
      <c r="L164" s="733">
        <v>64</v>
      </c>
      <c r="M164" s="733">
        <v>50</v>
      </c>
      <c r="N164" s="733">
        <v>114</v>
      </c>
      <c r="O164" s="733">
        <v>0</v>
      </c>
      <c r="P164" s="733">
        <v>0</v>
      </c>
      <c r="Q164" s="733">
        <v>0</v>
      </c>
      <c r="R164" s="733">
        <v>15</v>
      </c>
      <c r="S164" s="733">
        <v>12</v>
      </c>
      <c r="T164" s="733">
        <v>27</v>
      </c>
      <c r="U164" s="733">
        <v>25</v>
      </c>
      <c r="V164" s="733">
        <v>13</v>
      </c>
      <c r="W164" s="733">
        <v>38</v>
      </c>
      <c r="X164" s="733">
        <v>0</v>
      </c>
      <c r="Y164" s="733">
        <v>0</v>
      </c>
      <c r="Z164" s="733">
        <v>0</v>
      </c>
    </row>
    <row r="165" spans="1:26" ht="28">
      <c r="A165" s="251">
        <v>161</v>
      </c>
      <c r="B165" s="136" t="s">
        <v>496</v>
      </c>
      <c r="C165" s="733">
        <v>212</v>
      </c>
      <c r="D165" s="733">
        <v>395</v>
      </c>
      <c r="E165" s="733">
        <v>607</v>
      </c>
      <c r="F165" s="733">
        <v>18</v>
      </c>
      <c r="G165" s="733">
        <v>49</v>
      </c>
      <c r="H165" s="733">
        <v>67</v>
      </c>
      <c r="I165" s="733">
        <v>8</v>
      </c>
      <c r="J165" s="733">
        <v>21</v>
      </c>
      <c r="K165" s="733">
        <v>29</v>
      </c>
      <c r="L165" s="733">
        <v>72</v>
      </c>
      <c r="M165" s="733">
        <v>122</v>
      </c>
      <c r="N165" s="733">
        <v>194</v>
      </c>
      <c r="O165" s="733">
        <v>3</v>
      </c>
      <c r="P165" s="733">
        <v>0</v>
      </c>
      <c r="Q165" s="733">
        <v>3</v>
      </c>
      <c r="R165" s="733">
        <v>38</v>
      </c>
      <c r="S165" s="733">
        <v>42</v>
      </c>
      <c r="T165" s="733">
        <v>80</v>
      </c>
      <c r="U165" s="733">
        <v>0</v>
      </c>
      <c r="V165" s="733">
        <v>0</v>
      </c>
      <c r="W165" s="733">
        <v>0</v>
      </c>
      <c r="X165" s="733">
        <v>0</v>
      </c>
      <c r="Y165" s="733">
        <v>3</v>
      </c>
      <c r="Z165" s="733">
        <v>3</v>
      </c>
    </row>
    <row r="166" spans="1:26" ht="28">
      <c r="A166" s="251">
        <v>162</v>
      </c>
      <c r="B166" s="136" t="s">
        <v>491</v>
      </c>
      <c r="C166" s="733">
        <v>399</v>
      </c>
      <c r="D166" s="733">
        <v>207</v>
      </c>
      <c r="E166" s="733">
        <v>606</v>
      </c>
      <c r="F166" s="733">
        <v>42</v>
      </c>
      <c r="G166" s="733">
        <v>34</v>
      </c>
      <c r="H166" s="733">
        <v>76</v>
      </c>
      <c r="I166" s="733">
        <v>21</v>
      </c>
      <c r="J166" s="733">
        <v>12</v>
      </c>
      <c r="K166" s="733">
        <v>33</v>
      </c>
      <c r="L166" s="733">
        <v>106</v>
      </c>
      <c r="M166" s="733">
        <v>90</v>
      </c>
      <c r="N166" s="733">
        <v>196</v>
      </c>
      <c r="O166" s="733">
        <v>2</v>
      </c>
      <c r="P166" s="733">
        <v>1</v>
      </c>
      <c r="Q166" s="733">
        <v>3</v>
      </c>
      <c r="R166" s="733">
        <v>0</v>
      </c>
      <c r="S166" s="733">
        <v>0</v>
      </c>
      <c r="T166" s="733">
        <v>0</v>
      </c>
      <c r="U166" s="733">
        <v>0</v>
      </c>
      <c r="V166" s="733">
        <v>0</v>
      </c>
      <c r="W166" s="733">
        <v>0</v>
      </c>
      <c r="X166" s="733">
        <v>26</v>
      </c>
      <c r="Y166" s="733">
        <v>11</v>
      </c>
      <c r="Z166" s="733">
        <v>37</v>
      </c>
    </row>
    <row r="167" spans="1:26">
      <c r="A167" s="251">
        <v>163</v>
      </c>
      <c r="B167" s="136" t="s">
        <v>492</v>
      </c>
      <c r="C167" s="733">
        <v>403</v>
      </c>
      <c r="D167" s="733">
        <v>183</v>
      </c>
      <c r="E167" s="733">
        <v>586</v>
      </c>
      <c r="F167" s="733">
        <v>106</v>
      </c>
      <c r="G167" s="733">
        <v>66</v>
      </c>
      <c r="H167" s="733">
        <v>172</v>
      </c>
      <c r="I167" s="733">
        <v>13</v>
      </c>
      <c r="J167" s="733">
        <v>19</v>
      </c>
      <c r="K167" s="733">
        <v>32</v>
      </c>
      <c r="L167" s="733">
        <v>238</v>
      </c>
      <c r="M167" s="733">
        <v>76</v>
      </c>
      <c r="N167" s="733">
        <v>314</v>
      </c>
      <c r="O167" s="733">
        <v>1</v>
      </c>
      <c r="P167" s="733">
        <v>0</v>
      </c>
      <c r="Q167" s="733">
        <v>1</v>
      </c>
      <c r="R167" s="733">
        <v>0</v>
      </c>
      <c r="S167" s="733">
        <v>0</v>
      </c>
      <c r="T167" s="733">
        <v>0</v>
      </c>
      <c r="U167" s="733">
        <v>0</v>
      </c>
      <c r="V167" s="733">
        <v>0</v>
      </c>
      <c r="W167" s="733">
        <v>0</v>
      </c>
      <c r="X167" s="733">
        <v>10</v>
      </c>
      <c r="Y167" s="733">
        <v>1</v>
      </c>
      <c r="Z167" s="733">
        <v>11</v>
      </c>
    </row>
    <row r="168" spans="1:26" ht="28">
      <c r="A168" s="251">
        <v>164</v>
      </c>
      <c r="B168" s="136" t="s">
        <v>495</v>
      </c>
      <c r="C168" s="733">
        <v>330</v>
      </c>
      <c r="D168" s="733">
        <v>79</v>
      </c>
      <c r="E168" s="733">
        <v>409</v>
      </c>
      <c r="F168" s="733">
        <v>49</v>
      </c>
      <c r="G168" s="733">
        <v>15</v>
      </c>
      <c r="H168" s="733">
        <v>64</v>
      </c>
      <c r="I168" s="733">
        <v>1</v>
      </c>
      <c r="J168" s="733">
        <v>0</v>
      </c>
      <c r="K168" s="733">
        <v>1</v>
      </c>
      <c r="L168" s="733">
        <v>184</v>
      </c>
      <c r="M168" s="733">
        <v>36</v>
      </c>
      <c r="N168" s="733">
        <v>220</v>
      </c>
      <c r="O168" s="733">
        <v>0</v>
      </c>
      <c r="P168" s="733">
        <v>0</v>
      </c>
      <c r="Q168" s="733">
        <v>0</v>
      </c>
      <c r="R168" s="733">
        <v>15</v>
      </c>
      <c r="S168" s="733">
        <v>0</v>
      </c>
      <c r="T168" s="733">
        <v>15</v>
      </c>
      <c r="U168" s="733">
        <v>2</v>
      </c>
      <c r="V168" s="733">
        <v>0</v>
      </c>
      <c r="W168" s="733">
        <v>2</v>
      </c>
      <c r="X168" s="733">
        <v>10</v>
      </c>
      <c r="Y168" s="733">
        <v>3</v>
      </c>
      <c r="Z168" s="733">
        <v>13</v>
      </c>
    </row>
    <row r="169" spans="1:26" ht="28">
      <c r="A169" s="251">
        <v>165</v>
      </c>
      <c r="B169" s="136" t="s">
        <v>501</v>
      </c>
      <c r="C169" s="733">
        <v>365</v>
      </c>
      <c r="D169" s="733">
        <v>0</v>
      </c>
      <c r="E169" s="733">
        <v>365</v>
      </c>
      <c r="F169" s="733">
        <v>61</v>
      </c>
      <c r="G169" s="733">
        <v>0</v>
      </c>
      <c r="H169" s="733">
        <v>61</v>
      </c>
      <c r="I169" s="733">
        <v>38</v>
      </c>
      <c r="J169" s="733">
        <v>0</v>
      </c>
      <c r="K169" s="733">
        <v>38</v>
      </c>
      <c r="L169" s="733">
        <v>232</v>
      </c>
      <c r="M169" s="733">
        <v>0</v>
      </c>
      <c r="N169" s="733">
        <v>232</v>
      </c>
      <c r="O169" s="733">
        <v>0</v>
      </c>
      <c r="P169" s="733">
        <v>0</v>
      </c>
      <c r="Q169" s="733">
        <v>0</v>
      </c>
      <c r="R169" s="733">
        <v>0</v>
      </c>
      <c r="S169" s="733">
        <v>0</v>
      </c>
      <c r="T169" s="733">
        <v>0</v>
      </c>
      <c r="U169" s="733">
        <v>0</v>
      </c>
      <c r="V169" s="733">
        <v>0</v>
      </c>
      <c r="W169" s="733">
        <v>0</v>
      </c>
      <c r="X169" s="733">
        <v>5</v>
      </c>
      <c r="Y169" s="733">
        <v>0</v>
      </c>
      <c r="Z169" s="733">
        <v>5</v>
      </c>
    </row>
    <row r="170" spans="1:26" ht="32.25" customHeight="1">
      <c r="A170" s="251">
        <v>166</v>
      </c>
      <c r="B170" s="136" t="s">
        <v>502</v>
      </c>
      <c r="C170" s="733">
        <v>192</v>
      </c>
      <c r="D170" s="733">
        <v>125</v>
      </c>
      <c r="E170" s="733">
        <v>317</v>
      </c>
      <c r="F170" s="733">
        <v>5</v>
      </c>
      <c r="G170" s="733">
        <v>1</v>
      </c>
      <c r="H170" s="733">
        <v>6</v>
      </c>
      <c r="I170" s="733">
        <v>0</v>
      </c>
      <c r="J170" s="733">
        <v>0</v>
      </c>
      <c r="K170" s="733">
        <v>0</v>
      </c>
      <c r="L170" s="733">
        <v>33</v>
      </c>
      <c r="M170" s="733">
        <v>28</v>
      </c>
      <c r="N170" s="733">
        <v>61</v>
      </c>
      <c r="O170" s="733">
        <v>0</v>
      </c>
      <c r="P170" s="733">
        <v>0</v>
      </c>
      <c r="Q170" s="733">
        <v>0</v>
      </c>
      <c r="R170" s="733">
        <v>2</v>
      </c>
      <c r="S170" s="733">
        <v>2</v>
      </c>
      <c r="T170" s="733">
        <v>4</v>
      </c>
      <c r="U170" s="733">
        <v>7</v>
      </c>
      <c r="V170" s="733">
        <v>1</v>
      </c>
      <c r="W170" s="733">
        <v>8</v>
      </c>
      <c r="X170" s="733">
        <v>0</v>
      </c>
      <c r="Y170" s="733">
        <v>0</v>
      </c>
      <c r="Z170" s="733">
        <v>0</v>
      </c>
    </row>
    <row r="171" spans="1:26" ht="28">
      <c r="A171" s="251">
        <v>167</v>
      </c>
      <c r="B171" s="136" t="s">
        <v>499</v>
      </c>
      <c r="C171" s="733">
        <v>145</v>
      </c>
      <c r="D171" s="733">
        <v>53</v>
      </c>
      <c r="E171" s="733">
        <v>198</v>
      </c>
      <c r="F171" s="733">
        <v>12</v>
      </c>
      <c r="G171" s="733">
        <v>10</v>
      </c>
      <c r="H171" s="733">
        <v>22</v>
      </c>
      <c r="I171" s="733">
        <v>4</v>
      </c>
      <c r="J171" s="733">
        <v>0</v>
      </c>
      <c r="K171" s="733">
        <v>4</v>
      </c>
      <c r="L171" s="733">
        <v>64</v>
      </c>
      <c r="M171" s="733">
        <v>21</v>
      </c>
      <c r="N171" s="733">
        <v>85</v>
      </c>
      <c r="O171" s="733">
        <v>0</v>
      </c>
      <c r="P171" s="733">
        <v>0</v>
      </c>
      <c r="Q171" s="733">
        <v>0</v>
      </c>
      <c r="R171" s="733">
        <v>5</v>
      </c>
      <c r="S171" s="733">
        <v>0</v>
      </c>
      <c r="T171" s="733">
        <v>5</v>
      </c>
      <c r="U171" s="733">
        <v>0</v>
      </c>
      <c r="V171" s="733">
        <v>0</v>
      </c>
      <c r="W171" s="733">
        <v>0</v>
      </c>
      <c r="X171" s="733">
        <v>2</v>
      </c>
      <c r="Y171" s="733">
        <v>1</v>
      </c>
      <c r="Z171" s="733">
        <v>3</v>
      </c>
    </row>
    <row r="172" spans="1:26">
      <c r="A172" s="251">
        <v>168</v>
      </c>
      <c r="B172" s="136" t="s">
        <v>903</v>
      </c>
      <c r="C172" s="733">
        <v>85</v>
      </c>
      <c r="D172" s="733">
        <v>107</v>
      </c>
      <c r="E172" s="733">
        <v>192</v>
      </c>
      <c r="F172" s="733">
        <v>36</v>
      </c>
      <c r="G172" s="733">
        <v>16</v>
      </c>
      <c r="H172" s="733">
        <v>52</v>
      </c>
      <c r="I172" s="733">
        <v>9</v>
      </c>
      <c r="J172" s="733">
        <v>19</v>
      </c>
      <c r="K172" s="733">
        <v>28</v>
      </c>
      <c r="L172" s="733">
        <v>12</v>
      </c>
      <c r="M172" s="733">
        <v>18</v>
      </c>
      <c r="N172" s="733">
        <v>30</v>
      </c>
      <c r="O172" s="733">
        <v>0</v>
      </c>
      <c r="P172" s="733">
        <v>0</v>
      </c>
      <c r="Q172" s="733">
        <v>0</v>
      </c>
      <c r="R172" s="733">
        <v>0</v>
      </c>
      <c r="S172" s="733">
        <v>0</v>
      </c>
      <c r="T172" s="733">
        <v>0</v>
      </c>
      <c r="U172" s="733">
        <v>0</v>
      </c>
      <c r="V172" s="733">
        <v>0</v>
      </c>
      <c r="W172" s="733">
        <v>0</v>
      </c>
      <c r="X172" s="733">
        <v>0</v>
      </c>
      <c r="Y172" s="733">
        <v>0</v>
      </c>
      <c r="Z172" s="733">
        <v>0</v>
      </c>
    </row>
    <row r="173" spans="1:26">
      <c r="A173" s="251">
        <v>169</v>
      </c>
      <c r="B173" s="136" t="s">
        <v>904</v>
      </c>
      <c r="C173" s="733">
        <v>40</v>
      </c>
      <c r="D173" s="733">
        <v>139</v>
      </c>
      <c r="E173" s="733">
        <v>179</v>
      </c>
      <c r="F173" s="733">
        <v>12</v>
      </c>
      <c r="G173" s="733">
        <v>43</v>
      </c>
      <c r="H173" s="733">
        <v>55</v>
      </c>
      <c r="I173" s="733">
        <v>4</v>
      </c>
      <c r="J173" s="733">
        <v>1</v>
      </c>
      <c r="K173" s="733">
        <v>5</v>
      </c>
      <c r="L173" s="733">
        <v>15</v>
      </c>
      <c r="M173" s="733">
        <v>30</v>
      </c>
      <c r="N173" s="733">
        <v>45</v>
      </c>
      <c r="O173" s="733">
        <v>0</v>
      </c>
      <c r="P173" s="733">
        <v>0</v>
      </c>
      <c r="Q173" s="733">
        <v>0</v>
      </c>
      <c r="R173" s="733">
        <v>0</v>
      </c>
      <c r="S173" s="733">
        <v>0</v>
      </c>
      <c r="T173" s="733">
        <v>0</v>
      </c>
      <c r="U173" s="733">
        <v>0</v>
      </c>
      <c r="V173" s="733">
        <v>19</v>
      </c>
      <c r="W173" s="733">
        <v>19</v>
      </c>
      <c r="X173" s="733">
        <v>0</v>
      </c>
      <c r="Y173" s="733">
        <v>6</v>
      </c>
      <c r="Z173" s="733">
        <v>6</v>
      </c>
    </row>
    <row r="174" spans="1:26">
      <c r="A174" s="251">
        <v>170</v>
      </c>
      <c r="B174" s="136" t="s">
        <v>494</v>
      </c>
      <c r="C174" s="733">
        <v>111</v>
      </c>
      <c r="D174" s="733">
        <v>52</v>
      </c>
      <c r="E174" s="733">
        <v>163</v>
      </c>
      <c r="F174" s="733">
        <v>12</v>
      </c>
      <c r="G174" s="733">
        <v>14</v>
      </c>
      <c r="H174" s="733">
        <v>26</v>
      </c>
      <c r="I174" s="733">
        <v>3</v>
      </c>
      <c r="J174" s="733">
        <v>2</v>
      </c>
      <c r="K174" s="733">
        <v>5</v>
      </c>
      <c r="L174" s="733">
        <v>25</v>
      </c>
      <c r="M174" s="733">
        <v>29</v>
      </c>
      <c r="N174" s="733">
        <v>54</v>
      </c>
      <c r="O174" s="733">
        <v>0</v>
      </c>
      <c r="P174" s="733">
        <v>0</v>
      </c>
      <c r="Q174" s="733">
        <v>0</v>
      </c>
      <c r="R174" s="733">
        <v>1</v>
      </c>
      <c r="S174" s="733">
        <v>2</v>
      </c>
      <c r="T174" s="733">
        <v>3</v>
      </c>
      <c r="U174" s="733">
        <v>0</v>
      </c>
      <c r="V174" s="733">
        <v>0</v>
      </c>
      <c r="W174" s="733">
        <v>0</v>
      </c>
      <c r="X174" s="733">
        <v>0</v>
      </c>
      <c r="Y174" s="733">
        <v>0</v>
      </c>
      <c r="Z174" s="733">
        <v>0</v>
      </c>
    </row>
    <row r="175" spans="1:26">
      <c r="A175" s="251">
        <v>171</v>
      </c>
      <c r="B175" s="136" t="s">
        <v>906</v>
      </c>
      <c r="C175" s="733">
        <v>155</v>
      </c>
      <c r="D175" s="733">
        <v>2</v>
      </c>
      <c r="E175" s="733">
        <v>157</v>
      </c>
      <c r="F175" s="733">
        <v>21</v>
      </c>
      <c r="G175" s="733">
        <v>0</v>
      </c>
      <c r="H175" s="733">
        <v>21</v>
      </c>
      <c r="I175" s="733">
        <v>0</v>
      </c>
      <c r="J175" s="733">
        <v>0</v>
      </c>
      <c r="K175" s="733">
        <v>0</v>
      </c>
      <c r="L175" s="733">
        <v>59</v>
      </c>
      <c r="M175" s="733">
        <v>1</v>
      </c>
      <c r="N175" s="733">
        <v>60</v>
      </c>
      <c r="O175" s="733">
        <v>0</v>
      </c>
      <c r="P175" s="733">
        <v>0</v>
      </c>
      <c r="Q175" s="733">
        <v>0</v>
      </c>
      <c r="R175" s="733">
        <v>0</v>
      </c>
      <c r="S175" s="733">
        <v>0</v>
      </c>
      <c r="T175" s="733">
        <v>0</v>
      </c>
      <c r="U175" s="733">
        <v>0</v>
      </c>
      <c r="V175" s="733">
        <v>0</v>
      </c>
      <c r="W175" s="733">
        <v>0</v>
      </c>
      <c r="X175" s="733">
        <v>4</v>
      </c>
      <c r="Y175" s="733">
        <v>0</v>
      </c>
      <c r="Z175" s="733">
        <v>4</v>
      </c>
    </row>
    <row r="176" spans="1:26">
      <c r="A176" s="251">
        <v>172</v>
      </c>
      <c r="B176" s="136" t="s">
        <v>905</v>
      </c>
      <c r="C176" s="733">
        <v>105</v>
      </c>
      <c r="D176" s="733">
        <v>52</v>
      </c>
      <c r="E176" s="733">
        <v>157</v>
      </c>
      <c r="F176" s="733">
        <v>14</v>
      </c>
      <c r="G176" s="733">
        <v>7</v>
      </c>
      <c r="H176" s="733">
        <v>21</v>
      </c>
      <c r="I176" s="733">
        <v>0</v>
      </c>
      <c r="J176" s="733">
        <v>0</v>
      </c>
      <c r="K176" s="733">
        <v>0</v>
      </c>
      <c r="L176" s="733">
        <v>61</v>
      </c>
      <c r="M176" s="733">
        <v>11</v>
      </c>
      <c r="N176" s="733">
        <v>72</v>
      </c>
      <c r="O176" s="733">
        <v>0</v>
      </c>
      <c r="P176" s="733">
        <v>0</v>
      </c>
      <c r="Q176" s="733">
        <v>0</v>
      </c>
      <c r="R176" s="733">
        <v>4</v>
      </c>
      <c r="S176" s="733">
        <v>0</v>
      </c>
      <c r="T176" s="733">
        <v>4</v>
      </c>
      <c r="U176" s="733">
        <v>20</v>
      </c>
      <c r="V176" s="733">
        <v>5</v>
      </c>
      <c r="W176" s="733">
        <v>25</v>
      </c>
      <c r="X176" s="733">
        <v>0</v>
      </c>
      <c r="Y176" s="733">
        <v>0</v>
      </c>
      <c r="Z176" s="733">
        <v>0</v>
      </c>
    </row>
    <row r="177" spans="1:26">
      <c r="A177" s="251">
        <v>173</v>
      </c>
      <c r="B177" s="136" t="s">
        <v>481</v>
      </c>
      <c r="C177" s="733">
        <v>72</v>
      </c>
      <c r="D177" s="733">
        <v>36</v>
      </c>
      <c r="E177" s="733">
        <v>108</v>
      </c>
      <c r="F177" s="733">
        <v>2</v>
      </c>
      <c r="G177" s="733">
        <v>1</v>
      </c>
      <c r="H177" s="733">
        <v>3</v>
      </c>
      <c r="I177" s="733">
        <v>3</v>
      </c>
      <c r="J177" s="733">
        <v>1</v>
      </c>
      <c r="K177" s="733">
        <v>4</v>
      </c>
      <c r="L177" s="733">
        <v>26</v>
      </c>
      <c r="M177" s="733">
        <v>20</v>
      </c>
      <c r="N177" s="733">
        <v>46</v>
      </c>
      <c r="O177" s="733">
        <v>0</v>
      </c>
      <c r="P177" s="733">
        <v>0</v>
      </c>
      <c r="Q177" s="733">
        <v>0</v>
      </c>
      <c r="R177" s="733">
        <v>2</v>
      </c>
      <c r="S177" s="733">
        <v>0</v>
      </c>
      <c r="T177" s="733">
        <v>2</v>
      </c>
      <c r="U177" s="733">
        <v>8</v>
      </c>
      <c r="V177" s="733">
        <v>6</v>
      </c>
      <c r="W177" s="733">
        <v>14</v>
      </c>
      <c r="X177" s="733">
        <v>0</v>
      </c>
      <c r="Y177" s="733">
        <v>0</v>
      </c>
      <c r="Z177" s="733">
        <v>0</v>
      </c>
    </row>
    <row r="178" spans="1:26">
      <c r="A178" s="251">
        <v>174</v>
      </c>
      <c r="B178" s="136" t="s">
        <v>907</v>
      </c>
      <c r="C178" s="733">
        <v>61</v>
      </c>
      <c r="D178" s="733">
        <v>6</v>
      </c>
      <c r="E178" s="733">
        <v>67</v>
      </c>
      <c r="F178" s="733">
        <v>3</v>
      </c>
      <c r="G178" s="733">
        <v>0</v>
      </c>
      <c r="H178" s="733">
        <v>3</v>
      </c>
      <c r="I178" s="733">
        <v>2</v>
      </c>
      <c r="J178" s="733">
        <v>1</v>
      </c>
      <c r="K178" s="733">
        <v>3</v>
      </c>
      <c r="L178" s="733">
        <v>45</v>
      </c>
      <c r="M178" s="733">
        <v>3</v>
      </c>
      <c r="N178" s="733">
        <v>48</v>
      </c>
      <c r="O178" s="733">
        <v>0</v>
      </c>
      <c r="P178" s="733">
        <v>0</v>
      </c>
      <c r="Q178" s="733">
        <v>0</v>
      </c>
      <c r="R178" s="733">
        <v>2</v>
      </c>
      <c r="S178" s="733">
        <v>0</v>
      </c>
      <c r="T178" s="733">
        <v>2</v>
      </c>
      <c r="U178" s="733">
        <v>0</v>
      </c>
      <c r="V178" s="733">
        <v>0</v>
      </c>
      <c r="W178" s="733">
        <v>0</v>
      </c>
      <c r="X178" s="733">
        <v>0</v>
      </c>
      <c r="Y178" s="733">
        <v>0</v>
      </c>
      <c r="Z178" s="733">
        <v>0</v>
      </c>
    </row>
    <row r="179" spans="1:26">
      <c r="A179" s="251">
        <v>175</v>
      </c>
      <c r="B179" s="136" t="s">
        <v>908</v>
      </c>
      <c r="C179" s="733">
        <v>22</v>
      </c>
      <c r="D179" s="733">
        <v>24</v>
      </c>
      <c r="E179" s="733">
        <v>46</v>
      </c>
      <c r="F179" s="733">
        <v>2</v>
      </c>
      <c r="G179" s="733">
        <v>1</v>
      </c>
      <c r="H179" s="733">
        <v>3</v>
      </c>
      <c r="I179" s="733">
        <v>2</v>
      </c>
      <c r="J179" s="733">
        <v>0</v>
      </c>
      <c r="K179" s="733">
        <v>2</v>
      </c>
      <c r="L179" s="733">
        <v>7</v>
      </c>
      <c r="M179" s="733">
        <v>1</v>
      </c>
      <c r="N179" s="733">
        <v>8</v>
      </c>
      <c r="O179" s="733">
        <v>0</v>
      </c>
      <c r="P179" s="733">
        <v>0</v>
      </c>
      <c r="Q179" s="733">
        <v>0</v>
      </c>
      <c r="R179" s="733">
        <v>0</v>
      </c>
      <c r="S179" s="733">
        <v>0</v>
      </c>
      <c r="T179" s="733">
        <v>0</v>
      </c>
      <c r="U179" s="733">
        <v>1</v>
      </c>
      <c r="V179" s="733">
        <v>0</v>
      </c>
      <c r="W179" s="733">
        <v>1</v>
      </c>
      <c r="X179" s="733">
        <v>0</v>
      </c>
      <c r="Y179" s="733">
        <v>0</v>
      </c>
      <c r="Z179" s="733">
        <v>0</v>
      </c>
    </row>
    <row r="180" spans="1:26" ht="28">
      <c r="A180" s="251">
        <v>176</v>
      </c>
      <c r="B180" s="136" t="s">
        <v>909</v>
      </c>
      <c r="C180" s="733">
        <v>30</v>
      </c>
      <c r="D180" s="733">
        <v>10</v>
      </c>
      <c r="E180" s="733">
        <v>40</v>
      </c>
      <c r="F180" s="733">
        <v>9</v>
      </c>
      <c r="G180" s="733">
        <v>6</v>
      </c>
      <c r="H180" s="733">
        <v>15</v>
      </c>
      <c r="I180" s="733">
        <v>0</v>
      </c>
      <c r="J180" s="733">
        <v>0</v>
      </c>
      <c r="K180" s="733">
        <v>0</v>
      </c>
      <c r="L180" s="733">
        <v>6</v>
      </c>
      <c r="M180" s="733">
        <v>1</v>
      </c>
      <c r="N180" s="733">
        <v>7</v>
      </c>
      <c r="O180" s="733">
        <v>0</v>
      </c>
      <c r="P180" s="733">
        <v>0</v>
      </c>
      <c r="Q180" s="733">
        <v>0</v>
      </c>
      <c r="R180" s="733">
        <v>5</v>
      </c>
      <c r="S180" s="733">
        <v>0</v>
      </c>
      <c r="T180" s="733">
        <v>5</v>
      </c>
      <c r="U180" s="733">
        <v>0</v>
      </c>
      <c r="V180" s="733">
        <v>0</v>
      </c>
      <c r="W180" s="733">
        <v>0</v>
      </c>
      <c r="X180" s="733">
        <v>0</v>
      </c>
      <c r="Y180" s="733">
        <v>0</v>
      </c>
      <c r="Z180" s="733">
        <v>0</v>
      </c>
    </row>
    <row r="181" spans="1:26" ht="28">
      <c r="A181" s="251">
        <v>177</v>
      </c>
      <c r="B181" s="136" t="s">
        <v>503</v>
      </c>
      <c r="C181" s="733">
        <v>11</v>
      </c>
      <c r="D181" s="733">
        <v>17</v>
      </c>
      <c r="E181" s="733">
        <v>28</v>
      </c>
      <c r="F181" s="733">
        <v>0</v>
      </c>
      <c r="G181" s="733">
        <v>0</v>
      </c>
      <c r="H181" s="733">
        <v>0</v>
      </c>
      <c r="I181" s="733">
        <v>0</v>
      </c>
      <c r="J181" s="733">
        <v>0</v>
      </c>
      <c r="K181" s="733">
        <v>0</v>
      </c>
      <c r="L181" s="733">
        <v>4</v>
      </c>
      <c r="M181" s="733">
        <v>10</v>
      </c>
      <c r="N181" s="733">
        <v>14</v>
      </c>
      <c r="O181" s="733">
        <v>0</v>
      </c>
      <c r="P181" s="733">
        <v>0</v>
      </c>
      <c r="Q181" s="733">
        <v>0</v>
      </c>
      <c r="R181" s="733">
        <v>0</v>
      </c>
      <c r="S181" s="733">
        <v>0</v>
      </c>
      <c r="T181" s="733">
        <v>0</v>
      </c>
      <c r="U181" s="733">
        <v>0</v>
      </c>
      <c r="V181" s="733">
        <v>0</v>
      </c>
      <c r="W181" s="733">
        <v>0</v>
      </c>
      <c r="X181" s="733">
        <v>0</v>
      </c>
      <c r="Y181" s="733">
        <v>0</v>
      </c>
      <c r="Z181" s="733">
        <v>0</v>
      </c>
    </row>
    <row r="182" spans="1:26">
      <c r="A182" s="251">
        <v>178</v>
      </c>
      <c r="B182" s="136" t="s">
        <v>500</v>
      </c>
      <c r="C182" s="733">
        <v>3</v>
      </c>
      <c r="D182" s="733">
        <v>20</v>
      </c>
      <c r="E182" s="733">
        <v>23</v>
      </c>
      <c r="F182" s="733">
        <v>1</v>
      </c>
      <c r="G182" s="733">
        <v>0</v>
      </c>
      <c r="H182" s="733">
        <v>1</v>
      </c>
      <c r="I182" s="733">
        <v>0</v>
      </c>
      <c r="J182" s="733">
        <v>0</v>
      </c>
      <c r="K182" s="733">
        <v>0</v>
      </c>
      <c r="L182" s="733">
        <v>2</v>
      </c>
      <c r="M182" s="733">
        <v>10</v>
      </c>
      <c r="N182" s="733">
        <v>12</v>
      </c>
      <c r="O182" s="733">
        <v>0</v>
      </c>
      <c r="P182" s="733">
        <v>0</v>
      </c>
      <c r="Q182" s="733">
        <v>0</v>
      </c>
      <c r="R182" s="733">
        <v>0</v>
      </c>
      <c r="S182" s="733">
        <v>0</v>
      </c>
      <c r="T182" s="733">
        <v>0</v>
      </c>
      <c r="U182" s="733">
        <v>0</v>
      </c>
      <c r="V182" s="733">
        <v>0</v>
      </c>
      <c r="W182" s="733">
        <v>0</v>
      </c>
      <c r="X182" s="733">
        <v>0</v>
      </c>
      <c r="Y182" s="733">
        <v>0</v>
      </c>
      <c r="Z182" s="733">
        <v>0</v>
      </c>
    </row>
    <row r="183" spans="1:26">
      <c r="A183" s="251">
        <v>179</v>
      </c>
      <c r="B183" s="136" t="s">
        <v>897</v>
      </c>
      <c r="C183" s="733">
        <v>9</v>
      </c>
      <c r="D183" s="733">
        <v>9</v>
      </c>
      <c r="E183" s="733">
        <v>18</v>
      </c>
      <c r="F183" s="733">
        <v>0</v>
      </c>
      <c r="G183" s="733">
        <v>0</v>
      </c>
      <c r="H183" s="733">
        <v>0</v>
      </c>
      <c r="I183" s="733">
        <v>3</v>
      </c>
      <c r="J183" s="733">
        <v>1</v>
      </c>
      <c r="K183" s="733">
        <v>4</v>
      </c>
      <c r="L183" s="733">
        <v>2</v>
      </c>
      <c r="M183" s="733">
        <v>5</v>
      </c>
      <c r="N183" s="733">
        <v>7</v>
      </c>
      <c r="O183" s="733">
        <v>0</v>
      </c>
      <c r="P183" s="733">
        <v>0</v>
      </c>
      <c r="Q183" s="733">
        <v>0</v>
      </c>
      <c r="R183" s="733">
        <v>0</v>
      </c>
      <c r="S183" s="733">
        <v>1</v>
      </c>
      <c r="T183" s="733">
        <v>1</v>
      </c>
      <c r="U183" s="733">
        <v>0</v>
      </c>
      <c r="V183" s="733">
        <v>0</v>
      </c>
      <c r="W183" s="733">
        <v>0</v>
      </c>
      <c r="X183" s="733">
        <v>0</v>
      </c>
      <c r="Y183" s="733">
        <v>0</v>
      </c>
      <c r="Z183" s="733">
        <v>0</v>
      </c>
    </row>
    <row r="184" spans="1:26" ht="42">
      <c r="A184" s="251">
        <v>180</v>
      </c>
      <c r="B184" s="136" t="s">
        <v>504</v>
      </c>
      <c r="C184" s="733">
        <v>5</v>
      </c>
      <c r="D184" s="733">
        <v>11</v>
      </c>
      <c r="E184" s="733">
        <v>16</v>
      </c>
      <c r="F184" s="733">
        <v>0</v>
      </c>
      <c r="G184" s="733">
        <v>5</v>
      </c>
      <c r="H184" s="733">
        <v>5</v>
      </c>
      <c r="I184" s="733">
        <v>0</v>
      </c>
      <c r="J184" s="733">
        <v>0</v>
      </c>
      <c r="K184" s="733">
        <v>0</v>
      </c>
      <c r="L184" s="733">
        <v>2</v>
      </c>
      <c r="M184" s="733">
        <v>4</v>
      </c>
      <c r="N184" s="733">
        <v>6</v>
      </c>
      <c r="O184" s="733">
        <v>0</v>
      </c>
      <c r="P184" s="733">
        <v>0</v>
      </c>
      <c r="Q184" s="733">
        <v>0</v>
      </c>
      <c r="R184" s="733">
        <v>0</v>
      </c>
      <c r="S184" s="733">
        <v>0</v>
      </c>
      <c r="T184" s="733">
        <v>0</v>
      </c>
      <c r="U184" s="733">
        <v>0</v>
      </c>
      <c r="V184" s="733">
        <v>0</v>
      </c>
      <c r="W184" s="733">
        <v>0</v>
      </c>
      <c r="X184" s="733">
        <v>0</v>
      </c>
      <c r="Y184" s="733">
        <v>0</v>
      </c>
      <c r="Z184" s="733">
        <v>0</v>
      </c>
    </row>
    <row r="185" spans="1:26" ht="42">
      <c r="A185" s="251">
        <v>181</v>
      </c>
      <c r="B185" s="136" t="s">
        <v>507</v>
      </c>
      <c r="C185" s="733">
        <v>0</v>
      </c>
      <c r="D185" s="733">
        <v>12</v>
      </c>
      <c r="E185" s="733">
        <v>12</v>
      </c>
      <c r="F185" s="733">
        <v>0</v>
      </c>
      <c r="G185" s="733">
        <v>4</v>
      </c>
      <c r="H185" s="733">
        <v>4</v>
      </c>
      <c r="I185" s="733">
        <v>0</v>
      </c>
      <c r="J185" s="733">
        <v>0</v>
      </c>
      <c r="K185" s="733">
        <v>0</v>
      </c>
      <c r="L185" s="733">
        <v>0</v>
      </c>
      <c r="M185" s="733">
        <v>1</v>
      </c>
      <c r="N185" s="733">
        <v>1</v>
      </c>
      <c r="O185" s="733">
        <v>0</v>
      </c>
      <c r="P185" s="733">
        <v>0</v>
      </c>
      <c r="Q185" s="733">
        <v>0</v>
      </c>
      <c r="R185" s="733">
        <v>0</v>
      </c>
      <c r="S185" s="733">
        <v>0</v>
      </c>
      <c r="T185" s="733">
        <v>0</v>
      </c>
      <c r="U185" s="733">
        <v>0</v>
      </c>
      <c r="V185" s="733">
        <v>0</v>
      </c>
      <c r="W185" s="733">
        <v>0</v>
      </c>
      <c r="X185" s="733">
        <v>0</v>
      </c>
      <c r="Y185" s="733">
        <v>0</v>
      </c>
      <c r="Z185" s="733">
        <v>0</v>
      </c>
    </row>
    <row r="186" spans="1:26" ht="42">
      <c r="A186" s="251">
        <v>182</v>
      </c>
      <c r="B186" s="136" t="s">
        <v>505</v>
      </c>
      <c r="C186" s="733">
        <v>6</v>
      </c>
      <c r="D186" s="733">
        <v>2</v>
      </c>
      <c r="E186" s="733">
        <v>8</v>
      </c>
      <c r="F186" s="733">
        <v>0</v>
      </c>
      <c r="G186" s="733">
        <v>0</v>
      </c>
      <c r="H186" s="733">
        <v>0</v>
      </c>
      <c r="I186" s="733">
        <v>0</v>
      </c>
      <c r="J186" s="733">
        <v>0</v>
      </c>
      <c r="K186" s="733">
        <v>0</v>
      </c>
      <c r="L186" s="733">
        <v>1</v>
      </c>
      <c r="M186" s="733">
        <v>0</v>
      </c>
      <c r="N186" s="733">
        <v>1</v>
      </c>
      <c r="O186" s="733">
        <v>0</v>
      </c>
      <c r="P186" s="733">
        <v>0</v>
      </c>
      <c r="Q186" s="733">
        <v>0</v>
      </c>
      <c r="R186" s="733">
        <v>0</v>
      </c>
      <c r="S186" s="733">
        <v>0</v>
      </c>
      <c r="T186" s="733">
        <v>0</v>
      </c>
      <c r="U186" s="733">
        <v>0</v>
      </c>
      <c r="V186" s="733">
        <v>0</v>
      </c>
      <c r="W186" s="733">
        <v>0</v>
      </c>
      <c r="X186" s="733">
        <v>0</v>
      </c>
      <c r="Y186" s="733">
        <v>0</v>
      </c>
      <c r="Z186" s="733">
        <v>0</v>
      </c>
    </row>
    <row r="187" spans="1:26">
      <c r="A187" s="251">
        <v>183</v>
      </c>
      <c r="B187" s="136" t="s">
        <v>910</v>
      </c>
      <c r="C187" s="733">
        <v>2</v>
      </c>
      <c r="D187" s="733">
        <v>1</v>
      </c>
      <c r="E187" s="733">
        <v>3</v>
      </c>
      <c r="F187" s="733">
        <v>0</v>
      </c>
      <c r="G187" s="733">
        <v>0</v>
      </c>
      <c r="H187" s="733">
        <v>0</v>
      </c>
      <c r="I187" s="733">
        <v>0</v>
      </c>
      <c r="J187" s="733">
        <v>0</v>
      </c>
      <c r="K187" s="733">
        <v>0</v>
      </c>
      <c r="L187" s="733">
        <v>2</v>
      </c>
      <c r="M187" s="733">
        <v>1</v>
      </c>
      <c r="N187" s="733">
        <v>3</v>
      </c>
      <c r="O187" s="733">
        <v>0</v>
      </c>
      <c r="P187" s="733">
        <v>0</v>
      </c>
      <c r="Q187" s="733">
        <v>0</v>
      </c>
      <c r="R187" s="733">
        <v>0</v>
      </c>
      <c r="S187" s="733">
        <v>0</v>
      </c>
      <c r="T187" s="733">
        <v>0</v>
      </c>
      <c r="U187" s="733">
        <v>0</v>
      </c>
      <c r="V187" s="733">
        <v>0</v>
      </c>
      <c r="W187" s="733">
        <v>0</v>
      </c>
      <c r="X187" s="733">
        <v>0</v>
      </c>
      <c r="Y187" s="733">
        <v>0</v>
      </c>
      <c r="Z187" s="733">
        <v>0</v>
      </c>
    </row>
    <row r="188" spans="1:26" ht="28">
      <c r="A188" s="251">
        <v>184</v>
      </c>
      <c r="B188" s="136" t="s">
        <v>509</v>
      </c>
      <c r="C188" s="733">
        <v>141733</v>
      </c>
      <c r="D188" s="733">
        <v>111391</v>
      </c>
      <c r="E188" s="733">
        <v>253124</v>
      </c>
      <c r="F188" s="733">
        <v>18398</v>
      </c>
      <c r="G188" s="733">
        <v>12478</v>
      </c>
      <c r="H188" s="733">
        <v>30876</v>
      </c>
      <c r="I188" s="733">
        <v>8087</v>
      </c>
      <c r="J188" s="733">
        <v>7467</v>
      </c>
      <c r="K188" s="733">
        <v>15554</v>
      </c>
      <c r="L188" s="733">
        <v>42637</v>
      </c>
      <c r="M188" s="733">
        <v>32474</v>
      </c>
      <c r="N188" s="733">
        <v>75111</v>
      </c>
      <c r="O188" s="733">
        <v>461</v>
      </c>
      <c r="P188" s="733">
        <v>192</v>
      </c>
      <c r="Q188" s="733">
        <v>653</v>
      </c>
      <c r="R188" s="733">
        <v>2351</v>
      </c>
      <c r="S188" s="733">
        <v>1331</v>
      </c>
      <c r="T188" s="733">
        <v>3682</v>
      </c>
      <c r="U188" s="733">
        <v>1814</v>
      </c>
      <c r="V188" s="733">
        <v>1808</v>
      </c>
      <c r="W188" s="733">
        <v>3622</v>
      </c>
      <c r="X188" s="733">
        <v>1536</v>
      </c>
      <c r="Y188" s="733">
        <v>878</v>
      </c>
      <c r="Z188" s="733">
        <v>2414</v>
      </c>
    </row>
    <row r="189" spans="1:26">
      <c r="A189" s="251">
        <v>185</v>
      </c>
      <c r="B189" s="136" t="s">
        <v>510</v>
      </c>
      <c r="C189" s="733">
        <v>1500198</v>
      </c>
      <c r="D189" s="733">
        <v>463434</v>
      </c>
      <c r="E189" s="733">
        <v>1963632</v>
      </c>
      <c r="F189" s="733">
        <v>253540</v>
      </c>
      <c r="G189" s="733">
        <v>84695</v>
      </c>
      <c r="H189" s="733">
        <v>338235</v>
      </c>
      <c r="I189" s="733">
        <v>81601</v>
      </c>
      <c r="J189" s="733">
        <v>36900</v>
      </c>
      <c r="K189" s="733">
        <v>118501</v>
      </c>
      <c r="L189" s="733">
        <v>548304</v>
      </c>
      <c r="M189" s="733">
        <v>154605</v>
      </c>
      <c r="N189" s="733">
        <v>702909</v>
      </c>
      <c r="O189" s="733">
        <v>3028</v>
      </c>
      <c r="P189" s="733">
        <v>1020</v>
      </c>
      <c r="Q189" s="733">
        <v>4048</v>
      </c>
      <c r="R189" s="733">
        <v>67676</v>
      </c>
      <c r="S189" s="733">
        <v>14982</v>
      </c>
      <c r="T189" s="733">
        <v>82658</v>
      </c>
      <c r="U189" s="733">
        <v>21648</v>
      </c>
      <c r="V189" s="733">
        <v>6034</v>
      </c>
      <c r="W189" s="733">
        <v>27682</v>
      </c>
      <c r="X189" s="733">
        <v>19755</v>
      </c>
      <c r="Y189" s="733">
        <v>5775</v>
      </c>
      <c r="Z189" s="733">
        <v>25530</v>
      </c>
    </row>
    <row r="190" spans="1:26" ht="28">
      <c r="A190" s="251">
        <v>186</v>
      </c>
      <c r="B190" s="136" t="s">
        <v>512</v>
      </c>
      <c r="C190" s="733">
        <v>57825</v>
      </c>
      <c r="D190" s="733">
        <v>251030</v>
      </c>
      <c r="E190" s="733">
        <v>308855</v>
      </c>
      <c r="F190" s="733">
        <v>10167</v>
      </c>
      <c r="G190" s="733">
        <v>55079</v>
      </c>
      <c r="H190" s="733">
        <v>65246</v>
      </c>
      <c r="I190" s="733">
        <v>5203</v>
      </c>
      <c r="J190" s="733">
        <v>29095</v>
      </c>
      <c r="K190" s="733">
        <v>34298</v>
      </c>
      <c r="L190" s="733">
        <v>14293</v>
      </c>
      <c r="M190" s="733">
        <v>59514</v>
      </c>
      <c r="N190" s="733">
        <v>73807</v>
      </c>
      <c r="O190" s="733">
        <v>285</v>
      </c>
      <c r="P190" s="733">
        <v>660</v>
      </c>
      <c r="Q190" s="733">
        <v>945</v>
      </c>
      <c r="R190" s="733">
        <v>2377</v>
      </c>
      <c r="S190" s="733">
        <v>6293</v>
      </c>
      <c r="T190" s="733">
        <v>8670</v>
      </c>
      <c r="U190" s="733">
        <v>1350</v>
      </c>
      <c r="V190" s="733">
        <v>6926</v>
      </c>
      <c r="W190" s="733">
        <v>8276</v>
      </c>
      <c r="X190" s="733">
        <v>970</v>
      </c>
      <c r="Y190" s="733">
        <v>3175</v>
      </c>
      <c r="Z190" s="733">
        <v>4145</v>
      </c>
    </row>
    <row r="191" spans="1:26">
      <c r="A191" s="251">
        <v>187</v>
      </c>
      <c r="B191" s="136" t="s">
        <v>511</v>
      </c>
      <c r="C191" s="733">
        <v>117523</v>
      </c>
      <c r="D191" s="733">
        <v>186519</v>
      </c>
      <c r="E191" s="733">
        <v>304042</v>
      </c>
      <c r="F191" s="733">
        <v>18567</v>
      </c>
      <c r="G191" s="733">
        <v>30302</v>
      </c>
      <c r="H191" s="733">
        <v>48869</v>
      </c>
      <c r="I191" s="733">
        <v>10061</v>
      </c>
      <c r="J191" s="733">
        <v>14882</v>
      </c>
      <c r="K191" s="733">
        <v>24943</v>
      </c>
      <c r="L191" s="733">
        <v>37115</v>
      </c>
      <c r="M191" s="733">
        <v>59489</v>
      </c>
      <c r="N191" s="733">
        <v>96604</v>
      </c>
      <c r="O191" s="733">
        <v>926</v>
      </c>
      <c r="P191" s="733">
        <v>631</v>
      </c>
      <c r="Q191" s="733">
        <v>1557</v>
      </c>
      <c r="R191" s="733">
        <v>8165</v>
      </c>
      <c r="S191" s="733">
        <v>12797</v>
      </c>
      <c r="T191" s="733">
        <v>20962</v>
      </c>
      <c r="U191" s="733">
        <v>1633</v>
      </c>
      <c r="V191" s="733">
        <v>4606</v>
      </c>
      <c r="W191" s="733">
        <v>6239</v>
      </c>
      <c r="X191" s="733">
        <v>1856</v>
      </c>
      <c r="Y191" s="733">
        <v>2181</v>
      </c>
      <c r="Z191" s="733">
        <v>4037</v>
      </c>
    </row>
    <row r="192" spans="1:26">
      <c r="A192" s="251">
        <v>188</v>
      </c>
      <c r="B192" s="136" t="s">
        <v>513</v>
      </c>
      <c r="C192" s="733">
        <v>122999</v>
      </c>
      <c r="D192" s="733">
        <v>46825</v>
      </c>
      <c r="E192" s="733">
        <v>169824</v>
      </c>
      <c r="F192" s="733">
        <v>11160</v>
      </c>
      <c r="G192" s="733">
        <v>4812</v>
      </c>
      <c r="H192" s="733">
        <v>15972</v>
      </c>
      <c r="I192" s="733">
        <v>2927</v>
      </c>
      <c r="J192" s="733">
        <v>1676</v>
      </c>
      <c r="K192" s="733">
        <v>4603</v>
      </c>
      <c r="L192" s="733">
        <v>43224</v>
      </c>
      <c r="M192" s="733">
        <v>16974</v>
      </c>
      <c r="N192" s="733">
        <v>60198</v>
      </c>
      <c r="O192" s="733">
        <v>224</v>
      </c>
      <c r="P192" s="733">
        <v>87</v>
      </c>
      <c r="Q192" s="733">
        <v>311</v>
      </c>
      <c r="R192" s="733">
        <v>10011</v>
      </c>
      <c r="S192" s="733">
        <v>2342</v>
      </c>
      <c r="T192" s="733">
        <v>12353</v>
      </c>
      <c r="U192" s="733">
        <v>1501</v>
      </c>
      <c r="V192" s="733">
        <v>807</v>
      </c>
      <c r="W192" s="733">
        <v>2308</v>
      </c>
      <c r="X192" s="733">
        <v>3439</v>
      </c>
      <c r="Y192" s="733">
        <v>1094</v>
      </c>
      <c r="Z192" s="733">
        <v>4533</v>
      </c>
    </row>
    <row r="193" spans="1:26" ht="14.25" customHeight="1">
      <c r="A193" s="251">
        <v>189</v>
      </c>
      <c r="B193" s="136" t="s">
        <v>514</v>
      </c>
      <c r="C193" s="733">
        <v>1763</v>
      </c>
      <c r="D193" s="733">
        <v>74298</v>
      </c>
      <c r="E193" s="733">
        <v>76061</v>
      </c>
      <c r="F193" s="733">
        <v>303</v>
      </c>
      <c r="G193" s="733">
        <v>22777</v>
      </c>
      <c r="H193" s="733">
        <v>23080</v>
      </c>
      <c r="I193" s="733">
        <v>193</v>
      </c>
      <c r="J193" s="733">
        <v>9683</v>
      </c>
      <c r="K193" s="733">
        <v>9876</v>
      </c>
      <c r="L193" s="733">
        <v>166</v>
      </c>
      <c r="M193" s="733">
        <v>19055</v>
      </c>
      <c r="N193" s="733">
        <v>19221</v>
      </c>
      <c r="O193" s="733">
        <v>2</v>
      </c>
      <c r="P193" s="733">
        <v>155</v>
      </c>
      <c r="Q193" s="733">
        <v>157</v>
      </c>
      <c r="R193" s="733">
        <v>81</v>
      </c>
      <c r="S193" s="733">
        <v>1097</v>
      </c>
      <c r="T193" s="733">
        <v>1178</v>
      </c>
      <c r="U193" s="733">
        <v>1</v>
      </c>
      <c r="V193" s="733">
        <v>710</v>
      </c>
      <c r="W193" s="733">
        <v>711</v>
      </c>
      <c r="X193" s="733">
        <v>35</v>
      </c>
      <c r="Y193" s="733">
        <v>664</v>
      </c>
      <c r="Z193" s="733">
        <v>699</v>
      </c>
    </row>
    <row r="194" spans="1:26" ht="28">
      <c r="A194" s="251">
        <v>190</v>
      </c>
      <c r="B194" s="136" t="s">
        <v>515</v>
      </c>
      <c r="C194" s="733">
        <v>2445</v>
      </c>
      <c r="D194" s="733">
        <v>4927</v>
      </c>
      <c r="E194" s="733">
        <v>7372</v>
      </c>
      <c r="F194" s="733">
        <v>545</v>
      </c>
      <c r="G194" s="733">
        <v>1414</v>
      </c>
      <c r="H194" s="733">
        <v>1959</v>
      </c>
      <c r="I194" s="733">
        <v>96</v>
      </c>
      <c r="J194" s="733">
        <v>124</v>
      </c>
      <c r="K194" s="733">
        <v>220</v>
      </c>
      <c r="L194" s="733">
        <v>786</v>
      </c>
      <c r="M194" s="733">
        <v>2196</v>
      </c>
      <c r="N194" s="733">
        <v>2982</v>
      </c>
      <c r="O194" s="733">
        <v>5</v>
      </c>
      <c r="P194" s="733">
        <v>8</v>
      </c>
      <c r="Q194" s="733">
        <v>13</v>
      </c>
      <c r="R194" s="733">
        <v>113</v>
      </c>
      <c r="S194" s="733">
        <v>68</v>
      </c>
      <c r="T194" s="733">
        <v>181</v>
      </c>
      <c r="U194" s="733">
        <v>62</v>
      </c>
      <c r="V194" s="733">
        <v>382</v>
      </c>
      <c r="W194" s="733">
        <v>444</v>
      </c>
      <c r="X194" s="733">
        <v>30</v>
      </c>
      <c r="Y194" s="733">
        <v>1</v>
      </c>
      <c r="Z194" s="733">
        <v>31</v>
      </c>
    </row>
    <row r="195" spans="1:26">
      <c r="A195" s="251">
        <v>191</v>
      </c>
      <c r="B195" s="136" t="s">
        <v>516</v>
      </c>
      <c r="C195" s="733">
        <v>80717</v>
      </c>
      <c r="D195" s="733">
        <v>68127</v>
      </c>
      <c r="E195" s="733">
        <v>148844</v>
      </c>
      <c r="F195" s="733">
        <v>9011</v>
      </c>
      <c r="G195" s="733">
        <v>8735</v>
      </c>
      <c r="H195" s="733">
        <v>17746</v>
      </c>
      <c r="I195" s="733">
        <v>3730</v>
      </c>
      <c r="J195" s="733">
        <v>3387</v>
      </c>
      <c r="K195" s="733">
        <v>7117</v>
      </c>
      <c r="L195" s="733">
        <v>20270</v>
      </c>
      <c r="M195" s="733">
        <v>20953</v>
      </c>
      <c r="N195" s="733">
        <v>41223</v>
      </c>
      <c r="O195" s="733">
        <v>330</v>
      </c>
      <c r="P195" s="733">
        <v>199</v>
      </c>
      <c r="Q195" s="733">
        <v>529</v>
      </c>
      <c r="R195" s="733">
        <v>2926</v>
      </c>
      <c r="S195" s="733">
        <v>4092</v>
      </c>
      <c r="T195" s="733">
        <v>7018</v>
      </c>
      <c r="U195" s="733">
        <v>1090</v>
      </c>
      <c r="V195" s="733">
        <v>1721</v>
      </c>
      <c r="W195" s="733">
        <v>2811</v>
      </c>
      <c r="X195" s="733">
        <v>760</v>
      </c>
      <c r="Y195" s="733">
        <v>659</v>
      </c>
      <c r="Z195" s="733">
        <v>1419</v>
      </c>
    </row>
    <row r="196" spans="1:26" ht="28">
      <c r="A196" s="251">
        <v>192</v>
      </c>
      <c r="B196" s="136" t="s">
        <v>517</v>
      </c>
      <c r="C196" s="733">
        <v>75853</v>
      </c>
      <c r="D196" s="733">
        <v>55338</v>
      </c>
      <c r="E196" s="733">
        <v>131191</v>
      </c>
      <c r="F196" s="733">
        <v>9140</v>
      </c>
      <c r="G196" s="733">
        <v>6851</v>
      </c>
      <c r="H196" s="733">
        <v>15991</v>
      </c>
      <c r="I196" s="733">
        <v>2752</v>
      </c>
      <c r="J196" s="733">
        <v>2230</v>
      </c>
      <c r="K196" s="733">
        <v>4982</v>
      </c>
      <c r="L196" s="733">
        <v>18359</v>
      </c>
      <c r="M196" s="733">
        <v>11357</v>
      </c>
      <c r="N196" s="733">
        <v>29716</v>
      </c>
      <c r="O196" s="733">
        <v>164</v>
      </c>
      <c r="P196" s="733">
        <v>132</v>
      </c>
      <c r="Q196" s="733">
        <v>296</v>
      </c>
      <c r="R196" s="733">
        <v>3815</v>
      </c>
      <c r="S196" s="733">
        <v>2257</v>
      </c>
      <c r="T196" s="733">
        <v>6072</v>
      </c>
      <c r="U196" s="733">
        <v>1583</v>
      </c>
      <c r="V196" s="733">
        <v>1656</v>
      </c>
      <c r="W196" s="733">
        <v>3239</v>
      </c>
      <c r="X196" s="733">
        <v>386</v>
      </c>
      <c r="Y196" s="733">
        <v>271</v>
      </c>
      <c r="Z196" s="733">
        <v>657</v>
      </c>
    </row>
    <row r="197" spans="1:26" ht="28">
      <c r="A197" s="251">
        <v>193</v>
      </c>
      <c r="B197" s="136" t="s">
        <v>518</v>
      </c>
      <c r="C197" s="733">
        <v>24526</v>
      </c>
      <c r="D197" s="733">
        <v>32112</v>
      </c>
      <c r="E197" s="733">
        <v>56638</v>
      </c>
      <c r="F197" s="733">
        <v>4821</v>
      </c>
      <c r="G197" s="733">
        <v>5420</v>
      </c>
      <c r="H197" s="733">
        <v>10241</v>
      </c>
      <c r="I197" s="733">
        <v>2972</v>
      </c>
      <c r="J197" s="733">
        <v>3260</v>
      </c>
      <c r="K197" s="733">
        <v>6232</v>
      </c>
      <c r="L197" s="733">
        <v>9519</v>
      </c>
      <c r="M197" s="733">
        <v>11567</v>
      </c>
      <c r="N197" s="733">
        <v>21086</v>
      </c>
      <c r="O197" s="733">
        <v>47</v>
      </c>
      <c r="P197" s="733">
        <v>35</v>
      </c>
      <c r="Q197" s="733">
        <v>82</v>
      </c>
      <c r="R197" s="733">
        <v>447</v>
      </c>
      <c r="S197" s="733">
        <v>808</v>
      </c>
      <c r="T197" s="733">
        <v>1255</v>
      </c>
      <c r="U197" s="733">
        <v>417</v>
      </c>
      <c r="V197" s="733">
        <v>993</v>
      </c>
      <c r="W197" s="733">
        <v>1410</v>
      </c>
      <c r="X197" s="733">
        <v>459</v>
      </c>
      <c r="Y197" s="733">
        <v>533</v>
      </c>
      <c r="Z197" s="733">
        <v>992</v>
      </c>
    </row>
    <row r="198" spans="1:26" ht="28">
      <c r="A198" s="251">
        <v>194</v>
      </c>
      <c r="B198" s="136" t="s">
        <v>519</v>
      </c>
      <c r="C198" s="733">
        <v>25104</v>
      </c>
      <c r="D198" s="733">
        <v>25444</v>
      </c>
      <c r="E198" s="733">
        <v>50548</v>
      </c>
      <c r="F198" s="733">
        <v>4337</v>
      </c>
      <c r="G198" s="733">
        <v>3746</v>
      </c>
      <c r="H198" s="733">
        <v>8083</v>
      </c>
      <c r="I198" s="733">
        <v>3516</v>
      </c>
      <c r="J198" s="733">
        <v>2901</v>
      </c>
      <c r="K198" s="733">
        <v>6417</v>
      </c>
      <c r="L198" s="733">
        <v>9758</v>
      </c>
      <c r="M198" s="733">
        <v>9852</v>
      </c>
      <c r="N198" s="733">
        <v>19610</v>
      </c>
      <c r="O198" s="733">
        <v>33</v>
      </c>
      <c r="P198" s="733">
        <v>33</v>
      </c>
      <c r="Q198" s="733">
        <v>66</v>
      </c>
      <c r="R198" s="733">
        <v>385</v>
      </c>
      <c r="S198" s="733">
        <v>521</v>
      </c>
      <c r="T198" s="733">
        <v>906</v>
      </c>
      <c r="U198" s="733">
        <v>187</v>
      </c>
      <c r="V198" s="733">
        <v>324</v>
      </c>
      <c r="W198" s="733">
        <v>511</v>
      </c>
      <c r="X198" s="733">
        <v>488</v>
      </c>
      <c r="Y198" s="733">
        <v>436</v>
      </c>
      <c r="Z198" s="733">
        <v>924</v>
      </c>
    </row>
    <row r="199" spans="1:26">
      <c r="A199" s="251">
        <v>195</v>
      </c>
      <c r="B199" s="140" t="s">
        <v>520</v>
      </c>
      <c r="C199" s="733">
        <v>17548</v>
      </c>
      <c r="D199" s="733">
        <v>13946</v>
      </c>
      <c r="E199" s="733">
        <v>31494</v>
      </c>
      <c r="F199" s="733">
        <v>1428</v>
      </c>
      <c r="G199" s="733">
        <v>1142</v>
      </c>
      <c r="H199" s="733">
        <v>2570</v>
      </c>
      <c r="I199" s="733">
        <v>715</v>
      </c>
      <c r="J199" s="733">
        <v>496</v>
      </c>
      <c r="K199" s="733">
        <v>1211</v>
      </c>
      <c r="L199" s="733">
        <v>3709</v>
      </c>
      <c r="M199" s="733">
        <v>3246</v>
      </c>
      <c r="N199" s="733">
        <v>6955</v>
      </c>
      <c r="O199" s="733">
        <v>50</v>
      </c>
      <c r="P199" s="733">
        <v>20</v>
      </c>
      <c r="Q199" s="733">
        <v>70</v>
      </c>
      <c r="R199" s="733">
        <v>1019</v>
      </c>
      <c r="S199" s="733">
        <v>1087</v>
      </c>
      <c r="T199" s="733">
        <v>2106</v>
      </c>
      <c r="U199" s="733">
        <v>407</v>
      </c>
      <c r="V199" s="733">
        <v>588</v>
      </c>
      <c r="W199" s="733">
        <v>995</v>
      </c>
      <c r="X199" s="733">
        <v>270</v>
      </c>
      <c r="Y199" s="733">
        <v>161</v>
      </c>
      <c r="Z199" s="733">
        <v>431</v>
      </c>
    </row>
    <row r="200" spans="1:26" ht="42">
      <c r="A200" s="251">
        <v>196</v>
      </c>
      <c r="B200" s="136" t="s">
        <v>521</v>
      </c>
      <c r="C200" s="733">
        <v>13568</v>
      </c>
      <c r="D200" s="733">
        <v>11158</v>
      </c>
      <c r="E200" s="733">
        <v>24726</v>
      </c>
      <c r="F200" s="733">
        <v>555</v>
      </c>
      <c r="G200" s="733">
        <v>508</v>
      </c>
      <c r="H200" s="733">
        <v>1063</v>
      </c>
      <c r="I200" s="733">
        <v>225</v>
      </c>
      <c r="J200" s="733">
        <v>192</v>
      </c>
      <c r="K200" s="733">
        <v>417</v>
      </c>
      <c r="L200" s="733">
        <v>2134</v>
      </c>
      <c r="M200" s="733">
        <v>1707</v>
      </c>
      <c r="N200" s="733">
        <v>3841</v>
      </c>
      <c r="O200" s="733">
        <v>11</v>
      </c>
      <c r="P200" s="733">
        <v>6</v>
      </c>
      <c r="Q200" s="733">
        <v>17</v>
      </c>
      <c r="R200" s="733">
        <v>484</v>
      </c>
      <c r="S200" s="733">
        <v>349</v>
      </c>
      <c r="T200" s="733">
        <v>833</v>
      </c>
      <c r="U200" s="733">
        <v>389</v>
      </c>
      <c r="V200" s="733">
        <v>485</v>
      </c>
      <c r="W200" s="733">
        <v>874</v>
      </c>
      <c r="X200" s="733">
        <v>51</v>
      </c>
      <c r="Y200" s="733">
        <v>47</v>
      </c>
      <c r="Z200" s="733">
        <v>98</v>
      </c>
    </row>
    <row r="201" spans="1:26" ht="42">
      <c r="A201" s="251">
        <v>197</v>
      </c>
      <c r="B201" s="136" t="s">
        <v>522</v>
      </c>
      <c r="C201" s="733">
        <v>15947</v>
      </c>
      <c r="D201" s="733">
        <v>4754</v>
      </c>
      <c r="E201" s="733">
        <v>20701</v>
      </c>
      <c r="F201" s="733">
        <v>1921</v>
      </c>
      <c r="G201" s="733">
        <v>522</v>
      </c>
      <c r="H201" s="733">
        <v>2443</v>
      </c>
      <c r="I201" s="733">
        <v>833</v>
      </c>
      <c r="J201" s="733">
        <v>222</v>
      </c>
      <c r="K201" s="733">
        <v>1055</v>
      </c>
      <c r="L201" s="733">
        <v>4727</v>
      </c>
      <c r="M201" s="733">
        <v>1326</v>
      </c>
      <c r="N201" s="733">
        <v>6053</v>
      </c>
      <c r="O201" s="733">
        <v>142</v>
      </c>
      <c r="P201" s="733">
        <v>14</v>
      </c>
      <c r="Q201" s="733">
        <v>156</v>
      </c>
      <c r="R201" s="733">
        <v>164</v>
      </c>
      <c r="S201" s="733">
        <v>27</v>
      </c>
      <c r="T201" s="733">
        <v>191</v>
      </c>
      <c r="U201" s="733">
        <v>181</v>
      </c>
      <c r="V201" s="733">
        <v>34</v>
      </c>
      <c r="W201" s="733">
        <v>215</v>
      </c>
      <c r="X201" s="733">
        <v>359</v>
      </c>
      <c r="Y201" s="733">
        <v>63</v>
      </c>
      <c r="Z201" s="733">
        <v>422</v>
      </c>
    </row>
    <row r="202" spans="1:26" ht="42">
      <c r="A202" s="251">
        <v>198</v>
      </c>
      <c r="B202" s="136" t="s">
        <v>523</v>
      </c>
      <c r="C202" s="733">
        <v>12317</v>
      </c>
      <c r="D202" s="733">
        <v>7812</v>
      </c>
      <c r="E202" s="733">
        <v>20129</v>
      </c>
      <c r="F202" s="733">
        <v>1151</v>
      </c>
      <c r="G202" s="733">
        <v>781</v>
      </c>
      <c r="H202" s="733">
        <v>1932</v>
      </c>
      <c r="I202" s="733">
        <v>411</v>
      </c>
      <c r="J202" s="733">
        <v>230</v>
      </c>
      <c r="K202" s="733">
        <v>641</v>
      </c>
      <c r="L202" s="733">
        <v>2447</v>
      </c>
      <c r="M202" s="733">
        <v>1377</v>
      </c>
      <c r="N202" s="733">
        <v>3824</v>
      </c>
      <c r="O202" s="733">
        <v>78</v>
      </c>
      <c r="P202" s="733">
        <v>9</v>
      </c>
      <c r="Q202" s="733">
        <v>87</v>
      </c>
      <c r="R202" s="733">
        <v>375</v>
      </c>
      <c r="S202" s="733">
        <v>170</v>
      </c>
      <c r="T202" s="733">
        <v>545</v>
      </c>
      <c r="U202" s="733">
        <v>175</v>
      </c>
      <c r="V202" s="733">
        <v>117</v>
      </c>
      <c r="W202" s="733">
        <v>292</v>
      </c>
      <c r="X202" s="733">
        <v>168</v>
      </c>
      <c r="Y202" s="733">
        <v>84</v>
      </c>
      <c r="Z202" s="733">
        <v>252</v>
      </c>
    </row>
    <row r="203" spans="1:26" ht="28">
      <c r="A203" s="251">
        <v>199</v>
      </c>
      <c r="B203" s="136" t="s">
        <v>525</v>
      </c>
      <c r="C203" s="733">
        <v>6353</v>
      </c>
      <c r="D203" s="733">
        <v>4378</v>
      </c>
      <c r="E203" s="733">
        <v>10731</v>
      </c>
      <c r="F203" s="733">
        <v>659</v>
      </c>
      <c r="G203" s="733">
        <v>385</v>
      </c>
      <c r="H203" s="733">
        <v>1044</v>
      </c>
      <c r="I203" s="733">
        <v>246</v>
      </c>
      <c r="J203" s="733">
        <v>207</v>
      </c>
      <c r="K203" s="733">
        <v>453</v>
      </c>
      <c r="L203" s="733">
        <v>1935</v>
      </c>
      <c r="M203" s="733">
        <v>1117</v>
      </c>
      <c r="N203" s="733">
        <v>3052</v>
      </c>
      <c r="O203" s="733">
        <v>39</v>
      </c>
      <c r="P203" s="733">
        <v>13</v>
      </c>
      <c r="Q203" s="733">
        <v>52</v>
      </c>
      <c r="R203" s="733">
        <v>308</v>
      </c>
      <c r="S203" s="733">
        <v>369</v>
      </c>
      <c r="T203" s="733">
        <v>677</v>
      </c>
      <c r="U203" s="733">
        <v>148</v>
      </c>
      <c r="V203" s="733">
        <v>151</v>
      </c>
      <c r="W203" s="733">
        <v>299</v>
      </c>
      <c r="X203" s="733">
        <v>179</v>
      </c>
      <c r="Y203" s="733">
        <v>80</v>
      </c>
      <c r="Z203" s="733">
        <v>259</v>
      </c>
    </row>
    <row r="204" spans="1:26" ht="28">
      <c r="A204" s="251">
        <v>200</v>
      </c>
      <c r="B204" s="136" t="s">
        <v>524</v>
      </c>
      <c r="C204" s="733">
        <v>5130</v>
      </c>
      <c r="D204" s="733">
        <v>4636</v>
      </c>
      <c r="E204" s="733">
        <v>9766</v>
      </c>
      <c r="F204" s="733">
        <v>484</v>
      </c>
      <c r="G204" s="733">
        <v>357</v>
      </c>
      <c r="H204" s="733">
        <v>841</v>
      </c>
      <c r="I204" s="733">
        <v>75</v>
      </c>
      <c r="J204" s="733">
        <v>67</v>
      </c>
      <c r="K204" s="733">
        <v>142</v>
      </c>
      <c r="L204" s="733">
        <v>1131</v>
      </c>
      <c r="M204" s="733">
        <v>929</v>
      </c>
      <c r="N204" s="733">
        <v>2060</v>
      </c>
      <c r="O204" s="733">
        <v>11</v>
      </c>
      <c r="P204" s="733">
        <v>8</v>
      </c>
      <c r="Q204" s="733">
        <v>19</v>
      </c>
      <c r="R204" s="733">
        <v>147</v>
      </c>
      <c r="S204" s="733">
        <v>129</v>
      </c>
      <c r="T204" s="733">
        <v>276</v>
      </c>
      <c r="U204" s="733">
        <v>204</v>
      </c>
      <c r="V204" s="733">
        <v>228</v>
      </c>
      <c r="W204" s="733">
        <v>432</v>
      </c>
      <c r="X204" s="733">
        <v>32</v>
      </c>
      <c r="Y204" s="733">
        <v>20</v>
      </c>
      <c r="Z204" s="733">
        <v>52</v>
      </c>
    </row>
    <row r="205" spans="1:26" ht="28">
      <c r="A205" s="251">
        <v>201</v>
      </c>
      <c r="B205" s="136" t="s">
        <v>526</v>
      </c>
      <c r="C205" s="733">
        <v>4252</v>
      </c>
      <c r="D205" s="733">
        <v>4907</v>
      </c>
      <c r="E205" s="733">
        <v>9159</v>
      </c>
      <c r="F205" s="733">
        <v>468</v>
      </c>
      <c r="G205" s="733">
        <v>372</v>
      </c>
      <c r="H205" s="733">
        <v>840</v>
      </c>
      <c r="I205" s="733">
        <v>317</v>
      </c>
      <c r="J205" s="733">
        <v>241</v>
      </c>
      <c r="K205" s="733">
        <v>558</v>
      </c>
      <c r="L205" s="733">
        <v>845</v>
      </c>
      <c r="M205" s="733">
        <v>873</v>
      </c>
      <c r="N205" s="733">
        <v>1718</v>
      </c>
      <c r="O205" s="733">
        <v>30</v>
      </c>
      <c r="P205" s="733">
        <v>13</v>
      </c>
      <c r="Q205" s="733">
        <v>43</v>
      </c>
      <c r="R205" s="733">
        <v>342</v>
      </c>
      <c r="S205" s="733">
        <v>569</v>
      </c>
      <c r="T205" s="733">
        <v>911</v>
      </c>
      <c r="U205" s="733">
        <v>126</v>
      </c>
      <c r="V205" s="733">
        <v>101</v>
      </c>
      <c r="W205" s="733">
        <v>227</v>
      </c>
      <c r="X205" s="733">
        <v>51</v>
      </c>
      <c r="Y205" s="733">
        <v>29</v>
      </c>
      <c r="Z205" s="733">
        <v>80</v>
      </c>
    </row>
    <row r="206" spans="1:26" ht="28">
      <c r="A206" s="251">
        <v>202</v>
      </c>
      <c r="B206" s="136" t="s">
        <v>527</v>
      </c>
      <c r="C206" s="733">
        <v>3771</v>
      </c>
      <c r="D206" s="733">
        <v>2067</v>
      </c>
      <c r="E206" s="733">
        <v>5838</v>
      </c>
      <c r="F206" s="733">
        <v>223</v>
      </c>
      <c r="G206" s="733">
        <v>118</v>
      </c>
      <c r="H206" s="733">
        <v>341</v>
      </c>
      <c r="I206" s="733">
        <v>90</v>
      </c>
      <c r="J206" s="733">
        <v>37</v>
      </c>
      <c r="K206" s="733">
        <v>127</v>
      </c>
      <c r="L206" s="733">
        <v>885</v>
      </c>
      <c r="M206" s="733">
        <v>552</v>
      </c>
      <c r="N206" s="733">
        <v>1437</v>
      </c>
      <c r="O206" s="733">
        <v>7</v>
      </c>
      <c r="P206" s="733">
        <v>5</v>
      </c>
      <c r="Q206" s="733">
        <v>12</v>
      </c>
      <c r="R206" s="733">
        <v>286</v>
      </c>
      <c r="S206" s="733">
        <v>92</v>
      </c>
      <c r="T206" s="733">
        <v>378</v>
      </c>
      <c r="U206" s="733">
        <v>328</v>
      </c>
      <c r="V206" s="733">
        <v>248</v>
      </c>
      <c r="W206" s="733">
        <v>576</v>
      </c>
      <c r="X206" s="733">
        <v>18</v>
      </c>
      <c r="Y206" s="733">
        <v>5</v>
      </c>
      <c r="Z206" s="733">
        <v>23</v>
      </c>
    </row>
    <row r="207" spans="1:26">
      <c r="A207" s="251">
        <v>203</v>
      </c>
      <c r="B207" s="136" t="s">
        <v>912</v>
      </c>
      <c r="C207" s="733">
        <v>1613</v>
      </c>
      <c r="D207" s="733">
        <v>1330</v>
      </c>
      <c r="E207" s="733">
        <v>2943</v>
      </c>
      <c r="F207" s="733">
        <v>22</v>
      </c>
      <c r="G207" s="733">
        <v>22</v>
      </c>
      <c r="H207" s="733">
        <v>44</v>
      </c>
      <c r="I207" s="733">
        <v>9</v>
      </c>
      <c r="J207" s="733">
        <v>8</v>
      </c>
      <c r="K207" s="733">
        <v>17</v>
      </c>
      <c r="L207" s="733">
        <v>184</v>
      </c>
      <c r="M207" s="733">
        <v>153</v>
      </c>
      <c r="N207" s="733">
        <v>337</v>
      </c>
      <c r="O207" s="733">
        <v>0</v>
      </c>
      <c r="P207" s="733">
        <v>0</v>
      </c>
      <c r="Q207" s="733">
        <v>0</v>
      </c>
      <c r="R207" s="733">
        <v>8</v>
      </c>
      <c r="S207" s="733">
        <v>3</v>
      </c>
      <c r="T207" s="733">
        <v>11</v>
      </c>
      <c r="U207" s="733">
        <v>0</v>
      </c>
      <c r="V207" s="733">
        <v>0</v>
      </c>
      <c r="W207" s="733">
        <v>0</v>
      </c>
      <c r="X207" s="733">
        <v>0</v>
      </c>
      <c r="Y207" s="733">
        <v>0</v>
      </c>
      <c r="Z207" s="733">
        <v>0</v>
      </c>
    </row>
    <row r="208" spans="1:26" ht="28">
      <c r="A208" s="251">
        <v>204</v>
      </c>
      <c r="B208" s="136" t="s">
        <v>528</v>
      </c>
      <c r="C208" s="733">
        <v>1290</v>
      </c>
      <c r="D208" s="733">
        <v>965</v>
      </c>
      <c r="E208" s="733">
        <v>2255</v>
      </c>
      <c r="F208" s="733">
        <v>108</v>
      </c>
      <c r="G208" s="733">
        <v>52</v>
      </c>
      <c r="H208" s="733">
        <v>160</v>
      </c>
      <c r="I208" s="733">
        <v>39</v>
      </c>
      <c r="J208" s="733">
        <v>15</v>
      </c>
      <c r="K208" s="733">
        <v>54</v>
      </c>
      <c r="L208" s="733">
        <v>199</v>
      </c>
      <c r="M208" s="733">
        <v>135</v>
      </c>
      <c r="N208" s="733">
        <v>334</v>
      </c>
      <c r="O208" s="733">
        <v>2</v>
      </c>
      <c r="P208" s="733">
        <v>0</v>
      </c>
      <c r="Q208" s="733">
        <v>2</v>
      </c>
      <c r="R208" s="733">
        <v>18</v>
      </c>
      <c r="S208" s="733">
        <v>21</v>
      </c>
      <c r="T208" s="733">
        <v>39</v>
      </c>
      <c r="U208" s="733">
        <v>32</v>
      </c>
      <c r="V208" s="733">
        <v>112</v>
      </c>
      <c r="W208" s="733">
        <v>144</v>
      </c>
      <c r="X208" s="733">
        <v>12</v>
      </c>
      <c r="Y208" s="733">
        <v>1</v>
      </c>
      <c r="Z208" s="733">
        <v>13</v>
      </c>
    </row>
    <row r="209" spans="1:26" ht="28">
      <c r="A209" s="251">
        <v>205</v>
      </c>
      <c r="B209" s="136" t="s">
        <v>529</v>
      </c>
      <c r="C209" s="733">
        <v>433</v>
      </c>
      <c r="D209" s="733">
        <v>755</v>
      </c>
      <c r="E209" s="733">
        <v>1188</v>
      </c>
      <c r="F209" s="733">
        <v>59</v>
      </c>
      <c r="G209" s="733">
        <v>80</v>
      </c>
      <c r="H209" s="733">
        <v>139</v>
      </c>
      <c r="I209" s="733">
        <v>64</v>
      </c>
      <c r="J209" s="733">
        <v>49</v>
      </c>
      <c r="K209" s="733">
        <v>113</v>
      </c>
      <c r="L209" s="733">
        <v>111</v>
      </c>
      <c r="M209" s="733">
        <v>101</v>
      </c>
      <c r="N209" s="733">
        <v>212</v>
      </c>
      <c r="O209" s="733">
        <v>1</v>
      </c>
      <c r="P209" s="733">
        <v>4</v>
      </c>
      <c r="Q209" s="733">
        <v>5</v>
      </c>
      <c r="R209" s="733">
        <v>30</v>
      </c>
      <c r="S209" s="733">
        <v>44</v>
      </c>
      <c r="T209" s="733">
        <v>74</v>
      </c>
      <c r="U209" s="733">
        <v>6</v>
      </c>
      <c r="V209" s="733">
        <v>61</v>
      </c>
      <c r="W209" s="733">
        <v>67</v>
      </c>
      <c r="X209" s="733">
        <v>13</v>
      </c>
      <c r="Y209" s="733">
        <v>15</v>
      </c>
      <c r="Z209" s="733">
        <v>28</v>
      </c>
    </row>
    <row r="210" spans="1:26">
      <c r="A210" s="251">
        <v>206</v>
      </c>
      <c r="B210" s="136" t="s">
        <v>913</v>
      </c>
      <c r="C210" s="733">
        <v>691</v>
      </c>
      <c r="D210" s="733">
        <v>345</v>
      </c>
      <c r="E210" s="733">
        <v>1036</v>
      </c>
      <c r="F210" s="733">
        <v>35</v>
      </c>
      <c r="G210" s="733">
        <v>18</v>
      </c>
      <c r="H210" s="733">
        <v>53</v>
      </c>
      <c r="I210" s="733">
        <v>10</v>
      </c>
      <c r="J210" s="733">
        <v>8</v>
      </c>
      <c r="K210" s="733">
        <v>18</v>
      </c>
      <c r="L210" s="733">
        <v>158</v>
      </c>
      <c r="M210" s="733">
        <v>53</v>
      </c>
      <c r="N210" s="733">
        <v>211</v>
      </c>
      <c r="O210" s="733">
        <v>0</v>
      </c>
      <c r="P210" s="733">
        <v>0</v>
      </c>
      <c r="Q210" s="733">
        <v>0</v>
      </c>
      <c r="R210" s="733">
        <v>0</v>
      </c>
      <c r="S210" s="733">
        <v>0</v>
      </c>
      <c r="T210" s="733">
        <v>0</v>
      </c>
      <c r="U210" s="733">
        <v>0</v>
      </c>
      <c r="V210" s="733">
        <v>0</v>
      </c>
      <c r="W210" s="733">
        <v>0</v>
      </c>
      <c r="X210" s="733">
        <v>164</v>
      </c>
      <c r="Y210" s="733">
        <v>70</v>
      </c>
      <c r="Z210" s="733">
        <v>234</v>
      </c>
    </row>
    <row r="211" spans="1:26" ht="30.75" customHeight="1">
      <c r="A211" s="251">
        <v>207</v>
      </c>
      <c r="B211" s="136" t="s">
        <v>914</v>
      </c>
      <c r="C211" s="733">
        <v>544</v>
      </c>
      <c r="D211" s="733">
        <v>262</v>
      </c>
      <c r="E211" s="733">
        <v>806</v>
      </c>
      <c r="F211" s="733">
        <v>29</v>
      </c>
      <c r="G211" s="733">
        <v>6</v>
      </c>
      <c r="H211" s="733">
        <v>35</v>
      </c>
      <c r="I211" s="733">
        <v>11</v>
      </c>
      <c r="J211" s="733">
        <v>0</v>
      </c>
      <c r="K211" s="733">
        <v>11</v>
      </c>
      <c r="L211" s="733">
        <v>128</v>
      </c>
      <c r="M211" s="733">
        <v>50</v>
      </c>
      <c r="N211" s="733">
        <v>178</v>
      </c>
      <c r="O211" s="733">
        <v>7</v>
      </c>
      <c r="P211" s="733">
        <v>1</v>
      </c>
      <c r="Q211" s="733">
        <v>8</v>
      </c>
      <c r="R211" s="733">
        <v>13</v>
      </c>
      <c r="S211" s="733">
        <v>12</v>
      </c>
      <c r="T211" s="733">
        <v>25</v>
      </c>
      <c r="U211" s="733">
        <v>4</v>
      </c>
      <c r="V211" s="733">
        <v>2</v>
      </c>
      <c r="W211" s="733">
        <v>6</v>
      </c>
      <c r="X211" s="733">
        <v>113</v>
      </c>
      <c r="Y211" s="733">
        <v>91</v>
      </c>
      <c r="Z211" s="733">
        <v>204</v>
      </c>
    </row>
    <row r="212" spans="1:26" ht="28">
      <c r="A212" s="251">
        <v>208</v>
      </c>
      <c r="B212" s="136" t="s">
        <v>530</v>
      </c>
      <c r="C212" s="733">
        <v>288</v>
      </c>
      <c r="D212" s="733">
        <v>264</v>
      </c>
      <c r="E212" s="733">
        <v>552</v>
      </c>
      <c r="F212" s="733">
        <v>48</v>
      </c>
      <c r="G212" s="733">
        <v>26</v>
      </c>
      <c r="H212" s="733">
        <v>74</v>
      </c>
      <c r="I212" s="733">
        <v>17</v>
      </c>
      <c r="J212" s="733">
        <v>22</v>
      </c>
      <c r="K212" s="733">
        <v>39</v>
      </c>
      <c r="L212" s="733">
        <v>126</v>
      </c>
      <c r="M212" s="733">
        <v>88</v>
      </c>
      <c r="N212" s="733">
        <v>214</v>
      </c>
      <c r="O212" s="733">
        <v>2</v>
      </c>
      <c r="P212" s="733">
        <v>0</v>
      </c>
      <c r="Q212" s="733">
        <v>2</v>
      </c>
      <c r="R212" s="733">
        <v>6</v>
      </c>
      <c r="S212" s="733">
        <v>2</v>
      </c>
      <c r="T212" s="733">
        <v>8</v>
      </c>
      <c r="U212" s="733">
        <v>3</v>
      </c>
      <c r="V212" s="733">
        <v>20</v>
      </c>
      <c r="W212" s="733">
        <v>23</v>
      </c>
      <c r="X212" s="733">
        <v>21</v>
      </c>
      <c r="Y212" s="733">
        <v>4</v>
      </c>
      <c r="Z212" s="733">
        <v>25</v>
      </c>
    </row>
    <row r="213" spans="1:26" ht="42">
      <c r="A213" s="251">
        <v>209</v>
      </c>
      <c r="B213" s="136" t="s">
        <v>532</v>
      </c>
      <c r="C213" s="733">
        <v>248</v>
      </c>
      <c r="D213" s="733">
        <v>285</v>
      </c>
      <c r="E213" s="733">
        <v>533</v>
      </c>
      <c r="F213" s="733">
        <v>39</v>
      </c>
      <c r="G213" s="733">
        <v>48</v>
      </c>
      <c r="H213" s="733">
        <v>87</v>
      </c>
      <c r="I213" s="733">
        <v>0</v>
      </c>
      <c r="J213" s="733">
        <v>0</v>
      </c>
      <c r="K213" s="733">
        <v>0</v>
      </c>
      <c r="L213" s="733">
        <v>46</v>
      </c>
      <c r="M213" s="733">
        <v>59</v>
      </c>
      <c r="N213" s="733">
        <v>105</v>
      </c>
      <c r="O213" s="733">
        <v>1</v>
      </c>
      <c r="P213" s="733">
        <v>0</v>
      </c>
      <c r="Q213" s="733">
        <v>1</v>
      </c>
      <c r="R213" s="733">
        <v>1</v>
      </c>
      <c r="S213" s="733">
        <v>0</v>
      </c>
      <c r="T213" s="733">
        <v>1</v>
      </c>
      <c r="U213" s="733">
        <v>60</v>
      </c>
      <c r="V213" s="733">
        <v>58</v>
      </c>
      <c r="W213" s="733">
        <v>118</v>
      </c>
      <c r="X213" s="733">
        <v>0</v>
      </c>
      <c r="Y213" s="733">
        <v>0</v>
      </c>
      <c r="Z213" s="733">
        <v>0</v>
      </c>
    </row>
    <row r="214" spans="1:26" ht="28">
      <c r="A214" s="251">
        <v>210</v>
      </c>
      <c r="B214" s="136" t="s">
        <v>531</v>
      </c>
      <c r="C214" s="733">
        <v>143</v>
      </c>
      <c r="D214" s="733">
        <v>116</v>
      </c>
      <c r="E214" s="733">
        <v>259</v>
      </c>
      <c r="F214" s="733">
        <v>13</v>
      </c>
      <c r="G214" s="733">
        <v>16</v>
      </c>
      <c r="H214" s="733">
        <v>29</v>
      </c>
      <c r="I214" s="733">
        <v>8</v>
      </c>
      <c r="J214" s="733">
        <v>10</v>
      </c>
      <c r="K214" s="733">
        <v>18</v>
      </c>
      <c r="L214" s="733">
        <v>19</v>
      </c>
      <c r="M214" s="733">
        <v>25</v>
      </c>
      <c r="N214" s="733">
        <v>44</v>
      </c>
      <c r="O214" s="733">
        <v>0</v>
      </c>
      <c r="P214" s="733">
        <v>0</v>
      </c>
      <c r="Q214" s="733">
        <v>0</v>
      </c>
      <c r="R214" s="733">
        <v>6</v>
      </c>
      <c r="S214" s="733">
        <v>2</v>
      </c>
      <c r="T214" s="733">
        <v>8</v>
      </c>
      <c r="U214" s="733">
        <v>2</v>
      </c>
      <c r="V214" s="733">
        <v>4</v>
      </c>
      <c r="W214" s="733">
        <v>6</v>
      </c>
      <c r="X214" s="733">
        <v>1</v>
      </c>
      <c r="Y214" s="733">
        <v>0</v>
      </c>
      <c r="Z214" s="733">
        <v>1</v>
      </c>
    </row>
    <row r="215" spans="1:26">
      <c r="A215" s="251">
        <v>211</v>
      </c>
      <c r="B215" s="136" t="s">
        <v>915</v>
      </c>
      <c r="C215" s="733">
        <v>187</v>
      </c>
      <c r="D215" s="733">
        <v>43</v>
      </c>
      <c r="E215" s="733">
        <v>230</v>
      </c>
      <c r="F215" s="733">
        <v>8</v>
      </c>
      <c r="G215" s="733">
        <v>7</v>
      </c>
      <c r="H215" s="733">
        <v>15</v>
      </c>
      <c r="I215" s="733">
        <v>8</v>
      </c>
      <c r="J215" s="733">
        <v>2</v>
      </c>
      <c r="K215" s="733">
        <v>10</v>
      </c>
      <c r="L215" s="733">
        <v>41</v>
      </c>
      <c r="M215" s="733">
        <v>0</v>
      </c>
      <c r="N215" s="733">
        <v>41</v>
      </c>
      <c r="O215" s="733">
        <v>0</v>
      </c>
      <c r="P215" s="733">
        <v>0</v>
      </c>
      <c r="Q215" s="733">
        <v>0</v>
      </c>
      <c r="R215" s="733">
        <v>16</v>
      </c>
      <c r="S215" s="733">
        <v>0</v>
      </c>
      <c r="T215" s="733">
        <v>16</v>
      </c>
      <c r="U215" s="733">
        <v>15</v>
      </c>
      <c r="V215" s="733">
        <v>0</v>
      </c>
      <c r="W215" s="733">
        <v>15</v>
      </c>
      <c r="X215" s="733">
        <v>2</v>
      </c>
      <c r="Y215" s="733">
        <v>0</v>
      </c>
      <c r="Z215" s="733">
        <v>2</v>
      </c>
    </row>
    <row r="216" spans="1:26" ht="28">
      <c r="A216" s="251">
        <v>212</v>
      </c>
      <c r="B216" s="136" t="s">
        <v>916</v>
      </c>
      <c r="C216" s="733">
        <v>85</v>
      </c>
      <c r="D216" s="733">
        <v>61</v>
      </c>
      <c r="E216" s="733">
        <v>146</v>
      </c>
      <c r="F216" s="733">
        <v>0</v>
      </c>
      <c r="G216" s="733">
        <v>1</v>
      </c>
      <c r="H216" s="733">
        <v>1</v>
      </c>
      <c r="I216" s="733">
        <v>0</v>
      </c>
      <c r="J216" s="733">
        <v>0</v>
      </c>
      <c r="K216" s="733">
        <v>0</v>
      </c>
      <c r="L216" s="733">
        <v>13</v>
      </c>
      <c r="M216" s="733">
        <v>5</v>
      </c>
      <c r="N216" s="733">
        <v>18</v>
      </c>
      <c r="O216" s="733">
        <v>0</v>
      </c>
      <c r="P216" s="733">
        <v>0</v>
      </c>
      <c r="Q216" s="733">
        <v>0</v>
      </c>
      <c r="R216" s="733">
        <v>2</v>
      </c>
      <c r="S216" s="733">
        <v>1</v>
      </c>
      <c r="T216" s="733">
        <v>3</v>
      </c>
      <c r="U216" s="733">
        <v>3</v>
      </c>
      <c r="V216" s="733">
        <v>0</v>
      </c>
      <c r="W216" s="733">
        <v>3</v>
      </c>
      <c r="X216" s="733">
        <v>0</v>
      </c>
      <c r="Y216" s="733">
        <v>0</v>
      </c>
      <c r="Z216" s="733">
        <v>0</v>
      </c>
    </row>
    <row r="217" spans="1:26" ht="28">
      <c r="A217" s="251">
        <v>213</v>
      </c>
      <c r="B217" s="136" t="s">
        <v>917</v>
      </c>
      <c r="C217" s="733">
        <v>106</v>
      </c>
      <c r="D217" s="733">
        <v>24</v>
      </c>
      <c r="E217" s="733">
        <v>130</v>
      </c>
      <c r="F217" s="733">
        <v>20</v>
      </c>
      <c r="G217" s="733">
        <v>2</v>
      </c>
      <c r="H217" s="733">
        <v>22</v>
      </c>
      <c r="I217" s="733">
        <v>10</v>
      </c>
      <c r="J217" s="733">
        <v>0</v>
      </c>
      <c r="K217" s="733">
        <v>10</v>
      </c>
      <c r="L217" s="733">
        <v>34</v>
      </c>
      <c r="M217" s="733">
        <v>5</v>
      </c>
      <c r="N217" s="733">
        <v>39</v>
      </c>
      <c r="O217" s="733">
        <v>0</v>
      </c>
      <c r="P217" s="733">
        <v>0</v>
      </c>
      <c r="Q217" s="733">
        <v>0</v>
      </c>
      <c r="R217" s="733">
        <v>0</v>
      </c>
      <c r="S217" s="733">
        <v>0</v>
      </c>
      <c r="T217" s="733">
        <v>0</v>
      </c>
      <c r="U217" s="733">
        <v>0</v>
      </c>
      <c r="V217" s="733">
        <v>0</v>
      </c>
      <c r="W217" s="733">
        <v>0</v>
      </c>
      <c r="X217" s="733">
        <v>4</v>
      </c>
      <c r="Y217" s="733">
        <v>1</v>
      </c>
      <c r="Z217" s="733">
        <v>5</v>
      </c>
    </row>
    <row r="218" spans="1:26" ht="42">
      <c r="A218" s="251">
        <v>214</v>
      </c>
      <c r="B218" s="136" t="s">
        <v>533</v>
      </c>
      <c r="C218" s="733">
        <v>3</v>
      </c>
      <c r="D218" s="733">
        <v>54</v>
      </c>
      <c r="E218" s="733">
        <v>57</v>
      </c>
      <c r="F218" s="733">
        <v>0</v>
      </c>
      <c r="G218" s="733">
        <v>1</v>
      </c>
      <c r="H218" s="733">
        <v>1</v>
      </c>
      <c r="I218" s="733">
        <v>0</v>
      </c>
      <c r="J218" s="733">
        <v>0</v>
      </c>
      <c r="K218" s="733">
        <v>0</v>
      </c>
      <c r="L218" s="733">
        <v>0</v>
      </c>
      <c r="M218" s="733">
        <v>4</v>
      </c>
      <c r="N218" s="733">
        <v>4</v>
      </c>
      <c r="O218" s="733">
        <v>0</v>
      </c>
      <c r="P218" s="733">
        <v>0</v>
      </c>
      <c r="Q218" s="733">
        <v>0</v>
      </c>
      <c r="R218" s="733">
        <v>0</v>
      </c>
      <c r="S218" s="733">
        <v>0</v>
      </c>
      <c r="T218" s="733">
        <v>0</v>
      </c>
      <c r="U218" s="733">
        <v>0</v>
      </c>
      <c r="V218" s="733">
        <v>0</v>
      </c>
      <c r="W218" s="733">
        <v>0</v>
      </c>
      <c r="X218" s="733">
        <v>0</v>
      </c>
      <c r="Y218" s="733">
        <v>0</v>
      </c>
      <c r="Z218" s="733">
        <v>0</v>
      </c>
    </row>
    <row r="219" spans="1:26" ht="22.5" customHeight="1">
      <c r="A219" s="985" t="s">
        <v>534</v>
      </c>
      <c r="B219" s="985"/>
      <c r="C219" s="141">
        <v>20322341</v>
      </c>
      <c r="D219" s="141">
        <v>19141843</v>
      </c>
      <c r="E219" s="141">
        <v>39464184</v>
      </c>
      <c r="F219" s="141">
        <v>2863044</v>
      </c>
      <c r="G219" s="141">
        <v>2732678</v>
      </c>
      <c r="H219" s="141">
        <v>5595722</v>
      </c>
      <c r="I219" s="141">
        <v>1138963</v>
      </c>
      <c r="J219" s="141">
        <v>1143105</v>
      </c>
      <c r="K219" s="141">
        <v>2282068</v>
      </c>
      <c r="L219" s="141">
        <v>7190458</v>
      </c>
      <c r="M219" s="141">
        <v>6868558</v>
      </c>
      <c r="N219" s="141">
        <v>14059016</v>
      </c>
      <c r="O219" s="147">
        <v>46267</v>
      </c>
      <c r="P219" s="147">
        <v>28094</v>
      </c>
      <c r="Q219" s="147">
        <v>74361</v>
      </c>
      <c r="R219" s="147">
        <v>917960</v>
      </c>
      <c r="S219" s="147">
        <v>919200</v>
      </c>
      <c r="T219" s="147">
        <v>1837160</v>
      </c>
      <c r="U219" s="147">
        <v>371982</v>
      </c>
      <c r="V219" s="147">
        <v>433187</v>
      </c>
      <c r="W219" s="147">
        <v>805169</v>
      </c>
      <c r="X219" s="147">
        <v>244250</v>
      </c>
      <c r="Y219" s="147">
        <v>223526</v>
      </c>
      <c r="Z219" s="147">
        <v>467776</v>
      </c>
    </row>
  </sheetData>
  <mergeCells count="14">
    <mergeCell ref="O2:Q2"/>
    <mergeCell ref="R2:T2"/>
    <mergeCell ref="U2:W2"/>
    <mergeCell ref="X2:Z2"/>
    <mergeCell ref="A219:B219"/>
    <mergeCell ref="A1:B1"/>
    <mergeCell ref="C1:H1"/>
    <mergeCell ref="I1:N1"/>
    <mergeCell ref="A2:A3"/>
    <mergeCell ref="B2:B3"/>
    <mergeCell ref="C2:E2"/>
    <mergeCell ref="F2:H2"/>
    <mergeCell ref="I2:K2"/>
    <mergeCell ref="L2:N2"/>
  </mergeCells>
  <pageMargins left="0.51181102362204722" right="0.51181102362204722" top="0.39370078740157483" bottom="0.39370078740157483" header="0.19685039370078741" footer="7.874015748031496E-2"/>
  <pageSetup paperSize="9" scale="59" firstPageNumber="28" pageOrder="overThenDown" orientation="portrait" useFirstPageNumber="1" r:id="rId1"/>
  <headerFooter>
    <oddFooter>&amp;L&amp;9AISHE 2020-21&amp;CT-11</oddFooter>
  </headerFooter>
  <rowBreaks count="1" manualBreakCount="1">
    <brk id="186" max="25" man="1"/>
  </rowBreaks>
  <colBreaks count="2" manualBreakCount="2">
    <brk id="8" max="228" man="1"/>
    <brk id="14" max="228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B050"/>
  </sheetPr>
  <dimension ref="A1:Z75"/>
  <sheetViews>
    <sheetView view="pageBreakPreview" topLeftCell="R1" zoomScale="115" zoomScaleSheetLayoutView="115" workbookViewId="0">
      <pane ySplit="4" topLeftCell="A17" activePane="bottomLeft" state="frozen"/>
      <selection activeCell="H31" sqref="H31"/>
      <selection pane="bottomLeft" activeCell="Z75" sqref="Z75"/>
    </sheetView>
  </sheetViews>
  <sheetFormatPr defaultColWidth="9.1796875" defaultRowHeight="14"/>
  <cols>
    <col min="1" max="1" width="6.7265625" style="138" bestFit="1" customWidth="1"/>
    <col min="2" max="2" width="35.54296875" style="142" customWidth="1"/>
    <col min="3" max="8" width="15.81640625" style="138" customWidth="1"/>
    <col min="9" max="14" width="12.453125" style="138" customWidth="1"/>
    <col min="15" max="17" width="9.1796875" style="138"/>
    <col min="18" max="26" width="11.54296875" style="138" customWidth="1"/>
    <col min="27" max="16384" width="9.1796875" style="138"/>
  </cols>
  <sheetData>
    <row r="1" spans="1:26" s="143" customFormat="1" ht="33" customHeight="1">
      <c r="A1" s="986" t="s">
        <v>535</v>
      </c>
      <c r="B1" s="986"/>
      <c r="C1" s="987" t="s">
        <v>1023</v>
      </c>
      <c r="D1" s="988"/>
      <c r="E1" s="988"/>
      <c r="F1" s="988"/>
      <c r="G1" s="988"/>
      <c r="H1" s="988"/>
      <c r="I1" s="992" t="str">
        <f>C1</f>
        <v>Programme-wise Enrolment - Distance Mode
(Based on Actual Response)</v>
      </c>
      <c r="J1" s="992"/>
      <c r="K1" s="992"/>
      <c r="L1" s="992"/>
      <c r="M1" s="992"/>
      <c r="N1" s="992"/>
      <c r="O1" s="992"/>
      <c r="P1" s="992"/>
      <c r="Q1" s="992"/>
      <c r="R1" s="992" t="s">
        <v>536</v>
      </c>
      <c r="S1" s="992"/>
      <c r="T1" s="992"/>
      <c r="U1" s="992"/>
      <c r="V1" s="992"/>
      <c r="W1" s="992"/>
      <c r="X1" s="992"/>
      <c r="Y1" s="992"/>
      <c r="Z1" s="992"/>
    </row>
    <row r="2" spans="1:26" s="144" customFormat="1" ht="28.5" customHeight="1">
      <c r="A2" s="989" t="s">
        <v>235</v>
      </c>
      <c r="B2" s="990" t="s">
        <v>537</v>
      </c>
      <c r="C2" s="991" t="s">
        <v>152</v>
      </c>
      <c r="D2" s="991"/>
      <c r="E2" s="991"/>
      <c r="F2" s="991" t="s">
        <v>538</v>
      </c>
      <c r="G2" s="991"/>
      <c r="H2" s="991"/>
      <c r="I2" s="991" t="s">
        <v>315</v>
      </c>
      <c r="J2" s="991"/>
      <c r="K2" s="991"/>
      <c r="L2" s="991" t="s">
        <v>1074</v>
      </c>
      <c r="M2" s="991"/>
      <c r="N2" s="991"/>
      <c r="O2" s="984" t="s">
        <v>108</v>
      </c>
      <c r="P2" s="984"/>
      <c r="Q2" s="984"/>
      <c r="R2" s="984" t="s">
        <v>109</v>
      </c>
      <c r="S2" s="984"/>
      <c r="T2" s="984"/>
      <c r="U2" s="984" t="s">
        <v>110</v>
      </c>
      <c r="V2" s="984"/>
      <c r="W2" s="984"/>
      <c r="X2" s="984" t="s">
        <v>296</v>
      </c>
      <c r="Y2" s="984"/>
      <c r="Z2" s="984"/>
    </row>
    <row r="3" spans="1:26" s="146" customFormat="1" ht="18" customHeight="1">
      <c r="A3" s="989"/>
      <c r="B3" s="990"/>
      <c r="C3" s="145" t="s">
        <v>87</v>
      </c>
      <c r="D3" s="145" t="s">
        <v>88</v>
      </c>
      <c r="E3" s="145" t="s">
        <v>12</v>
      </c>
      <c r="F3" s="145" t="s">
        <v>87</v>
      </c>
      <c r="G3" s="145" t="s">
        <v>88</v>
      </c>
      <c r="H3" s="145" t="s">
        <v>12</v>
      </c>
      <c r="I3" s="145" t="s">
        <v>87</v>
      </c>
      <c r="J3" s="145" t="s">
        <v>88</v>
      </c>
      <c r="K3" s="145" t="s">
        <v>12</v>
      </c>
      <c r="L3" s="145" t="s">
        <v>87</v>
      </c>
      <c r="M3" s="145" t="s">
        <v>88</v>
      </c>
      <c r="N3" s="145" t="s">
        <v>12</v>
      </c>
      <c r="O3" s="131" t="s">
        <v>87</v>
      </c>
      <c r="P3" s="131" t="s">
        <v>88</v>
      </c>
      <c r="Q3" s="131" t="s">
        <v>12</v>
      </c>
      <c r="R3" s="131" t="s">
        <v>87</v>
      </c>
      <c r="S3" s="131" t="s">
        <v>88</v>
      </c>
      <c r="T3" s="131" t="s">
        <v>12</v>
      </c>
      <c r="U3" s="131" t="s">
        <v>87</v>
      </c>
      <c r="V3" s="131" t="s">
        <v>88</v>
      </c>
      <c r="W3" s="131" t="s">
        <v>12</v>
      </c>
      <c r="X3" s="131" t="s">
        <v>87</v>
      </c>
      <c r="Y3" s="131" t="s">
        <v>88</v>
      </c>
      <c r="Z3" s="131" t="s">
        <v>12</v>
      </c>
    </row>
    <row r="4" spans="1:26" s="493" customFormat="1" ht="10">
      <c r="A4" s="492">
        <v>1</v>
      </c>
      <c r="B4" s="492">
        <v>2</v>
      </c>
      <c r="C4" s="492">
        <v>3</v>
      </c>
      <c r="D4" s="492">
        <v>4</v>
      </c>
      <c r="E4" s="492">
        <v>5</v>
      </c>
      <c r="F4" s="492">
        <v>6</v>
      </c>
      <c r="G4" s="492">
        <v>7</v>
      </c>
      <c r="H4" s="492">
        <v>8</v>
      </c>
      <c r="I4" s="492">
        <v>9</v>
      </c>
      <c r="J4" s="492">
        <v>10</v>
      </c>
      <c r="K4" s="492">
        <v>11</v>
      </c>
      <c r="L4" s="492">
        <v>12</v>
      </c>
      <c r="M4" s="492">
        <v>13</v>
      </c>
      <c r="N4" s="492">
        <v>14</v>
      </c>
      <c r="O4" s="492">
        <v>15</v>
      </c>
      <c r="P4" s="492">
        <v>16</v>
      </c>
      <c r="Q4" s="492">
        <v>17</v>
      </c>
      <c r="R4" s="492">
        <v>18</v>
      </c>
      <c r="S4" s="492">
        <v>19</v>
      </c>
      <c r="T4" s="492">
        <v>20</v>
      </c>
      <c r="U4" s="492">
        <v>21</v>
      </c>
      <c r="V4" s="492">
        <v>22</v>
      </c>
      <c r="W4" s="492">
        <v>23</v>
      </c>
      <c r="X4" s="492">
        <v>24</v>
      </c>
      <c r="Y4" s="492">
        <v>25</v>
      </c>
      <c r="Z4" s="492">
        <v>26</v>
      </c>
    </row>
    <row r="5" spans="1:26">
      <c r="A5" s="135">
        <v>1</v>
      </c>
      <c r="B5" s="136" t="s">
        <v>348</v>
      </c>
      <c r="C5" s="137">
        <v>8</v>
      </c>
      <c r="D5" s="137">
        <v>2</v>
      </c>
      <c r="E5" s="137">
        <v>10</v>
      </c>
      <c r="F5" s="137">
        <v>0</v>
      </c>
      <c r="G5" s="137">
        <v>0</v>
      </c>
      <c r="H5" s="137">
        <v>0</v>
      </c>
      <c r="I5" s="137">
        <v>0</v>
      </c>
      <c r="J5" s="137">
        <v>1</v>
      </c>
      <c r="K5" s="137">
        <v>1</v>
      </c>
      <c r="L5" s="137">
        <v>0</v>
      </c>
      <c r="M5" s="137">
        <v>1</v>
      </c>
      <c r="N5" s="137">
        <v>1</v>
      </c>
      <c r="O5" s="137">
        <v>0</v>
      </c>
      <c r="P5" s="137">
        <v>0</v>
      </c>
      <c r="Q5" s="137">
        <v>0</v>
      </c>
      <c r="R5" s="137">
        <v>0</v>
      </c>
      <c r="S5" s="137">
        <v>0</v>
      </c>
      <c r="T5" s="137">
        <v>0</v>
      </c>
      <c r="U5" s="137">
        <v>0</v>
      </c>
      <c r="V5" s="137">
        <v>0</v>
      </c>
      <c r="W5" s="137">
        <v>0</v>
      </c>
      <c r="X5" s="137">
        <v>0</v>
      </c>
      <c r="Y5" s="137">
        <v>0</v>
      </c>
      <c r="Z5" s="137">
        <v>0</v>
      </c>
    </row>
    <row r="6" spans="1:26">
      <c r="A6" s="135">
        <v>2</v>
      </c>
      <c r="B6" s="136" t="s">
        <v>357</v>
      </c>
      <c r="C6" s="137">
        <v>319107</v>
      </c>
      <c r="D6" s="137">
        <v>401074</v>
      </c>
      <c r="E6" s="137">
        <v>720181</v>
      </c>
      <c r="F6" s="137">
        <v>41382</v>
      </c>
      <c r="G6" s="137">
        <v>46771</v>
      </c>
      <c r="H6" s="137">
        <v>88153</v>
      </c>
      <c r="I6" s="137">
        <v>19134</v>
      </c>
      <c r="J6" s="137">
        <v>21254</v>
      </c>
      <c r="K6" s="137">
        <v>40388</v>
      </c>
      <c r="L6" s="137">
        <v>95780</v>
      </c>
      <c r="M6" s="137">
        <v>103210</v>
      </c>
      <c r="N6" s="137">
        <v>198990</v>
      </c>
      <c r="O6" s="137">
        <v>1650</v>
      </c>
      <c r="P6" s="137">
        <v>1029</v>
      </c>
      <c r="Q6" s="137">
        <v>2679</v>
      </c>
      <c r="R6" s="137">
        <v>11089</v>
      </c>
      <c r="S6" s="137">
        <v>12872</v>
      </c>
      <c r="T6" s="137">
        <v>23961</v>
      </c>
      <c r="U6" s="137">
        <v>2777</v>
      </c>
      <c r="V6" s="137">
        <v>3395</v>
      </c>
      <c r="W6" s="137">
        <v>6172</v>
      </c>
      <c r="X6" s="137">
        <v>4011</v>
      </c>
      <c r="Y6" s="137">
        <v>9678</v>
      </c>
      <c r="Z6" s="137">
        <v>13689</v>
      </c>
    </row>
    <row r="7" spans="1:26">
      <c r="A7" s="135">
        <v>3</v>
      </c>
      <c r="B7" s="136" t="s">
        <v>360</v>
      </c>
      <c r="C7" s="137">
        <v>68054</v>
      </c>
      <c r="D7" s="137">
        <v>155177</v>
      </c>
      <c r="E7" s="137">
        <v>223231</v>
      </c>
      <c r="F7" s="137">
        <v>5000</v>
      </c>
      <c r="G7" s="137">
        <v>7137</v>
      </c>
      <c r="H7" s="137">
        <v>12137</v>
      </c>
      <c r="I7" s="137">
        <v>1537</v>
      </c>
      <c r="J7" s="137">
        <v>1797</v>
      </c>
      <c r="K7" s="137">
        <v>3334</v>
      </c>
      <c r="L7" s="137">
        <v>16461</v>
      </c>
      <c r="M7" s="137">
        <v>23761</v>
      </c>
      <c r="N7" s="137">
        <v>40222</v>
      </c>
      <c r="O7" s="137">
        <v>107</v>
      </c>
      <c r="P7" s="137">
        <v>64</v>
      </c>
      <c r="Q7" s="137">
        <v>171</v>
      </c>
      <c r="R7" s="137">
        <v>814</v>
      </c>
      <c r="S7" s="137">
        <v>692</v>
      </c>
      <c r="T7" s="137">
        <v>1506</v>
      </c>
      <c r="U7" s="137">
        <v>674</v>
      </c>
      <c r="V7" s="137">
        <v>739</v>
      </c>
      <c r="W7" s="137">
        <v>1413</v>
      </c>
      <c r="X7" s="137">
        <v>377</v>
      </c>
      <c r="Y7" s="137">
        <v>4240</v>
      </c>
      <c r="Z7" s="137">
        <v>4617</v>
      </c>
    </row>
    <row r="8" spans="1:26" ht="28">
      <c r="A8" s="135">
        <v>4</v>
      </c>
      <c r="B8" s="136" t="s">
        <v>359</v>
      </c>
      <c r="C8" s="137">
        <v>72532</v>
      </c>
      <c r="D8" s="137">
        <v>58199</v>
      </c>
      <c r="E8" s="137">
        <v>130731</v>
      </c>
      <c r="F8" s="137">
        <v>5980</v>
      </c>
      <c r="G8" s="137">
        <v>4282</v>
      </c>
      <c r="H8" s="137">
        <v>10262</v>
      </c>
      <c r="I8" s="137">
        <v>1246</v>
      </c>
      <c r="J8" s="137">
        <v>998</v>
      </c>
      <c r="K8" s="137">
        <v>2244</v>
      </c>
      <c r="L8" s="137">
        <v>24659</v>
      </c>
      <c r="M8" s="137">
        <v>16543</v>
      </c>
      <c r="N8" s="137">
        <v>41202</v>
      </c>
      <c r="O8" s="137">
        <v>55</v>
      </c>
      <c r="P8" s="137">
        <v>10</v>
      </c>
      <c r="Q8" s="137">
        <v>65</v>
      </c>
      <c r="R8" s="137">
        <v>2302</v>
      </c>
      <c r="S8" s="137">
        <v>1366</v>
      </c>
      <c r="T8" s="137">
        <v>3668</v>
      </c>
      <c r="U8" s="137">
        <v>1611</v>
      </c>
      <c r="V8" s="137">
        <v>932</v>
      </c>
      <c r="W8" s="137">
        <v>2543</v>
      </c>
      <c r="X8" s="137">
        <v>216</v>
      </c>
      <c r="Y8" s="137">
        <v>960</v>
      </c>
      <c r="Z8" s="137">
        <v>1176</v>
      </c>
    </row>
    <row r="9" spans="1:26">
      <c r="A9" s="135">
        <v>5</v>
      </c>
      <c r="B9" s="136" t="s">
        <v>358</v>
      </c>
      <c r="C9" s="137">
        <v>47617</v>
      </c>
      <c r="D9" s="137">
        <v>52331</v>
      </c>
      <c r="E9" s="137">
        <v>99948</v>
      </c>
      <c r="F9" s="137">
        <v>5819</v>
      </c>
      <c r="G9" s="137">
        <v>5576</v>
      </c>
      <c r="H9" s="137">
        <v>11395</v>
      </c>
      <c r="I9" s="137">
        <v>2541</v>
      </c>
      <c r="J9" s="137">
        <v>1774</v>
      </c>
      <c r="K9" s="137">
        <v>4315</v>
      </c>
      <c r="L9" s="137">
        <v>17835</v>
      </c>
      <c r="M9" s="137">
        <v>20987</v>
      </c>
      <c r="N9" s="137">
        <v>38822</v>
      </c>
      <c r="O9" s="137">
        <v>180</v>
      </c>
      <c r="P9" s="137">
        <v>101</v>
      </c>
      <c r="Q9" s="137">
        <v>281</v>
      </c>
      <c r="R9" s="137">
        <v>1374</v>
      </c>
      <c r="S9" s="137">
        <v>1184</v>
      </c>
      <c r="T9" s="137">
        <v>2558</v>
      </c>
      <c r="U9" s="137">
        <v>737</v>
      </c>
      <c r="V9" s="137">
        <v>785</v>
      </c>
      <c r="W9" s="137">
        <v>1522</v>
      </c>
      <c r="X9" s="137">
        <v>112</v>
      </c>
      <c r="Y9" s="137">
        <v>1289</v>
      </c>
      <c r="Z9" s="137">
        <v>1401</v>
      </c>
    </row>
    <row r="10" spans="1:26" ht="28">
      <c r="A10" s="135">
        <v>6</v>
      </c>
      <c r="B10" s="136" t="s">
        <v>361</v>
      </c>
      <c r="C10" s="137">
        <v>16851</v>
      </c>
      <c r="D10" s="137">
        <v>11996</v>
      </c>
      <c r="E10" s="137">
        <v>28847</v>
      </c>
      <c r="F10" s="137">
        <v>1004</v>
      </c>
      <c r="G10" s="137">
        <v>654</v>
      </c>
      <c r="H10" s="137">
        <v>1658</v>
      </c>
      <c r="I10" s="137">
        <v>249</v>
      </c>
      <c r="J10" s="137">
        <v>225</v>
      </c>
      <c r="K10" s="137">
        <v>474</v>
      </c>
      <c r="L10" s="137">
        <v>3501</v>
      </c>
      <c r="M10" s="137">
        <v>2888</v>
      </c>
      <c r="N10" s="137">
        <v>6389</v>
      </c>
      <c r="O10" s="137">
        <v>5</v>
      </c>
      <c r="P10" s="137">
        <v>1</v>
      </c>
      <c r="Q10" s="137">
        <v>6</v>
      </c>
      <c r="R10" s="137">
        <v>213</v>
      </c>
      <c r="S10" s="137">
        <v>48</v>
      </c>
      <c r="T10" s="137">
        <v>261</v>
      </c>
      <c r="U10" s="137">
        <v>53</v>
      </c>
      <c r="V10" s="137">
        <v>46</v>
      </c>
      <c r="W10" s="137">
        <v>99</v>
      </c>
      <c r="X10" s="137">
        <v>171</v>
      </c>
      <c r="Y10" s="137">
        <v>70</v>
      </c>
      <c r="Z10" s="137">
        <v>241</v>
      </c>
    </row>
    <row r="11" spans="1:26">
      <c r="A11" s="135">
        <v>7</v>
      </c>
      <c r="B11" s="136" t="s">
        <v>364</v>
      </c>
      <c r="C11" s="137">
        <v>6651</v>
      </c>
      <c r="D11" s="137">
        <v>9101</v>
      </c>
      <c r="E11" s="137">
        <v>15752</v>
      </c>
      <c r="F11" s="137">
        <v>927</v>
      </c>
      <c r="G11" s="137">
        <v>1191</v>
      </c>
      <c r="H11" s="137">
        <v>2118</v>
      </c>
      <c r="I11" s="137">
        <v>753</v>
      </c>
      <c r="J11" s="137">
        <v>859</v>
      </c>
      <c r="K11" s="137">
        <v>1612</v>
      </c>
      <c r="L11" s="137">
        <v>1757</v>
      </c>
      <c r="M11" s="137">
        <v>2031</v>
      </c>
      <c r="N11" s="137">
        <v>3788</v>
      </c>
      <c r="O11" s="137">
        <v>21</v>
      </c>
      <c r="P11" s="137">
        <v>22</v>
      </c>
      <c r="Q11" s="137">
        <v>43</v>
      </c>
      <c r="R11" s="137">
        <v>52</v>
      </c>
      <c r="S11" s="137">
        <v>54</v>
      </c>
      <c r="T11" s="137">
        <v>106</v>
      </c>
      <c r="U11" s="137">
        <v>79</v>
      </c>
      <c r="V11" s="137">
        <v>70</v>
      </c>
      <c r="W11" s="137">
        <v>149</v>
      </c>
      <c r="X11" s="137">
        <v>48</v>
      </c>
      <c r="Y11" s="137">
        <v>51</v>
      </c>
      <c r="Z11" s="137">
        <v>99</v>
      </c>
    </row>
    <row r="12" spans="1:26">
      <c r="A12" s="135">
        <v>8</v>
      </c>
      <c r="B12" s="136" t="s">
        <v>377</v>
      </c>
      <c r="C12" s="137">
        <v>9081</v>
      </c>
      <c r="D12" s="137">
        <v>4671</v>
      </c>
      <c r="E12" s="137">
        <v>13752</v>
      </c>
      <c r="F12" s="137">
        <v>790</v>
      </c>
      <c r="G12" s="137">
        <v>364</v>
      </c>
      <c r="H12" s="137">
        <v>1154</v>
      </c>
      <c r="I12" s="137">
        <v>148</v>
      </c>
      <c r="J12" s="137">
        <v>87</v>
      </c>
      <c r="K12" s="137">
        <v>235</v>
      </c>
      <c r="L12" s="137">
        <v>1882</v>
      </c>
      <c r="M12" s="137">
        <v>982</v>
      </c>
      <c r="N12" s="137">
        <v>2864</v>
      </c>
      <c r="O12" s="137">
        <v>0</v>
      </c>
      <c r="P12" s="137">
        <v>0</v>
      </c>
      <c r="Q12" s="137">
        <v>0</v>
      </c>
      <c r="R12" s="137">
        <v>0</v>
      </c>
      <c r="S12" s="137">
        <v>0</v>
      </c>
      <c r="T12" s="137">
        <v>0</v>
      </c>
      <c r="U12" s="137">
        <v>0</v>
      </c>
      <c r="V12" s="137">
        <v>0</v>
      </c>
      <c r="W12" s="137">
        <v>0</v>
      </c>
      <c r="X12" s="137">
        <v>0</v>
      </c>
      <c r="Y12" s="137">
        <v>1</v>
      </c>
      <c r="Z12" s="137">
        <v>1</v>
      </c>
    </row>
    <row r="13" spans="1:26" ht="28">
      <c r="A13" s="135">
        <v>9</v>
      </c>
      <c r="B13" s="136" t="s">
        <v>384</v>
      </c>
      <c r="C13" s="137">
        <v>3478</v>
      </c>
      <c r="D13" s="137">
        <v>3732</v>
      </c>
      <c r="E13" s="137">
        <v>7210</v>
      </c>
      <c r="F13" s="137">
        <v>410</v>
      </c>
      <c r="G13" s="137">
        <v>527</v>
      </c>
      <c r="H13" s="137">
        <v>937</v>
      </c>
      <c r="I13" s="137">
        <v>7</v>
      </c>
      <c r="J13" s="137">
        <v>11</v>
      </c>
      <c r="K13" s="137">
        <v>18</v>
      </c>
      <c r="L13" s="137">
        <v>1217</v>
      </c>
      <c r="M13" s="137">
        <v>1523</v>
      </c>
      <c r="N13" s="137">
        <v>2740</v>
      </c>
      <c r="O13" s="137">
        <v>6</v>
      </c>
      <c r="P13" s="137">
        <v>4</v>
      </c>
      <c r="Q13" s="137">
        <v>10</v>
      </c>
      <c r="R13" s="137">
        <v>296</v>
      </c>
      <c r="S13" s="137">
        <v>46</v>
      </c>
      <c r="T13" s="137">
        <v>342</v>
      </c>
      <c r="U13" s="137">
        <v>389</v>
      </c>
      <c r="V13" s="137">
        <v>131</v>
      </c>
      <c r="W13" s="137">
        <v>520</v>
      </c>
      <c r="X13" s="137">
        <v>0</v>
      </c>
      <c r="Y13" s="137">
        <v>0</v>
      </c>
      <c r="Z13" s="137">
        <v>0</v>
      </c>
    </row>
    <row r="14" spans="1:26" ht="28">
      <c r="A14" s="135">
        <v>10</v>
      </c>
      <c r="B14" s="136" t="s">
        <v>890</v>
      </c>
      <c r="C14" s="137">
        <v>3881</v>
      </c>
      <c r="D14" s="137">
        <v>2098</v>
      </c>
      <c r="E14" s="137">
        <v>5979</v>
      </c>
      <c r="F14" s="137">
        <v>400</v>
      </c>
      <c r="G14" s="137">
        <v>214</v>
      </c>
      <c r="H14" s="137">
        <v>614</v>
      </c>
      <c r="I14" s="137">
        <v>132</v>
      </c>
      <c r="J14" s="137">
        <v>136</v>
      </c>
      <c r="K14" s="137">
        <v>268</v>
      </c>
      <c r="L14" s="137">
        <v>1040</v>
      </c>
      <c r="M14" s="137">
        <v>564</v>
      </c>
      <c r="N14" s="137">
        <v>1604</v>
      </c>
      <c r="O14" s="137">
        <v>5</v>
      </c>
      <c r="P14" s="137">
        <v>0</v>
      </c>
      <c r="Q14" s="137">
        <v>5</v>
      </c>
      <c r="R14" s="137">
        <v>9</v>
      </c>
      <c r="S14" s="137">
        <v>2</v>
      </c>
      <c r="T14" s="137">
        <v>11</v>
      </c>
      <c r="U14" s="137">
        <v>8</v>
      </c>
      <c r="V14" s="137">
        <v>1</v>
      </c>
      <c r="W14" s="137">
        <v>9</v>
      </c>
      <c r="X14" s="137">
        <v>28</v>
      </c>
      <c r="Y14" s="137">
        <v>8</v>
      </c>
      <c r="Z14" s="137">
        <v>36</v>
      </c>
    </row>
    <row r="15" spans="1:26">
      <c r="A15" s="135">
        <v>11</v>
      </c>
      <c r="B15" s="136" t="s">
        <v>891</v>
      </c>
      <c r="C15" s="137">
        <v>1441</v>
      </c>
      <c r="D15" s="137">
        <v>2261</v>
      </c>
      <c r="E15" s="137">
        <v>3702</v>
      </c>
      <c r="F15" s="137">
        <v>152</v>
      </c>
      <c r="G15" s="137">
        <v>225</v>
      </c>
      <c r="H15" s="137">
        <v>377</v>
      </c>
      <c r="I15" s="137">
        <v>13</v>
      </c>
      <c r="J15" s="137">
        <v>16</v>
      </c>
      <c r="K15" s="137">
        <v>29</v>
      </c>
      <c r="L15" s="137">
        <v>946</v>
      </c>
      <c r="M15" s="137">
        <v>1365</v>
      </c>
      <c r="N15" s="137">
        <v>2311</v>
      </c>
      <c r="O15" s="137">
        <v>0</v>
      </c>
      <c r="P15" s="137">
        <v>0</v>
      </c>
      <c r="Q15" s="137">
        <v>0</v>
      </c>
      <c r="R15" s="137">
        <v>0</v>
      </c>
      <c r="S15" s="137">
        <v>0</v>
      </c>
      <c r="T15" s="137">
        <v>0</v>
      </c>
      <c r="U15" s="137">
        <v>0</v>
      </c>
      <c r="V15" s="137">
        <v>0</v>
      </c>
      <c r="W15" s="137">
        <v>0</v>
      </c>
      <c r="X15" s="137">
        <v>0</v>
      </c>
      <c r="Y15" s="137">
        <v>0</v>
      </c>
      <c r="Z15" s="137">
        <v>0</v>
      </c>
    </row>
    <row r="16" spans="1:26">
      <c r="A16" s="135">
        <v>12</v>
      </c>
      <c r="B16" s="136" t="s">
        <v>369</v>
      </c>
      <c r="C16" s="137">
        <v>2068</v>
      </c>
      <c r="D16" s="137">
        <v>1552</v>
      </c>
      <c r="E16" s="137">
        <v>3620</v>
      </c>
      <c r="F16" s="137">
        <v>296</v>
      </c>
      <c r="G16" s="137">
        <v>157</v>
      </c>
      <c r="H16" s="137">
        <v>453</v>
      </c>
      <c r="I16" s="137">
        <v>6</v>
      </c>
      <c r="J16" s="137">
        <v>7</v>
      </c>
      <c r="K16" s="137">
        <v>13</v>
      </c>
      <c r="L16" s="137">
        <v>413</v>
      </c>
      <c r="M16" s="137">
        <v>326</v>
      </c>
      <c r="N16" s="137">
        <v>739</v>
      </c>
      <c r="O16" s="137">
        <v>8</v>
      </c>
      <c r="P16" s="137">
        <v>4</v>
      </c>
      <c r="Q16" s="137">
        <v>12</v>
      </c>
      <c r="R16" s="137">
        <v>11</v>
      </c>
      <c r="S16" s="137">
        <v>2</v>
      </c>
      <c r="T16" s="137">
        <v>13</v>
      </c>
      <c r="U16" s="137">
        <v>22</v>
      </c>
      <c r="V16" s="137">
        <v>4</v>
      </c>
      <c r="W16" s="137">
        <v>26</v>
      </c>
      <c r="X16" s="137">
        <v>7</v>
      </c>
      <c r="Y16" s="137">
        <v>6</v>
      </c>
      <c r="Z16" s="137">
        <v>13</v>
      </c>
    </row>
    <row r="17" spans="1:26">
      <c r="A17" s="135">
        <v>13</v>
      </c>
      <c r="B17" s="136" t="s">
        <v>382</v>
      </c>
      <c r="C17" s="137">
        <v>1507</v>
      </c>
      <c r="D17" s="137">
        <v>1539</v>
      </c>
      <c r="E17" s="137">
        <v>3046</v>
      </c>
      <c r="F17" s="137">
        <v>235</v>
      </c>
      <c r="G17" s="137">
        <v>219</v>
      </c>
      <c r="H17" s="137">
        <v>454</v>
      </c>
      <c r="I17" s="137">
        <v>95</v>
      </c>
      <c r="J17" s="137">
        <v>56</v>
      </c>
      <c r="K17" s="137">
        <v>151</v>
      </c>
      <c r="L17" s="137">
        <v>628</v>
      </c>
      <c r="M17" s="137">
        <v>547</v>
      </c>
      <c r="N17" s="137">
        <v>1175</v>
      </c>
      <c r="O17" s="137">
        <v>33</v>
      </c>
      <c r="P17" s="137">
        <v>14</v>
      </c>
      <c r="Q17" s="137">
        <v>47</v>
      </c>
      <c r="R17" s="137">
        <v>51</v>
      </c>
      <c r="S17" s="137">
        <v>23</v>
      </c>
      <c r="T17" s="137">
        <v>74</v>
      </c>
      <c r="U17" s="137">
        <v>53</v>
      </c>
      <c r="V17" s="137">
        <v>45</v>
      </c>
      <c r="W17" s="137">
        <v>98</v>
      </c>
      <c r="X17" s="137">
        <v>0</v>
      </c>
      <c r="Y17" s="137">
        <v>36</v>
      </c>
      <c r="Z17" s="137">
        <v>36</v>
      </c>
    </row>
    <row r="18" spans="1:26" ht="28">
      <c r="A18" s="135">
        <v>14</v>
      </c>
      <c r="B18" s="136" t="s">
        <v>378</v>
      </c>
      <c r="C18" s="137">
        <v>1372</v>
      </c>
      <c r="D18" s="137">
        <v>1379</v>
      </c>
      <c r="E18" s="137">
        <v>2751</v>
      </c>
      <c r="F18" s="137">
        <v>128</v>
      </c>
      <c r="G18" s="137">
        <v>146</v>
      </c>
      <c r="H18" s="137">
        <v>274</v>
      </c>
      <c r="I18" s="137">
        <v>59</v>
      </c>
      <c r="J18" s="137">
        <v>44</v>
      </c>
      <c r="K18" s="137">
        <v>103</v>
      </c>
      <c r="L18" s="137">
        <v>399</v>
      </c>
      <c r="M18" s="137">
        <v>373</v>
      </c>
      <c r="N18" s="137">
        <v>772</v>
      </c>
      <c r="O18" s="137">
        <v>3</v>
      </c>
      <c r="P18" s="137">
        <v>0</v>
      </c>
      <c r="Q18" s="137">
        <v>3</v>
      </c>
      <c r="R18" s="137">
        <v>9</v>
      </c>
      <c r="S18" s="137">
        <v>0</v>
      </c>
      <c r="T18" s="137">
        <v>9</v>
      </c>
      <c r="U18" s="137">
        <v>0</v>
      </c>
      <c r="V18" s="137">
        <v>0</v>
      </c>
      <c r="W18" s="137">
        <v>0</v>
      </c>
      <c r="X18" s="137">
        <v>22</v>
      </c>
      <c r="Y18" s="137">
        <v>17</v>
      </c>
      <c r="Z18" s="137">
        <v>39</v>
      </c>
    </row>
    <row r="19" spans="1:26" ht="28">
      <c r="A19" s="135">
        <v>15</v>
      </c>
      <c r="B19" s="136" t="s">
        <v>409</v>
      </c>
      <c r="C19" s="137">
        <v>1026</v>
      </c>
      <c r="D19" s="137">
        <v>850</v>
      </c>
      <c r="E19" s="137">
        <v>1876</v>
      </c>
      <c r="F19" s="137">
        <v>57</v>
      </c>
      <c r="G19" s="137">
        <v>50</v>
      </c>
      <c r="H19" s="137">
        <v>107</v>
      </c>
      <c r="I19" s="137">
        <v>21</v>
      </c>
      <c r="J19" s="137">
        <v>21</v>
      </c>
      <c r="K19" s="137">
        <v>42</v>
      </c>
      <c r="L19" s="137">
        <v>182</v>
      </c>
      <c r="M19" s="137">
        <v>100</v>
      </c>
      <c r="N19" s="137">
        <v>282</v>
      </c>
      <c r="O19" s="137">
        <v>0</v>
      </c>
      <c r="P19" s="137">
        <v>0</v>
      </c>
      <c r="Q19" s="137">
        <v>0</v>
      </c>
      <c r="R19" s="137">
        <v>0</v>
      </c>
      <c r="S19" s="137">
        <v>0</v>
      </c>
      <c r="T19" s="137">
        <v>0</v>
      </c>
      <c r="U19" s="137">
        <v>0</v>
      </c>
      <c r="V19" s="137">
        <v>0</v>
      </c>
      <c r="W19" s="137">
        <v>0</v>
      </c>
      <c r="X19" s="137">
        <v>18</v>
      </c>
      <c r="Y19" s="137">
        <v>12</v>
      </c>
      <c r="Z19" s="137">
        <v>30</v>
      </c>
    </row>
    <row r="20" spans="1:26" ht="28">
      <c r="A20" s="135">
        <v>16</v>
      </c>
      <c r="B20" s="136" t="s">
        <v>380</v>
      </c>
      <c r="C20" s="137">
        <v>796</v>
      </c>
      <c r="D20" s="137">
        <v>602</v>
      </c>
      <c r="E20" s="137">
        <v>1398</v>
      </c>
      <c r="F20" s="137">
        <v>63</v>
      </c>
      <c r="G20" s="137">
        <v>31</v>
      </c>
      <c r="H20" s="137">
        <v>94</v>
      </c>
      <c r="I20" s="137">
        <v>1</v>
      </c>
      <c r="J20" s="137">
        <v>1</v>
      </c>
      <c r="K20" s="137">
        <v>2</v>
      </c>
      <c r="L20" s="137">
        <v>110</v>
      </c>
      <c r="M20" s="137">
        <v>37</v>
      </c>
      <c r="N20" s="137">
        <v>147</v>
      </c>
      <c r="O20" s="137">
        <v>0</v>
      </c>
      <c r="P20" s="137">
        <v>0</v>
      </c>
      <c r="Q20" s="137">
        <v>0</v>
      </c>
      <c r="R20" s="137">
        <v>3</v>
      </c>
      <c r="S20" s="137">
        <v>0</v>
      </c>
      <c r="T20" s="137">
        <v>3</v>
      </c>
      <c r="U20" s="137">
        <v>4</v>
      </c>
      <c r="V20" s="137">
        <v>2</v>
      </c>
      <c r="W20" s="137">
        <v>6</v>
      </c>
      <c r="X20" s="137">
        <v>0</v>
      </c>
      <c r="Y20" s="137">
        <v>0</v>
      </c>
      <c r="Z20" s="137">
        <v>0</v>
      </c>
    </row>
    <row r="21" spans="1:26" ht="28">
      <c r="A21" s="135">
        <v>17</v>
      </c>
      <c r="B21" s="136" t="s">
        <v>387</v>
      </c>
      <c r="C21" s="137">
        <v>600</v>
      </c>
      <c r="D21" s="137">
        <v>126</v>
      </c>
      <c r="E21" s="137">
        <v>726</v>
      </c>
      <c r="F21" s="137">
        <v>83</v>
      </c>
      <c r="G21" s="137">
        <v>17</v>
      </c>
      <c r="H21" s="137">
        <v>100</v>
      </c>
      <c r="I21" s="137">
        <v>4</v>
      </c>
      <c r="J21" s="137">
        <v>8</v>
      </c>
      <c r="K21" s="137">
        <v>12</v>
      </c>
      <c r="L21" s="137">
        <v>44</v>
      </c>
      <c r="M21" s="137">
        <v>30</v>
      </c>
      <c r="N21" s="137">
        <v>74</v>
      </c>
      <c r="O21" s="137">
        <v>0</v>
      </c>
      <c r="P21" s="137">
        <v>0</v>
      </c>
      <c r="Q21" s="137">
        <v>0</v>
      </c>
      <c r="R21" s="137">
        <v>0</v>
      </c>
      <c r="S21" s="137">
        <v>0</v>
      </c>
      <c r="T21" s="137">
        <v>0</v>
      </c>
      <c r="U21" s="137">
        <v>0</v>
      </c>
      <c r="V21" s="137">
        <v>0</v>
      </c>
      <c r="W21" s="137">
        <v>0</v>
      </c>
      <c r="X21" s="137">
        <v>3</v>
      </c>
      <c r="Y21" s="137">
        <v>0</v>
      </c>
      <c r="Z21" s="137">
        <v>3</v>
      </c>
    </row>
    <row r="22" spans="1:26">
      <c r="A22" s="135">
        <v>18</v>
      </c>
      <c r="B22" s="136" t="s">
        <v>381</v>
      </c>
      <c r="C22" s="137">
        <v>287</v>
      </c>
      <c r="D22" s="137">
        <v>430</v>
      </c>
      <c r="E22" s="137">
        <v>717</v>
      </c>
      <c r="F22" s="137">
        <v>38</v>
      </c>
      <c r="G22" s="137">
        <v>45</v>
      </c>
      <c r="H22" s="137">
        <v>83</v>
      </c>
      <c r="I22" s="137">
        <v>2</v>
      </c>
      <c r="J22" s="137">
        <v>1</v>
      </c>
      <c r="K22" s="137">
        <v>3</v>
      </c>
      <c r="L22" s="137">
        <v>105</v>
      </c>
      <c r="M22" s="137">
        <v>99</v>
      </c>
      <c r="N22" s="137">
        <v>204</v>
      </c>
      <c r="O22" s="137">
        <v>1</v>
      </c>
      <c r="P22" s="137">
        <v>0</v>
      </c>
      <c r="Q22" s="137">
        <v>1</v>
      </c>
      <c r="R22" s="137">
        <v>2</v>
      </c>
      <c r="S22" s="137">
        <v>0</v>
      </c>
      <c r="T22" s="137">
        <v>2</v>
      </c>
      <c r="U22" s="137">
        <v>3</v>
      </c>
      <c r="V22" s="137">
        <v>15</v>
      </c>
      <c r="W22" s="137">
        <v>18</v>
      </c>
      <c r="X22" s="137">
        <v>0</v>
      </c>
      <c r="Y22" s="137">
        <v>0</v>
      </c>
      <c r="Z22" s="137">
        <v>0</v>
      </c>
    </row>
    <row r="23" spans="1:26">
      <c r="A23" s="135">
        <v>19</v>
      </c>
      <c r="B23" s="136" t="s">
        <v>391</v>
      </c>
      <c r="C23" s="137">
        <v>543</v>
      </c>
      <c r="D23" s="137">
        <v>130</v>
      </c>
      <c r="E23" s="137">
        <v>673</v>
      </c>
      <c r="F23" s="137">
        <v>81</v>
      </c>
      <c r="G23" s="137">
        <v>20</v>
      </c>
      <c r="H23" s="137">
        <v>101</v>
      </c>
      <c r="I23" s="137">
        <v>24</v>
      </c>
      <c r="J23" s="137">
        <v>5</v>
      </c>
      <c r="K23" s="137">
        <v>29</v>
      </c>
      <c r="L23" s="137">
        <v>246</v>
      </c>
      <c r="M23" s="137">
        <v>40</v>
      </c>
      <c r="N23" s="137">
        <v>286</v>
      </c>
      <c r="O23" s="137">
        <v>11</v>
      </c>
      <c r="P23" s="137">
        <v>2</v>
      </c>
      <c r="Q23" s="137">
        <v>13</v>
      </c>
      <c r="R23" s="137">
        <v>47</v>
      </c>
      <c r="S23" s="137">
        <v>4</v>
      </c>
      <c r="T23" s="137">
        <v>51</v>
      </c>
      <c r="U23" s="137">
        <v>11</v>
      </c>
      <c r="V23" s="137">
        <v>6</v>
      </c>
      <c r="W23" s="137">
        <v>17</v>
      </c>
      <c r="X23" s="137">
        <v>0</v>
      </c>
      <c r="Y23" s="137">
        <v>0</v>
      </c>
      <c r="Z23" s="137">
        <v>0</v>
      </c>
    </row>
    <row r="24" spans="1:26" ht="28">
      <c r="A24" s="135">
        <v>20</v>
      </c>
      <c r="B24" s="136" t="s">
        <v>383</v>
      </c>
      <c r="C24" s="137">
        <v>146</v>
      </c>
      <c r="D24" s="137">
        <v>242</v>
      </c>
      <c r="E24" s="137">
        <v>388</v>
      </c>
      <c r="F24" s="137">
        <v>39</v>
      </c>
      <c r="G24" s="137">
        <v>79</v>
      </c>
      <c r="H24" s="137">
        <v>118</v>
      </c>
      <c r="I24" s="137">
        <v>0</v>
      </c>
      <c r="J24" s="137">
        <v>0</v>
      </c>
      <c r="K24" s="137">
        <v>0</v>
      </c>
      <c r="L24" s="137">
        <v>24</v>
      </c>
      <c r="M24" s="137">
        <v>61</v>
      </c>
      <c r="N24" s="137">
        <v>85</v>
      </c>
      <c r="O24" s="137">
        <v>0</v>
      </c>
      <c r="P24" s="137">
        <v>0</v>
      </c>
      <c r="Q24" s="137">
        <v>0</v>
      </c>
      <c r="R24" s="137">
        <v>0</v>
      </c>
      <c r="S24" s="137">
        <v>0</v>
      </c>
      <c r="T24" s="137">
        <v>0</v>
      </c>
      <c r="U24" s="137">
        <v>0</v>
      </c>
      <c r="V24" s="137">
        <v>0</v>
      </c>
      <c r="W24" s="137">
        <v>0</v>
      </c>
      <c r="X24" s="137">
        <v>0</v>
      </c>
      <c r="Y24" s="137">
        <v>0</v>
      </c>
      <c r="Z24" s="137">
        <v>0</v>
      </c>
    </row>
    <row r="25" spans="1:26">
      <c r="A25" s="135">
        <v>21</v>
      </c>
      <c r="B25" s="136" t="s">
        <v>371</v>
      </c>
      <c r="C25" s="137">
        <v>160</v>
      </c>
      <c r="D25" s="137">
        <v>73</v>
      </c>
      <c r="E25" s="137">
        <v>233</v>
      </c>
      <c r="F25" s="137">
        <v>4</v>
      </c>
      <c r="G25" s="137">
        <v>3</v>
      </c>
      <c r="H25" s="137">
        <v>7</v>
      </c>
      <c r="I25" s="137">
        <v>2</v>
      </c>
      <c r="J25" s="137">
        <v>1</v>
      </c>
      <c r="K25" s="137">
        <v>3</v>
      </c>
      <c r="L25" s="137">
        <v>25</v>
      </c>
      <c r="M25" s="137">
        <v>14</v>
      </c>
      <c r="N25" s="137">
        <v>39</v>
      </c>
      <c r="O25" s="137">
        <v>0</v>
      </c>
      <c r="P25" s="137">
        <v>0</v>
      </c>
      <c r="Q25" s="137">
        <v>0</v>
      </c>
      <c r="R25" s="137">
        <v>0</v>
      </c>
      <c r="S25" s="137">
        <v>0</v>
      </c>
      <c r="T25" s="137">
        <v>0</v>
      </c>
      <c r="U25" s="137">
        <v>0</v>
      </c>
      <c r="V25" s="137">
        <v>0</v>
      </c>
      <c r="W25" s="137">
        <v>0</v>
      </c>
      <c r="X25" s="137">
        <v>0</v>
      </c>
      <c r="Y25" s="137">
        <v>0</v>
      </c>
      <c r="Z25" s="137">
        <v>0</v>
      </c>
    </row>
    <row r="26" spans="1:26">
      <c r="A26" s="135">
        <v>22</v>
      </c>
      <c r="B26" s="136" t="s">
        <v>410</v>
      </c>
      <c r="C26" s="137">
        <v>107</v>
      </c>
      <c r="D26" s="137">
        <v>102</v>
      </c>
      <c r="E26" s="137">
        <v>209</v>
      </c>
      <c r="F26" s="137">
        <v>8</v>
      </c>
      <c r="G26" s="137">
        <v>10</v>
      </c>
      <c r="H26" s="137">
        <v>18</v>
      </c>
      <c r="I26" s="137">
        <v>10</v>
      </c>
      <c r="J26" s="137">
        <v>6</v>
      </c>
      <c r="K26" s="137">
        <v>16</v>
      </c>
      <c r="L26" s="137">
        <v>40</v>
      </c>
      <c r="M26" s="137">
        <v>50</v>
      </c>
      <c r="N26" s="137">
        <v>90</v>
      </c>
      <c r="O26" s="137">
        <v>18</v>
      </c>
      <c r="P26" s="137">
        <v>6</v>
      </c>
      <c r="Q26" s="137">
        <v>24</v>
      </c>
      <c r="R26" s="137">
        <v>5</v>
      </c>
      <c r="S26" s="137">
        <v>1</v>
      </c>
      <c r="T26" s="137">
        <v>6</v>
      </c>
      <c r="U26" s="137">
        <v>1</v>
      </c>
      <c r="V26" s="137">
        <v>0</v>
      </c>
      <c r="W26" s="137">
        <v>1</v>
      </c>
      <c r="X26" s="137">
        <v>0</v>
      </c>
      <c r="Y26" s="137">
        <v>0</v>
      </c>
      <c r="Z26" s="137">
        <v>0</v>
      </c>
    </row>
    <row r="27" spans="1:26">
      <c r="A27" s="135">
        <v>23</v>
      </c>
      <c r="B27" s="136" t="s">
        <v>376</v>
      </c>
      <c r="C27" s="137">
        <v>96</v>
      </c>
      <c r="D27" s="137">
        <v>48</v>
      </c>
      <c r="E27" s="137">
        <v>144</v>
      </c>
      <c r="F27" s="137">
        <v>15</v>
      </c>
      <c r="G27" s="137">
        <v>6</v>
      </c>
      <c r="H27" s="137">
        <v>21</v>
      </c>
      <c r="I27" s="137">
        <v>0</v>
      </c>
      <c r="J27" s="137">
        <v>0</v>
      </c>
      <c r="K27" s="137">
        <v>0</v>
      </c>
      <c r="L27" s="137">
        <v>42</v>
      </c>
      <c r="M27" s="137">
        <v>23</v>
      </c>
      <c r="N27" s="137">
        <v>65</v>
      </c>
      <c r="O27" s="137">
        <v>1</v>
      </c>
      <c r="P27" s="137">
        <v>0</v>
      </c>
      <c r="Q27" s="137">
        <v>1</v>
      </c>
      <c r="R27" s="137">
        <v>4</v>
      </c>
      <c r="S27" s="137">
        <v>0</v>
      </c>
      <c r="T27" s="137">
        <v>4</v>
      </c>
      <c r="U27" s="137">
        <v>4</v>
      </c>
      <c r="V27" s="137">
        <v>0</v>
      </c>
      <c r="W27" s="137">
        <v>4</v>
      </c>
      <c r="X27" s="137">
        <v>0</v>
      </c>
      <c r="Y27" s="137">
        <v>0</v>
      </c>
      <c r="Z27" s="137">
        <v>0</v>
      </c>
    </row>
    <row r="28" spans="1:26">
      <c r="A28" s="135">
        <v>24</v>
      </c>
      <c r="B28" s="136" t="s">
        <v>405</v>
      </c>
      <c r="C28" s="137">
        <v>62</v>
      </c>
      <c r="D28" s="137">
        <v>29</v>
      </c>
      <c r="E28" s="137">
        <v>91</v>
      </c>
      <c r="F28" s="137">
        <v>7</v>
      </c>
      <c r="G28" s="137">
        <v>2</v>
      </c>
      <c r="H28" s="137">
        <v>9</v>
      </c>
      <c r="I28" s="137">
        <v>1</v>
      </c>
      <c r="J28" s="137">
        <v>1</v>
      </c>
      <c r="K28" s="137">
        <v>2</v>
      </c>
      <c r="L28" s="137">
        <v>15</v>
      </c>
      <c r="M28" s="137">
        <v>5</v>
      </c>
      <c r="N28" s="137">
        <v>20</v>
      </c>
      <c r="O28" s="137">
        <v>0</v>
      </c>
      <c r="P28" s="137">
        <v>0</v>
      </c>
      <c r="Q28" s="137">
        <v>0</v>
      </c>
      <c r="R28" s="137">
        <v>6</v>
      </c>
      <c r="S28" s="137">
        <v>0</v>
      </c>
      <c r="T28" s="137">
        <v>6</v>
      </c>
      <c r="U28" s="137">
        <v>0</v>
      </c>
      <c r="V28" s="137">
        <v>0</v>
      </c>
      <c r="W28" s="137">
        <v>0</v>
      </c>
      <c r="X28" s="137">
        <v>0</v>
      </c>
      <c r="Y28" s="137">
        <v>0</v>
      </c>
      <c r="Z28" s="137">
        <v>0</v>
      </c>
    </row>
    <row r="29" spans="1:26">
      <c r="A29" s="135">
        <v>25</v>
      </c>
      <c r="B29" s="136" t="s">
        <v>390</v>
      </c>
      <c r="C29" s="137">
        <v>55</v>
      </c>
      <c r="D29" s="137">
        <v>35</v>
      </c>
      <c r="E29" s="137">
        <v>90</v>
      </c>
      <c r="F29" s="137">
        <v>9</v>
      </c>
      <c r="G29" s="137">
        <v>8</v>
      </c>
      <c r="H29" s="137">
        <v>17</v>
      </c>
      <c r="I29" s="137">
        <v>6</v>
      </c>
      <c r="J29" s="137">
        <v>0</v>
      </c>
      <c r="K29" s="137">
        <v>6</v>
      </c>
      <c r="L29" s="137">
        <v>12</v>
      </c>
      <c r="M29" s="137">
        <v>12</v>
      </c>
      <c r="N29" s="137">
        <v>24</v>
      </c>
      <c r="O29" s="137">
        <v>0</v>
      </c>
      <c r="P29" s="137">
        <v>0</v>
      </c>
      <c r="Q29" s="137">
        <v>0</v>
      </c>
      <c r="R29" s="137">
        <v>0</v>
      </c>
      <c r="S29" s="137">
        <v>0</v>
      </c>
      <c r="T29" s="137">
        <v>0</v>
      </c>
      <c r="U29" s="137">
        <v>0</v>
      </c>
      <c r="V29" s="137">
        <v>0</v>
      </c>
      <c r="W29" s="137">
        <v>0</v>
      </c>
      <c r="X29" s="137">
        <v>0</v>
      </c>
      <c r="Y29" s="137">
        <v>0</v>
      </c>
      <c r="Z29" s="137">
        <v>0</v>
      </c>
    </row>
    <row r="30" spans="1:26" ht="28">
      <c r="A30" s="135">
        <v>26</v>
      </c>
      <c r="B30" s="136" t="s">
        <v>374</v>
      </c>
      <c r="C30" s="137">
        <v>26</v>
      </c>
      <c r="D30" s="137">
        <v>24</v>
      </c>
      <c r="E30" s="137">
        <v>50</v>
      </c>
      <c r="F30" s="137">
        <v>6</v>
      </c>
      <c r="G30" s="137">
        <v>7</v>
      </c>
      <c r="H30" s="137">
        <v>13</v>
      </c>
      <c r="I30" s="137">
        <v>6</v>
      </c>
      <c r="J30" s="137">
        <v>5</v>
      </c>
      <c r="K30" s="137">
        <v>11</v>
      </c>
      <c r="L30" s="137">
        <v>4</v>
      </c>
      <c r="M30" s="137">
        <v>3</v>
      </c>
      <c r="N30" s="137">
        <v>7</v>
      </c>
      <c r="O30" s="137">
        <v>0</v>
      </c>
      <c r="P30" s="137">
        <v>0</v>
      </c>
      <c r="Q30" s="137">
        <v>0</v>
      </c>
      <c r="R30" s="137">
        <v>0</v>
      </c>
      <c r="S30" s="137">
        <v>0</v>
      </c>
      <c r="T30" s="137">
        <v>0</v>
      </c>
      <c r="U30" s="137">
        <v>0</v>
      </c>
      <c r="V30" s="137">
        <v>0</v>
      </c>
      <c r="W30" s="137">
        <v>0</v>
      </c>
      <c r="X30" s="137">
        <v>0</v>
      </c>
      <c r="Y30" s="137">
        <v>0</v>
      </c>
      <c r="Z30" s="137">
        <v>0</v>
      </c>
    </row>
    <row r="31" spans="1:26">
      <c r="A31" s="135">
        <v>27</v>
      </c>
      <c r="B31" s="136" t="s">
        <v>399</v>
      </c>
      <c r="C31" s="137">
        <v>19</v>
      </c>
      <c r="D31" s="137">
        <v>19</v>
      </c>
      <c r="E31" s="137">
        <v>38</v>
      </c>
      <c r="F31" s="137">
        <v>2</v>
      </c>
      <c r="G31" s="137">
        <v>1</v>
      </c>
      <c r="H31" s="137">
        <v>3</v>
      </c>
      <c r="I31" s="137">
        <v>0</v>
      </c>
      <c r="J31" s="137">
        <v>1</v>
      </c>
      <c r="K31" s="137">
        <v>1</v>
      </c>
      <c r="L31" s="137">
        <v>2</v>
      </c>
      <c r="M31" s="137">
        <v>3</v>
      </c>
      <c r="N31" s="137">
        <v>5</v>
      </c>
      <c r="O31" s="137">
        <v>2</v>
      </c>
      <c r="P31" s="137">
        <v>1</v>
      </c>
      <c r="Q31" s="137">
        <v>3</v>
      </c>
      <c r="R31" s="137">
        <v>1</v>
      </c>
      <c r="S31" s="137">
        <v>0</v>
      </c>
      <c r="T31" s="137">
        <v>1</v>
      </c>
      <c r="U31" s="137">
        <v>3</v>
      </c>
      <c r="V31" s="137">
        <v>1</v>
      </c>
      <c r="W31" s="137">
        <v>4</v>
      </c>
      <c r="X31" s="137">
        <v>0</v>
      </c>
      <c r="Y31" s="137">
        <v>0</v>
      </c>
      <c r="Z31" s="137">
        <v>0</v>
      </c>
    </row>
    <row r="32" spans="1:26" ht="28">
      <c r="A32" s="135">
        <v>28</v>
      </c>
      <c r="B32" s="136" t="s">
        <v>419</v>
      </c>
      <c r="C32" s="137">
        <v>18</v>
      </c>
      <c r="D32" s="252">
        <v>20</v>
      </c>
      <c r="E32" s="137">
        <v>38</v>
      </c>
      <c r="F32" s="137">
        <v>2</v>
      </c>
      <c r="G32" s="137">
        <v>1</v>
      </c>
      <c r="H32" s="137">
        <v>3</v>
      </c>
      <c r="I32" s="137">
        <v>0</v>
      </c>
      <c r="J32" s="137">
        <v>0</v>
      </c>
      <c r="K32" s="137">
        <v>0</v>
      </c>
      <c r="L32" s="137">
        <v>12</v>
      </c>
      <c r="M32" s="137">
        <v>9</v>
      </c>
      <c r="N32" s="137">
        <v>21</v>
      </c>
      <c r="O32" s="137">
        <v>0</v>
      </c>
      <c r="P32" s="137">
        <v>0</v>
      </c>
      <c r="Q32" s="137">
        <v>0</v>
      </c>
      <c r="R32" s="137">
        <v>0</v>
      </c>
      <c r="S32" s="137">
        <v>0</v>
      </c>
      <c r="T32" s="137">
        <v>0</v>
      </c>
      <c r="U32" s="137">
        <v>0</v>
      </c>
      <c r="V32" s="137">
        <v>1</v>
      </c>
      <c r="W32" s="137">
        <v>1</v>
      </c>
      <c r="X32" s="137">
        <v>0</v>
      </c>
      <c r="Y32" s="137">
        <v>0</v>
      </c>
      <c r="Z32" s="137">
        <v>0</v>
      </c>
    </row>
    <row r="33" spans="1:26" ht="28">
      <c r="A33" s="135">
        <v>29</v>
      </c>
      <c r="B33" s="136" t="s">
        <v>372</v>
      </c>
      <c r="C33" s="137">
        <v>0</v>
      </c>
      <c r="D33" s="137">
        <v>0</v>
      </c>
      <c r="E33" s="137">
        <v>0</v>
      </c>
      <c r="F33" s="137">
        <v>0</v>
      </c>
      <c r="G33" s="137">
        <v>0</v>
      </c>
      <c r="H33" s="137">
        <v>0</v>
      </c>
      <c r="I33" s="137">
        <v>0</v>
      </c>
      <c r="J33" s="137">
        <v>0</v>
      </c>
      <c r="K33" s="137">
        <v>0</v>
      </c>
      <c r="L33" s="137">
        <v>0</v>
      </c>
      <c r="M33" s="137">
        <v>0</v>
      </c>
      <c r="N33" s="137">
        <v>0</v>
      </c>
      <c r="O33" s="137">
        <v>0</v>
      </c>
      <c r="P33" s="137">
        <v>0</v>
      </c>
      <c r="Q33" s="137">
        <v>0</v>
      </c>
      <c r="R33" s="137">
        <v>0</v>
      </c>
      <c r="S33" s="137">
        <v>0</v>
      </c>
      <c r="T33" s="137">
        <v>0</v>
      </c>
      <c r="U33" s="137">
        <v>0</v>
      </c>
      <c r="V33" s="137">
        <v>0</v>
      </c>
      <c r="W33" s="137">
        <v>0</v>
      </c>
      <c r="X33" s="137">
        <v>0</v>
      </c>
      <c r="Y33" s="137">
        <v>0</v>
      </c>
      <c r="Z33" s="137">
        <v>0</v>
      </c>
    </row>
    <row r="34" spans="1:26">
      <c r="A34" s="135">
        <v>30</v>
      </c>
      <c r="B34" s="136" t="s">
        <v>427</v>
      </c>
      <c r="C34" s="137">
        <v>1095742</v>
      </c>
      <c r="D34" s="137">
        <v>782067</v>
      </c>
      <c r="E34" s="137">
        <v>1877809</v>
      </c>
      <c r="F34" s="137">
        <v>152502</v>
      </c>
      <c r="G34" s="137">
        <v>100139</v>
      </c>
      <c r="H34" s="137">
        <v>252641</v>
      </c>
      <c r="I34" s="137">
        <v>63773</v>
      </c>
      <c r="J34" s="137">
        <v>47099</v>
      </c>
      <c r="K34" s="137">
        <v>110872</v>
      </c>
      <c r="L34" s="137">
        <v>327983</v>
      </c>
      <c r="M34" s="137">
        <v>232370</v>
      </c>
      <c r="N34" s="137">
        <v>560353</v>
      </c>
      <c r="O34" s="137">
        <v>4033</v>
      </c>
      <c r="P34" s="137">
        <v>2499</v>
      </c>
      <c r="Q34" s="137">
        <v>6532</v>
      </c>
      <c r="R34" s="137">
        <v>21338</v>
      </c>
      <c r="S34" s="137">
        <v>19322</v>
      </c>
      <c r="T34" s="137">
        <v>40660</v>
      </c>
      <c r="U34" s="137">
        <v>5326</v>
      </c>
      <c r="V34" s="137">
        <v>3701</v>
      </c>
      <c r="W34" s="137">
        <v>9027</v>
      </c>
      <c r="X34" s="137">
        <v>2521</v>
      </c>
      <c r="Y34" s="137">
        <v>6206</v>
      </c>
      <c r="Z34" s="137">
        <v>8727</v>
      </c>
    </row>
    <row r="35" spans="1:26">
      <c r="A35" s="135">
        <v>31</v>
      </c>
      <c r="B35" s="136" t="s">
        <v>429</v>
      </c>
      <c r="C35" s="137">
        <v>309034</v>
      </c>
      <c r="D35" s="137">
        <v>222743</v>
      </c>
      <c r="E35" s="137">
        <v>531777</v>
      </c>
      <c r="F35" s="137">
        <v>30747</v>
      </c>
      <c r="G35" s="137">
        <v>20204</v>
      </c>
      <c r="H35" s="137">
        <v>50951</v>
      </c>
      <c r="I35" s="137">
        <v>6850</v>
      </c>
      <c r="J35" s="137">
        <v>3601</v>
      </c>
      <c r="K35" s="137">
        <v>10451</v>
      </c>
      <c r="L35" s="137">
        <v>102092</v>
      </c>
      <c r="M35" s="137">
        <v>90918</v>
      </c>
      <c r="N35" s="137">
        <v>193010</v>
      </c>
      <c r="O35" s="137">
        <v>271</v>
      </c>
      <c r="P35" s="137">
        <v>136</v>
      </c>
      <c r="Q35" s="137">
        <v>407</v>
      </c>
      <c r="R35" s="137">
        <v>3646</v>
      </c>
      <c r="S35" s="137">
        <v>1619</v>
      </c>
      <c r="T35" s="137">
        <v>5265</v>
      </c>
      <c r="U35" s="137">
        <v>1371</v>
      </c>
      <c r="V35" s="137">
        <v>619</v>
      </c>
      <c r="W35" s="137">
        <v>1990</v>
      </c>
      <c r="X35" s="137">
        <v>394</v>
      </c>
      <c r="Y35" s="137">
        <v>1264</v>
      </c>
      <c r="Z35" s="137">
        <v>1658</v>
      </c>
    </row>
    <row r="36" spans="1:26">
      <c r="A36" s="135">
        <v>32</v>
      </c>
      <c r="B36" s="136" t="s">
        <v>428</v>
      </c>
      <c r="C36" s="137">
        <v>107984</v>
      </c>
      <c r="D36" s="137">
        <v>76932</v>
      </c>
      <c r="E36" s="137">
        <v>184916</v>
      </c>
      <c r="F36" s="137">
        <v>13196</v>
      </c>
      <c r="G36" s="137">
        <v>9372</v>
      </c>
      <c r="H36" s="137">
        <v>22568</v>
      </c>
      <c r="I36" s="137">
        <v>6282</v>
      </c>
      <c r="J36" s="137">
        <v>5008</v>
      </c>
      <c r="K36" s="137">
        <v>11290</v>
      </c>
      <c r="L36" s="137">
        <v>37046</v>
      </c>
      <c r="M36" s="137">
        <v>26909</v>
      </c>
      <c r="N36" s="137">
        <v>63955</v>
      </c>
      <c r="O36" s="137">
        <v>275</v>
      </c>
      <c r="P36" s="137">
        <v>122</v>
      </c>
      <c r="Q36" s="137">
        <v>397</v>
      </c>
      <c r="R36" s="137">
        <v>4252</v>
      </c>
      <c r="S36" s="137">
        <v>3960</v>
      </c>
      <c r="T36" s="137">
        <v>8212</v>
      </c>
      <c r="U36" s="137">
        <v>490</v>
      </c>
      <c r="V36" s="137">
        <v>290</v>
      </c>
      <c r="W36" s="137">
        <v>780</v>
      </c>
      <c r="X36" s="137">
        <v>391</v>
      </c>
      <c r="Y36" s="137">
        <v>195</v>
      </c>
      <c r="Z36" s="137">
        <v>586</v>
      </c>
    </row>
    <row r="37" spans="1:26" ht="14.25" customHeight="1">
      <c r="A37" s="135">
        <v>33</v>
      </c>
      <c r="B37" s="136" t="s">
        <v>431</v>
      </c>
      <c r="C37" s="137">
        <v>70617</v>
      </c>
      <c r="D37" s="137">
        <v>55064</v>
      </c>
      <c r="E37" s="137">
        <v>125681</v>
      </c>
      <c r="F37" s="137">
        <v>8067</v>
      </c>
      <c r="G37" s="137">
        <v>5412</v>
      </c>
      <c r="H37" s="137">
        <v>13479</v>
      </c>
      <c r="I37" s="137">
        <v>5443</v>
      </c>
      <c r="J37" s="137">
        <v>4124</v>
      </c>
      <c r="K37" s="137">
        <v>9567</v>
      </c>
      <c r="L37" s="137">
        <v>20327</v>
      </c>
      <c r="M37" s="137">
        <v>10941</v>
      </c>
      <c r="N37" s="137">
        <v>31268</v>
      </c>
      <c r="O37" s="137">
        <v>37</v>
      </c>
      <c r="P37" s="137">
        <v>14</v>
      </c>
      <c r="Q37" s="137">
        <v>51</v>
      </c>
      <c r="R37" s="137">
        <v>0</v>
      </c>
      <c r="S37" s="137">
        <v>0</v>
      </c>
      <c r="T37" s="137">
        <v>0</v>
      </c>
      <c r="U37" s="137">
        <v>0</v>
      </c>
      <c r="V37" s="137">
        <v>0</v>
      </c>
      <c r="W37" s="137">
        <v>0</v>
      </c>
      <c r="X37" s="137">
        <v>747</v>
      </c>
      <c r="Y37" s="137">
        <v>392</v>
      </c>
      <c r="Z37" s="137">
        <v>1139</v>
      </c>
    </row>
    <row r="38" spans="1:26" ht="28">
      <c r="A38" s="135">
        <v>34</v>
      </c>
      <c r="B38" s="136" t="s">
        <v>436</v>
      </c>
      <c r="C38" s="137">
        <v>41521</v>
      </c>
      <c r="D38" s="137">
        <v>14001</v>
      </c>
      <c r="E38" s="137">
        <v>55522</v>
      </c>
      <c r="F38" s="137">
        <v>7669</v>
      </c>
      <c r="G38" s="137">
        <v>2666</v>
      </c>
      <c r="H38" s="137">
        <v>10335</v>
      </c>
      <c r="I38" s="137">
        <v>1339</v>
      </c>
      <c r="J38" s="137">
        <v>573</v>
      </c>
      <c r="K38" s="137">
        <v>1912</v>
      </c>
      <c r="L38" s="137">
        <v>8231</v>
      </c>
      <c r="M38" s="137">
        <v>3148</v>
      </c>
      <c r="N38" s="137">
        <v>11379</v>
      </c>
      <c r="O38" s="137">
        <v>19</v>
      </c>
      <c r="P38" s="137">
        <v>5</v>
      </c>
      <c r="Q38" s="137">
        <v>24</v>
      </c>
      <c r="R38" s="137">
        <v>299</v>
      </c>
      <c r="S38" s="137">
        <v>83</v>
      </c>
      <c r="T38" s="137">
        <v>382</v>
      </c>
      <c r="U38" s="137">
        <v>107</v>
      </c>
      <c r="V38" s="137">
        <v>27</v>
      </c>
      <c r="W38" s="137">
        <v>134</v>
      </c>
      <c r="X38" s="137">
        <v>233</v>
      </c>
      <c r="Y38" s="137">
        <v>67</v>
      </c>
      <c r="Z38" s="137">
        <v>300</v>
      </c>
    </row>
    <row r="39" spans="1:26" ht="28">
      <c r="A39" s="135">
        <v>35</v>
      </c>
      <c r="B39" s="136" t="s">
        <v>435</v>
      </c>
      <c r="C39" s="137">
        <v>37246</v>
      </c>
      <c r="D39" s="137">
        <v>15479</v>
      </c>
      <c r="E39" s="137">
        <v>52725</v>
      </c>
      <c r="F39" s="137">
        <v>2234</v>
      </c>
      <c r="G39" s="137">
        <v>1185</v>
      </c>
      <c r="H39" s="137">
        <v>3419</v>
      </c>
      <c r="I39" s="137">
        <v>278</v>
      </c>
      <c r="J39" s="137">
        <v>122</v>
      </c>
      <c r="K39" s="137">
        <v>400</v>
      </c>
      <c r="L39" s="137">
        <v>11794</v>
      </c>
      <c r="M39" s="137">
        <v>6848</v>
      </c>
      <c r="N39" s="137">
        <v>18642</v>
      </c>
      <c r="O39" s="137">
        <v>22</v>
      </c>
      <c r="P39" s="137">
        <v>2</v>
      </c>
      <c r="Q39" s="137">
        <v>24</v>
      </c>
      <c r="R39" s="137">
        <v>632</v>
      </c>
      <c r="S39" s="137">
        <v>158</v>
      </c>
      <c r="T39" s="137">
        <v>790</v>
      </c>
      <c r="U39" s="137">
        <v>917</v>
      </c>
      <c r="V39" s="137">
        <v>227</v>
      </c>
      <c r="W39" s="137">
        <v>1144</v>
      </c>
      <c r="X39" s="137">
        <v>165</v>
      </c>
      <c r="Y39" s="137">
        <v>41</v>
      </c>
      <c r="Z39" s="137">
        <v>206</v>
      </c>
    </row>
    <row r="40" spans="1:26" ht="16.5" customHeight="1">
      <c r="A40" s="135">
        <v>36</v>
      </c>
      <c r="B40" s="136" t="s">
        <v>433</v>
      </c>
      <c r="C40" s="137">
        <v>15698</v>
      </c>
      <c r="D40" s="137">
        <v>19674</v>
      </c>
      <c r="E40" s="137">
        <v>35372</v>
      </c>
      <c r="F40" s="137">
        <v>2038</v>
      </c>
      <c r="G40" s="137">
        <v>1830</v>
      </c>
      <c r="H40" s="137">
        <v>3868</v>
      </c>
      <c r="I40" s="137">
        <v>983</v>
      </c>
      <c r="J40" s="137">
        <v>916</v>
      </c>
      <c r="K40" s="137">
        <v>1899</v>
      </c>
      <c r="L40" s="137">
        <v>5326</v>
      </c>
      <c r="M40" s="137">
        <v>6684</v>
      </c>
      <c r="N40" s="137">
        <v>12010</v>
      </c>
      <c r="O40" s="137">
        <v>210</v>
      </c>
      <c r="P40" s="137">
        <v>113</v>
      </c>
      <c r="Q40" s="137">
        <v>323</v>
      </c>
      <c r="R40" s="137">
        <v>3705</v>
      </c>
      <c r="S40" s="137">
        <v>6672</v>
      </c>
      <c r="T40" s="137">
        <v>10377</v>
      </c>
      <c r="U40" s="137">
        <v>298</v>
      </c>
      <c r="V40" s="137">
        <v>462</v>
      </c>
      <c r="W40" s="137">
        <v>760</v>
      </c>
      <c r="X40" s="137">
        <v>150</v>
      </c>
      <c r="Y40" s="137">
        <v>87</v>
      </c>
      <c r="Z40" s="137">
        <v>237</v>
      </c>
    </row>
    <row r="41" spans="1:26">
      <c r="A41" s="135">
        <v>37</v>
      </c>
      <c r="B41" s="136" t="s">
        <v>469</v>
      </c>
      <c r="C41" s="137">
        <v>13917</v>
      </c>
      <c r="D41" s="137">
        <v>11186</v>
      </c>
      <c r="E41" s="137">
        <v>25103</v>
      </c>
      <c r="F41" s="137">
        <v>2675</v>
      </c>
      <c r="G41" s="137">
        <v>1810</v>
      </c>
      <c r="H41" s="137">
        <v>4485</v>
      </c>
      <c r="I41" s="137">
        <v>1582</v>
      </c>
      <c r="J41" s="137">
        <v>1051</v>
      </c>
      <c r="K41" s="137">
        <v>2633</v>
      </c>
      <c r="L41" s="137">
        <v>4191</v>
      </c>
      <c r="M41" s="137">
        <v>3117</v>
      </c>
      <c r="N41" s="137">
        <v>7308</v>
      </c>
      <c r="O41" s="137">
        <v>56</v>
      </c>
      <c r="P41" s="137">
        <v>27</v>
      </c>
      <c r="Q41" s="137">
        <v>83</v>
      </c>
      <c r="R41" s="137">
        <v>207</v>
      </c>
      <c r="S41" s="137">
        <v>131</v>
      </c>
      <c r="T41" s="137">
        <v>338</v>
      </c>
      <c r="U41" s="137">
        <v>71</v>
      </c>
      <c r="V41" s="137">
        <v>52</v>
      </c>
      <c r="W41" s="137">
        <v>123</v>
      </c>
      <c r="X41" s="137">
        <v>233</v>
      </c>
      <c r="Y41" s="137">
        <v>245</v>
      </c>
      <c r="Z41" s="137">
        <v>478</v>
      </c>
    </row>
    <row r="42" spans="1:26" ht="14.25" customHeight="1">
      <c r="A42" s="135">
        <v>38</v>
      </c>
      <c r="B42" s="136" t="s">
        <v>453</v>
      </c>
      <c r="C42" s="137">
        <v>19476</v>
      </c>
      <c r="D42" s="137">
        <v>3393</v>
      </c>
      <c r="E42" s="137">
        <v>22869</v>
      </c>
      <c r="F42" s="137">
        <v>1533</v>
      </c>
      <c r="G42" s="137">
        <v>230</v>
      </c>
      <c r="H42" s="137">
        <v>1763</v>
      </c>
      <c r="I42" s="137">
        <v>234</v>
      </c>
      <c r="J42" s="137">
        <v>126</v>
      </c>
      <c r="K42" s="137">
        <v>360</v>
      </c>
      <c r="L42" s="137">
        <v>2079</v>
      </c>
      <c r="M42" s="137">
        <v>417</v>
      </c>
      <c r="N42" s="137">
        <v>2496</v>
      </c>
      <c r="O42" s="137">
        <v>1</v>
      </c>
      <c r="P42" s="137">
        <v>0</v>
      </c>
      <c r="Q42" s="137">
        <v>1</v>
      </c>
      <c r="R42" s="137">
        <v>5</v>
      </c>
      <c r="S42" s="137">
        <v>2</v>
      </c>
      <c r="T42" s="137">
        <v>7</v>
      </c>
      <c r="U42" s="137">
        <v>2</v>
      </c>
      <c r="V42" s="137">
        <v>2</v>
      </c>
      <c r="W42" s="137">
        <v>4</v>
      </c>
      <c r="X42" s="137">
        <v>256</v>
      </c>
      <c r="Y42" s="137">
        <v>43</v>
      </c>
      <c r="Z42" s="137">
        <v>299</v>
      </c>
    </row>
    <row r="43" spans="1:26" ht="28">
      <c r="A43" s="135">
        <v>39</v>
      </c>
      <c r="B43" s="136" t="s">
        <v>474</v>
      </c>
      <c r="C43" s="137">
        <v>10641</v>
      </c>
      <c r="D43" s="137">
        <v>3960</v>
      </c>
      <c r="E43" s="137">
        <v>14601</v>
      </c>
      <c r="F43" s="137">
        <v>516</v>
      </c>
      <c r="G43" s="137">
        <v>217</v>
      </c>
      <c r="H43" s="137">
        <v>733</v>
      </c>
      <c r="I43" s="137">
        <v>379</v>
      </c>
      <c r="J43" s="137">
        <v>209</v>
      </c>
      <c r="K43" s="137">
        <v>588</v>
      </c>
      <c r="L43" s="137">
        <v>1203</v>
      </c>
      <c r="M43" s="137">
        <v>407</v>
      </c>
      <c r="N43" s="137">
        <v>1610</v>
      </c>
      <c r="O43" s="137">
        <v>3</v>
      </c>
      <c r="P43" s="137">
        <v>0</v>
      </c>
      <c r="Q43" s="137">
        <v>3</v>
      </c>
      <c r="R43" s="137">
        <v>2</v>
      </c>
      <c r="S43" s="137">
        <v>2</v>
      </c>
      <c r="T43" s="137">
        <v>4</v>
      </c>
      <c r="U43" s="137">
        <v>1</v>
      </c>
      <c r="V43" s="137">
        <v>0</v>
      </c>
      <c r="W43" s="137">
        <v>1</v>
      </c>
      <c r="X43" s="137">
        <v>55</v>
      </c>
      <c r="Y43" s="137">
        <v>19</v>
      </c>
      <c r="Z43" s="137">
        <v>74</v>
      </c>
    </row>
    <row r="44" spans="1:26" ht="16.5" customHeight="1">
      <c r="A44" s="135">
        <v>40</v>
      </c>
      <c r="B44" s="136" t="s">
        <v>447</v>
      </c>
      <c r="C44" s="137">
        <v>5174</v>
      </c>
      <c r="D44" s="137">
        <v>6188</v>
      </c>
      <c r="E44" s="137">
        <v>11362</v>
      </c>
      <c r="F44" s="137">
        <v>942</v>
      </c>
      <c r="G44" s="137">
        <v>883</v>
      </c>
      <c r="H44" s="137">
        <v>1825</v>
      </c>
      <c r="I44" s="137">
        <v>1029</v>
      </c>
      <c r="J44" s="137">
        <v>1532</v>
      </c>
      <c r="K44" s="137">
        <v>2561</v>
      </c>
      <c r="L44" s="137">
        <v>946</v>
      </c>
      <c r="M44" s="137">
        <v>1021</v>
      </c>
      <c r="N44" s="137">
        <v>1967</v>
      </c>
      <c r="O44" s="137">
        <v>1</v>
      </c>
      <c r="P44" s="137">
        <v>0</v>
      </c>
      <c r="Q44" s="137">
        <v>1</v>
      </c>
      <c r="R44" s="137">
        <v>27</v>
      </c>
      <c r="S44" s="137">
        <v>107</v>
      </c>
      <c r="T44" s="137">
        <v>134</v>
      </c>
      <c r="U44" s="137">
        <v>38</v>
      </c>
      <c r="V44" s="137">
        <v>39</v>
      </c>
      <c r="W44" s="137">
        <v>77</v>
      </c>
      <c r="X44" s="137">
        <v>26</v>
      </c>
      <c r="Y44" s="137">
        <v>22</v>
      </c>
      <c r="Z44" s="137">
        <v>48</v>
      </c>
    </row>
    <row r="45" spans="1:26" ht="16.5" customHeight="1">
      <c r="A45" s="135">
        <v>41</v>
      </c>
      <c r="B45" s="136" t="s">
        <v>458</v>
      </c>
      <c r="C45" s="137">
        <v>3139</v>
      </c>
      <c r="D45" s="137">
        <v>5267</v>
      </c>
      <c r="E45" s="137">
        <v>8406</v>
      </c>
      <c r="F45" s="137">
        <v>678</v>
      </c>
      <c r="G45" s="137">
        <v>1145</v>
      </c>
      <c r="H45" s="137">
        <v>1823</v>
      </c>
      <c r="I45" s="137">
        <v>22</v>
      </c>
      <c r="J45" s="137">
        <v>29</v>
      </c>
      <c r="K45" s="137">
        <v>51</v>
      </c>
      <c r="L45" s="137">
        <v>1820</v>
      </c>
      <c r="M45" s="137">
        <v>3489</v>
      </c>
      <c r="N45" s="137">
        <v>5309</v>
      </c>
      <c r="O45" s="137">
        <v>2</v>
      </c>
      <c r="P45" s="137">
        <v>1</v>
      </c>
      <c r="Q45" s="137">
        <v>3</v>
      </c>
      <c r="R45" s="137">
        <v>11</v>
      </c>
      <c r="S45" s="137">
        <v>3</v>
      </c>
      <c r="T45" s="137">
        <v>14</v>
      </c>
      <c r="U45" s="137">
        <v>46</v>
      </c>
      <c r="V45" s="137">
        <v>13</v>
      </c>
      <c r="W45" s="137">
        <v>59</v>
      </c>
      <c r="X45" s="137">
        <v>0</v>
      </c>
      <c r="Y45" s="137">
        <v>0</v>
      </c>
      <c r="Z45" s="137">
        <v>0</v>
      </c>
    </row>
    <row r="46" spans="1:26" ht="28">
      <c r="A46" s="135">
        <v>42</v>
      </c>
      <c r="B46" s="136" t="s">
        <v>451</v>
      </c>
      <c r="C46" s="137">
        <v>3333</v>
      </c>
      <c r="D46" s="137">
        <v>2593</v>
      </c>
      <c r="E46" s="137">
        <v>5926</v>
      </c>
      <c r="F46" s="137">
        <v>517</v>
      </c>
      <c r="G46" s="137">
        <v>406</v>
      </c>
      <c r="H46" s="137">
        <v>923</v>
      </c>
      <c r="I46" s="137">
        <v>222</v>
      </c>
      <c r="J46" s="137">
        <v>130</v>
      </c>
      <c r="K46" s="137">
        <v>352</v>
      </c>
      <c r="L46" s="137">
        <v>1428</v>
      </c>
      <c r="M46" s="137">
        <v>1063</v>
      </c>
      <c r="N46" s="137">
        <v>2491</v>
      </c>
      <c r="O46" s="137">
        <v>31</v>
      </c>
      <c r="P46" s="137">
        <v>2</v>
      </c>
      <c r="Q46" s="137">
        <v>33</v>
      </c>
      <c r="R46" s="137">
        <v>51</v>
      </c>
      <c r="S46" s="137">
        <v>20</v>
      </c>
      <c r="T46" s="137">
        <v>71</v>
      </c>
      <c r="U46" s="137">
        <v>59</v>
      </c>
      <c r="V46" s="137">
        <v>49</v>
      </c>
      <c r="W46" s="137">
        <v>108</v>
      </c>
      <c r="X46" s="137">
        <v>0</v>
      </c>
      <c r="Y46" s="137">
        <v>0</v>
      </c>
      <c r="Z46" s="137">
        <v>0</v>
      </c>
    </row>
    <row r="47" spans="1:26" ht="16.5" customHeight="1">
      <c r="A47" s="135">
        <v>43</v>
      </c>
      <c r="B47" s="136" t="s">
        <v>437</v>
      </c>
      <c r="C47" s="137">
        <v>1864</v>
      </c>
      <c r="D47" s="137">
        <v>1511</v>
      </c>
      <c r="E47" s="137">
        <v>3375</v>
      </c>
      <c r="F47" s="137">
        <v>274</v>
      </c>
      <c r="G47" s="137">
        <v>309</v>
      </c>
      <c r="H47" s="137">
        <v>583</v>
      </c>
      <c r="I47" s="137">
        <v>11</v>
      </c>
      <c r="J47" s="137">
        <v>11</v>
      </c>
      <c r="K47" s="137">
        <v>22</v>
      </c>
      <c r="L47" s="137">
        <v>1005</v>
      </c>
      <c r="M47" s="137">
        <v>706</v>
      </c>
      <c r="N47" s="137">
        <v>1711</v>
      </c>
      <c r="O47" s="137">
        <v>0</v>
      </c>
      <c r="P47" s="137">
        <v>0</v>
      </c>
      <c r="Q47" s="137">
        <v>0</v>
      </c>
      <c r="R47" s="137">
        <v>0</v>
      </c>
      <c r="S47" s="137">
        <v>0</v>
      </c>
      <c r="T47" s="137">
        <v>0</v>
      </c>
      <c r="U47" s="137">
        <v>0</v>
      </c>
      <c r="V47" s="137">
        <v>0</v>
      </c>
      <c r="W47" s="137">
        <v>0</v>
      </c>
      <c r="X47" s="137">
        <v>0</v>
      </c>
      <c r="Y47" s="137">
        <v>0</v>
      </c>
      <c r="Z47" s="137">
        <v>0</v>
      </c>
    </row>
    <row r="48" spans="1:26" ht="28">
      <c r="A48" s="135">
        <v>44</v>
      </c>
      <c r="B48" s="136" t="s">
        <v>439</v>
      </c>
      <c r="C48" s="137">
        <v>780</v>
      </c>
      <c r="D48" s="137">
        <v>620</v>
      </c>
      <c r="E48" s="137">
        <v>1400</v>
      </c>
      <c r="F48" s="137">
        <v>136</v>
      </c>
      <c r="G48" s="137">
        <v>125</v>
      </c>
      <c r="H48" s="137">
        <v>261</v>
      </c>
      <c r="I48" s="137">
        <v>65</v>
      </c>
      <c r="J48" s="137">
        <v>79</v>
      </c>
      <c r="K48" s="137">
        <v>144</v>
      </c>
      <c r="L48" s="137">
        <v>345</v>
      </c>
      <c r="M48" s="137">
        <v>219</v>
      </c>
      <c r="N48" s="137">
        <v>564</v>
      </c>
      <c r="O48" s="137">
        <v>0</v>
      </c>
      <c r="P48" s="137">
        <v>0</v>
      </c>
      <c r="Q48" s="137">
        <v>0</v>
      </c>
      <c r="R48" s="137">
        <v>0</v>
      </c>
      <c r="S48" s="137">
        <v>0</v>
      </c>
      <c r="T48" s="137">
        <v>0</v>
      </c>
      <c r="U48" s="137">
        <v>0</v>
      </c>
      <c r="V48" s="137">
        <v>0</v>
      </c>
      <c r="W48" s="137">
        <v>0</v>
      </c>
      <c r="X48" s="137">
        <v>13</v>
      </c>
      <c r="Y48" s="137">
        <v>10</v>
      </c>
      <c r="Z48" s="137">
        <v>23</v>
      </c>
    </row>
    <row r="49" spans="1:26" ht="16.5" customHeight="1">
      <c r="A49" s="135">
        <v>45</v>
      </c>
      <c r="B49" s="136" t="s">
        <v>459</v>
      </c>
      <c r="C49" s="137">
        <v>368</v>
      </c>
      <c r="D49" s="137">
        <v>710</v>
      </c>
      <c r="E49" s="137">
        <v>1078</v>
      </c>
      <c r="F49" s="137">
        <v>60</v>
      </c>
      <c r="G49" s="137">
        <v>88</v>
      </c>
      <c r="H49" s="137">
        <v>148</v>
      </c>
      <c r="I49" s="137">
        <v>2</v>
      </c>
      <c r="J49" s="137">
        <v>2</v>
      </c>
      <c r="K49" s="137">
        <v>4</v>
      </c>
      <c r="L49" s="137">
        <v>157</v>
      </c>
      <c r="M49" s="137">
        <v>267</v>
      </c>
      <c r="N49" s="137">
        <v>424</v>
      </c>
      <c r="O49" s="137">
        <v>0</v>
      </c>
      <c r="P49" s="137">
        <v>0</v>
      </c>
      <c r="Q49" s="137">
        <v>0</v>
      </c>
      <c r="R49" s="137">
        <v>5</v>
      </c>
      <c r="S49" s="137">
        <v>1</v>
      </c>
      <c r="T49" s="137">
        <v>6</v>
      </c>
      <c r="U49" s="137">
        <v>6</v>
      </c>
      <c r="V49" s="137">
        <v>12</v>
      </c>
      <c r="W49" s="137">
        <v>18</v>
      </c>
      <c r="X49" s="137">
        <v>0</v>
      </c>
      <c r="Y49" s="137">
        <v>0</v>
      </c>
      <c r="Z49" s="137">
        <v>0</v>
      </c>
    </row>
    <row r="50" spans="1:26" ht="28">
      <c r="A50" s="135">
        <v>46</v>
      </c>
      <c r="B50" s="136" t="s">
        <v>463</v>
      </c>
      <c r="C50" s="137">
        <v>405</v>
      </c>
      <c r="D50" s="137">
        <v>345</v>
      </c>
      <c r="E50" s="137">
        <v>750</v>
      </c>
      <c r="F50" s="137">
        <v>101</v>
      </c>
      <c r="G50" s="137">
        <v>106</v>
      </c>
      <c r="H50" s="137">
        <v>207</v>
      </c>
      <c r="I50" s="137">
        <v>0</v>
      </c>
      <c r="J50" s="137">
        <v>0</v>
      </c>
      <c r="K50" s="137">
        <v>0</v>
      </c>
      <c r="L50" s="137">
        <v>61</v>
      </c>
      <c r="M50" s="137">
        <v>71</v>
      </c>
      <c r="N50" s="137">
        <v>132</v>
      </c>
      <c r="O50" s="137">
        <v>0</v>
      </c>
      <c r="P50" s="137">
        <v>0</v>
      </c>
      <c r="Q50" s="137">
        <v>0</v>
      </c>
      <c r="R50" s="137">
        <v>0</v>
      </c>
      <c r="S50" s="137">
        <v>0</v>
      </c>
      <c r="T50" s="137">
        <v>0</v>
      </c>
      <c r="U50" s="137">
        <v>0</v>
      </c>
      <c r="V50" s="137">
        <v>0</v>
      </c>
      <c r="W50" s="137">
        <v>0</v>
      </c>
      <c r="X50" s="137">
        <v>0</v>
      </c>
      <c r="Y50" s="137">
        <v>0</v>
      </c>
      <c r="Z50" s="137">
        <v>0</v>
      </c>
    </row>
    <row r="51" spans="1:26" ht="28">
      <c r="A51" s="135">
        <v>47</v>
      </c>
      <c r="B51" s="136" t="s">
        <v>434</v>
      </c>
      <c r="C51" s="137">
        <v>319</v>
      </c>
      <c r="D51" s="137">
        <v>340</v>
      </c>
      <c r="E51" s="137">
        <v>659</v>
      </c>
      <c r="F51" s="137">
        <v>18</v>
      </c>
      <c r="G51" s="137">
        <v>26</v>
      </c>
      <c r="H51" s="137">
        <v>44</v>
      </c>
      <c r="I51" s="137">
        <v>5</v>
      </c>
      <c r="J51" s="137">
        <v>3</v>
      </c>
      <c r="K51" s="137">
        <v>8</v>
      </c>
      <c r="L51" s="137">
        <v>46</v>
      </c>
      <c r="M51" s="137">
        <v>54</v>
      </c>
      <c r="N51" s="137">
        <v>100</v>
      </c>
      <c r="O51" s="137">
        <v>0</v>
      </c>
      <c r="P51" s="137">
        <v>0</v>
      </c>
      <c r="Q51" s="137">
        <v>0</v>
      </c>
      <c r="R51" s="137">
        <v>0</v>
      </c>
      <c r="S51" s="137">
        <v>0</v>
      </c>
      <c r="T51" s="137">
        <v>0</v>
      </c>
      <c r="U51" s="137">
        <v>0</v>
      </c>
      <c r="V51" s="137">
        <v>0</v>
      </c>
      <c r="W51" s="137">
        <v>0</v>
      </c>
      <c r="X51" s="137">
        <v>3</v>
      </c>
      <c r="Y51" s="137">
        <v>4</v>
      </c>
      <c r="Z51" s="137">
        <v>7</v>
      </c>
    </row>
    <row r="52" spans="1:26" ht="28">
      <c r="A52" s="135">
        <v>48</v>
      </c>
      <c r="B52" s="136" t="s">
        <v>454</v>
      </c>
      <c r="C52" s="137">
        <v>226</v>
      </c>
      <c r="D52" s="137">
        <v>189</v>
      </c>
      <c r="E52" s="137">
        <v>415</v>
      </c>
      <c r="F52" s="137">
        <v>19</v>
      </c>
      <c r="G52" s="137">
        <v>11</v>
      </c>
      <c r="H52" s="137">
        <v>30</v>
      </c>
      <c r="I52" s="137">
        <v>1</v>
      </c>
      <c r="J52" s="137">
        <v>3</v>
      </c>
      <c r="K52" s="137">
        <v>4</v>
      </c>
      <c r="L52" s="137">
        <v>72</v>
      </c>
      <c r="M52" s="137">
        <v>73</v>
      </c>
      <c r="N52" s="137">
        <v>145</v>
      </c>
      <c r="O52" s="137">
        <v>0</v>
      </c>
      <c r="P52" s="137">
        <v>0</v>
      </c>
      <c r="Q52" s="137">
        <v>0</v>
      </c>
      <c r="R52" s="137">
        <v>0</v>
      </c>
      <c r="S52" s="137">
        <v>0</v>
      </c>
      <c r="T52" s="137">
        <v>0</v>
      </c>
      <c r="U52" s="137">
        <v>0</v>
      </c>
      <c r="V52" s="137">
        <v>0</v>
      </c>
      <c r="W52" s="137">
        <v>0</v>
      </c>
      <c r="X52" s="137">
        <v>0</v>
      </c>
      <c r="Y52" s="137">
        <v>0</v>
      </c>
      <c r="Z52" s="137">
        <v>0</v>
      </c>
    </row>
    <row r="53" spans="1:26" ht="14.25" customHeight="1">
      <c r="A53" s="135">
        <v>49</v>
      </c>
      <c r="B53" s="136" t="s">
        <v>480</v>
      </c>
      <c r="C53" s="137">
        <v>302</v>
      </c>
      <c r="D53" s="137">
        <v>72</v>
      </c>
      <c r="E53" s="137">
        <v>374</v>
      </c>
      <c r="F53" s="137">
        <v>39</v>
      </c>
      <c r="G53" s="137">
        <v>6</v>
      </c>
      <c r="H53" s="137">
        <v>45</v>
      </c>
      <c r="I53" s="137">
        <v>26</v>
      </c>
      <c r="J53" s="137">
        <v>3</v>
      </c>
      <c r="K53" s="137">
        <v>29</v>
      </c>
      <c r="L53" s="137">
        <v>93</v>
      </c>
      <c r="M53" s="137">
        <v>28</v>
      </c>
      <c r="N53" s="137">
        <v>121</v>
      </c>
      <c r="O53" s="137">
        <v>3</v>
      </c>
      <c r="P53" s="137">
        <v>0</v>
      </c>
      <c r="Q53" s="137">
        <v>3</v>
      </c>
      <c r="R53" s="137">
        <v>6</v>
      </c>
      <c r="S53" s="137">
        <v>0</v>
      </c>
      <c r="T53" s="137">
        <v>6</v>
      </c>
      <c r="U53" s="137">
        <v>4</v>
      </c>
      <c r="V53" s="137">
        <v>4</v>
      </c>
      <c r="W53" s="137">
        <v>8</v>
      </c>
      <c r="X53" s="137">
        <v>0</v>
      </c>
      <c r="Y53" s="137">
        <v>0</v>
      </c>
      <c r="Z53" s="137">
        <v>0</v>
      </c>
    </row>
    <row r="54" spans="1:26" ht="14.25" customHeight="1">
      <c r="A54" s="135">
        <v>50</v>
      </c>
      <c r="B54" s="136" t="s">
        <v>448</v>
      </c>
      <c r="C54" s="137">
        <v>152</v>
      </c>
      <c r="D54" s="137">
        <v>58</v>
      </c>
      <c r="E54" s="137">
        <v>210</v>
      </c>
      <c r="F54" s="137">
        <v>8</v>
      </c>
      <c r="G54" s="137">
        <v>3</v>
      </c>
      <c r="H54" s="137">
        <v>11</v>
      </c>
      <c r="I54" s="137">
        <v>1</v>
      </c>
      <c r="J54" s="137">
        <v>0</v>
      </c>
      <c r="K54" s="137">
        <v>1</v>
      </c>
      <c r="L54" s="137">
        <v>22</v>
      </c>
      <c r="M54" s="137">
        <v>8</v>
      </c>
      <c r="N54" s="137">
        <v>30</v>
      </c>
      <c r="O54" s="137">
        <v>0</v>
      </c>
      <c r="P54" s="137">
        <v>0</v>
      </c>
      <c r="Q54" s="137">
        <v>0</v>
      </c>
      <c r="R54" s="137">
        <v>0</v>
      </c>
      <c r="S54" s="137">
        <v>0</v>
      </c>
      <c r="T54" s="137">
        <v>0</v>
      </c>
      <c r="U54" s="137">
        <v>0</v>
      </c>
      <c r="V54" s="137">
        <v>0</v>
      </c>
      <c r="W54" s="137">
        <v>0</v>
      </c>
      <c r="X54" s="137">
        <v>0</v>
      </c>
      <c r="Y54" s="137">
        <v>0</v>
      </c>
      <c r="Z54" s="137">
        <v>0</v>
      </c>
    </row>
    <row r="55" spans="1:26">
      <c r="A55" s="135">
        <v>51</v>
      </c>
      <c r="B55" s="136" t="s">
        <v>899</v>
      </c>
      <c r="C55" s="137">
        <v>136</v>
      </c>
      <c r="D55" s="137">
        <v>49</v>
      </c>
      <c r="E55" s="137">
        <v>185</v>
      </c>
      <c r="F55" s="137">
        <v>12</v>
      </c>
      <c r="G55" s="137">
        <v>7</v>
      </c>
      <c r="H55" s="137">
        <v>19</v>
      </c>
      <c r="I55" s="137">
        <v>10</v>
      </c>
      <c r="J55" s="137">
        <v>4</v>
      </c>
      <c r="K55" s="137">
        <v>14</v>
      </c>
      <c r="L55" s="137">
        <v>25</v>
      </c>
      <c r="M55" s="137">
        <v>4</v>
      </c>
      <c r="N55" s="137">
        <v>29</v>
      </c>
      <c r="O55" s="137">
        <v>0</v>
      </c>
      <c r="P55" s="137">
        <v>0</v>
      </c>
      <c r="Q55" s="137">
        <v>0</v>
      </c>
      <c r="R55" s="137">
        <v>0</v>
      </c>
      <c r="S55" s="137">
        <v>0</v>
      </c>
      <c r="T55" s="137">
        <v>0</v>
      </c>
      <c r="U55" s="137">
        <v>0</v>
      </c>
      <c r="V55" s="137">
        <v>0</v>
      </c>
      <c r="W55" s="137">
        <v>0</v>
      </c>
      <c r="X55" s="137">
        <v>9</v>
      </c>
      <c r="Y55" s="137">
        <v>3</v>
      </c>
      <c r="Z55" s="137">
        <v>12</v>
      </c>
    </row>
    <row r="56" spans="1:26">
      <c r="A56" s="135">
        <v>52</v>
      </c>
      <c r="B56" s="136" t="s">
        <v>441</v>
      </c>
      <c r="C56" s="137">
        <v>160</v>
      </c>
      <c r="D56" s="137">
        <v>14</v>
      </c>
      <c r="E56" s="137">
        <v>174</v>
      </c>
      <c r="F56" s="137">
        <v>0</v>
      </c>
      <c r="G56" s="137">
        <v>0</v>
      </c>
      <c r="H56" s="137">
        <v>0</v>
      </c>
      <c r="I56" s="137">
        <v>0</v>
      </c>
      <c r="J56" s="137">
        <v>0</v>
      </c>
      <c r="K56" s="137">
        <v>0</v>
      </c>
      <c r="L56" s="137">
        <v>0</v>
      </c>
      <c r="M56" s="137">
        <v>0</v>
      </c>
      <c r="N56" s="137">
        <v>0</v>
      </c>
      <c r="O56" s="137">
        <v>0</v>
      </c>
      <c r="P56" s="137">
        <v>0</v>
      </c>
      <c r="Q56" s="137">
        <v>0</v>
      </c>
      <c r="R56" s="137">
        <v>0</v>
      </c>
      <c r="S56" s="137">
        <v>0</v>
      </c>
      <c r="T56" s="137">
        <v>0</v>
      </c>
      <c r="U56" s="137">
        <v>0</v>
      </c>
      <c r="V56" s="137">
        <v>0</v>
      </c>
      <c r="W56" s="137">
        <v>0</v>
      </c>
      <c r="X56" s="137">
        <v>0</v>
      </c>
      <c r="Y56" s="137">
        <v>0</v>
      </c>
      <c r="Z56" s="137">
        <v>0</v>
      </c>
    </row>
    <row r="57" spans="1:26" ht="14.25" customHeight="1">
      <c r="A57" s="135">
        <v>53</v>
      </c>
      <c r="B57" s="136" t="s">
        <v>456</v>
      </c>
      <c r="C57" s="137">
        <v>54</v>
      </c>
      <c r="D57" s="137">
        <v>80</v>
      </c>
      <c r="E57" s="137">
        <v>134</v>
      </c>
      <c r="F57" s="137">
        <v>12</v>
      </c>
      <c r="G57" s="137">
        <v>21</v>
      </c>
      <c r="H57" s="137">
        <v>33</v>
      </c>
      <c r="I57" s="137">
        <v>10</v>
      </c>
      <c r="J57" s="137">
        <v>17</v>
      </c>
      <c r="K57" s="137">
        <v>27</v>
      </c>
      <c r="L57" s="137">
        <v>21</v>
      </c>
      <c r="M57" s="137">
        <v>18</v>
      </c>
      <c r="N57" s="137">
        <v>39</v>
      </c>
      <c r="O57" s="137">
        <v>0</v>
      </c>
      <c r="P57" s="137">
        <v>0</v>
      </c>
      <c r="Q57" s="137">
        <v>0</v>
      </c>
      <c r="R57" s="137">
        <v>0</v>
      </c>
      <c r="S57" s="137">
        <v>0</v>
      </c>
      <c r="T57" s="137">
        <v>0</v>
      </c>
      <c r="U57" s="137">
        <v>0</v>
      </c>
      <c r="V57" s="137">
        <v>0</v>
      </c>
      <c r="W57" s="137">
        <v>0</v>
      </c>
      <c r="X57" s="137">
        <v>1</v>
      </c>
      <c r="Y57" s="137">
        <v>5</v>
      </c>
      <c r="Z57" s="137">
        <v>6</v>
      </c>
    </row>
    <row r="58" spans="1:26" ht="28">
      <c r="A58" s="135">
        <v>54</v>
      </c>
      <c r="B58" s="136" t="s">
        <v>502</v>
      </c>
      <c r="C58" s="137">
        <v>37</v>
      </c>
      <c r="D58" s="137">
        <v>57</v>
      </c>
      <c r="E58" s="137">
        <v>94</v>
      </c>
      <c r="F58" s="137">
        <v>0</v>
      </c>
      <c r="G58" s="137">
        <v>0</v>
      </c>
      <c r="H58" s="137">
        <v>0</v>
      </c>
      <c r="I58" s="137">
        <v>0</v>
      </c>
      <c r="J58" s="137">
        <v>0</v>
      </c>
      <c r="K58" s="137">
        <v>0</v>
      </c>
      <c r="L58" s="137">
        <v>10</v>
      </c>
      <c r="M58" s="137">
        <v>14</v>
      </c>
      <c r="N58" s="137">
        <v>24</v>
      </c>
      <c r="O58" s="137">
        <v>0</v>
      </c>
      <c r="P58" s="137">
        <v>0</v>
      </c>
      <c r="Q58" s="137">
        <v>0</v>
      </c>
      <c r="R58" s="137">
        <v>0</v>
      </c>
      <c r="S58" s="137">
        <v>0</v>
      </c>
      <c r="T58" s="137">
        <v>0</v>
      </c>
      <c r="U58" s="137">
        <v>0</v>
      </c>
      <c r="V58" s="137">
        <v>0</v>
      </c>
      <c r="W58" s="137">
        <v>0</v>
      </c>
      <c r="X58" s="137">
        <v>0</v>
      </c>
      <c r="Y58" s="137">
        <v>0</v>
      </c>
      <c r="Z58" s="137">
        <v>0</v>
      </c>
    </row>
    <row r="59" spans="1:26">
      <c r="A59" s="135">
        <v>55</v>
      </c>
      <c r="B59" s="136" t="s">
        <v>471</v>
      </c>
      <c r="C59" s="137">
        <v>39</v>
      </c>
      <c r="D59" s="137">
        <v>20</v>
      </c>
      <c r="E59" s="137">
        <v>59</v>
      </c>
      <c r="F59" s="137">
        <v>14</v>
      </c>
      <c r="G59" s="137">
        <v>8</v>
      </c>
      <c r="H59" s="137">
        <v>22</v>
      </c>
      <c r="I59" s="137">
        <v>0</v>
      </c>
      <c r="J59" s="137">
        <v>2</v>
      </c>
      <c r="K59" s="137">
        <v>2</v>
      </c>
      <c r="L59" s="137">
        <v>24</v>
      </c>
      <c r="M59" s="137">
        <v>5</v>
      </c>
      <c r="N59" s="137">
        <v>29</v>
      </c>
      <c r="O59" s="137">
        <v>0</v>
      </c>
      <c r="P59" s="137">
        <v>0</v>
      </c>
      <c r="Q59" s="137">
        <v>0</v>
      </c>
      <c r="R59" s="137">
        <v>0</v>
      </c>
      <c r="S59" s="137">
        <v>0</v>
      </c>
      <c r="T59" s="137">
        <v>0</v>
      </c>
      <c r="U59" s="137">
        <v>3</v>
      </c>
      <c r="V59" s="137">
        <v>4</v>
      </c>
      <c r="W59" s="137">
        <v>7</v>
      </c>
      <c r="X59" s="137">
        <v>0</v>
      </c>
      <c r="Y59" s="137">
        <v>0</v>
      </c>
      <c r="Z59" s="137">
        <v>0</v>
      </c>
    </row>
    <row r="60" spans="1:26" ht="28">
      <c r="A60" s="135">
        <v>56</v>
      </c>
      <c r="B60" s="136" t="s">
        <v>460</v>
      </c>
      <c r="C60" s="137">
        <v>52</v>
      </c>
      <c r="D60" s="137">
        <v>3</v>
      </c>
      <c r="E60" s="137">
        <v>55</v>
      </c>
      <c r="F60" s="137">
        <v>0</v>
      </c>
      <c r="G60" s="137">
        <v>0</v>
      </c>
      <c r="H60" s="137">
        <v>0</v>
      </c>
      <c r="I60" s="137">
        <v>0</v>
      </c>
      <c r="J60" s="137">
        <v>0</v>
      </c>
      <c r="K60" s="137">
        <v>0</v>
      </c>
      <c r="L60" s="137">
        <v>0</v>
      </c>
      <c r="M60" s="137">
        <v>0</v>
      </c>
      <c r="N60" s="137">
        <v>0</v>
      </c>
      <c r="O60" s="137">
        <v>0</v>
      </c>
      <c r="P60" s="137">
        <v>0</v>
      </c>
      <c r="Q60" s="137">
        <v>0</v>
      </c>
      <c r="R60" s="137">
        <v>0</v>
      </c>
      <c r="S60" s="137">
        <v>0</v>
      </c>
      <c r="T60" s="137">
        <v>0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7">
        <v>0</v>
      </c>
    </row>
    <row r="61" spans="1:26">
      <c r="A61" s="135">
        <v>57</v>
      </c>
      <c r="B61" s="140" t="s">
        <v>482</v>
      </c>
      <c r="C61" s="137">
        <v>0</v>
      </c>
      <c r="D61" s="137">
        <v>3</v>
      </c>
      <c r="E61" s="137">
        <v>3</v>
      </c>
      <c r="F61" s="137">
        <v>0</v>
      </c>
      <c r="G61" s="137">
        <v>0</v>
      </c>
      <c r="H61" s="137">
        <v>0</v>
      </c>
      <c r="I61" s="137">
        <v>0</v>
      </c>
      <c r="J61" s="137">
        <v>0</v>
      </c>
      <c r="K61" s="137">
        <v>0</v>
      </c>
      <c r="L61" s="137">
        <v>0</v>
      </c>
      <c r="M61" s="137">
        <v>2</v>
      </c>
      <c r="N61" s="137">
        <v>2</v>
      </c>
      <c r="O61" s="137">
        <v>0</v>
      </c>
      <c r="P61" s="137">
        <v>0</v>
      </c>
      <c r="Q61" s="137">
        <v>0</v>
      </c>
      <c r="R61" s="137">
        <v>0</v>
      </c>
      <c r="S61" s="137">
        <v>0</v>
      </c>
      <c r="T61" s="137">
        <v>0</v>
      </c>
      <c r="U61" s="137">
        <v>0</v>
      </c>
      <c r="V61" s="137">
        <v>1</v>
      </c>
      <c r="W61" s="137">
        <v>1</v>
      </c>
      <c r="X61" s="137">
        <v>0</v>
      </c>
      <c r="Y61" s="137">
        <v>0</v>
      </c>
      <c r="Z61" s="137">
        <v>0</v>
      </c>
    </row>
    <row r="62" spans="1:26">
      <c r="A62" s="135">
        <v>58</v>
      </c>
      <c r="B62" s="136" t="s">
        <v>443</v>
      </c>
      <c r="C62" s="137">
        <v>2</v>
      </c>
      <c r="D62" s="137">
        <v>0</v>
      </c>
      <c r="E62" s="137">
        <v>2</v>
      </c>
      <c r="F62" s="137">
        <v>0</v>
      </c>
      <c r="G62" s="137">
        <v>0</v>
      </c>
      <c r="H62" s="137">
        <v>0</v>
      </c>
      <c r="I62" s="137">
        <v>0</v>
      </c>
      <c r="J62" s="137">
        <v>0</v>
      </c>
      <c r="K62" s="137">
        <v>0</v>
      </c>
      <c r="L62" s="137">
        <v>0</v>
      </c>
      <c r="M62" s="137">
        <v>0</v>
      </c>
      <c r="N62" s="137">
        <v>0</v>
      </c>
      <c r="O62" s="137">
        <v>0</v>
      </c>
      <c r="P62" s="137">
        <v>0</v>
      </c>
      <c r="Q62" s="137">
        <v>0</v>
      </c>
      <c r="R62" s="137">
        <v>0</v>
      </c>
      <c r="S62" s="137">
        <v>0</v>
      </c>
      <c r="T62" s="137">
        <v>0</v>
      </c>
      <c r="U62" s="137">
        <v>0</v>
      </c>
      <c r="V62" s="137">
        <v>0</v>
      </c>
      <c r="W62" s="137">
        <v>0</v>
      </c>
      <c r="X62" s="137">
        <v>0</v>
      </c>
      <c r="Y62" s="137">
        <v>0</v>
      </c>
      <c r="Z62" s="137">
        <v>0</v>
      </c>
    </row>
    <row r="63" spans="1:26">
      <c r="A63" s="135">
        <v>59</v>
      </c>
      <c r="B63" s="136" t="s">
        <v>432</v>
      </c>
      <c r="C63" s="137">
        <v>0</v>
      </c>
      <c r="D63" s="137">
        <v>0</v>
      </c>
      <c r="E63" s="137">
        <v>0</v>
      </c>
      <c r="F63" s="137">
        <v>0</v>
      </c>
      <c r="G63" s="137">
        <v>0</v>
      </c>
      <c r="H63" s="137">
        <v>0</v>
      </c>
      <c r="I63" s="137">
        <v>0</v>
      </c>
      <c r="J63" s="137">
        <v>0</v>
      </c>
      <c r="K63" s="137">
        <v>0</v>
      </c>
      <c r="L63" s="137">
        <v>0</v>
      </c>
      <c r="M63" s="137">
        <v>0</v>
      </c>
      <c r="N63" s="137">
        <v>0</v>
      </c>
      <c r="O63" s="137">
        <v>0</v>
      </c>
      <c r="P63" s="137">
        <v>0</v>
      </c>
      <c r="Q63" s="137">
        <v>0</v>
      </c>
      <c r="R63" s="137">
        <v>0</v>
      </c>
      <c r="S63" s="137">
        <v>0</v>
      </c>
      <c r="T63" s="137">
        <v>0</v>
      </c>
      <c r="U63" s="137">
        <v>0</v>
      </c>
      <c r="V63" s="137">
        <v>0</v>
      </c>
      <c r="W63" s="137">
        <v>0</v>
      </c>
      <c r="X63" s="137">
        <v>0</v>
      </c>
      <c r="Y63" s="137">
        <v>0</v>
      </c>
      <c r="Z63" s="137">
        <v>0</v>
      </c>
    </row>
    <row r="64" spans="1:26">
      <c r="A64" s="135">
        <v>60</v>
      </c>
      <c r="B64" s="136" t="s">
        <v>430</v>
      </c>
      <c r="C64" s="137">
        <v>0</v>
      </c>
      <c r="D64" s="137">
        <v>0</v>
      </c>
      <c r="E64" s="137">
        <v>0</v>
      </c>
      <c r="F64" s="137">
        <v>0</v>
      </c>
      <c r="G64" s="137">
        <v>0</v>
      </c>
      <c r="H64" s="137">
        <v>0</v>
      </c>
      <c r="I64" s="137">
        <v>0</v>
      </c>
      <c r="J64" s="137">
        <v>0</v>
      </c>
      <c r="K64" s="137">
        <v>0</v>
      </c>
      <c r="L64" s="137">
        <v>0</v>
      </c>
      <c r="M64" s="137">
        <v>0</v>
      </c>
      <c r="N64" s="137">
        <v>0</v>
      </c>
      <c r="O64" s="137">
        <v>0</v>
      </c>
      <c r="P64" s="137">
        <v>0</v>
      </c>
      <c r="Q64" s="137">
        <v>0</v>
      </c>
      <c r="R64" s="137">
        <v>0</v>
      </c>
      <c r="S64" s="137">
        <v>0</v>
      </c>
      <c r="T64" s="137">
        <v>0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7">
        <v>0</v>
      </c>
    </row>
    <row r="65" spans="1:26">
      <c r="A65" s="135">
        <v>61</v>
      </c>
      <c r="B65" s="136" t="s">
        <v>509</v>
      </c>
      <c r="C65" s="137">
        <v>74565</v>
      </c>
      <c r="D65" s="137">
        <v>53317</v>
      </c>
      <c r="E65" s="137">
        <v>127882</v>
      </c>
      <c r="F65" s="137">
        <v>10203</v>
      </c>
      <c r="G65" s="137">
        <v>5737</v>
      </c>
      <c r="H65" s="137">
        <v>15940</v>
      </c>
      <c r="I65" s="137">
        <v>4027</v>
      </c>
      <c r="J65" s="137">
        <v>3236</v>
      </c>
      <c r="K65" s="137">
        <v>7263</v>
      </c>
      <c r="L65" s="137">
        <v>24561</v>
      </c>
      <c r="M65" s="137">
        <v>17055</v>
      </c>
      <c r="N65" s="137">
        <v>41616</v>
      </c>
      <c r="O65" s="137">
        <v>125</v>
      </c>
      <c r="P65" s="137">
        <v>43</v>
      </c>
      <c r="Q65" s="137">
        <v>168</v>
      </c>
      <c r="R65" s="137">
        <v>1200</v>
      </c>
      <c r="S65" s="137">
        <v>209</v>
      </c>
      <c r="T65" s="137">
        <v>1409</v>
      </c>
      <c r="U65" s="137">
        <v>539</v>
      </c>
      <c r="V65" s="137">
        <v>229</v>
      </c>
      <c r="W65" s="137">
        <v>768</v>
      </c>
      <c r="X65" s="137">
        <v>770</v>
      </c>
      <c r="Y65" s="137">
        <v>358</v>
      </c>
      <c r="Z65" s="137">
        <v>1128</v>
      </c>
    </row>
    <row r="66" spans="1:26">
      <c r="A66" s="135">
        <v>62</v>
      </c>
      <c r="B66" s="136" t="s">
        <v>510</v>
      </c>
      <c r="C66" s="137">
        <v>72967</v>
      </c>
      <c r="D66" s="137">
        <v>75742</v>
      </c>
      <c r="E66" s="137">
        <v>148709</v>
      </c>
      <c r="F66" s="137">
        <v>13021</v>
      </c>
      <c r="G66" s="137">
        <v>14395</v>
      </c>
      <c r="H66" s="137">
        <v>27416</v>
      </c>
      <c r="I66" s="137">
        <v>7346</v>
      </c>
      <c r="J66" s="137">
        <v>7946</v>
      </c>
      <c r="K66" s="137">
        <v>15292</v>
      </c>
      <c r="L66" s="137">
        <v>24755</v>
      </c>
      <c r="M66" s="137">
        <v>21420</v>
      </c>
      <c r="N66" s="137">
        <v>46175</v>
      </c>
      <c r="O66" s="137">
        <v>96</v>
      </c>
      <c r="P66" s="137">
        <v>14</v>
      </c>
      <c r="Q66" s="137">
        <v>110</v>
      </c>
      <c r="R66" s="137">
        <v>600</v>
      </c>
      <c r="S66" s="137">
        <v>164</v>
      </c>
      <c r="T66" s="137">
        <v>764</v>
      </c>
      <c r="U66" s="137">
        <v>515</v>
      </c>
      <c r="V66" s="137">
        <v>228</v>
      </c>
      <c r="W66" s="137">
        <v>743</v>
      </c>
      <c r="X66" s="137">
        <v>564</v>
      </c>
      <c r="Y66" s="137">
        <v>592</v>
      </c>
      <c r="Z66" s="137">
        <v>1156</v>
      </c>
    </row>
    <row r="67" spans="1:26" ht="28">
      <c r="A67" s="135">
        <v>63</v>
      </c>
      <c r="B67" s="136" t="s">
        <v>515</v>
      </c>
      <c r="C67" s="137">
        <v>1351</v>
      </c>
      <c r="D67" s="137">
        <v>4274</v>
      </c>
      <c r="E67" s="137">
        <v>5625</v>
      </c>
      <c r="F67" s="137">
        <v>400</v>
      </c>
      <c r="G67" s="137">
        <v>1325</v>
      </c>
      <c r="H67" s="137">
        <v>1725</v>
      </c>
      <c r="I67" s="137">
        <v>38</v>
      </c>
      <c r="J67" s="137">
        <v>92</v>
      </c>
      <c r="K67" s="137">
        <v>130</v>
      </c>
      <c r="L67" s="137">
        <v>608</v>
      </c>
      <c r="M67" s="137">
        <v>2064</v>
      </c>
      <c r="N67" s="137">
        <v>2672</v>
      </c>
      <c r="O67" s="137">
        <v>0</v>
      </c>
      <c r="P67" s="137">
        <v>0</v>
      </c>
      <c r="Q67" s="137">
        <v>0</v>
      </c>
      <c r="R67" s="137">
        <v>74</v>
      </c>
      <c r="S67" s="137">
        <v>52</v>
      </c>
      <c r="T67" s="137">
        <v>126</v>
      </c>
      <c r="U67" s="137">
        <v>57</v>
      </c>
      <c r="V67" s="137">
        <v>354</v>
      </c>
      <c r="W67" s="137">
        <v>411</v>
      </c>
      <c r="X67" s="137">
        <v>5</v>
      </c>
      <c r="Y67" s="137">
        <v>0</v>
      </c>
      <c r="Z67" s="137">
        <v>5</v>
      </c>
    </row>
    <row r="68" spans="1:26">
      <c r="A68" s="135">
        <v>64</v>
      </c>
      <c r="B68" s="136" t="s">
        <v>512</v>
      </c>
      <c r="C68" s="137">
        <v>808</v>
      </c>
      <c r="D68" s="137">
        <v>1647</v>
      </c>
      <c r="E68" s="137">
        <v>2455</v>
      </c>
      <c r="F68" s="137">
        <v>188</v>
      </c>
      <c r="G68" s="137">
        <v>391</v>
      </c>
      <c r="H68" s="137">
        <v>579</v>
      </c>
      <c r="I68" s="137">
        <v>147</v>
      </c>
      <c r="J68" s="137">
        <v>222</v>
      </c>
      <c r="K68" s="137">
        <v>369</v>
      </c>
      <c r="L68" s="137">
        <v>86</v>
      </c>
      <c r="M68" s="137">
        <v>230</v>
      </c>
      <c r="N68" s="137">
        <v>316</v>
      </c>
      <c r="O68" s="137">
        <v>28</v>
      </c>
      <c r="P68" s="137">
        <v>32</v>
      </c>
      <c r="Q68" s="137">
        <v>60</v>
      </c>
      <c r="R68" s="137">
        <v>92</v>
      </c>
      <c r="S68" s="137">
        <v>208</v>
      </c>
      <c r="T68" s="137">
        <v>300</v>
      </c>
      <c r="U68" s="137">
        <v>105</v>
      </c>
      <c r="V68" s="137">
        <v>214</v>
      </c>
      <c r="W68" s="137">
        <v>319</v>
      </c>
      <c r="X68" s="137">
        <v>19</v>
      </c>
      <c r="Y68" s="137">
        <v>44</v>
      </c>
      <c r="Z68" s="137">
        <v>63</v>
      </c>
    </row>
    <row r="69" spans="1:26">
      <c r="A69" s="135">
        <v>65</v>
      </c>
      <c r="B69" s="136" t="s">
        <v>511</v>
      </c>
      <c r="C69" s="137">
        <v>956</v>
      </c>
      <c r="D69" s="137">
        <v>1318</v>
      </c>
      <c r="E69" s="137">
        <v>2274</v>
      </c>
      <c r="F69" s="137">
        <v>116</v>
      </c>
      <c r="G69" s="137">
        <v>181</v>
      </c>
      <c r="H69" s="137">
        <v>297</v>
      </c>
      <c r="I69" s="137">
        <v>88</v>
      </c>
      <c r="J69" s="137">
        <v>120</v>
      </c>
      <c r="K69" s="137">
        <v>208</v>
      </c>
      <c r="L69" s="137">
        <v>209</v>
      </c>
      <c r="M69" s="137">
        <v>407</v>
      </c>
      <c r="N69" s="137">
        <v>616</v>
      </c>
      <c r="O69" s="137">
        <v>18</v>
      </c>
      <c r="P69" s="137">
        <v>12</v>
      </c>
      <c r="Q69" s="137">
        <v>30</v>
      </c>
      <c r="R69" s="137">
        <v>173</v>
      </c>
      <c r="S69" s="137">
        <v>129</v>
      </c>
      <c r="T69" s="137">
        <v>302</v>
      </c>
      <c r="U69" s="137">
        <v>5</v>
      </c>
      <c r="V69" s="137">
        <v>8</v>
      </c>
      <c r="W69" s="137">
        <v>13</v>
      </c>
      <c r="X69" s="137">
        <v>48</v>
      </c>
      <c r="Y69" s="137">
        <v>12</v>
      </c>
      <c r="Z69" s="137">
        <v>60</v>
      </c>
    </row>
    <row r="70" spans="1:26">
      <c r="A70" s="135">
        <v>66</v>
      </c>
      <c r="B70" s="136" t="s">
        <v>514</v>
      </c>
      <c r="C70" s="137">
        <v>83</v>
      </c>
      <c r="D70" s="137">
        <v>794</v>
      </c>
      <c r="E70" s="137">
        <v>877</v>
      </c>
      <c r="F70" s="137">
        <v>21</v>
      </c>
      <c r="G70" s="137">
        <v>472</v>
      </c>
      <c r="H70" s="137">
        <v>493</v>
      </c>
      <c r="I70" s="137">
        <v>14</v>
      </c>
      <c r="J70" s="137">
        <v>41</v>
      </c>
      <c r="K70" s="137">
        <v>55</v>
      </c>
      <c r="L70" s="137">
        <v>18</v>
      </c>
      <c r="M70" s="137">
        <v>90</v>
      </c>
      <c r="N70" s="137">
        <v>108</v>
      </c>
      <c r="O70" s="137">
        <v>0</v>
      </c>
      <c r="P70" s="137">
        <v>0</v>
      </c>
      <c r="Q70" s="137">
        <v>0</v>
      </c>
      <c r="R70" s="137">
        <v>0</v>
      </c>
      <c r="S70" s="137">
        <v>8</v>
      </c>
      <c r="T70" s="137">
        <v>8</v>
      </c>
      <c r="U70" s="137">
        <v>0</v>
      </c>
      <c r="V70" s="137">
        <v>0</v>
      </c>
      <c r="W70" s="137">
        <v>0</v>
      </c>
      <c r="X70" s="137">
        <v>27</v>
      </c>
      <c r="Y70" s="137">
        <v>24</v>
      </c>
      <c r="Z70" s="137">
        <v>51</v>
      </c>
    </row>
    <row r="71" spans="1:26">
      <c r="A71" s="135">
        <v>67</v>
      </c>
      <c r="B71" s="136" t="s">
        <v>513</v>
      </c>
      <c r="C71" s="137">
        <v>215</v>
      </c>
      <c r="D71" s="137">
        <v>183</v>
      </c>
      <c r="E71" s="137">
        <v>398</v>
      </c>
      <c r="F71" s="137">
        <v>43</v>
      </c>
      <c r="G71" s="137">
        <v>13</v>
      </c>
      <c r="H71" s="137">
        <v>56</v>
      </c>
      <c r="I71" s="137">
        <v>12</v>
      </c>
      <c r="J71" s="137">
        <v>3</v>
      </c>
      <c r="K71" s="137">
        <v>15</v>
      </c>
      <c r="L71" s="137">
        <v>72</v>
      </c>
      <c r="M71" s="137">
        <v>98</v>
      </c>
      <c r="N71" s="137">
        <v>170</v>
      </c>
      <c r="O71" s="137">
        <v>0</v>
      </c>
      <c r="P71" s="137">
        <v>0</v>
      </c>
      <c r="Q71" s="137">
        <v>0</v>
      </c>
      <c r="R71" s="137">
        <v>0</v>
      </c>
      <c r="S71" s="137">
        <v>8</v>
      </c>
      <c r="T71" s="137">
        <v>8</v>
      </c>
      <c r="U71" s="137">
        <v>0</v>
      </c>
      <c r="V71" s="137">
        <v>3</v>
      </c>
      <c r="W71" s="137">
        <v>3</v>
      </c>
      <c r="X71" s="137">
        <v>16</v>
      </c>
      <c r="Y71" s="137">
        <v>2</v>
      </c>
      <c r="Z71" s="137">
        <v>18</v>
      </c>
    </row>
    <row r="72" spans="1:26">
      <c r="A72" s="135">
        <v>68</v>
      </c>
      <c r="B72" s="136" t="s">
        <v>516</v>
      </c>
      <c r="C72" s="137">
        <v>31479</v>
      </c>
      <c r="D72" s="137">
        <v>25028</v>
      </c>
      <c r="E72" s="137">
        <v>56507</v>
      </c>
      <c r="F72" s="137">
        <v>3780</v>
      </c>
      <c r="G72" s="137">
        <v>2975</v>
      </c>
      <c r="H72" s="137">
        <v>6755</v>
      </c>
      <c r="I72" s="137">
        <v>1574</v>
      </c>
      <c r="J72" s="137">
        <v>922</v>
      </c>
      <c r="K72" s="137">
        <v>2496</v>
      </c>
      <c r="L72" s="137">
        <v>8918</v>
      </c>
      <c r="M72" s="137">
        <v>5305</v>
      </c>
      <c r="N72" s="137">
        <v>14223</v>
      </c>
      <c r="O72" s="137">
        <v>131</v>
      </c>
      <c r="P72" s="137">
        <v>66</v>
      </c>
      <c r="Q72" s="137">
        <v>197</v>
      </c>
      <c r="R72" s="137">
        <v>852</v>
      </c>
      <c r="S72" s="137">
        <v>220</v>
      </c>
      <c r="T72" s="137">
        <v>1072</v>
      </c>
      <c r="U72" s="137">
        <v>280</v>
      </c>
      <c r="V72" s="137">
        <v>236</v>
      </c>
      <c r="W72" s="137">
        <v>516</v>
      </c>
      <c r="X72" s="137">
        <v>24</v>
      </c>
      <c r="Y72" s="137">
        <v>73</v>
      </c>
      <c r="Z72" s="137">
        <v>97</v>
      </c>
    </row>
    <row r="73" spans="1:26" ht="28">
      <c r="A73" s="135">
        <v>69</v>
      </c>
      <c r="B73" s="136" t="s">
        <v>523</v>
      </c>
      <c r="C73" s="137">
        <v>197</v>
      </c>
      <c r="D73" s="137">
        <v>48</v>
      </c>
      <c r="E73" s="137">
        <v>245</v>
      </c>
      <c r="F73" s="137">
        <v>28</v>
      </c>
      <c r="G73" s="137">
        <v>6</v>
      </c>
      <c r="H73" s="137">
        <v>34</v>
      </c>
      <c r="I73" s="137">
        <v>2</v>
      </c>
      <c r="J73" s="137">
        <v>0</v>
      </c>
      <c r="K73" s="137">
        <v>2</v>
      </c>
      <c r="L73" s="137">
        <v>153</v>
      </c>
      <c r="M73" s="137">
        <v>37</v>
      </c>
      <c r="N73" s="137">
        <v>190</v>
      </c>
      <c r="O73" s="137">
        <v>0</v>
      </c>
      <c r="P73" s="137">
        <v>0</v>
      </c>
      <c r="Q73" s="137">
        <v>0</v>
      </c>
      <c r="R73" s="137">
        <v>0</v>
      </c>
      <c r="S73" s="137">
        <v>0</v>
      </c>
      <c r="T73" s="137">
        <v>0</v>
      </c>
      <c r="U73" s="137">
        <v>0</v>
      </c>
      <c r="V73" s="137">
        <v>0</v>
      </c>
      <c r="W73" s="137">
        <v>0</v>
      </c>
      <c r="X73" s="137">
        <v>0</v>
      </c>
      <c r="Y73" s="137">
        <v>0</v>
      </c>
      <c r="Z73" s="137">
        <v>0</v>
      </c>
    </row>
    <row r="74" spans="1:26" ht="28">
      <c r="A74" s="135">
        <v>70</v>
      </c>
      <c r="B74" s="136" t="s">
        <v>527</v>
      </c>
      <c r="C74" s="137">
        <v>72</v>
      </c>
      <c r="D74" s="137">
        <v>36</v>
      </c>
      <c r="E74" s="137">
        <v>108</v>
      </c>
      <c r="F74" s="137">
        <v>1</v>
      </c>
      <c r="G74" s="137">
        <v>0</v>
      </c>
      <c r="H74" s="137">
        <v>1</v>
      </c>
      <c r="I74" s="137">
        <v>0</v>
      </c>
      <c r="J74" s="137">
        <v>0</v>
      </c>
      <c r="K74" s="137">
        <v>0</v>
      </c>
      <c r="L74" s="137">
        <v>19</v>
      </c>
      <c r="M74" s="137">
        <v>8</v>
      </c>
      <c r="N74" s="137">
        <v>27</v>
      </c>
      <c r="O74" s="137">
        <v>0</v>
      </c>
      <c r="P74" s="137">
        <v>0</v>
      </c>
      <c r="Q74" s="137">
        <v>0</v>
      </c>
      <c r="R74" s="137">
        <v>0</v>
      </c>
      <c r="S74" s="137">
        <v>0</v>
      </c>
      <c r="T74" s="137">
        <v>0</v>
      </c>
      <c r="U74" s="137">
        <v>0</v>
      </c>
      <c r="V74" s="137">
        <v>0</v>
      </c>
      <c r="W74" s="137">
        <v>0</v>
      </c>
      <c r="X74" s="137">
        <v>0</v>
      </c>
      <c r="Y74" s="137">
        <v>0</v>
      </c>
      <c r="Z74" s="137">
        <v>0</v>
      </c>
    </row>
    <row r="75" spans="1:26">
      <c r="A75" s="985" t="s">
        <v>49</v>
      </c>
      <c r="B75" s="985"/>
      <c r="C75" s="141">
        <v>2478700</v>
      </c>
      <c r="D75" s="141">
        <v>2092847</v>
      </c>
      <c r="E75" s="141">
        <v>4571547</v>
      </c>
      <c r="F75" s="141">
        <v>314745</v>
      </c>
      <c r="G75" s="141">
        <v>239447</v>
      </c>
      <c r="H75" s="141">
        <v>554192</v>
      </c>
      <c r="I75" s="141">
        <v>127792</v>
      </c>
      <c r="J75" s="141">
        <v>104541</v>
      </c>
      <c r="K75" s="141">
        <v>232333</v>
      </c>
      <c r="L75" s="141">
        <v>753127</v>
      </c>
      <c r="M75" s="141">
        <v>611102</v>
      </c>
      <c r="N75" s="141">
        <v>1364229</v>
      </c>
      <c r="O75" s="141">
        <v>7468</v>
      </c>
      <c r="P75" s="141">
        <v>4346</v>
      </c>
      <c r="Q75" s="141">
        <v>11814</v>
      </c>
      <c r="R75" s="141">
        <v>53465</v>
      </c>
      <c r="S75" s="141">
        <v>49372</v>
      </c>
      <c r="T75" s="141">
        <v>102837</v>
      </c>
      <c r="U75" s="141">
        <v>16669</v>
      </c>
      <c r="V75" s="141">
        <v>12947</v>
      </c>
      <c r="W75" s="141">
        <v>29616</v>
      </c>
      <c r="X75" s="141">
        <v>11683</v>
      </c>
      <c r="Y75" s="141">
        <v>26076</v>
      </c>
      <c r="Z75" s="141">
        <v>37759</v>
      </c>
    </row>
  </sheetData>
  <mergeCells count="15">
    <mergeCell ref="O2:Q2"/>
    <mergeCell ref="R2:T2"/>
    <mergeCell ref="U2:W2"/>
    <mergeCell ref="X2:Z2"/>
    <mergeCell ref="R1:Z1"/>
    <mergeCell ref="I1:Q1"/>
    <mergeCell ref="I2:K2"/>
    <mergeCell ref="L2:N2"/>
    <mergeCell ref="A75:B75"/>
    <mergeCell ref="A1:B1"/>
    <mergeCell ref="C1:H1"/>
    <mergeCell ref="A2:A3"/>
    <mergeCell ref="B2:B3"/>
    <mergeCell ref="C2:E2"/>
    <mergeCell ref="F2:H2"/>
  </mergeCells>
  <pageMargins left="0.51181102362204722" right="0.51181102362204722" top="0.51181102362204722" bottom="0.39370078740157483" header="0.15748031496062992" footer="7.874015748031496E-2"/>
  <pageSetup paperSize="9" scale="63" firstPageNumber="40" pageOrder="overThenDown" orientation="portrait" useFirstPageNumber="1" r:id="rId1"/>
  <headerFooter>
    <oddFooter>&amp;LAISHE 2020-21&amp;CT-11a</oddFooter>
  </headerFooter>
  <rowBreaks count="1" manualBreakCount="1">
    <brk id="54" max="25" man="1"/>
  </rowBreaks>
  <colBreaks count="2" manualBreakCount="2">
    <brk id="8" max="74" man="1"/>
    <brk id="17" max="74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00B050"/>
  </sheetPr>
  <dimension ref="A1:F99"/>
  <sheetViews>
    <sheetView view="pageBreakPreview" topLeftCell="A52" zoomScaleSheetLayoutView="100" workbookViewId="0">
      <selection activeCell="E99" sqref="E99"/>
    </sheetView>
  </sheetViews>
  <sheetFormatPr defaultColWidth="9.1796875" defaultRowHeight="14"/>
  <cols>
    <col min="1" max="1" width="35.54296875" style="138" customWidth="1"/>
    <col min="2" max="2" width="33.7265625" style="138" customWidth="1"/>
    <col min="3" max="5" width="22" style="138" customWidth="1"/>
    <col min="6" max="6" width="15.453125" style="138" customWidth="1"/>
    <col min="7" max="16384" width="9.1796875" style="138"/>
  </cols>
  <sheetData>
    <row r="1" spans="1:6" ht="38.25" customHeight="1">
      <c r="A1" s="993" t="s">
        <v>1024</v>
      </c>
      <c r="B1" s="993"/>
      <c r="C1" s="994"/>
      <c r="D1" s="994"/>
      <c r="E1" s="994"/>
    </row>
    <row r="2" spans="1:6" ht="22.5" customHeight="1">
      <c r="A2" s="995" t="s">
        <v>539</v>
      </c>
      <c r="B2" s="996"/>
      <c r="C2" s="583" t="s">
        <v>87</v>
      </c>
      <c r="D2" s="583" t="s">
        <v>88</v>
      </c>
      <c r="E2" s="583" t="s">
        <v>12</v>
      </c>
    </row>
    <row r="3" spans="1:6" s="732" customFormat="1" ht="13.9" customHeight="1">
      <c r="A3" s="595">
        <v>1</v>
      </c>
      <c r="B3" s="595">
        <v>2</v>
      </c>
      <c r="C3" s="596">
        <v>3</v>
      </c>
      <c r="D3" s="596">
        <v>4</v>
      </c>
      <c r="E3" s="596">
        <v>5</v>
      </c>
    </row>
    <row r="4" spans="1:6" ht="22.5" customHeight="1">
      <c r="A4" s="597" t="s">
        <v>256</v>
      </c>
      <c r="B4" s="598"/>
      <c r="C4" s="598">
        <v>4988246</v>
      </c>
      <c r="D4" s="592">
        <v>5417424</v>
      </c>
      <c r="E4" s="592">
        <v>10405670</v>
      </c>
    </row>
    <row r="5" spans="1:6" ht="22.5" customHeight="1">
      <c r="A5" s="597" t="s">
        <v>254</v>
      </c>
      <c r="B5" s="598"/>
      <c r="C5" s="592">
        <v>2312602</v>
      </c>
      <c r="D5" s="592">
        <v>2505224</v>
      </c>
      <c r="E5" s="592">
        <v>4817826</v>
      </c>
      <c r="F5" s="138">
        <f>E5+E24</f>
        <v>4819249</v>
      </c>
    </row>
    <row r="6" spans="1:6" ht="22.5" customHeight="1">
      <c r="A6" s="597" t="s">
        <v>257</v>
      </c>
      <c r="B6" s="598"/>
      <c r="C6" s="592">
        <v>2227036</v>
      </c>
      <c r="D6" s="592">
        <v>2096418</v>
      </c>
      <c r="E6" s="592">
        <v>4323454</v>
      </c>
    </row>
    <row r="7" spans="1:6" ht="22.5" customHeight="1">
      <c r="A7" s="997" t="s">
        <v>260</v>
      </c>
      <c r="B7" s="599" t="s">
        <v>540</v>
      </c>
      <c r="C7" s="592">
        <v>691486</v>
      </c>
      <c r="D7" s="592">
        <v>390195</v>
      </c>
      <c r="E7" s="592">
        <v>1081681</v>
      </c>
    </row>
    <row r="8" spans="1:6" ht="22.5" customHeight="1">
      <c r="A8" s="998"/>
      <c r="B8" s="599" t="s">
        <v>541</v>
      </c>
      <c r="C8" s="592">
        <v>555592</v>
      </c>
      <c r="D8" s="592">
        <v>39813</v>
      </c>
      <c r="E8" s="592">
        <v>595405</v>
      </c>
    </row>
    <row r="9" spans="1:6" ht="22.5" customHeight="1">
      <c r="A9" s="998"/>
      <c r="B9" s="599" t="s">
        <v>542</v>
      </c>
      <c r="C9" s="592">
        <v>351426</v>
      </c>
      <c r="D9" s="592">
        <v>236385</v>
      </c>
      <c r="E9" s="592">
        <v>587811</v>
      </c>
    </row>
    <row r="10" spans="1:6" ht="22.5" customHeight="1">
      <c r="A10" s="998"/>
      <c r="B10" s="599" t="s">
        <v>543</v>
      </c>
      <c r="C10" s="592">
        <v>344841</v>
      </c>
      <c r="D10" s="592">
        <v>102944</v>
      </c>
      <c r="E10" s="592">
        <v>447785</v>
      </c>
    </row>
    <row r="11" spans="1:6" ht="22.5" customHeight="1">
      <c r="A11" s="998"/>
      <c r="B11" s="599" t="s">
        <v>544</v>
      </c>
      <c r="C11" s="592">
        <v>259736</v>
      </c>
      <c r="D11" s="592">
        <v>94950</v>
      </c>
      <c r="E11" s="592">
        <v>354686</v>
      </c>
    </row>
    <row r="12" spans="1:6" ht="22.5" customHeight="1">
      <c r="A12" s="998"/>
      <c r="B12" s="599" t="s">
        <v>546</v>
      </c>
      <c r="C12" s="592">
        <v>141606</v>
      </c>
      <c r="D12" s="592">
        <v>63036</v>
      </c>
      <c r="E12" s="592">
        <v>204642</v>
      </c>
    </row>
    <row r="13" spans="1:6" ht="22.5" customHeight="1">
      <c r="A13" s="998"/>
      <c r="B13" s="599" t="s">
        <v>545</v>
      </c>
      <c r="C13" s="592">
        <v>127537</v>
      </c>
      <c r="D13" s="592">
        <v>58304</v>
      </c>
      <c r="E13" s="592">
        <v>185841</v>
      </c>
    </row>
    <row r="14" spans="1:6" ht="22.5" customHeight="1">
      <c r="A14" s="998"/>
      <c r="B14" s="599" t="s">
        <v>255</v>
      </c>
      <c r="C14" s="592">
        <v>37020</v>
      </c>
      <c r="D14" s="592">
        <v>41662</v>
      </c>
      <c r="E14" s="592">
        <v>78682</v>
      </c>
    </row>
    <row r="15" spans="1:6" ht="22.5" customHeight="1">
      <c r="A15" s="998"/>
      <c r="B15" s="599" t="s">
        <v>547</v>
      </c>
      <c r="C15" s="592">
        <v>41292</v>
      </c>
      <c r="D15" s="592">
        <v>13590</v>
      </c>
      <c r="E15" s="592">
        <v>54882</v>
      </c>
    </row>
    <row r="16" spans="1:6" ht="22.5" customHeight="1">
      <c r="A16" s="998"/>
      <c r="B16" s="599" t="s">
        <v>548</v>
      </c>
      <c r="C16" s="592">
        <v>14357</v>
      </c>
      <c r="D16" s="592">
        <v>7814</v>
      </c>
      <c r="E16" s="592">
        <v>22171</v>
      </c>
    </row>
    <row r="17" spans="1:5" ht="22.5" customHeight="1">
      <c r="A17" s="998"/>
      <c r="B17" s="599" t="s">
        <v>549</v>
      </c>
      <c r="C17" s="592">
        <v>14913</v>
      </c>
      <c r="D17" s="592">
        <v>5117</v>
      </c>
      <c r="E17" s="592">
        <v>20030</v>
      </c>
    </row>
    <row r="18" spans="1:5" ht="22.5" customHeight="1">
      <c r="A18" s="998"/>
      <c r="B18" s="599" t="s">
        <v>550</v>
      </c>
      <c r="C18" s="592">
        <v>9231</v>
      </c>
      <c r="D18" s="592">
        <v>7961</v>
      </c>
      <c r="E18" s="592">
        <v>17192</v>
      </c>
    </row>
    <row r="19" spans="1:5" ht="22.5" customHeight="1">
      <c r="A19" s="998"/>
      <c r="B19" s="599" t="s">
        <v>551</v>
      </c>
      <c r="C19" s="592">
        <v>7861</v>
      </c>
      <c r="D19" s="592">
        <v>2530</v>
      </c>
      <c r="E19" s="592">
        <v>10391</v>
      </c>
    </row>
    <row r="20" spans="1:5" ht="22.5" customHeight="1">
      <c r="A20" s="998"/>
      <c r="B20" s="599" t="s">
        <v>552</v>
      </c>
      <c r="C20" s="592">
        <v>7939</v>
      </c>
      <c r="D20" s="592">
        <v>619</v>
      </c>
      <c r="E20" s="592">
        <v>8558</v>
      </c>
    </row>
    <row r="21" spans="1:5" ht="22.5" customHeight="1">
      <c r="A21" s="998"/>
      <c r="B21" s="599" t="s">
        <v>918</v>
      </c>
      <c r="C21" s="592">
        <v>3683</v>
      </c>
      <c r="D21" s="592">
        <v>2234</v>
      </c>
      <c r="E21" s="592">
        <v>5917</v>
      </c>
    </row>
    <row r="22" spans="1:5" ht="22.5" customHeight="1">
      <c r="A22" s="998"/>
      <c r="B22" s="599" t="s">
        <v>553</v>
      </c>
      <c r="C22" s="592">
        <v>4755</v>
      </c>
      <c r="D22" s="592">
        <v>311</v>
      </c>
      <c r="E22" s="592">
        <v>5066</v>
      </c>
    </row>
    <row r="23" spans="1:5" ht="22.5" customHeight="1">
      <c r="A23" s="998"/>
      <c r="B23" s="599" t="s">
        <v>554</v>
      </c>
      <c r="C23" s="592">
        <v>2291</v>
      </c>
      <c r="D23" s="592">
        <v>947</v>
      </c>
      <c r="E23" s="592">
        <v>3238</v>
      </c>
    </row>
    <row r="24" spans="1:5" ht="22.5" customHeight="1">
      <c r="A24" s="998"/>
      <c r="B24" s="599" t="s">
        <v>555</v>
      </c>
      <c r="C24" s="592">
        <v>762</v>
      </c>
      <c r="D24" s="592">
        <v>661</v>
      </c>
      <c r="E24" s="592">
        <v>1423</v>
      </c>
    </row>
    <row r="25" spans="1:5" ht="22.5" customHeight="1">
      <c r="A25" s="998"/>
      <c r="B25" s="599" t="s">
        <v>919</v>
      </c>
      <c r="C25" s="592">
        <v>793</v>
      </c>
      <c r="D25" s="592">
        <v>41</v>
      </c>
      <c r="E25" s="592">
        <v>834</v>
      </c>
    </row>
    <row r="26" spans="1:5" ht="22.5" customHeight="1">
      <c r="A26" s="999"/>
      <c r="B26" s="599" t="s">
        <v>601</v>
      </c>
      <c r="C26" s="592">
        <v>34</v>
      </c>
      <c r="D26" s="592">
        <v>22</v>
      </c>
      <c r="E26" s="592">
        <v>56</v>
      </c>
    </row>
    <row r="27" spans="1:5" ht="22.5" customHeight="1">
      <c r="A27" s="600" t="s">
        <v>556</v>
      </c>
      <c r="B27" s="601"/>
      <c r="C27" s="556">
        <v>2617155</v>
      </c>
      <c r="D27" s="556">
        <v>1069136</v>
      </c>
      <c r="E27" s="556">
        <v>3686291</v>
      </c>
    </row>
    <row r="28" spans="1:5" ht="22.5" customHeight="1">
      <c r="A28" s="597" t="s">
        <v>245</v>
      </c>
      <c r="B28" s="598"/>
      <c r="C28" s="592">
        <v>608888</v>
      </c>
      <c r="D28" s="592">
        <v>1040305</v>
      </c>
      <c r="E28" s="592">
        <v>1649193</v>
      </c>
    </row>
    <row r="29" spans="1:5" ht="22.5" customHeight="1">
      <c r="A29" s="997" t="s">
        <v>557</v>
      </c>
      <c r="B29" s="599" t="s">
        <v>76</v>
      </c>
      <c r="C29" s="592">
        <v>89923</v>
      </c>
      <c r="D29" s="592">
        <v>286411</v>
      </c>
      <c r="E29" s="592">
        <v>376334</v>
      </c>
    </row>
    <row r="30" spans="1:5" ht="22.5" customHeight="1">
      <c r="A30" s="998"/>
      <c r="B30" s="599" t="s">
        <v>268</v>
      </c>
      <c r="C30" s="592">
        <v>220210</v>
      </c>
      <c r="D30" s="592">
        <v>147827</v>
      </c>
      <c r="E30" s="592">
        <v>368037</v>
      </c>
    </row>
    <row r="31" spans="1:5" ht="22.5" customHeight="1">
      <c r="A31" s="998"/>
      <c r="B31" s="599" t="s">
        <v>558</v>
      </c>
      <c r="C31" s="592">
        <v>92771</v>
      </c>
      <c r="D31" s="592">
        <v>92376</v>
      </c>
      <c r="E31" s="592">
        <v>185147</v>
      </c>
    </row>
    <row r="32" spans="1:5" ht="22.5" customHeight="1">
      <c r="A32" s="998"/>
      <c r="B32" s="599" t="s">
        <v>557</v>
      </c>
      <c r="C32" s="592">
        <v>73823</v>
      </c>
      <c r="D32" s="592">
        <v>98237</v>
      </c>
      <c r="E32" s="592">
        <v>172060</v>
      </c>
    </row>
    <row r="33" spans="1:5" ht="22.5" customHeight="1">
      <c r="A33" s="998"/>
      <c r="B33" s="599" t="s">
        <v>559</v>
      </c>
      <c r="C33" s="592">
        <v>25735</v>
      </c>
      <c r="D33" s="592">
        <v>70475</v>
      </c>
      <c r="E33" s="592">
        <v>96210</v>
      </c>
    </row>
    <row r="34" spans="1:5" ht="22.5" customHeight="1">
      <c r="A34" s="998"/>
      <c r="B34" s="599" t="s">
        <v>560</v>
      </c>
      <c r="C34" s="592">
        <v>38252</v>
      </c>
      <c r="D34" s="592">
        <v>50795</v>
      </c>
      <c r="E34" s="592">
        <v>89047</v>
      </c>
    </row>
    <row r="35" spans="1:5" ht="22.5" customHeight="1">
      <c r="A35" s="998"/>
      <c r="B35" s="599" t="s">
        <v>269</v>
      </c>
      <c r="C35" s="592">
        <v>30158</v>
      </c>
      <c r="D35" s="592">
        <v>57200</v>
      </c>
      <c r="E35" s="592">
        <v>87358</v>
      </c>
    </row>
    <row r="36" spans="1:5" ht="22.5" customHeight="1">
      <c r="A36" s="998"/>
      <c r="B36" s="599" t="s">
        <v>561</v>
      </c>
      <c r="C36" s="592">
        <v>22032</v>
      </c>
      <c r="D36" s="592">
        <v>35912</v>
      </c>
      <c r="E36" s="592">
        <v>57944</v>
      </c>
    </row>
    <row r="37" spans="1:5" ht="22.5" customHeight="1">
      <c r="A37" s="998"/>
      <c r="B37" s="599" t="s">
        <v>564</v>
      </c>
      <c r="C37" s="592">
        <v>13342</v>
      </c>
      <c r="D37" s="592">
        <v>16610</v>
      </c>
      <c r="E37" s="592">
        <v>29952</v>
      </c>
    </row>
    <row r="38" spans="1:5" ht="22.5" customHeight="1">
      <c r="A38" s="998"/>
      <c r="B38" s="599" t="s">
        <v>570</v>
      </c>
      <c r="C38" s="592">
        <v>8334</v>
      </c>
      <c r="D38" s="592">
        <v>10007</v>
      </c>
      <c r="E38" s="592">
        <v>18341</v>
      </c>
    </row>
    <row r="39" spans="1:5" ht="22.5" customHeight="1">
      <c r="A39" s="998"/>
      <c r="B39" s="599" t="s">
        <v>562</v>
      </c>
      <c r="C39" s="592">
        <v>3189</v>
      </c>
      <c r="D39" s="592">
        <v>4190</v>
      </c>
      <c r="E39" s="592">
        <v>7379</v>
      </c>
    </row>
    <row r="40" spans="1:5" ht="22.5" customHeight="1">
      <c r="A40" s="998"/>
      <c r="B40" s="599" t="s">
        <v>563</v>
      </c>
      <c r="C40" s="592">
        <v>2354</v>
      </c>
      <c r="D40" s="592">
        <v>4172</v>
      </c>
      <c r="E40" s="592">
        <v>6526</v>
      </c>
    </row>
    <row r="41" spans="1:5" ht="22.5" customHeight="1">
      <c r="A41" s="998"/>
      <c r="B41" s="599" t="s">
        <v>665</v>
      </c>
      <c r="C41" s="592">
        <v>2000</v>
      </c>
      <c r="D41" s="592">
        <v>3617</v>
      </c>
      <c r="E41" s="592">
        <v>5617</v>
      </c>
    </row>
    <row r="42" spans="1:5" ht="22.5" customHeight="1">
      <c r="A42" s="998"/>
      <c r="B42" s="599" t="s">
        <v>567</v>
      </c>
      <c r="C42" s="592">
        <v>2089</v>
      </c>
      <c r="D42" s="592">
        <v>3196</v>
      </c>
      <c r="E42" s="592">
        <v>5285</v>
      </c>
    </row>
    <row r="43" spans="1:5" ht="22.5" customHeight="1">
      <c r="A43" s="998"/>
      <c r="B43" s="599" t="s">
        <v>661</v>
      </c>
      <c r="C43" s="592">
        <v>1425</v>
      </c>
      <c r="D43" s="592">
        <v>2928</v>
      </c>
      <c r="E43" s="592">
        <v>4353</v>
      </c>
    </row>
    <row r="44" spans="1:5" ht="22.5" customHeight="1">
      <c r="A44" s="998"/>
      <c r="B44" s="599" t="s">
        <v>565</v>
      </c>
      <c r="C44" s="592">
        <v>1182</v>
      </c>
      <c r="D44" s="592">
        <v>2763</v>
      </c>
      <c r="E44" s="592">
        <v>3945</v>
      </c>
    </row>
    <row r="45" spans="1:5" ht="22.5" customHeight="1">
      <c r="A45" s="998"/>
      <c r="B45" s="599" t="s">
        <v>656</v>
      </c>
      <c r="C45" s="592">
        <v>1334</v>
      </c>
      <c r="D45" s="592">
        <v>1577</v>
      </c>
      <c r="E45" s="592">
        <v>2911</v>
      </c>
    </row>
    <row r="46" spans="1:5" ht="22.5" customHeight="1">
      <c r="A46" s="998"/>
      <c r="B46" s="599" t="s">
        <v>568</v>
      </c>
      <c r="C46" s="592">
        <v>811</v>
      </c>
      <c r="D46" s="592">
        <v>1951</v>
      </c>
      <c r="E46" s="592">
        <v>2762</v>
      </c>
    </row>
    <row r="47" spans="1:5" ht="22.5" customHeight="1">
      <c r="A47" s="998"/>
      <c r="B47" s="599" t="s">
        <v>569</v>
      </c>
      <c r="C47" s="592">
        <v>289</v>
      </c>
      <c r="D47" s="592">
        <v>765</v>
      </c>
      <c r="E47" s="592">
        <v>1054</v>
      </c>
    </row>
    <row r="48" spans="1:5" ht="22.5" customHeight="1">
      <c r="A48" s="998"/>
      <c r="B48" s="599" t="s">
        <v>654</v>
      </c>
      <c r="C48" s="592">
        <v>548</v>
      </c>
      <c r="D48" s="592">
        <v>359</v>
      </c>
      <c r="E48" s="592">
        <v>907</v>
      </c>
    </row>
    <row r="49" spans="1:5" ht="22.5" customHeight="1">
      <c r="A49" s="998"/>
      <c r="B49" s="599" t="s">
        <v>666</v>
      </c>
      <c r="C49" s="592">
        <v>360</v>
      </c>
      <c r="D49" s="592">
        <v>326</v>
      </c>
      <c r="E49" s="592">
        <v>686</v>
      </c>
    </row>
    <row r="50" spans="1:5" ht="22.5" customHeight="1">
      <c r="A50" s="998"/>
      <c r="B50" s="599" t="s">
        <v>657</v>
      </c>
      <c r="C50" s="592">
        <v>251</v>
      </c>
      <c r="D50" s="592">
        <v>360</v>
      </c>
      <c r="E50" s="592">
        <v>611</v>
      </c>
    </row>
    <row r="51" spans="1:5" ht="22.5" customHeight="1">
      <c r="A51" s="998" t="s">
        <v>557</v>
      </c>
      <c r="B51" s="599" t="s">
        <v>659</v>
      </c>
      <c r="C51" s="592">
        <v>228</v>
      </c>
      <c r="D51" s="592">
        <v>369</v>
      </c>
      <c r="E51" s="592">
        <v>597</v>
      </c>
    </row>
    <row r="52" spans="1:5" ht="22.5" customHeight="1">
      <c r="A52" s="998"/>
      <c r="B52" s="599" t="s">
        <v>662</v>
      </c>
      <c r="C52" s="592">
        <v>190</v>
      </c>
      <c r="D52" s="592">
        <v>261</v>
      </c>
      <c r="E52" s="592">
        <v>451</v>
      </c>
    </row>
    <row r="53" spans="1:5" ht="22.5" customHeight="1">
      <c r="A53" s="998"/>
      <c r="B53" s="599" t="s">
        <v>651</v>
      </c>
      <c r="C53" s="592">
        <v>153</v>
      </c>
      <c r="D53" s="592">
        <v>183</v>
      </c>
      <c r="E53" s="592">
        <v>336</v>
      </c>
    </row>
    <row r="54" spans="1:5" ht="22.5" customHeight="1">
      <c r="A54" s="998"/>
      <c r="B54" s="599" t="s">
        <v>652</v>
      </c>
      <c r="C54" s="592">
        <v>153</v>
      </c>
      <c r="D54" s="592">
        <v>183</v>
      </c>
      <c r="E54" s="592">
        <v>336</v>
      </c>
    </row>
    <row r="55" spans="1:5" ht="22.5" customHeight="1">
      <c r="A55" s="998"/>
      <c r="B55" s="599" t="s">
        <v>655</v>
      </c>
      <c r="C55" s="592">
        <v>163</v>
      </c>
      <c r="D55" s="592">
        <v>172</v>
      </c>
      <c r="E55" s="592">
        <v>335</v>
      </c>
    </row>
    <row r="56" spans="1:5" ht="22.5" customHeight="1">
      <c r="A56" s="998"/>
      <c r="B56" s="599" t="s">
        <v>664</v>
      </c>
      <c r="C56" s="592">
        <v>144</v>
      </c>
      <c r="D56" s="592">
        <v>166</v>
      </c>
      <c r="E56" s="592">
        <v>310</v>
      </c>
    </row>
    <row r="57" spans="1:5" ht="22.5" customHeight="1">
      <c r="A57" s="998"/>
      <c r="B57" s="599" t="s">
        <v>673</v>
      </c>
      <c r="C57" s="592">
        <v>244</v>
      </c>
      <c r="D57" s="592">
        <v>44</v>
      </c>
      <c r="E57" s="592">
        <v>288</v>
      </c>
    </row>
    <row r="58" spans="1:5" ht="22.5" customHeight="1">
      <c r="A58" s="998"/>
      <c r="B58" s="599" t="s">
        <v>650</v>
      </c>
      <c r="C58" s="592">
        <v>87</v>
      </c>
      <c r="D58" s="592">
        <v>151</v>
      </c>
      <c r="E58" s="592">
        <v>238</v>
      </c>
    </row>
    <row r="59" spans="1:5" ht="22.5" customHeight="1">
      <c r="A59" s="998"/>
      <c r="B59" s="599" t="s">
        <v>658</v>
      </c>
      <c r="C59" s="592">
        <v>33</v>
      </c>
      <c r="D59" s="592">
        <v>158</v>
      </c>
      <c r="E59" s="592">
        <v>191</v>
      </c>
    </row>
    <row r="60" spans="1:5" ht="22.5" customHeight="1">
      <c r="A60" s="998"/>
      <c r="B60" s="599" t="s">
        <v>668</v>
      </c>
      <c r="C60" s="592">
        <v>60</v>
      </c>
      <c r="D60" s="592">
        <v>102</v>
      </c>
      <c r="E60" s="592">
        <v>162</v>
      </c>
    </row>
    <row r="61" spans="1:5" ht="22.5" customHeight="1">
      <c r="A61" s="998"/>
      <c r="B61" s="599" t="s">
        <v>678</v>
      </c>
      <c r="C61" s="592">
        <v>35</v>
      </c>
      <c r="D61" s="592">
        <v>65</v>
      </c>
      <c r="E61" s="592">
        <v>100</v>
      </c>
    </row>
    <row r="62" spans="1:5" ht="22.5" customHeight="1">
      <c r="A62" s="998"/>
      <c r="B62" s="599" t="s">
        <v>676</v>
      </c>
      <c r="C62" s="592">
        <v>43</v>
      </c>
      <c r="D62" s="592">
        <v>56</v>
      </c>
      <c r="E62" s="592">
        <v>99</v>
      </c>
    </row>
    <row r="63" spans="1:5" ht="22.5" customHeight="1">
      <c r="A63" s="998"/>
      <c r="B63" s="599" t="s">
        <v>667</v>
      </c>
      <c r="C63" s="592">
        <v>45</v>
      </c>
      <c r="D63" s="592">
        <v>49</v>
      </c>
      <c r="E63" s="592">
        <v>94</v>
      </c>
    </row>
    <row r="64" spans="1:5" ht="22.5" customHeight="1">
      <c r="A64" s="998"/>
      <c r="B64" s="599" t="s">
        <v>671</v>
      </c>
      <c r="C64" s="592">
        <v>30</v>
      </c>
      <c r="D64" s="592">
        <v>45</v>
      </c>
      <c r="E64" s="592">
        <v>75</v>
      </c>
    </row>
    <row r="65" spans="1:5" ht="22.5" customHeight="1">
      <c r="A65" s="998"/>
      <c r="B65" s="599" t="s">
        <v>680</v>
      </c>
      <c r="C65" s="592">
        <v>0</v>
      </c>
      <c r="D65" s="592">
        <v>71</v>
      </c>
      <c r="E65" s="592">
        <v>71</v>
      </c>
    </row>
    <row r="66" spans="1:5" ht="22.5" customHeight="1">
      <c r="A66" s="998"/>
      <c r="B66" s="599" t="s">
        <v>670</v>
      </c>
      <c r="C66" s="592">
        <v>30</v>
      </c>
      <c r="D66" s="592">
        <v>40</v>
      </c>
      <c r="E66" s="592">
        <v>70</v>
      </c>
    </row>
    <row r="67" spans="1:5" ht="22.5" customHeight="1">
      <c r="A67" s="999"/>
      <c r="B67" s="599" t="s">
        <v>663</v>
      </c>
      <c r="C67" s="592">
        <v>19</v>
      </c>
      <c r="D67" s="592">
        <v>9</v>
      </c>
      <c r="E67" s="592">
        <v>28</v>
      </c>
    </row>
    <row r="68" spans="1:5" ht="22.5" customHeight="1">
      <c r="A68" s="600" t="s">
        <v>571</v>
      </c>
      <c r="B68" s="601"/>
      <c r="C68" s="592">
        <v>632069</v>
      </c>
      <c r="D68" s="592">
        <v>894178</v>
      </c>
      <c r="E68" s="592">
        <v>1526247</v>
      </c>
    </row>
    <row r="69" spans="1:5" ht="22.5" customHeight="1">
      <c r="A69" s="597" t="s">
        <v>277</v>
      </c>
      <c r="B69" s="598"/>
      <c r="C69" s="592">
        <v>548423</v>
      </c>
      <c r="D69" s="592">
        <v>557689</v>
      </c>
      <c r="E69" s="592">
        <v>1106112</v>
      </c>
    </row>
    <row r="70" spans="1:5" ht="22.5" customHeight="1">
      <c r="A70" s="597" t="s">
        <v>572</v>
      </c>
      <c r="B70" s="598"/>
      <c r="C70" s="592">
        <v>533445</v>
      </c>
      <c r="D70" s="592">
        <v>344492</v>
      </c>
      <c r="E70" s="592">
        <v>877937</v>
      </c>
    </row>
    <row r="71" spans="1:5" s="152" customFormat="1" ht="22.5" customHeight="1">
      <c r="A71" s="597" t="s">
        <v>250</v>
      </c>
      <c r="B71" s="598"/>
      <c r="C71" s="592">
        <v>516273</v>
      </c>
      <c r="D71" s="592">
        <v>298594</v>
      </c>
      <c r="E71" s="592">
        <v>814867</v>
      </c>
    </row>
    <row r="72" spans="1:5" ht="22.5" customHeight="1">
      <c r="A72" s="597" t="s">
        <v>8</v>
      </c>
      <c r="B72" s="598"/>
      <c r="C72" s="592">
        <v>316115</v>
      </c>
      <c r="D72" s="592">
        <v>161897</v>
      </c>
      <c r="E72" s="592">
        <v>478012</v>
      </c>
    </row>
    <row r="73" spans="1:5" ht="22.5" customHeight="1">
      <c r="A73" s="597" t="s">
        <v>573</v>
      </c>
      <c r="B73" s="598"/>
      <c r="C73" s="592">
        <v>109159</v>
      </c>
      <c r="D73" s="592">
        <v>193950</v>
      </c>
      <c r="E73" s="592">
        <v>303109</v>
      </c>
    </row>
    <row r="74" spans="1:5" ht="22.5" customHeight="1">
      <c r="A74" s="597" t="s">
        <v>6</v>
      </c>
      <c r="B74" s="598"/>
      <c r="C74" s="592">
        <v>203536</v>
      </c>
      <c r="D74" s="592">
        <v>86860</v>
      </c>
      <c r="E74" s="592">
        <v>290396</v>
      </c>
    </row>
    <row r="75" spans="1:5" ht="22.5" customHeight="1">
      <c r="A75" s="597" t="s">
        <v>574</v>
      </c>
      <c r="B75" s="598"/>
      <c r="C75" s="592">
        <v>74198</v>
      </c>
      <c r="D75" s="592">
        <v>92992</v>
      </c>
      <c r="E75" s="592">
        <v>167190</v>
      </c>
    </row>
    <row r="76" spans="1:5" ht="22.5" customHeight="1">
      <c r="A76" s="597" t="s">
        <v>279</v>
      </c>
      <c r="B76" s="598"/>
      <c r="C76" s="592">
        <v>7053</v>
      </c>
      <c r="D76" s="592">
        <v>67089</v>
      </c>
      <c r="E76" s="592">
        <v>74142</v>
      </c>
    </row>
    <row r="77" spans="1:5" ht="22.5" customHeight="1">
      <c r="A77" s="597" t="s">
        <v>576</v>
      </c>
      <c r="B77" s="598"/>
      <c r="C77" s="592">
        <v>44907</v>
      </c>
      <c r="D77" s="592">
        <v>19190</v>
      </c>
      <c r="E77" s="592">
        <v>64097</v>
      </c>
    </row>
    <row r="78" spans="1:5" ht="22.5" customHeight="1">
      <c r="A78" s="597" t="s">
        <v>251</v>
      </c>
      <c r="B78" s="598"/>
      <c r="C78" s="592">
        <v>35811</v>
      </c>
      <c r="D78" s="592">
        <v>25476</v>
      </c>
      <c r="E78" s="592">
        <v>61287</v>
      </c>
    </row>
    <row r="79" spans="1:5" ht="22.5" customHeight="1">
      <c r="A79" s="597" t="s">
        <v>577</v>
      </c>
      <c r="B79" s="598"/>
      <c r="C79" s="592">
        <v>29061</v>
      </c>
      <c r="D79" s="592">
        <v>21257</v>
      </c>
      <c r="E79" s="592">
        <v>50318</v>
      </c>
    </row>
    <row r="80" spans="1:5" ht="22.5" customHeight="1">
      <c r="A80" s="597" t="s">
        <v>246</v>
      </c>
      <c r="B80" s="598"/>
      <c r="C80" s="592">
        <v>23822</v>
      </c>
      <c r="D80" s="592">
        <v>24742</v>
      </c>
      <c r="E80" s="592">
        <v>48564</v>
      </c>
    </row>
    <row r="81" spans="1:5" ht="22.5" customHeight="1">
      <c r="A81" s="597" t="s">
        <v>575</v>
      </c>
      <c r="B81" s="598"/>
      <c r="C81" s="592">
        <v>22037</v>
      </c>
      <c r="D81" s="592">
        <v>26025</v>
      </c>
      <c r="E81" s="592">
        <v>48062</v>
      </c>
    </row>
    <row r="82" spans="1:5" ht="22.5" customHeight="1">
      <c r="A82" s="597" t="s">
        <v>582</v>
      </c>
      <c r="B82" s="598"/>
      <c r="C82" s="592">
        <v>23149</v>
      </c>
      <c r="D82" s="592">
        <v>20408</v>
      </c>
      <c r="E82" s="592">
        <v>43557</v>
      </c>
    </row>
    <row r="83" spans="1:5" ht="22.5" customHeight="1">
      <c r="A83" s="597" t="s">
        <v>578</v>
      </c>
      <c r="B83" s="598"/>
      <c r="C83" s="592">
        <v>12430</v>
      </c>
      <c r="D83" s="592">
        <v>28156</v>
      </c>
      <c r="E83" s="592">
        <v>40586</v>
      </c>
    </row>
    <row r="84" spans="1:5" ht="22.5" customHeight="1">
      <c r="A84" s="597" t="s">
        <v>248</v>
      </c>
      <c r="B84" s="598"/>
      <c r="C84" s="592">
        <v>16179</v>
      </c>
      <c r="D84" s="592">
        <v>16416</v>
      </c>
      <c r="E84" s="592">
        <v>32595</v>
      </c>
    </row>
    <row r="85" spans="1:5" ht="22.5" customHeight="1">
      <c r="A85" s="597" t="s">
        <v>270</v>
      </c>
      <c r="B85" s="598"/>
      <c r="C85" s="592">
        <v>15457</v>
      </c>
      <c r="D85" s="592">
        <v>16416</v>
      </c>
      <c r="E85" s="592">
        <v>31873</v>
      </c>
    </row>
    <row r="86" spans="1:5" ht="22.5" customHeight="1">
      <c r="A86" s="597" t="s">
        <v>581</v>
      </c>
      <c r="B86" s="598"/>
      <c r="C86" s="592">
        <v>13971</v>
      </c>
      <c r="D86" s="592">
        <v>9218</v>
      </c>
      <c r="E86" s="592">
        <v>23189</v>
      </c>
    </row>
    <row r="87" spans="1:5" ht="22.5" customHeight="1">
      <c r="A87" s="597" t="s">
        <v>583</v>
      </c>
      <c r="B87" s="598"/>
      <c r="C87" s="592">
        <v>17024</v>
      </c>
      <c r="D87" s="592">
        <v>4706</v>
      </c>
      <c r="E87" s="592">
        <v>21730</v>
      </c>
    </row>
    <row r="88" spans="1:5" ht="22.5" customHeight="1">
      <c r="A88" s="597" t="s">
        <v>580</v>
      </c>
      <c r="B88" s="598"/>
      <c r="C88" s="592">
        <v>3773</v>
      </c>
      <c r="D88" s="592">
        <v>14303</v>
      </c>
      <c r="E88" s="592">
        <v>18076</v>
      </c>
    </row>
    <row r="89" spans="1:5" ht="22.5" customHeight="1">
      <c r="A89" s="597" t="s">
        <v>579</v>
      </c>
      <c r="B89" s="598"/>
      <c r="C89" s="592">
        <v>4966</v>
      </c>
      <c r="D89" s="592">
        <v>9457</v>
      </c>
      <c r="E89" s="592">
        <v>14423</v>
      </c>
    </row>
    <row r="90" spans="1:5" ht="22.5" customHeight="1">
      <c r="A90" s="597" t="s">
        <v>584</v>
      </c>
      <c r="B90" s="598"/>
      <c r="C90" s="592">
        <v>3013</v>
      </c>
      <c r="D90" s="592">
        <v>5026</v>
      </c>
      <c r="E90" s="592">
        <v>8039</v>
      </c>
    </row>
    <row r="91" spans="1:5" ht="22.5" customHeight="1">
      <c r="A91" s="597" t="s">
        <v>585</v>
      </c>
      <c r="B91" s="598"/>
      <c r="C91" s="592">
        <v>4038</v>
      </c>
      <c r="D91" s="592">
        <v>3660</v>
      </c>
      <c r="E91" s="592">
        <v>7698</v>
      </c>
    </row>
    <row r="92" spans="1:5" ht="22.5" customHeight="1">
      <c r="A92" s="597" t="s">
        <v>586</v>
      </c>
      <c r="B92" s="598"/>
      <c r="C92" s="592">
        <v>2312</v>
      </c>
      <c r="D92" s="592">
        <v>2611</v>
      </c>
      <c r="E92" s="592">
        <v>4923</v>
      </c>
    </row>
    <row r="93" spans="1:5" ht="22.5" customHeight="1">
      <c r="A93" s="597" t="s">
        <v>591</v>
      </c>
      <c r="B93" s="598"/>
      <c r="C93" s="592">
        <v>815</v>
      </c>
      <c r="D93" s="592">
        <v>1103</v>
      </c>
      <c r="E93" s="592">
        <v>1918</v>
      </c>
    </row>
    <row r="94" spans="1:5" ht="22.5" customHeight="1">
      <c r="A94" s="597" t="s">
        <v>590</v>
      </c>
      <c r="B94" s="598"/>
      <c r="C94" s="592">
        <v>1252</v>
      </c>
      <c r="D94" s="592">
        <v>254</v>
      </c>
      <c r="E94" s="592">
        <v>1506</v>
      </c>
    </row>
    <row r="95" spans="1:5" ht="22.5" customHeight="1">
      <c r="A95" s="597" t="s">
        <v>587</v>
      </c>
      <c r="B95" s="598"/>
      <c r="C95" s="592">
        <v>31</v>
      </c>
      <c r="D95" s="592">
        <v>1449</v>
      </c>
      <c r="E95" s="592">
        <v>1480</v>
      </c>
    </row>
    <row r="96" spans="1:5" ht="22.5" customHeight="1">
      <c r="A96" s="597" t="s">
        <v>588</v>
      </c>
      <c r="B96" s="598"/>
      <c r="C96" s="592">
        <v>441</v>
      </c>
      <c r="D96" s="592">
        <v>765</v>
      </c>
      <c r="E96" s="592">
        <v>1206</v>
      </c>
    </row>
    <row r="97" spans="1:5" ht="22.5" customHeight="1">
      <c r="A97" s="597" t="s">
        <v>589</v>
      </c>
      <c r="B97" s="598"/>
      <c r="C97" s="592">
        <v>780</v>
      </c>
      <c r="D97" s="592">
        <v>229</v>
      </c>
      <c r="E97" s="592">
        <v>1009</v>
      </c>
    </row>
    <row r="98" spans="1:5" ht="22.5" customHeight="1">
      <c r="A98" s="597" t="s">
        <v>592</v>
      </c>
      <c r="B98" s="598"/>
      <c r="C98" s="592">
        <v>104</v>
      </c>
      <c r="D98" s="592">
        <v>299</v>
      </c>
      <c r="E98" s="592">
        <v>403</v>
      </c>
    </row>
    <row r="99" spans="1:5" ht="22.5" customHeight="1">
      <c r="A99" s="600" t="s">
        <v>60</v>
      </c>
      <c r="B99" s="602"/>
      <c r="C99" s="603">
        <v>15969571</v>
      </c>
      <c r="D99" s="603">
        <v>15077414</v>
      </c>
      <c r="E99" s="603">
        <v>31046985</v>
      </c>
    </row>
  </sheetData>
  <mergeCells count="5">
    <mergeCell ref="A1:E1"/>
    <mergeCell ref="A2:B2"/>
    <mergeCell ref="A7:A26"/>
    <mergeCell ref="A29:A50"/>
    <mergeCell ref="A51:A67"/>
  </mergeCells>
  <pageMargins left="0.51181102362204722" right="0.51181102362204722" top="0.39370078740157483" bottom="0.52" header="0.31496062992125984" footer="0.31496062992125984"/>
  <pageSetup paperSize="9" scale="68" firstPageNumber="44" orientation="portrait" useFirstPageNumber="1" r:id="rId1"/>
  <headerFooter>
    <oddFooter>&amp;LAISHE 2020-21&amp;CT-12</oddFooter>
  </headerFooter>
  <rowBreaks count="1" manualBreakCount="1">
    <brk id="50" max="4" man="1"/>
  </row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B050"/>
  </sheetPr>
  <dimension ref="A1:K265"/>
  <sheetViews>
    <sheetView view="pageBreakPreview" zoomScale="85" zoomScaleSheetLayoutView="85" workbookViewId="0">
      <pane ySplit="4" topLeftCell="A260" activePane="bottomLeft" state="frozen"/>
      <selection activeCell="H31" sqref="H31"/>
      <selection pane="bottomLeft" activeCell="K265" sqref="K265"/>
    </sheetView>
  </sheetViews>
  <sheetFormatPr defaultColWidth="9.1796875" defaultRowHeight="14"/>
  <cols>
    <col min="1" max="1" width="30.54296875" style="156" customWidth="1"/>
    <col min="2" max="2" width="29.453125" style="142" customWidth="1"/>
    <col min="3" max="3" width="8.81640625" style="138" customWidth="1"/>
    <col min="4" max="4" width="10.453125" style="138" customWidth="1"/>
    <col min="5" max="5" width="9" style="138" customWidth="1"/>
    <col min="6" max="6" width="10.1796875" style="138" customWidth="1"/>
    <col min="7" max="7" width="10.453125" style="138" customWidth="1"/>
    <col min="8" max="8" width="7.7265625" style="138" customWidth="1"/>
    <col min="9" max="9" width="10.26953125" style="138" customWidth="1"/>
    <col min="10" max="10" width="10.453125" style="138" customWidth="1"/>
    <col min="11" max="11" width="10.26953125" style="138" customWidth="1"/>
    <col min="12" max="16384" width="9.1796875" style="138"/>
  </cols>
  <sheetData>
    <row r="1" spans="1:11" ht="28.5" customHeight="1">
      <c r="A1" s="1012" t="s">
        <v>1025</v>
      </c>
      <c r="B1" s="1012"/>
      <c r="C1" s="1012"/>
      <c r="D1" s="1012"/>
      <c r="E1" s="1012"/>
      <c r="F1" s="1012"/>
      <c r="G1" s="1012"/>
      <c r="H1" s="1012"/>
      <c r="I1" s="1012"/>
      <c r="J1" s="1012"/>
      <c r="K1" s="1012"/>
    </row>
    <row r="2" spans="1:11" s="142" customFormat="1" ht="27" customHeight="1">
      <c r="A2" s="272" t="s">
        <v>539</v>
      </c>
      <c r="B2" s="272"/>
      <c r="C2" s="1013" t="s">
        <v>89</v>
      </c>
      <c r="D2" s="1014"/>
      <c r="E2" s="1015"/>
      <c r="F2" s="1013" t="s">
        <v>90</v>
      </c>
      <c r="G2" s="1014"/>
      <c r="H2" s="1015"/>
      <c r="I2" s="1013" t="s">
        <v>85</v>
      </c>
      <c r="J2" s="1014"/>
      <c r="K2" s="1015"/>
    </row>
    <row r="3" spans="1:11" s="142" customFormat="1" ht="16.5" customHeight="1">
      <c r="A3" s="273"/>
      <c r="B3" s="273"/>
      <c r="C3" s="579" t="s">
        <v>87</v>
      </c>
      <c r="D3" s="579" t="s">
        <v>88</v>
      </c>
      <c r="E3" s="579" t="s">
        <v>12</v>
      </c>
      <c r="F3" s="579" t="s">
        <v>87</v>
      </c>
      <c r="G3" s="579" t="s">
        <v>88</v>
      </c>
      <c r="H3" s="579" t="s">
        <v>12</v>
      </c>
      <c r="I3" s="579" t="s">
        <v>87</v>
      </c>
      <c r="J3" s="579" t="s">
        <v>88</v>
      </c>
      <c r="K3" s="579" t="s">
        <v>12</v>
      </c>
    </row>
    <row r="4" spans="1:11" s="493" customFormat="1" ht="16.5" customHeight="1">
      <c r="A4" s="494">
        <v>1</v>
      </c>
      <c r="B4" s="494">
        <v>2</v>
      </c>
      <c r="C4" s="494">
        <v>3</v>
      </c>
      <c r="D4" s="494">
        <v>4</v>
      </c>
      <c r="E4" s="494">
        <v>5</v>
      </c>
      <c r="F4" s="494">
        <v>6</v>
      </c>
      <c r="G4" s="494">
        <v>7</v>
      </c>
      <c r="H4" s="494">
        <v>8</v>
      </c>
      <c r="I4" s="494">
        <v>9</v>
      </c>
      <c r="J4" s="494">
        <v>10</v>
      </c>
      <c r="K4" s="494">
        <v>11</v>
      </c>
    </row>
    <row r="5" spans="1:11">
      <c r="A5" s="1003" t="s">
        <v>6</v>
      </c>
      <c r="B5" s="880" t="s">
        <v>6</v>
      </c>
      <c r="C5" s="148">
        <v>3246</v>
      </c>
      <c r="D5" s="148">
        <v>2456</v>
      </c>
      <c r="E5" s="148">
        <v>5702</v>
      </c>
      <c r="F5" s="148">
        <v>17</v>
      </c>
      <c r="G5" s="148">
        <v>3</v>
      </c>
      <c r="H5" s="148">
        <v>20</v>
      </c>
      <c r="I5" s="148">
        <v>17198</v>
      </c>
      <c r="J5" s="148">
        <v>9527</v>
      </c>
      <c r="K5" s="148">
        <v>26725</v>
      </c>
    </row>
    <row r="6" spans="1:11">
      <c r="A6" s="1004"/>
      <c r="B6" s="880" t="s">
        <v>593</v>
      </c>
      <c r="C6" s="148">
        <v>337</v>
      </c>
      <c r="D6" s="148">
        <v>368</v>
      </c>
      <c r="E6" s="148">
        <v>705</v>
      </c>
      <c r="F6" s="148">
        <v>8</v>
      </c>
      <c r="G6" s="148">
        <v>0</v>
      </c>
      <c r="H6" s="148">
        <v>8</v>
      </c>
      <c r="I6" s="148">
        <v>3104</v>
      </c>
      <c r="J6" s="148">
        <v>1842</v>
      </c>
      <c r="K6" s="148">
        <v>4946</v>
      </c>
    </row>
    <row r="7" spans="1:11">
      <c r="A7" s="1004"/>
      <c r="B7" s="880" t="s">
        <v>594</v>
      </c>
      <c r="C7" s="148">
        <v>188</v>
      </c>
      <c r="D7" s="148">
        <v>132</v>
      </c>
      <c r="E7" s="148">
        <v>320</v>
      </c>
      <c r="F7" s="148">
        <v>1</v>
      </c>
      <c r="G7" s="148">
        <v>0</v>
      </c>
      <c r="H7" s="148">
        <v>1</v>
      </c>
      <c r="I7" s="148">
        <v>450</v>
      </c>
      <c r="J7" s="148">
        <v>352</v>
      </c>
      <c r="K7" s="148">
        <v>802</v>
      </c>
    </row>
    <row r="8" spans="1:11">
      <c r="A8" s="1004"/>
      <c r="B8" s="881" t="s">
        <v>595</v>
      </c>
      <c r="C8" s="148">
        <v>9</v>
      </c>
      <c r="D8" s="148">
        <v>15</v>
      </c>
      <c r="E8" s="148">
        <v>24</v>
      </c>
      <c r="F8" s="148"/>
      <c r="G8" s="148"/>
      <c r="H8" s="148"/>
      <c r="I8" s="148">
        <v>33</v>
      </c>
      <c r="J8" s="148">
        <v>64</v>
      </c>
      <c r="K8" s="148">
        <v>97</v>
      </c>
    </row>
    <row r="9" spans="1:11">
      <c r="A9" s="496" t="s">
        <v>596</v>
      </c>
      <c r="B9" s="882"/>
      <c r="C9" s="149">
        <v>3780</v>
      </c>
      <c r="D9" s="149">
        <v>2971</v>
      </c>
      <c r="E9" s="149">
        <v>6751</v>
      </c>
      <c r="F9" s="149">
        <v>26</v>
      </c>
      <c r="G9" s="149">
        <v>3</v>
      </c>
      <c r="H9" s="149">
        <v>29</v>
      </c>
      <c r="I9" s="149">
        <v>20785</v>
      </c>
      <c r="J9" s="149">
        <v>11785</v>
      </c>
      <c r="K9" s="149">
        <v>32570</v>
      </c>
    </row>
    <row r="10" spans="1:11">
      <c r="A10" s="495" t="s">
        <v>575</v>
      </c>
      <c r="B10" s="883"/>
      <c r="C10" s="148">
        <v>1954</v>
      </c>
      <c r="D10" s="148">
        <v>2030</v>
      </c>
      <c r="E10" s="148">
        <v>3984</v>
      </c>
      <c r="F10" s="148">
        <v>394</v>
      </c>
      <c r="G10" s="148">
        <v>405</v>
      </c>
      <c r="H10" s="148">
        <v>799</v>
      </c>
      <c r="I10" s="148">
        <v>45401</v>
      </c>
      <c r="J10" s="148">
        <v>66174</v>
      </c>
      <c r="K10" s="148">
        <v>111575</v>
      </c>
    </row>
    <row r="11" spans="1:11" ht="15" customHeight="1">
      <c r="A11" s="1004" t="s">
        <v>257</v>
      </c>
      <c r="B11" s="884" t="s">
        <v>257</v>
      </c>
      <c r="C11" s="148">
        <v>2711</v>
      </c>
      <c r="D11" s="148">
        <v>3762</v>
      </c>
      <c r="E11" s="148">
        <v>6473</v>
      </c>
      <c r="F11" s="148">
        <v>359</v>
      </c>
      <c r="G11" s="148">
        <v>586</v>
      </c>
      <c r="H11" s="148">
        <v>945</v>
      </c>
      <c r="I11" s="148">
        <v>179784</v>
      </c>
      <c r="J11" s="148">
        <v>356415</v>
      </c>
      <c r="K11" s="148">
        <v>536199</v>
      </c>
    </row>
    <row r="12" spans="1:11" ht="15" customHeight="1">
      <c r="A12" s="1004"/>
      <c r="B12" s="885" t="s">
        <v>597</v>
      </c>
      <c r="C12" s="148">
        <v>3</v>
      </c>
      <c r="D12" s="148">
        <v>0</v>
      </c>
      <c r="E12" s="148">
        <v>3</v>
      </c>
      <c r="F12" s="148">
        <v>0</v>
      </c>
      <c r="G12" s="148">
        <v>0</v>
      </c>
      <c r="H12" s="148">
        <v>0</v>
      </c>
      <c r="I12" s="148">
        <v>29</v>
      </c>
      <c r="J12" s="148">
        <v>332</v>
      </c>
      <c r="K12" s="148">
        <v>361</v>
      </c>
    </row>
    <row r="13" spans="1:11">
      <c r="A13" s="495" t="s">
        <v>598</v>
      </c>
      <c r="B13" s="886"/>
      <c r="C13" s="150">
        <v>2714</v>
      </c>
      <c r="D13" s="150">
        <v>3762</v>
      </c>
      <c r="E13" s="150">
        <v>6476</v>
      </c>
      <c r="F13" s="150">
        <v>359</v>
      </c>
      <c r="G13" s="150">
        <v>586</v>
      </c>
      <c r="H13" s="150">
        <v>945</v>
      </c>
      <c r="I13" s="150">
        <v>179813</v>
      </c>
      <c r="J13" s="150">
        <v>356747</v>
      </c>
      <c r="K13" s="150">
        <v>536560</v>
      </c>
    </row>
    <row r="14" spans="1:11">
      <c r="A14" s="497" t="s">
        <v>588</v>
      </c>
      <c r="B14" s="887"/>
      <c r="C14" s="148">
        <v>40</v>
      </c>
      <c r="D14" s="148">
        <v>27</v>
      </c>
      <c r="E14" s="148">
        <v>67</v>
      </c>
      <c r="F14" s="148">
        <v>0</v>
      </c>
      <c r="G14" s="148">
        <v>1</v>
      </c>
      <c r="H14" s="148">
        <v>1</v>
      </c>
      <c r="I14" s="148">
        <v>819</v>
      </c>
      <c r="J14" s="148">
        <v>828</v>
      </c>
      <c r="K14" s="148">
        <v>1647</v>
      </c>
    </row>
    <row r="15" spans="1:11">
      <c r="A15" s="495" t="s">
        <v>584</v>
      </c>
      <c r="B15" s="886"/>
      <c r="C15" s="148">
        <v>237</v>
      </c>
      <c r="D15" s="148">
        <v>259</v>
      </c>
      <c r="E15" s="148">
        <v>496</v>
      </c>
      <c r="F15" s="148">
        <v>70</v>
      </c>
      <c r="G15" s="148">
        <v>62</v>
      </c>
      <c r="H15" s="148">
        <v>132</v>
      </c>
      <c r="I15" s="148">
        <v>5041</v>
      </c>
      <c r="J15" s="148">
        <v>8482</v>
      </c>
      <c r="K15" s="148">
        <v>13523</v>
      </c>
    </row>
    <row r="16" spans="1:11">
      <c r="A16" s="495" t="s">
        <v>589</v>
      </c>
      <c r="B16" s="886"/>
      <c r="C16" s="148">
        <v>60</v>
      </c>
      <c r="D16" s="148">
        <v>3</v>
      </c>
      <c r="E16" s="148">
        <v>63</v>
      </c>
      <c r="F16" s="148">
        <v>135</v>
      </c>
      <c r="G16" s="148">
        <v>3</v>
      </c>
      <c r="H16" s="148">
        <v>138</v>
      </c>
      <c r="I16" s="148">
        <v>1108</v>
      </c>
      <c r="J16" s="148">
        <v>519</v>
      </c>
      <c r="K16" s="148">
        <v>1627</v>
      </c>
    </row>
    <row r="17" spans="1:11">
      <c r="A17" s="1003" t="s">
        <v>578</v>
      </c>
      <c r="B17" s="495" t="s">
        <v>578</v>
      </c>
      <c r="C17" s="148">
        <v>248</v>
      </c>
      <c r="D17" s="148">
        <v>161</v>
      </c>
      <c r="E17" s="148">
        <v>409</v>
      </c>
      <c r="F17" s="148">
        <v>0</v>
      </c>
      <c r="G17" s="148">
        <v>0</v>
      </c>
      <c r="H17" s="148">
        <v>0</v>
      </c>
      <c r="I17" s="148">
        <v>1635</v>
      </c>
      <c r="J17" s="148">
        <v>2031</v>
      </c>
      <c r="K17" s="148">
        <v>3666</v>
      </c>
    </row>
    <row r="18" spans="1:11" ht="14.25" customHeight="1">
      <c r="A18" s="1004"/>
      <c r="B18" s="880" t="s">
        <v>599</v>
      </c>
      <c r="C18" s="148"/>
      <c r="D18" s="148"/>
      <c r="E18" s="148"/>
      <c r="F18" s="148"/>
      <c r="G18" s="148"/>
      <c r="H18" s="148"/>
      <c r="I18" s="148">
        <v>358</v>
      </c>
      <c r="J18" s="148">
        <v>626</v>
      </c>
      <c r="K18" s="148">
        <v>984</v>
      </c>
    </row>
    <row r="19" spans="1:11">
      <c r="A19" s="1004"/>
      <c r="B19" s="880" t="s">
        <v>901</v>
      </c>
      <c r="C19" s="148">
        <v>0</v>
      </c>
      <c r="D19" s="148">
        <v>3</v>
      </c>
      <c r="E19" s="148">
        <v>3</v>
      </c>
      <c r="F19" s="148">
        <v>2</v>
      </c>
      <c r="G19" s="148">
        <v>0</v>
      </c>
      <c r="H19" s="148">
        <v>2</v>
      </c>
      <c r="I19" s="148">
        <v>147</v>
      </c>
      <c r="J19" s="148">
        <v>157</v>
      </c>
      <c r="K19" s="148">
        <v>304</v>
      </c>
    </row>
    <row r="20" spans="1:11" ht="14.25" customHeight="1">
      <c r="A20" s="1004"/>
      <c r="B20" s="880" t="s">
        <v>920</v>
      </c>
      <c r="C20" s="148"/>
      <c r="D20" s="148"/>
      <c r="E20" s="148"/>
      <c r="F20" s="148"/>
      <c r="G20" s="148"/>
      <c r="H20" s="148"/>
      <c r="I20" s="148">
        <v>1</v>
      </c>
      <c r="J20" s="148">
        <v>1</v>
      </c>
      <c r="K20" s="148">
        <v>2</v>
      </c>
    </row>
    <row r="21" spans="1:11" ht="28">
      <c r="A21" s="1005"/>
      <c r="B21" s="880" t="s">
        <v>921</v>
      </c>
      <c r="C21" s="148">
        <v>12</v>
      </c>
      <c r="D21" s="148">
        <v>19</v>
      </c>
      <c r="E21" s="148">
        <v>31</v>
      </c>
      <c r="F21" s="148"/>
      <c r="G21" s="148"/>
      <c r="H21" s="148"/>
      <c r="I21" s="148"/>
      <c r="J21" s="148"/>
      <c r="K21" s="148"/>
    </row>
    <row r="22" spans="1:11">
      <c r="A22" s="495" t="s">
        <v>600</v>
      </c>
      <c r="B22" s="886"/>
      <c r="C22" s="150">
        <v>260</v>
      </c>
      <c r="D22" s="150">
        <v>183</v>
      </c>
      <c r="E22" s="150">
        <v>443</v>
      </c>
      <c r="F22" s="150">
        <v>2</v>
      </c>
      <c r="G22" s="150">
        <v>0</v>
      </c>
      <c r="H22" s="150">
        <v>2</v>
      </c>
      <c r="I22" s="150">
        <v>2141</v>
      </c>
      <c r="J22" s="150">
        <v>2815</v>
      </c>
      <c r="K22" s="150">
        <v>4956</v>
      </c>
    </row>
    <row r="23" spans="1:11">
      <c r="A23" s="495" t="s">
        <v>922</v>
      </c>
      <c r="B23" s="886"/>
      <c r="C23" s="148">
        <v>2</v>
      </c>
      <c r="D23" s="148">
        <v>2</v>
      </c>
      <c r="E23" s="148">
        <v>4</v>
      </c>
      <c r="F23" s="148">
        <v>6</v>
      </c>
      <c r="G23" s="148">
        <v>18</v>
      </c>
      <c r="H23" s="148">
        <v>24</v>
      </c>
      <c r="I23" s="148">
        <v>134</v>
      </c>
      <c r="J23" s="148">
        <v>170</v>
      </c>
      <c r="K23" s="148">
        <v>304</v>
      </c>
    </row>
    <row r="24" spans="1:11">
      <c r="A24" s="495" t="s">
        <v>245</v>
      </c>
      <c r="B24" s="886"/>
      <c r="C24" s="148">
        <v>2538</v>
      </c>
      <c r="D24" s="148">
        <v>3233</v>
      </c>
      <c r="E24" s="148">
        <v>5771</v>
      </c>
      <c r="F24" s="148">
        <v>275</v>
      </c>
      <c r="G24" s="148">
        <v>327</v>
      </c>
      <c r="H24" s="148">
        <v>602</v>
      </c>
      <c r="I24" s="148">
        <v>73367</v>
      </c>
      <c r="J24" s="148">
        <v>133027</v>
      </c>
      <c r="K24" s="148">
        <v>206394</v>
      </c>
    </row>
    <row r="25" spans="1:11" ht="15" customHeight="1">
      <c r="A25" s="1003" t="s">
        <v>260</v>
      </c>
      <c r="B25" s="880" t="s">
        <v>543</v>
      </c>
      <c r="C25" s="148">
        <v>3808</v>
      </c>
      <c r="D25" s="148">
        <v>1385</v>
      </c>
      <c r="E25" s="148">
        <v>5193</v>
      </c>
      <c r="F25" s="148"/>
      <c r="G25" s="148"/>
      <c r="H25" s="148"/>
      <c r="I25" s="148">
        <v>26102</v>
      </c>
      <c r="J25" s="148">
        <v>10210</v>
      </c>
      <c r="K25" s="148">
        <v>36312</v>
      </c>
    </row>
    <row r="26" spans="1:11" ht="14.25" customHeight="1">
      <c r="A26" s="1004"/>
      <c r="B26" s="880" t="s">
        <v>540</v>
      </c>
      <c r="C26" s="148">
        <v>4394</v>
      </c>
      <c r="D26" s="148">
        <v>3204</v>
      </c>
      <c r="E26" s="148">
        <v>7598</v>
      </c>
      <c r="F26" s="148"/>
      <c r="G26" s="148"/>
      <c r="H26" s="148"/>
      <c r="I26" s="148">
        <v>15261</v>
      </c>
      <c r="J26" s="148">
        <v>14072</v>
      </c>
      <c r="K26" s="148">
        <v>29333</v>
      </c>
    </row>
    <row r="27" spans="1:11" ht="14.25" customHeight="1">
      <c r="A27" s="1004"/>
      <c r="B27" s="888" t="s">
        <v>541</v>
      </c>
      <c r="C27" s="151">
        <v>6685</v>
      </c>
      <c r="D27" s="151">
        <v>676</v>
      </c>
      <c r="E27" s="151">
        <v>7361</v>
      </c>
      <c r="F27" s="151"/>
      <c r="G27" s="151"/>
      <c r="H27" s="151"/>
      <c r="I27" s="151">
        <v>23281</v>
      </c>
      <c r="J27" s="151">
        <v>2841</v>
      </c>
      <c r="K27" s="151">
        <v>26122</v>
      </c>
    </row>
    <row r="28" spans="1:11" ht="14.25" customHeight="1">
      <c r="A28" s="1004"/>
      <c r="B28" s="888" t="s">
        <v>542</v>
      </c>
      <c r="C28" s="148">
        <v>3411</v>
      </c>
      <c r="D28" s="148">
        <v>2223</v>
      </c>
      <c r="E28" s="148">
        <v>5634</v>
      </c>
      <c r="F28" s="148"/>
      <c r="G28" s="148"/>
      <c r="H28" s="148"/>
      <c r="I28" s="148">
        <v>11462</v>
      </c>
      <c r="J28" s="148">
        <v>10793</v>
      </c>
      <c r="K28" s="148">
        <v>22255</v>
      </c>
    </row>
    <row r="29" spans="1:11" ht="14.25" customHeight="1">
      <c r="A29" s="1004"/>
      <c r="B29" s="889" t="s">
        <v>545</v>
      </c>
      <c r="C29" s="148">
        <v>9183</v>
      </c>
      <c r="D29" s="148">
        <v>6088</v>
      </c>
      <c r="E29" s="148">
        <v>15271</v>
      </c>
      <c r="F29" s="148">
        <v>9</v>
      </c>
      <c r="G29" s="148">
        <v>9</v>
      </c>
      <c r="H29" s="148">
        <v>18</v>
      </c>
      <c r="I29" s="148">
        <v>14202</v>
      </c>
      <c r="J29" s="148">
        <v>6424</v>
      </c>
      <c r="K29" s="148">
        <v>20626</v>
      </c>
    </row>
    <row r="30" spans="1:11" ht="14.25" customHeight="1">
      <c r="A30" s="1004"/>
      <c r="B30" s="889" t="s">
        <v>544</v>
      </c>
      <c r="C30" s="148">
        <v>3974</v>
      </c>
      <c r="D30" s="148">
        <v>1454</v>
      </c>
      <c r="E30" s="148">
        <v>5428</v>
      </c>
      <c r="F30" s="148">
        <v>0</v>
      </c>
      <c r="G30" s="148">
        <v>0</v>
      </c>
      <c r="H30" s="148">
        <v>0</v>
      </c>
      <c r="I30" s="148">
        <v>12649</v>
      </c>
      <c r="J30" s="148">
        <v>5866</v>
      </c>
      <c r="K30" s="148">
        <v>18515</v>
      </c>
    </row>
    <row r="31" spans="1:11" ht="14.25" customHeight="1">
      <c r="A31" s="1004"/>
      <c r="B31" s="888" t="s">
        <v>546</v>
      </c>
      <c r="C31" s="148">
        <v>2657</v>
      </c>
      <c r="D31" s="148">
        <v>2191</v>
      </c>
      <c r="E31" s="148">
        <v>4848</v>
      </c>
      <c r="F31" s="148"/>
      <c r="G31" s="148"/>
      <c r="H31" s="148"/>
      <c r="I31" s="148">
        <v>5815</v>
      </c>
      <c r="J31" s="148">
        <v>2801</v>
      </c>
      <c r="K31" s="148">
        <v>8616</v>
      </c>
    </row>
    <row r="32" spans="1:11" ht="14.25" customHeight="1">
      <c r="A32" s="1004"/>
      <c r="B32" s="888" t="s">
        <v>255</v>
      </c>
      <c r="C32" s="148">
        <v>210</v>
      </c>
      <c r="D32" s="148">
        <v>229</v>
      </c>
      <c r="E32" s="148">
        <v>439</v>
      </c>
      <c r="F32" s="148"/>
      <c r="G32" s="148"/>
      <c r="H32" s="148"/>
      <c r="I32" s="148">
        <v>1559</v>
      </c>
      <c r="J32" s="148">
        <v>2228</v>
      </c>
      <c r="K32" s="148">
        <v>3787</v>
      </c>
    </row>
    <row r="33" spans="1:11" ht="14.25" customHeight="1">
      <c r="A33" s="1004"/>
      <c r="B33" s="888" t="s">
        <v>547</v>
      </c>
      <c r="C33" s="148">
        <v>1139</v>
      </c>
      <c r="D33" s="148">
        <v>637</v>
      </c>
      <c r="E33" s="148">
        <v>1776</v>
      </c>
      <c r="F33" s="148"/>
      <c r="G33" s="148"/>
      <c r="H33" s="148"/>
      <c r="I33" s="148">
        <v>2176</v>
      </c>
      <c r="J33" s="148">
        <v>1012</v>
      </c>
      <c r="K33" s="148">
        <v>3188</v>
      </c>
    </row>
    <row r="34" spans="1:11">
      <c r="A34" s="1004"/>
      <c r="B34" s="889" t="s">
        <v>551</v>
      </c>
      <c r="C34" s="148">
        <v>834</v>
      </c>
      <c r="D34" s="148">
        <v>229</v>
      </c>
      <c r="E34" s="148">
        <v>1063</v>
      </c>
      <c r="F34" s="148"/>
      <c r="G34" s="148"/>
      <c r="H34" s="148"/>
      <c r="I34" s="148">
        <v>1312</v>
      </c>
      <c r="J34" s="148">
        <v>267</v>
      </c>
      <c r="K34" s="150">
        <v>1579</v>
      </c>
    </row>
    <row r="35" spans="1:11" ht="14.25" customHeight="1">
      <c r="A35" s="1004"/>
      <c r="B35" s="889" t="s">
        <v>555</v>
      </c>
      <c r="C35" s="148">
        <v>11</v>
      </c>
      <c r="D35" s="148">
        <v>12</v>
      </c>
      <c r="E35" s="148">
        <v>23</v>
      </c>
      <c r="F35" s="148"/>
      <c r="G35" s="148"/>
      <c r="H35" s="148"/>
      <c r="I35" s="148">
        <v>727</v>
      </c>
      <c r="J35" s="148">
        <v>826</v>
      </c>
      <c r="K35" s="148">
        <v>1553</v>
      </c>
    </row>
    <row r="36" spans="1:11" ht="14.25" customHeight="1">
      <c r="A36" s="1004"/>
      <c r="B36" s="888" t="s">
        <v>548</v>
      </c>
      <c r="C36" s="151">
        <v>213</v>
      </c>
      <c r="D36" s="151">
        <v>125</v>
      </c>
      <c r="E36" s="151">
        <v>338</v>
      </c>
      <c r="F36" s="151"/>
      <c r="G36" s="151"/>
      <c r="H36" s="151"/>
      <c r="I36" s="151">
        <v>950</v>
      </c>
      <c r="J36" s="151">
        <v>507</v>
      </c>
      <c r="K36" s="151">
        <v>1457</v>
      </c>
    </row>
    <row r="37" spans="1:11" ht="14.25" customHeight="1">
      <c r="A37" s="1004"/>
      <c r="B37" s="888" t="s">
        <v>550</v>
      </c>
      <c r="C37" s="148">
        <v>110</v>
      </c>
      <c r="D37" s="148">
        <v>181</v>
      </c>
      <c r="E37" s="148">
        <v>291</v>
      </c>
      <c r="F37" s="148"/>
      <c r="G37" s="148"/>
      <c r="H37" s="148"/>
      <c r="I37" s="148">
        <v>568</v>
      </c>
      <c r="J37" s="148">
        <v>825</v>
      </c>
      <c r="K37" s="148">
        <v>1393</v>
      </c>
    </row>
    <row r="38" spans="1:11" ht="14.25" customHeight="1">
      <c r="A38" s="1004"/>
      <c r="B38" s="889" t="s">
        <v>549</v>
      </c>
      <c r="C38" s="148">
        <v>494</v>
      </c>
      <c r="D38" s="148">
        <v>76</v>
      </c>
      <c r="E38" s="148">
        <v>570</v>
      </c>
      <c r="F38" s="148"/>
      <c r="G38" s="148"/>
      <c r="H38" s="148"/>
      <c r="I38" s="148">
        <v>721</v>
      </c>
      <c r="J38" s="148">
        <v>138</v>
      </c>
      <c r="K38" s="148">
        <v>859</v>
      </c>
    </row>
    <row r="39" spans="1:11" ht="14.25" customHeight="1">
      <c r="A39" s="1004"/>
      <c r="B39" s="888" t="s">
        <v>552</v>
      </c>
      <c r="C39" s="148">
        <v>293</v>
      </c>
      <c r="D39" s="148">
        <v>25</v>
      </c>
      <c r="E39" s="148">
        <v>318</v>
      </c>
      <c r="F39" s="148"/>
      <c r="G39" s="148"/>
      <c r="H39" s="148"/>
      <c r="I39" s="148">
        <v>465</v>
      </c>
      <c r="J39" s="148">
        <v>45</v>
      </c>
      <c r="K39" s="148">
        <v>510</v>
      </c>
    </row>
    <row r="40" spans="1:11">
      <c r="A40" s="1004"/>
      <c r="B40" s="889" t="s">
        <v>601</v>
      </c>
      <c r="C40" s="151"/>
      <c r="D40" s="151"/>
      <c r="E40" s="151"/>
      <c r="F40" s="151"/>
      <c r="G40" s="151"/>
      <c r="H40" s="151"/>
      <c r="I40" s="151">
        <v>195</v>
      </c>
      <c r="J40" s="151">
        <v>204</v>
      </c>
      <c r="K40" s="149">
        <v>399</v>
      </c>
    </row>
    <row r="41" spans="1:11" ht="14.25" customHeight="1">
      <c r="A41" s="1004"/>
      <c r="B41" s="889" t="s">
        <v>553</v>
      </c>
      <c r="C41" s="148">
        <v>132</v>
      </c>
      <c r="D41" s="148">
        <v>47</v>
      </c>
      <c r="E41" s="148">
        <v>179</v>
      </c>
      <c r="F41" s="148"/>
      <c r="G41" s="148"/>
      <c r="H41" s="148"/>
      <c r="I41" s="148">
        <v>207</v>
      </c>
      <c r="J41" s="148">
        <v>49</v>
      </c>
      <c r="K41" s="148">
        <v>256</v>
      </c>
    </row>
    <row r="42" spans="1:11" ht="14.25" customHeight="1">
      <c r="A42" s="1004"/>
      <c r="B42" s="880" t="s">
        <v>554</v>
      </c>
      <c r="C42" s="842">
        <v>15</v>
      </c>
      <c r="D42" s="842">
        <v>9</v>
      </c>
      <c r="E42" s="842">
        <v>24</v>
      </c>
      <c r="F42" s="842"/>
      <c r="G42" s="842"/>
      <c r="H42" s="842"/>
      <c r="I42" s="842">
        <v>148</v>
      </c>
      <c r="J42" s="842">
        <v>53</v>
      </c>
      <c r="K42" s="842">
        <v>201</v>
      </c>
    </row>
    <row r="43" spans="1:11">
      <c r="A43" s="1004"/>
      <c r="B43" s="888" t="s">
        <v>918</v>
      </c>
      <c r="C43" s="148">
        <v>60</v>
      </c>
      <c r="D43" s="148">
        <v>44</v>
      </c>
      <c r="E43" s="148">
        <v>104</v>
      </c>
      <c r="F43" s="148"/>
      <c r="G43" s="148"/>
      <c r="H43" s="148"/>
      <c r="I43" s="148">
        <v>74</v>
      </c>
      <c r="J43" s="148">
        <v>67</v>
      </c>
      <c r="K43" s="148">
        <v>141</v>
      </c>
    </row>
    <row r="44" spans="1:11" ht="14.25" customHeight="1">
      <c r="A44" s="1004"/>
      <c r="B44" s="888" t="s">
        <v>602</v>
      </c>
      <c r="C44" s="148">
        <v>2</v>
      </c>
      <c r="D44" s="148">
        <v>0</v>
      </c>
      <c r="E44" s="148">
        <v>2</v>
      </c>
      <c r="F44" s="148"/>
      <c r="G44" s="148"/>
      <c r="H44" s="148"/>
      <c r="I44" s="148">
        <v>94</v>
      </c>
      <c r="J44" s="148">
        <v>35</v>
      </c>
      <c r="K44" s="148">
        <v>129</v>
      </c>
    </row>
    <row r="45" spans="1:11" ht="14.25" customHeight="1">
      <c r="A45" s="1005"/>
      <c r="B45" s="881" t="s">
        <v>919</v>
      </c>
      <c r="C45" s="148">
        <v>125</v>
      </c>
      <c r="D45" s="148">
        <v>40</v>
      </c>
      <c r="E45" s="148">
        <v>165</v>
      </c>
      <c r="F45" s="148"/>
      <c r="G45" s="148"/>
      <c r="H45" s="148"/>
      <c r="I45" s="148">
        <v>44</v>
      </c>
      <c r="J45" s="148">
        <v>4</v>
      </c>
      <c r="K45" s="148">
        <v>48</v>
      </c>
    </row>
    <row r="46" spans="1:11">
      <c r="A46" s="495" t="s">
        <v>556</v>
      </c>
      <c r="B46" s="890"/>
      <c r="C46" s="150">
        <v>37750</v>
      </c>
      <c r="D46" s="150">
        <v>18875</v>
      </c>
      <c r="E46" s="150">
        <v>56625</v>
      </c>
      <c r="F46" s="150">
        <v>9</v>
      </c>
      <c r="G46" s="150">
        <v>9</v>
      </c>
      <c r="H46" s="150">
        <v>18</v>
      </c>
      <c r="I46" s="150">
        <v>118012</v>
      </c>
      <c r="J46" s="150">
        <v>59267</v>
      </c>
      <c r="K46" s="150">
        <v>177279</v>
      </c>
    </row>
    <row r="47" spans="1:11" s="152" customFormat="1">
      <c r="A47" s="495" t="s">
        <v>580</v>
      </c>
      <c r="B47" s="890"/>
      <c r="C47" s="148">
        <v>37</v>
      </c>
      <c r="D47" s="148">
        <v>44</v>
      </c>
      <c r="E47" s="148">
        <v>81</v>
      </c>
      <c r="F47" s="148">
        <v>0</v>
      </c>
      <c r="G47" s="148">
        <v>7</v>
      </c>
      <c r="H47" s="148">
        <v>7</v>
      </c>
      <c r="I47" s="148">
        <v>311</v>
      </c>
      <c r="J47" s="148">
        <v>1669</v>
      </c>
      <c r="K47" s="148">
        <v>1980</v>
      </c>
    </row>
    <row r="48" spans="1:11" ht="15" customHeight="1">
      <c r="A48" s="1003" t="s">
        <v>246</v>
      </c>
      <c r="B48" s="889" t="s">
        <v>246</v>
      </c>
      <c r="C48" s="148">
        <v>132</v>
      </c>
      <c r="D48" s="148">
        <v>193</v>
      </c>
      <c r="E48" s="148">
        <v>325</v>
      </c>
      <c r="F48" s="148">
        <v>23</v>
      </c>
      <c r="G48" s="148">
        <v>36</v>
      </c>
      <c r="H48" s="148">
        <v>59</v>
      </c>
      <c r="I48" s="148">
        <v>1553</v>
      </c>
      <c r="J48" s="148">
        <v>1737</v>
      </c>
      <c r="K48" s="148">
        <v>3290</v>
      </c>
    </row>
    <row r="49" spans="1:11" ht="14.25" customHeight="1">
      <c r="A49" s="1004"/>
      <c r="B49" s="880" t="s">
        <v>605</v>
      </c>
      <c r="C49" s="148">
        <v>89</v>
      </c>
      <c r="D49" s="148">
        <v>84</v>
      </c>
      <c r="E49" s="148">
        <v>173</v>
      </c>
      <c r="F49" s="148">
        <v>16</v>
      </c>
      <c r="G49" s="148">
        <v>2</v>
      </c>
      <c r="H49" s="148">
        <v>18</v>
      </c>
      <c r="I49" s="148">
        <v>1220</v>
      </c>
      <c r="J49" s="148">
        <v>1523</v>
      </c>
      <c r="K49" s="148">
        <v>2743</v>
      </c>
    </row>
    <row r="50" spans="1:11" ht="14.25" customHeight="1">
      <c r="A50" s="1004"/>
      <c r="B50" s="880" t="s">
        <v>604</v>
      </c>
      <c r="C50" s="148">
        <v>45</v>
      </c>
      <c r="D50" s="148">
        <v>73</v>
      </c>
      <c r="E50" s="148">
        <v>118</v>
      </c>
      <c r="F50" s="148">
        <v>58</v>
      </c>
      <c r="G50" s="148">
        <v>6</v>
      </c>
      <c r="H50" s="148">
        <v>64</v>
      </c>
      <c r="I50" s="148">
        <v>612</v>
      </c>
      <c r="J50" s="148">
        <v>950</v>
      </c>
      <c r="K50" s="148">
        <v>1562</v>
      </c>
    </row>
    <row r="51" spans="1:11" ht="14.25" customHeight="1">
      <c r="A51" s="1004"/>
      <c r="B51" s="889" t="s">
        <v>603</v>
      </c>
      <c r="C51" s="151">
        <v>43</v>
      </c>
      <c r="D51" s="151">
        <v>41</v>
      </c>
      <c r="E51" s="151">
        <v>84</v>
      </c>
      <c r="F51" s="151">
        <v>9</v>
      </c>
      <c r="G51" s="151">
        <v>13</v>
      </c>
      <c r="H51" s="151">
        <v>22</v>
      </c>
      <c r="I51" s="151">
        <v>783</v>
      </c>
      <c r="J51" s="151">
        <v>585</v>
      </c>
      <c r="K51" s="151">
        <v>1368</v>
      </c>
    </row>
    <row r="52" spans="1:11" ht="14.25" customHeight="1">
      <c r="A52" s="1004"/>
      <c r="B52" s="889" t="s">
        <v>923</v>
      </c>
      <c r="C52" s="148"/>
      <c r="D52" s="148"/>
      <c r="E52" s="148"/>
      <c r="F52" s="148"/>
      <c r="G52" s="148"/>
      <c r="H52" s="148"/>
      <c r="I52" s="148">
        <v>21</v>
      </c>
      <c r="J52" s="148">
        <v>11</v>
      </c>
      <c r="K52" s="148">
        <v>32</v>
      </c>
    </row>
    <row r="53" spans="1:11" ht="14.25" customHeight="1">
      <c r="A53" s="1005"/>
      <c r="B53" s="888" t="s">
        <v>924</v>
      </c>
      <c r="C53" s="148"/>
      <c r="D53" s="148"/>
      <c r="E53" s="148"/>
      <c r="F53" s="148"/>
      <c r="G53" s="148"/>
      <c r="H53" s="148"/>
      <c r="I53" s="148">
        <v>14</v>
      </c>
      <c r="J53" s="148">
        <v>17</v>
      </c>
      <c r="K53" s="148">
        <v>31</v>
      </c>
    </row>
    <row r="54" spans="1:11" s="152" customFormat="1">
      <c r="A54" s="495" t="s">
        <v>606</v>
      </c>
      <c r="B54" s="890"/>
      <c r="C54" s="150">
        <v>309</v>
      </c>
      <c r="D54" s="150">
        <v>391</v>
      </c>
      <c r="E54" s="150">
        <v>700</v>
      </c>
      <c r="F54" s="150">
        <v>106</v>
      </c>
      <c r="G54" s="150">
        <v>57</v>
      </c>
      <c r="H54" s="150">
        <v>163</v>
      </c>
      <c r="I54" s="150">
        <v>4203</v>
      </c>
      <c r="J54" s="150">
        <v>4823</v>
      </c>
      <c r="K54" s="150">
        <v>9026</v>
      </c>
    </row>
    <row r="55" spans="1:11" s="152" customFormat="1">
      <c r="A55" s="495" t="s">
        <v>585</v>
      </c>
      <c r="B55" s="890"/>
      <c r="C55" s="148">
        <v>160</v>
      </c>
      <c r="D55" s="148">
        <v>115</v>
      </c>
      <c r="E55" s="148">
        <v>275</v>
      </c>
      <c r="F55" s="148"/>
      <c r="G55" s="148"/>
      <c r="H55" s="148"/>
      <c r="I55" s="148">
        <v>872</v>
      </c>
      <c r="J55" s="148">
        <v>709</v>
      </c>
      <c r="K55" s="148">
        <v>1581</v>
      </c>
    </row>
    <row r="56" spans="1:11">
      <c r="A56" s="153" t="s">
        <v>591</v>
      </c>
      <c r="B56" s="889" t="s">
        <v>608</v>
      </c>
      <c r="C56" s="150"/>
      <c r="D56" s="150"/>
      <c r="E56" s="150"/>
      <c r="F56" s="150"/>
      <c r="G56" s="150"/>
      <c r="H56" s="150"/>
      <c r="I56" s="148">
        <v>17</v>
      </c>
      <c r="J56" s="148">
        <v>15</v>
      </c>
      <c r="K56" s="148">
        <v>32</v>
      </c>
    </row>
    <row r="57" spans="1:11">
      <c r="A57" s="153"/>
      <c r="B57" s="889" t="s">
        <v>607</v>
      </c>
      <c r="C57" s="148"/>
      <c r="D57" s="148"/>
      <c r="E57" s="148"/>
      <c r="F57" s="148"/>
      <c r="G57" s="148"/>
      <c r="H57" s="148"/>
      <c r="I57" s="148">
        <v>9</v>
      </c>
      <c r="J57" s="148">
        <v>10</v>
      </c>
      <c r="K57" s="148">
        <v>19</v>
      </c>
    </row>
    <row r="58" spans="1:11">
      <c r="A58" s="153" t="s">
        <v>879</v>
      </c>
      <c r="B58" s="888"/>
      <c r="C58" s="150"/>
      <c r="D58" s="150"/>
      <c r="E58" s="150"/>
      <c r="F58" s="150"/>
      <c r="G58" s="150"/>
      <c r="H58" s="150"/>
      <c r="I58" s="150">
        <v>26</v>
      </c>
      <c r="J58" s="150">
        <v>25</v>
      </c>
      <c r="K58" s="150">
        <v>51</v>
      </c>
    </row>
    <row r="59" spans="1:11" ht="15" customHeight="1">
      <c r="A59" s="1003" t="s">
        <v>574</v>
      </c>
      <c r="B59" s="888" t="s">
        <v>609</v>
      </c>
      <c r="C59" s="148">
        <v>1583</v>
      </c>
      <c r="D59" s="148">
        <v>2803</v>
      </c>
      <c r="E59" s="148">
        <v>4386</v>
      </c>
      <c r="F59" s="148">
        <v>368</v>
      </c>
      <c r="G59" s="148">
        <v>1316</v>
      </c>
      <c r="H59" s="148">
        <v>1684</v>
      </c>
      <c r="I59" s="148">
        <v>73047</v>
      </c>
      <c r="J59" s="148">
        <v>141880</v>
      </c>
      <c r="K59" s="148">
        <v>214927</v>
      </c>
    </row>
    <row r="60" spans="1:11" ht="14.25" customHeight="1">
      <c r="A60" s="1004"/>
      <c r="B60" s="889" t="s">
        <v>610</v>
      </c>
      <c r="C60" s="148">
        <v>447</v>
      </c>
      <c r="D60" s="148">
        <v>161</v>
      </c>
      <c r="E60" s="148">
        <v>608</v>
      </c>
      <c r="F60" s="148">
        <v>66</v>
      </c>
      <c r="G60" s="148">
        <v>39</v>
      </c>
      <c r="H60" s="148">
        <v>105</v>
      </c>
      <c r="I60" s="148">
        <v>3959</v>
      </c>
      <c r="J60" s="148">
        <v>2804</v>
      </c>
      <c r="K60" s="148">
        <v>6763</v>
      </c>
    </row>
    <row r="61" spans="1:11" ht="14.25" customHeight="1">
      <c r="A61" s="1004"/>
      <c r="B61" s="888" t="s">
        <v>611</v>
      </c>
      <c r="C61" s="148">
        <v>15</v>
      </c>
      <c r="D61" s="148">
        <v>17</v>
      </c>
      <c r="E61" s="148">
        <v>32</v>
      </c>
      <c r="F61" s="148">
        <v>0</v>
      </c>
      <c r="G61" s="148">
        <v>0</v>
      </c>
      <c r="H61" s="148">
        <v>0</v>
      </c>
      <c r="I61" s="148">
        <v>174</v>
      </c>
      <c r="J61" s="148">
        <v>351</v>
      </c>
      <c r="K61" s="148">
        <v>525</v>
      </c>
    </row>
    <row r="62" spans="1:11" ht="14.25" customHeight="1">
      <c r="A62" s="1004"/>
      <c r="B62" s="889" t="s">
        <v>612</v>
      </c>
      <c r="C62" s="148">
        <v>22</v>
      </c>
      <c r="D62" s="148">
        <v>22</v>
      </c>
      <c r="E62" s="148">
        <v>44</v>
      </c>
      <c r="F62" s="148">
        <v>40</v>
      </c>
      <c r="G62" s="148">
        <v>30</v>
      </c>
      <c r="H62" s="148">
        <v>70</v>
      </c>
      <c r="I62" s="148">
        <v>78</v>
      </c>
      <c r="J62" s="148">
        <v>119</v>
      </c>
      <c r="K62" s="148">
        <v>197</v>
      </c>
    </row>
    <row r="63" spans="1:11" ht="14.25" customHeight="1">
      <c r="A63" s="1005"/>
      <c r="B63" s="881" t="s">
        <v>613</v>
      </c>
      <c r="C63" s="148">
        <v>9</v>
      </c>
      <c r="D63" s="148">
        <v>11</v>
      </c>
      <c r="E63" s="148">
        <v>20</v>
      </c>
      <c r="F63" s="148"/>
      <c r="G63" s="148"/>
      <c r="H63" s="148"/>
      <c r="I63" s="148">
        <v>23</v>
      </c>
      <c r="J63" s="148">
        <v>28</v>
      </c>
      <c r="K63" s="148">
        <v>51</v>
      </c>
    </row>
    <row r="64" spans="1:11">
      <c r="A64" s="495" t="s">
        <v>614</v>
      </c>
      <c r="B64" s="891"/>
      <c r="C64" s="150">
        <v>2076</v>
      </c>
      <c r="D64" s="150">
        <v>3014</v>
      </c>
      <c r="E64" s="150">
        <v>5090</v>
      </c>
      <c r="F64" s="150">
        <v>474</v>
      </c>
      <c r="G64" s="150">
        <v>1385</v>
      </c>
      <c r="H64" s="150">
        <v>1859</v>
      </c>
      <c r="I64" s="150">
        <v>77281</v>
      </c>
      <c r="J64" s="150">
        <v>145182</v>
      </c>
      <c r="K64" s="150">
        <v>222463</v>
      </c>
    </row>
    <row r="65" spans="1:11">
      <c r="A65" s="274" t="s">
        <v>592</v>
      </c>
      <c r="B65" s="884"/>
      <c r="C65" s="148">
        <v>57</v>
      </c>
      <c r="D65" s="148">
        <v>23</v>
      </c>
      <c r="E65" s="148">
        <v>80</v>
      </c>
      <c r="F65" s="148">
        <v>6</v>
      </c>
      <c r="G65" s="148">
        <v>7</v>
      </c>
      <c r="H65" s="148">
        <v>13</v>
      </c>
      <c r="I65" s="148">
        <v>732</v>
      </c>
      <c r="J65" s="148">
        <v>630</v>
      </c>
      <c r="K65" s="148">
        <v>1362</v>
      </c>
    </row>
    <row r="66" spans="1:11" ht="15" customHeight="1">
      <c r="A66" s="1003" t="s">
        <v>279</v>
      </c>
      <c r="B66" s="880" t="s">
        <v>279</v>
      </c>
      <c r="C66" s="148">
        <v>38</v>
      </c>
      <c r="D66" s="148">
        <v>830</v>
      </c>
      <c r="E66" s="148">
        <v>868</v>
      </c>
      <c r="F66" s="148">
        <v>1</v>
      </c>
      <c r="G66" s="148">
        <v>23</v>
      </c>
      <c r="H66" s="148">
        <v>24</v>
      </c>
      <c r="I66" s="148">
        <v>642</v>
      </c>
      <c r="J66" s="148">
        <v>9321</v>
      </c>
      <c r="K66" s="148">
        <v>9963</v>
      </c>
    </row>
    <row r="67" spans="1:11" ht="15" customHeight="1">
      <c r="A67" s="1005"/>
      <c r="B67" s="889" t="s">
        <v>615</v>
      </c>
      <c r="C67" s="148">
        <v>23</v>
      </c>
      <c r="D67" s="148">
        <v>112</v>
      </c>
      <c r="E67" s="148">
        <v>135</v>
      </c>
      <c r="F67" s="148">
        <v>1</v>
      </c>
      <c r="G67" s="148">
        <v>1</v>
      </c>
      <c r="H67" s="148">
        <v>2</v>
      </c>
      <c r="I67" s="148">
        <v>257</v>
      </c>
      <c r="J67" s="148">
        <v>2910</v>
      </c>
      <c r="K67" s="148">
        <v>3167</v>
      </c>
    </row>
    <row r="68" spans="1:11">
      <c r="A68" s="153" t="s">
        <v>616</v>
      </c>
      <c r="B68" s="880"/>
      <c r="C68" s="150">
        <v>61</v>
      </c>
      <c r="D68" s="150">
        <v>942</v>
      </c>
      <c r="E68" s="150">
        <v>1003</v>
      </c>
      <c r="F68" s="150">
        <v>2</v>
      </c>
      <c r="G68" s="150">
        <v>24</v>
      </c>
      <c r="H68" s="150">
        <v>26</v>
      </c>
      <c r="I68" s="150">
        <v>899</v>
      </c>
      <c r="J68" s="150">
        <v>12231</v>
      </c>
      <c r="K68" s="150">
        <v>13130</v>
      </c>
    </row>
    <row r="69" spans="1:11">
      <c r="A69" s="153" t="s">
        <v>583</v>
      </c>
      <c r="B69" s="880" t="s">
        <v>925</v>
      </c>
      <c r="C69" s="150"/>
      <c r="D69" s="150"/>
      <c r="E69" s="150"/>
      <c r="F69" s="150"/>
      <c r="G69" s="150"/>
      <c r="H69" s="150"/>
      <c r="I69" s="148">
        <v>106</v>
      </c>
      <c r="J69" s="148">
        <v>71</v>
      </c>
      <c r="K69" s="148">
        <v>177</v>
      </c>
    </row>
    <row r="70" spans="1:11" ht="28">
      <c r="A70" s="1010"/>
      <c r="B70" s="888" t="s">
        <v>926</v>
      </c>
      <c r="C70" s="148"/>
      <c r="D70" s="148"/>
      <c r="E70" s="148"/>
      <c r="F70" s="148"/>
      <c r="G70" s="148"/>
      <c r="H70" s="148"/>
      <c r="I70" s="148">
        <v>91</v>
      </c>
      <c r="J70" s="148">
        <v>68</v>
      </c>
      <c r="K70" s="148">
        <v>159</v>
      </c>
    </row>
    <row r="71" spans="1:11">
      <c r="A71" s="1011"/>
      <c r="B71" s="888" t="s">
        <v>927</v>
      </c>
      <c r="C71" s="148"/>
      <c r="D71" s="148"/>
      <c r="E71" s="148"/>
      <c r="F71" s="148"/>
      <c r="G71" s="148"/>
      <c r="H71" s="148"/>
      <c r="I71" s="148">
        <v>25</v>
      </c>
      <c r="J71" s="148">
        <v>29</v>
      </c>
      <c r="K71" s="148">
        <v>54</v>
      </c>
    </row>
    <row r="72" spans="1:11">
      <c r="A72" s="1011"/>
      <c r="B72" s="888" t="s">
        <v>928</v>
      </c>
      <c r="C72" s="148"/>
      <c r="D72" s="148"/>
      <c r="E72" s="148"/>
      <c r="F72" s="148"/>
      <c r="G72" s="148"/>
      <c r="H72" s="148"/>
      <c r="I72" s="148">
        <v>6</v>
      </c>
      <c r="J72" s="148">
        <v>26</v>
      </c>
      <c r="K72" s="148">
        <v>32</v>
      </c>
    </row>
    <row r="73" spans="1:11">
      <c r="A73" s="1011"/>
      <c r="B73" s="885" t="s">
        <v>929</v>
      </c>
      <c r="C73" s="148"/>
      <c r="D73" s="148"/>
      <c r="E73" s="148"/>
      <c r="F73" s="148"/>
      <c r="G73" s="148"/>
      <c r="H73" s="148"/>
      <c r="I73" s="148">
        <v>3</v>
      </c>
      <c r="J73" s="148">
        <v>1</v>
      </c>
      <c r="K73" s="148">
        <v>4</v>
      </c>
    </row>
    <row r="74" spans="1:11">
      <c r="A74" s="495" t="s">
        <v>974</v>
      </c>
      <c r="B74" s="890"/>
      <c r="C74" s="148"/>
      <c r="D74" s="148"/>
      <c r="E74" s="148"/>
      <c r="F74" s="148"/>
      <c r="G74" s="148"/>
      <c r="H74" s="148"/>
      <c r="I74" s="150">
        <v>231</v>
      </c>
      <c r="J74" s="150">
        <v>195</v>
      </c>
      <c r="K74" s="150">
        <v>426</v>
      </c>
    </row>
    <row r="75" spans="1:11" ht="15" customHeight="1">
      <c r="A75" s="1003" t="s">
        <v>573</v>
      </c>
      <c r="B75" s="892" t="s">
        <v>617</v>
      </c>
      <c r="C75" s="148">
        <v>1412</v>
      </c>
      <c r="D75" s="148">
        <v>1418</v>
      </c>
      <c r="E75" s="148">
        <v>2830</v>
      </c>
      <c r="F75" s="148">
        <v>159</v>
      </c>
      <c r="G75" s="148">
        <v>362</v>
      </c>
      <c r="H75" s="148">
        <v>521</v>
      </c>
      <c r="I75" s="148">
        <v>52819</v>
      </c>
      <c r="J75" s="148">
        <v>95255</v>
      </c>
      <c r="K75" s="148">
        <v>148074</v>
      </c>
    </row>
    <row r="76" spans="1:11" ht="14.25" customHeight="1">
      <c r="A76" s="1004"/>
      <c r="B76" s="889" t="s">
        <v>618</v>
      </c>
      <c r="C76" s="148">
        <v>539</v>
      </c>
      <c r="D76" s="148">
        <v>522</v>
      </c>
      <c r="E76" s="148">
        <v>1061</v>
      </c>
      <c r="F76" s="148">
        <v>78</v>
      </c>
      <c r="G76" s="148">
        <v>109</v>
      </c>
      <c r="H76" s="148">
        <v>187</v>
      </c>
      <c r="I76" s="148">
        <v>14707</v>
      </c>
      <c r="J76" s="148">
        <v>25353</v>
      </c>
      <c r="K76" s="148">
        <v>40060</v>
      </c>
    </row>
    <row r="77" spans="1:11" ht="14.25" customHeight="1">
      <c r="A77" s="1004"/>
      <c r="B77" s="880" t="s">
        <v>619</v>
      </c>
      <c r="C77" s="148">
        <v>317</v>
      </c>
      <c r="D77" s="148">
        <v>237</v>
      </c>
      <c r="E77" s="148">
        <v>554</v>
      </c>
      <c r="F77" s="148">
        <v>134</v>
      </c>
      <c r="G77" s="148">
        <v>109</v>
      </c>
      <c r="H77" s="148">
        <v>243</v>
      </c>
      <c r="I77" s="148">
        <v>8313</v>
      </c>
      <c r="J77" s="148">
        <v>25656</v>
      </c>
      <c r="K77" s="148">
        <v>33969</v>
      </c>
    </row>
    <row r="78" spans="1:11" ht="14.25" customHeight="1">
      <c r="A78" s="1004"/>
      <c r="B78" s="880" t="s">
        <v>253</v>
      </c>
      <c r="C78" s="148">
        <v>694</v>
      </c>
      <c r="D78" s="148">
        <v>535</v>
      </c>
      <c r="E78" s="148">
        <v>1229</v>
      </c>
      <c r="F78" s="148">
        <v>146</v>
      </c>
      <c r="G78" s="148">
        <v>157</v>
      </c>
      <c r="H78" s="148">
        <v>303</v>
      </c>
      <c r="I78" s="148">
        <v>10205</v>
      </c>
      <c r="J78" s="148">
        <v>19599</v>
      </c>
      <c r="K78" s="148">
        <v>29804</v>
      </c>
    </row>
    <row r="79" spans="1:11" ht="14.25" customHeight="1">
      <c r="A79" s="1004"/>
      <c r="B79" s="880" t="s">
        <v>620</v>
      </c>
      <c r="C79" s="148">
        <v>581</v>
      </c>
      <c r="D79" s="148">
        <v>235</v>
      </c>
      <c r="E79" s="148">
        <v>816</v>
      </c>
      <c r="F79" s="148">
        <v>47</v>
      </c>
      <c r="G79" s="148">
        <v>40</v>
      </c>
      <c r="H79" s="148">
        <v>87</v>
      </c>
      <c r="I79" s="148">
        <v>7666</v>
      </c>
      <c r="J79" s="148">
        <v>11535</v>
      </c>
      <c r="K79" s="148">
        <v>19201</v>
      </c>
    </row>
    <row r="80" spans="1:11" ht="14.25" customHeight="1">
      <c r="A80" s="1004"/>
      <c r="B80" s="889" t="s">
        <v>621</v>
      </c>
      <c r="C80" s="148">
        <v>733</v>
      </c>
      <c r="D80" s="148">
        <v>594</v>
      </c>
      <c r="E80" s="148">
        <v>1327</v>
      </c>
      <c r="F80" s="148">
        <v>147</v>
      </c>
      <c r="G80" s="148">
        <v>544</v>
      </c>
      <c r="H80" s="148">
        <v>691</v>
      </c>
      <c r="I80" s="148">
        <v>4157</v>
      </c>
      <c r="J80" s="148">
        <v>9288</v>
      </c>
      <c r="K80" s="148">
        <v>13445</v>
      </c>
    </row>
    <row r="81" spans="1:11" ht="14.25" customHeight="1">
      <c r="A81" s="1004"/>
      <c r="B81" s="889" t="s">
        <v>622</v>
      </c>
      <c r="C81" s="148">
        <v>299</v>
      </c>
      <c r="D81" s="148">
        <v>133</v>
      </c>
      <c r="E81" s="148">
        <v>432</v>
      </c>
      <c r="F81" s="148">
        <v>14</v>
      </c>
      <c r="G81" s="148">
        <v>12</v>
      </c>
      <c r="H81" s="148">
        <v>26</v>
      </c>
      <c r="I81" s="148">
        <v>3730</v>
      </c>
      <c r="J81" s="148">
        <v>5865</v>
      </c>
      <c r="K81" s="148">
        <v>9595</v>
      </c>
    </row>
    <row r="82" spans="1:11" ht="14.25" customHeight="1">
      <c r="A82" s="1004"/>
      <c r="B82" s="889" t="s">
        <v>624</v>
      </c>
      <c r="C82" s="148">
        <v>214</v>
      </c>
      <c r="D82" s="148">
        <v>142</v>
      </c>
      <c r="E82" s="148">
        <v>356</v>
      </c>
      <c r="F82" s="148">
        <v>1</v>
      </c>
      <c r="G82" s="148">
        <v>1</v>
      </c>
      <c r="H82" s="148">
        <v>2</v>
      </c>
      <c r="I82" s="148">
        <v>3442</v>
      </c>
      <c r="J82" s="148">
        <v>5705</v>
      </c>
      <c r="K82" s="148">
        <v>9147</v>
      </c>
    </row>
    <row r="83" spans="1:11" ht="14.25" customHeight="1">
      <c r="A83" s="1004"/>
      <c r="B83" s="880" t="s">
        <v>623</v>
      </c>
      <c r="C83" s="148">
        <v>22</v>
      </c>
      <c r="D83" s="148">
        <v>30</v>
      </c>
      <c r="E83" s="148">
        <v>52</v>
      </c>
      <c r="F83" s="148">
        <v>45</v>
      </c>
      <c r="G83" s="148">
        <v>28</v>
      </c>
      <c r="H83" s="148">
        <v>73</v>
      </c>
      <c r="I83" s="148">
        <v>2106</v>
      </c>
      <c r="J83" s="148">
        <v>4077</v>
      </c>
      <c r="K83" s="148">
        <v>6183</v>
      </c>
    </row>
    <row r="84" spans="1:11" ht="14.25" customHeight="1">
      <c r="A84" s="1004"/>
      <c r="B84" s="880" t="s">
        <v>625</v>
      </c>
      <c r="C84" s="148">
        <v>320</v>
      </c>
      <c r="D84" s="148">
        <v>293</v>
      </c>
      <c r="E84" s="148">
        <v>613</v>
      </c>
      <c r="F84" s="148">
        <v>41</v>
      </c>
      <c r="G84" s="148">
        <v>53</v>
      </c>
      <c r="H84" s="148">
        <v>94</v>
      </c>
      <c r="I84" s="148">
        <v>1834</v>
      </c>
      <c r="J84" s="148">
        <v>3982</v>
      </c>
      <c r="K84" s="148">
        <v>5816</v>
      </c>
    </row>
    <row r="85" spans="1:11" ht="14.25" customHeight="1">
      <c r="A85" s="1004"/>
      <c r="B85" s="880" t="s">
        <v>626</v>
      </c>
      <c r="C85" s="148">
        <v>99</v>
      </c>
      <c r="D85" s="148">
        <v>250</v>
      </c>
      <c r="E85" s="148">
        <v>349</v>
      </c>
      <c r="F85" s="148">
        <v>20</v>
      </c>
      <c r="G85" s="148">
        <v>33</v>
      </c>
      <c r="H85" s="148">
        <v>53</v>
      </c>
      <c r="I85" s="148">
        <v>955</v>
      </c>
      <c r="J85" s="148">
        <v>3581</v>
      </c>
      <c r="K85" s="148">
        <v>4536</v>
      </c>
    </row>
    <row r="86" spans="1:11" ht="14.25" customHeight="1">
      <c r="A86" s="1005"/>
      <c r="B86" s="881" t="s">
        <v>930</v>
      </c>
      <c r="C86" s="148">
        <v>0</v>
      </c>
      <c r="D86" s="148">
        <v>3</v>
      </c>
      <c r="E86" s="148">
        <v>3</v>
      </c>
      <c r="F86" s="148"/>
      <c r="G86" s="148"/>
      <c r="H86" s="148"/>
      <c r="I86" s="148">
        <v>200</v>
      </c>
      <c r="J86" s="148">
        <v>146</v>
      </c>
      <c r="K86" s="148">
        <v>346</v>
      </c>
    </row>
    <row r="87" spans="1:11">
      <c r="A87" s="495" t="s">
        <v>627</v>
      </c>
      <c r="B87" s="891"/>
      <c r="C87" s="150">
        <v>5230</v>
      </c>
      <c r="D87" s="150">
        <v>4392</v>
      </c>
      <c r="E87" s="150">
        <v>9622</v>
      </c>
      <c r="F87" s="150">
        <v>832</v>
      </c>
      <c r="G87" s="150">
        <v>1448</v>
      </c>
      <c r="H87" s="150">
        <v>2280</v>
      </c>
      <c r="I87" s="150">
        <v>110134</v>
      </c>
      <c r="J87" s="150">
        <v>210042</v>
      </c>
      <c r="K87" s="150">
        <v>320176</v>
      </c>
    </row>
    <row r="88" spans="1:11">
      <c r="A88" s="1003" t="s">
        <v>572</v>
      </c>
      <c r="B88" s="884" t="s">
        <v>258</v>
      </c>
      <c r="C88" s="148">
        <v>590</v>
      </c>
      <c r="D88" s="148">
        <v>518</v>
      </c>
      <c r="E88" s="148">
        <v>1108</v>
      </c>
      <c r="F88" s="148">
        <v>20</v>
      </c>
      <c r="G88" s="148">
        <v>19</v>
      </c>
      <c r="H88" s="148">
        <v>39</v>
      </c>
      <c r="I88" s="148">
        <v>82229</v>
      </c>
      <c r="J88" s="148">
        <v>63194</v>
      </c>
      <c r="K88" s="148">
        <v>145423</v>
      </c>
    </row>
    <row r="89" spans="1:11" ht="14.25" customHeight="1">
      <c r="A89" s="1004"/>
      <c r="B89" s="880" t="s">
        <v>628</v>
      </c>
      <c r="C89" s="148">
        <v>1158</v>
      </c>
      <c r="D89" s="148">
        <v>1529</v>
      </c>
      <c r="E89" s="148">
        <v>2687</v>
      </c>
      <c r="F89" s="148">
        <v>80</v>
      </c>
      <c r="G89" s="148">
        <v>226</v>
      </c>
      <c r="H89" s="148">
        <v>306</v>
      </c>
      <c r="I89" s="148">
        <v>16677</v>
      </c>
      <c r="J89" s="148">
        <v>22830</v>
      </c>
      <c r="K89" s="148">
        <v>39507</v>
      </c>
    </row>
    <row r="90" spans="1:11" ht="14.25" customHeight="1">
      <c r="A90" s="1004"/>
      <c r="B90" s="889" t="s">
        <v>546</v>
      </c>
      <c r="C90" s="148">
        <v>119</v>
      </c>
      <c r="D90" s="148">
        <v>104</v>
      </c>
      <c r="E90" s="148">
        <v>223</v>
      </c>
      <c r="F90" s="148">
        <v>2</v>
      </c>
      <c r="G90" s="148">
        <v>0</v>
      </c>
      <c r="H90" s="148">
        <v>2</v>
      </c>
      <c r="I90" s="148">
        <v>5692</v>
      </c>
      <c r="J90" s="148">
        <v>5582</v>
      </c>
      <c r="K90" s="148">
        <v>11274</v>
      </c>
    </row>
    <row r="91" spans="1:11" ht="14.25" customHeight="1">
      <c r="A91" s="1004"/>
      <c r="B91" s="889" t="s">
        <v>931</v>
      </c>
      <c r="C91" s="148">
        <v>5</v>
      </c>
      <c r="D91" s="148">
        <v>7</v>
      </c>
      <c r="E91" s="148">
        <v>12</v>
      </c>
      <c r="F91" s="148">
        <v>0</v>
      </c>
      <c r="G91" s="148">
        <v>1</v>
      </c>
      <c r="H91" s="148">
        <v>1</v>
      </c>
      <c r="I91" s="148">
        <v>1742</v>
      </c>
      <c r="J91" s="148">
        <v>1934</v>
      </c>
      <c r="K91" s="148">
        <v>3676</v>
      </c>
    </row>
    <row r="92" spans="1:11" ht="14.25" customHeight="1">
      <c r="A92" s="1004"/>
      <c r="B92" s="880" t="s">
        <v>932</v>
      </c>
      <c r="C92" s="148"/>
      <c r="D92" s="148"/>
      <c r="E92" s="148"/>
      <c r="F92" s="148"/>
      <c r="G92" s="148"/>
      <c r="H92" s="148"/>
      <c r="I92" s="148">
        <v>130</v>
      </c>
      <c r="J92" s="148">
        <v>262</v>
      </c>
      <c r="K92" s="148">
        <v>392</v>
      </c>
    </row>
    <row r="93" spans="1:11" ht="14.25" customHeight="1">
      <c r="A93" s="1004"/>
      <c r="B93" s="880" t="s">
        <v>629</v>
      </c>
      <c r="C93" s="148"/>
      <c r="D93" s="148"/>
      <c r="E93" s="148"/>
      <c r="F93" s="148"/>
      <c r="G93" s="148"/>
      <c r="H93" s="148"/>
      <c r="I93" s="148">
        <v>84</v>
      </c>
      <c r="J93" s="148">
        <v>69</v>
      </c>
      <c r="K93" s="148">
        <v>153</v>
      </c>
    </row>
    <row r="94" spans="1:11" ht="14.25" customHeight="1">
      <c r="A94" s="1004"/>
      <c r="B94" s="881" t="s">
        <v>630</v>
      </c>
      <c r="C94" s="148"/>
      <c r="D94" s="148"/>
      <c r="E94" s="148"/>
      <c r="F94" s="148"/>
      <c r="G94" s="148"/>
      <c r="H94" s="148"/>
      <c r="I94" s="148">
        <v>38</v>
      </c>
      <c r="J94" s="148">
        <v>28</v>
      </c>
      <c r="K94" s="148">
        <v>66</v>
      </c>
    </row>
    <row r="95" spans="1:11">
      <c r="A95" s="495" t="s">
        <v>631</v>
      </c>
      <c r="B95" s="893"/>
      <c r="C95" s="150">
        <v>1872</v>
      </c>
      <c r="D95" s="150">
        <v>2158</v>
      </c>
      <c r="E95" s="150">
        <v>4030</v>
      </c>
      <c r="F95" s="150">
        <v>102</v>
      </c>
      <c r="G95" s="150">
        <v>246</v>
      </c>
      <c r="H95" s="150">
        <v>348</v>
      </c>
      <c r="I95" s="150">
        <v>106592</v>
      </c>
      <c r="J95" s="150">
        <v>93899</v>
      </c>
      <c r="K95" s="150">
        <v>200491</v>
      </c>
    </row>
    <row r="96" spans="1:11">
      <c r="A96" s="1006" t="s">
        <v>248</v>
      </c>
      <c r="B96" s="894" t="s">
        <v>248</v>
      </c>
      <c r="C96" s="148">
        <v>591</v>
      </c>
      <c r="D96" s="148">
        <v>476</v>
      </c>
      <c r="E96" s="148">
        <v>1067</v>
      </c>
      <c r="F96" s="148">
        <v>65</v>
      </c>
      <c r="G96" s="148">
        <v>48</v>
      </c>
      <c r="H96" s="148">
        <v>113</v>
      </c>
      <c r="I96" s="148">
        <v>10577</v>
      </c>
      <c r="J96" s="148">
        <v>9902</v>
      </c>
      <c r="K96" s="148">
        <v>20479</v>
      </c>
    </row>
    <row r="97" spans="1:11" ht="28">
      <c r="A97" s="1007"/>
      <c r="B97" s="895" t="s">
        <v>933</v>
      </c>
      <c r="C97" s="148">
        <v>24</v>
      </c>
      <c r="D97" s="148">
        <v>31</v>
      </c>
      <c r="E97" s="148">
        <v>55</v>
      </c>
      <c r="F97" s="148">
        <v>5</v>
      </c>
      <c r="G97" s="148">
        <v>8</v>
      </c>
      <c r="H97" s="148">
        <v>13</v>
      </c>
      <c r="I97" s="148">
        <v>440</v>
      </c>
      <c r="J97" s="148">
        <v>452</v>
      </c>
      <c r="K97" s="148">
        <v>892</v>
      </c>
    </row>
    <row r="98" spans="1:11">
      <c r="A98" s="153" t="s">
        <v>975</v>
      </c>
      <c r="B98" s="880"/>
      <c r="C98" s="150">
        <v>615</v>
      </c>
      <c r="D98" s="150">
        <v>507</v>
      </c>
      <c r="E98" s="150">
        <v>1122</v>
      </c>
      <c r="F98" s="150">
        <v>70</v>
      </c>
      <c r="G98" s="150">
        <v>56</v>
      </c>
      <c r="H98" s="150">
        <v>126</v>
      </c>
      <c r="I98" s="150">
        <v>11017</v>
      </c>
      <c r="J98" s="150">
        <v>10354</v>
      </c>
      <c r="K98" s="150">
        <v>21371</v>
      </c>
    </row>
    <row r="99" spans="1:11">
      <c r="A99" s="1003" t="s">
        <v>8</v>
      </c>
      <c r="B99" s="896" t="s">
        <v>8</v>
      </c>
      <c r="C99" s="148">
        <v>1755</v>
      </c>
      <c r="D99" s="148">
        <v>1678</v>
      </c>
      <c r="E99" s="148">
        <v>3433</v>
      </c>
      <c r="F99" s="148">
        <v>11</v>
      </c>
      <c r="G99" s="148">
        <v>4</v>
      </c>
      <c r="H99" s="148">
        <v>15</v>
      </c>
      <c r="I99" s="148">
        <v>20671</v>
      </c>
      <c r="J99" s="148">
        <v>16320</v>
      </c>
      <c r="K99" s="148">
        <v>36991</v>
      </c>
    </row>
    <row r="100" spans="1:11" ht="14.25" customHeight="1">
      <c r="A100" s="1004"/>
      <c r="B100" s="880" t="s">
        <v>632</v>
      </c>
      <c r="C100" s="148"/>
      <c r="D100" s="148"/>
      <c r="E100" s="148"/>
      <c r="F100" s="148"/>
      <c r="G100" s="148"/>
      <c r="H100" s="148"/>
      <c r="I100" s="148">
        <v>721</v>
      </c>
      <c r="J100" s="148">
        <v>473</v>
      </c>
      <c r="K100" s="148">
        <v>1194</v>
      </c>
    </row>
    <row r="101" spans="1:11" ht="14.25" customHeight="1">
      <c r="A101" s="1004"/>
      <c r="B101" s="880" t="s">
        <v>634</v>
      </c>
      <c r="C101" s="148"/>
      <c r="D101" s="148"/>
      <c r="E101" s="148"/>
      <c r="F101" s="148"/>
      <c r="G101" s="148"/>
      <c r="H101" s="148"/>
      <c r="I101" s="148">
        <v>127</v>
      </c>
      <c r="J101" s="148">
        <v>116</v>
      </c>
      <c r="K101" s="148">
        <v>243</v>
      </c>
    </row>
    <row r="102" spans="1:11" ht="14.25" customHeight="1">
      <c r="A102" s="1004"/>
      <c r="B102" s="880" t="s">
        <v>633</v>
      </c>
      <c r="C102" s="148">
        <v>0</v>
      </c>
      <c r="D102" s="148">
        <v>0</v>
      </c>
      <c r="E102" s="148">
        <v>0</v>
      </c>
      <c r="F102" s="148"/>
      <c r="G102" s="148"/>
      <c r="H102" s="148"/>
      <c r="I102" s="148">
        <v>136</v>
      </c>
      <c r="J102" s="148">
        <v>90</v>
      </c>
      <c r="K102" s="148">
        <v>226</v>
      </c>
    </row>
    <row r="103" spans="1:11" ht="14.25" customHeight="1">
      <c r="A103" s="1004"/>
      <c r="B103" s="897" t="s">
        <v>635</v>
      </c>
      <c r="C103" s="151"/>
      <c r="D103" s="151"/>
      <c r="E103" s="151"/>
      <c r="F103" s="151"/>
      <c r="G103" s="151"/>
      <c r="H103" s="151"/>
      <c r="I103" s="151">
        <v>120</v>
      </c>
      <c r="J103" s="151">
        <v>73</v>
      </c>
      <c r="K103" s="151">
        <v>193</v>
      </c>
    </row>
    <row r="104" spans="1:11">
      <c r="A104" s="495" t="s">
        <v>636</v>
      </c>
      <c r="B104" s="891"/>
      <c r="C104" s="150">
        <v>1755</v>
      </c>
      <c r="D104" s="150">
        <v>1678</v>
      </c>
      <c r="E104" s="150">
        <v>3433</v>
      </c>
      <c r="F104" s="150">
        <v>11</v>
      </c>
      <c r="G104" s="150">
        <v>4</v>
      </c>
      <c r="H104" s="150">
        <v>15</v>
      </c>
      <c r="I104" s="150">
        <v>21775</v>
      </c>
      <c r="J104" s="150">
        <v>17072</v>
      </c>
      <c r="K104" s="150">
        <v>38847</v>
      </c>
    </row>
    <row r="105" spans="1:11">
      <c r="A105" s="495" t="s">
        <v>577</v>
      </c>
      <c r="B105" s="891"/>
      <c r="C105" s="148">
        <v>419</v>
      </c>
      <c r="D105" s="148">
        <v>374</v>
      </c>
      <c r="E105" s="148">
        <v>793</v>
      </c>
      <c r="F105" s="148">
        <v>90</v>
      </c>
      <c r="G105" s="148">
        <v>98</v>
      </c>
      <c r="H105" s="148">
        <v>188</v>
      </c>
      <c r="I105" s="148">
        <v>6439</v>
      </c>
      <c r="J105" s="148">
        <v>6636</v>
      </c>
      <c r="K105" s="148">
        <v>13075</v>
      </c>
    </row>
    <row r="106" spans="1:11">
      <c r="A106" s="495" t="s">
        <v>579</v>
      </c>
      <c r="B106" s="891"/>
      <c r="C106" s="148">
        <v>377</v>
      </c>
      <c r="D106" s="148">
        <v>378</v>
      </c>
      <c r="E106" s="148">
        <v>755</v>
      </c>
      <c r="F106" s="148">
        <v>78</v>
      </c>
      <c r="G106" s="148">
        <v>104</v>
      </c>
      <c r="H106" s="148">
        <v>182</v>
      </c>
      <c r="I106" s="148">
        <v>49</v>
      </c>
      <c r="J106" s="148">
        <v>186</v>
      </c>
      <c r="K106" s="148">
        <v>235</v>
      </c>
    </row>
    <row r="107" spans="1:11" ht="15" customHeight="1">
      <c r="A107" s="1003" t="s">
        <v>250</v>
      </c>
      <c r="B107" s="889" t="s">
        <v>637</v>
      </c>
      <c r="C107" s="148">
        <v>2144</v>
      </c>
      <c r="D107" s="148">
        <v>1947</v>
      </c>
      <c r="E107" s="148">
        <v>4091</v>
      </c>
      <c r="F107" s="148">
        <v>45</v>
      </c>
      <c r="G107" s="148">
        <v>33</v>
      </c>
      <c r="H107" s="148">
        <v>78</v>
      </c>
      <c r="I107" s="148">
        <v>311205</v>
      </c>
      <c r="J107" s="148">
        <v>239841</v>
      </c>
      <c r="K107" s="148">
        <v>551046</v>
      </c>
    </row>
    <row r="108" spans="1:11" ht="14.25" customHeight="1">
      <c r="A108" s="1004"/>
      <c r="B108" s="888" t="s">
        <v>639</v>
      </c>
      <c r="C108" s="148">
        <v>1092</v>
      </c>
      <c r="D108" s="148">
        <v>847</v>
      </c>
      <c r="E108" s="148">
        <v>1939</v>
      </c>
      <c r="F108" s="148">
        <v>10</v>
      </c>
      <c r="G108" s="148">
        <v>1</v>
      </c>
      <c r="H108" s="148">
        <v>11</v>
      </c>
      <c r="I108" s="148">
        <v>20018</v>
      </c>
      <c r="J108" s="148">
        <v>12519</v>
      </c>
      <c r="K108" s="148">
        <v>32537</v>
      </c>
    </row>
    <row r="109" spans="1:11" ht="14.25" customHeight="1">
      <c r="A109" s="1004"/>
      <c r="B109" s="889" t="s">
        <v>638</v>
      </c>
      <c r="C109" s="148">
        <v>2247</v>
      </c>
      <c r="D109" s="148">
        <v>2019</v>
      </c>
      <c r="E109" s="148">
        <v>4266</v>
      </c>
      <c r="F109" s="148">
        <v>14</v>
      </c>
      <c r="G109" s="148">
        <v>46</v>
      </c>
      <c r="H109" s="148">
        <v>60</v>
      </c>
      <c r="I109" s="148">
        <v>19052</v>
      </c>
      <c r="J109" s="148">
        <v>11826</v>
      </c>
      <c r="K109" s="148">
        <v>30878</v>
      </c>
    </row>
    <row r="110" spans="1:11">
      <c r="A110" s="1004"/>
      <c r="B110" s="888" t="s">
        <v>642</v>
      </c>
      <c r="C110" s="148">
        <v>70</v>
      </c>
      <c r="D110" s="148">
        <v>58</v>
      </c>
      <c r="E110" s="148">
        <v>128</v>
      </c>
      <c r="F110" s="148">
        <v>4</v>
      </c>
      <c r="G110" s="148">
        <v>4</v>
      </c>
      <c r="H110" s="148">
        <v>8</v>
      </c>
      <c r="I110" s="148">
        <v>6452</v>
      </c>
      <c r="J110" s="148">
        <v>7879</v>
      </c>
      <c r="K110" s="148">
        <v>14331</v>
      </c>
    </row>
    <row r="111" spans="1:11" ht="14.25" customHeight="1">
      <c r="A111" s="1004"/>
      <c r="B111" s="888" t="s">
        <v>641</v>
      </c>
      <c r="C111" s="148">
        <v>87</v>
      </c>
      <c r="D111" s="148">
        <v>87</v>
      </c>
      <c r="E111" s="148">
        <v>174</v>
      </c>
      <c r="F111" s="148">
        <v>0</v>
      </c>
      <c r="G111" s="148">
        <v>1</v>
      </c>
      <c r="H111" s="148">
        <v>1</v>
      </c>
      <c r="I111" s="148">
        <v>6923</v>
      </c>
      <c r="J111" s="148">
        <v>5831</v>
      </c>
      <c r="K111" s="148">
        <v>12754</v>
      </c>
    </row>
    <row r="112" spans="1:11" ht="14.25" customHeight="1">
      <c r="A112" s="1004"/>
      <c r="B112" s="888" t="s">
        <v>647</v>
      </c>
      <c r="C112" s="148">
        <v>81</v>
      </c>
      <c r="D112" s="148">
        <v>27</v>
      </c>
      <c r="E112" s="148">
        <v>108</v>
      </c>
      <c r="F112" s="148"/>
      <c r="G112" s="148"/>
      <c r="H112" s="148"/>
      <c r="I112" s="148">
        <v>5135</v>
      </c>
      <c r="J112" s="148">
        <v>2991</v>
      </c>
      <c r="K112" s="148">
        <v>8126</v>
      </c>
    </row>
    <row r="113" spans="1:11" ht="14.25" customHeight="1">
      <c r="A113" s="1004"/>
      <c r="B113" s="880" t="s">
        <v>566</v>
      </c>
      <c r="C113" s="148">
        <v>24</v>
      </c>
      <c r="D113" s="148">
        <v>24</v>
      </c>
      <c r="E113" s="148">
        <v>48</v>
      </c>
      <c r="F113" s="148">
        <v>0</v>
      </c>
      <c r="G113" s="148">
        <v>1</v>
      </c>
      <c r="H113" s="148">
        <v>1</v>
      </c>
      <c r="I113" s="148">
        <v>3025</v>
      </c>
      <c r="J113" s="148">
        <v>3879</v>
      </c>
      <c r="K113" s="148">
        <v>6904</v>
      </c>
    </row>
    <row r="114" spans="1:11" ht="28">
      <c r="A114" s="1004"/>
      <c r="B114" s="880" t="s">
        <v>934</v>
      </c>
      <c r="C114" s="148">
        <v>328</v>
      </c>
      <c r="D114" s="148">
        <v>266</v>
      </c>
      <c r="E114" s="148">
        <v>594</v>
      </c>
      <c r="F114" s="148">
        <v>40</v>
      </c>
      <c r="G114" s="148">
        <v>16</v>
      </c>
      <c r="H114" s="148">
        <v>56</v>
      </c>
      <c r="I114" s="148">
        <v>3620</v>
      </c>
      <c r="J114" s="148">
        <v>2389</v>
      </c>
      <c r="K114" s="148">
        <v>6009</v>
      </c>
    </row>
    <row r="115" spans="1:11" ht="14.25" customHeight="1">
      <c r="A115" s="1004"/>
      <c r="B115" s="880" t="s">
        <v>643</v>
      </c>
      <c r="C115" s="148">
        <v>87</v>
      </c>
      <c r="D115" s="148">
        <v>107</v>
      </c>
      <c r="E115" s="148">
        <v>194</v>
      </c>
      <c r="F115" s="148">
        <v>6</v>
      </c>
      <c r="G115" s="148">
        <v>5</v>
      </c>
      <c r="H115" s="148">
        <v>11</v>
      </c>
      <c r="I115" s="148">
        <v>3320</v>
      </c>
      <c r="J115" s="148">
        <v>1925</v>
      </c>
      <c r="K115" s="148">
        <v>5245</v>
      </c>
    </row>
    <row r="116" spans="1:11" ht="14.25" customHeight="1">
      <c r="A116" s="1004"/>
      <c r="B116" s="880" t="s">
        <v>644</v>
      </c>
      <c r="C116" s="148">
        <v>11</v>
      </c>
      <c r="D116" s="148">
        <v>19</v>
      </c>
      <c r="E116" s="148">
        <v>30</v>
      </c>
      <c r="F116" s="148"/>
      <c r="G116" s="148"/>
      <c r="H116" s="148"/>
      <c r="I116" s="148">
        <v>3225</v>
      </c>
      <c r="J116" s="148">
        <v>1970</v>
      </c>
      <c r="K116" s="148">
        <v>5195</v>
      </c>
    </row>
    <row r="117" spans="1:11" ht="14.25" customHeight="1">
      <c r="A117" s="1004"/>
      <c r="B117" s="880" t="s">
        <v>640</v>
      </c>
      <c r="C117" s="148">
        <v>0</v>
      </c>
      <c r="D117" s="148">
        <v>0</v>
      </c>
      <c r="E117" s="148">
        <v>0</v>
      </c>
      <c r="F117" s="148"/>
      <c r="G117" s="148"/>
      <c r="H117" s="148"/>
      <c r="I117" s="148">
        <v>2561</v>
      </c>
      <c r="J117" s="148">
        <v>1512</v>
      </c>
      <c r="K117" s="148">
        <v>4073</v>
      </c>
    </row>
    <row r="118" spans="1:11" ht="14.25" customHeight="1">
      <c r="A118" s="1004"/>
      <c r="B118" s="880" t="s">
        <v>935</v>
      </c>
      <c r="C118" s="148">
        <v>168</v>
      </c>
      <c r="D118" s="148">
        <v>76</v>
      </c>
      <c r="E118" s="148">
        <v>244</v>
      </c>
      <c r="F118" s="148">
        <v>0</v>
      </c>
      <c r="G118" s="148">
        <v>0</v>
      </c>
      <c r="H118" s="148">
        <v>0</v>
      </c>
      <c r="I118" s="148">
        <v>1491</v>
      </c>
      <c r="J118" s="148">
        <v>908</v>
      </c>
      <c r="K118" s="148">
        <v>2399</v>
      </c>
    </row>
    <row r="119" spans="1:11">
      <c r="A119" s="1004"/>
      <c r="B119" s="880" t="s">
        <v>645</v>
      </c>
      <c r="C119" s="148">
        <v>11</v>
      </c>
      <c r="D119" s="148">
        <v>8</v>
      </c>
      <c r="E119" s="148">
        <v>19</v>
      </c>
      <c r="F119" s="148"/>
      <c r="G119" s="148"/>
      <c r="H119" s="148"/>
      <c r="I119" s="148">
        <v>1521</v>
      </c>
      <c r="J119" s="148">
        <v>762</v>
      </c>
      <c r="K119" s="148">
        <v>2283</v>
      </c>
    </row>
    <row r="120" spans="1:11" ht="14.25" customHeight="1">
      <c r="A120" s="1004"/>
      <c r="B120" s="880" t="s">
        <v>250</v>
      </c>
      <c r="C120" s="148">
        <v>72</v>
      </c>
      <c r="D120" s="148">
        <v>119</v>
      </c>
      <c r="E120" s="148">
        <v>191</v>
      </c>
      <c r="F120" s="148"/>
      <c r="G120" s="148"/>
      <c r="H120" s="148"/>
      <c r="I120" s="148">
        <v>1394</v>
      </c>
      <c r="J120" s="148">
        <v>761</v>
      </c>
      <c r="K120" s="148">
        <v>2155</v>
      </c>
    </row>
    <row r="121" spans="1:11" ht="14.25" customHeight="1">
      <c r="A121" s="1004"/>
      <c r="B121" s="880" t="s">
        <v>648</v>
      </c>
      <c r="C121" s="148">
        <v>73</v>
      </c>
      <c r="D121" s="148">
        <v>42</v>
      </c>
      <c r="E121" s="148">
        <v>115</v>
      </c>
      <c r="F121" s="148"/>
      <c r="G121" s="148"/>
      <c r="H121" s="148"/>
      <c r="I121" s="148">
        <v>702</v>
      </c>
      <c r="J121" s="148">
        <v>319</v>
      </c>
      <c r="K121" s="148">
        <v>1021</v>
      </c>
    </row>
    <row r="122" spans="1:11" ht="28">
      <c r="A122" s="1004"/>
      <c r="B122" s="888" t="s">
        <v>936</v>
      </c>
      <c r="C122" s="151"/>
      <c r="D122" s="151"/>
      <c r="E122" s="151"/>
      <c r="F122" s="151"/>
      <c r="G122" s="151"/>
      <c r="H122" s="151"/>
      <c r="I122" s="151">
        <v>230</v>
      </c>
      <c r="J122" s="151">
        <v>161</v>
      </c>
      <c r="K122" s="151">
        <v>391</v>
      </c>
    </row>
    <row r="123" spans="1:11">
      <c r="A123" s="1004"/>
      <c r="B123" s="880" t="s">
        <v>646</v>
      </c>
      <c r="C123" s="148"/>
      <c r="D123" s="148"/>
      <c r="E123" s="148"/>
      <c r="F123" s="148"/>
      <c r="G123" s="148"/>
      <c r="H123" s="148"/>
      <c r="I123" s="148">
        <v>204</v>
      </c>
      <c r="J123" s="148">
        <v>134</v>
      </c>
      <c r="K123" s="148">
        <v>338</v>
      </c>
    </row>
    <row r="124" spans="1:11" ht="14.25" customHeight="1">
      <c r="A124" s="1004"/>
      <c r="B124" s="880" t="s">
        <v>937</v>
      </c>
      <c r="C124" s="148"/>
      <c r="D124" s="148"/>
      <c r="E124" s="148"/>
      <c r="F124" s="148"/>
      <c r="G124" s="148"/>
      <c r="H124" s="148"/>
      <c r="I124" s="148">
        <v>139</v>
      </c>
      <c r="J124" s="148">
        <v>135</v>
      </c>
      <c r="K124" s="148">
        <v>274</v>
      </c>
    </row>
    <row r="125" spans="1:11" ht="14.25" customHeight="1">
      <c r="A125" s="1004"/>
      <c r="B125" s="880" t="s">
        <v>938</v>
      </c>
      <c r="C125" s="148"/>
      <c r="D125" s="148"/>
      <c r="E125" s="148"/>
      <c r="F125" s="148"/>
      <c r="G125" s="148"/>
      <c r="H125" s="148"/>
      <c r="I125" s="148">
        <v>38</v>
      </c>
      <c r="J125" s="148">
        <v>1</v>
      </c>
      <c r="K125" s="148">
        <v>39</v>
      </c>
    </row>
    <row r="126" spans="1:11" ht="14.25" customHeight="1">
      <c r="A126" s="1005"/>
      <c r="B126" s="881" t="s">
        <v>939</v>
      </c>
      <c r="C126" s="148"/>
      <c r="D126" s="148"/>
      <c r="E126" s="148"/>
      <c r="F126" s="148"/>
      <c r="G126" s="148"/>
      <c r="H126" s="148"/>
      <c r="I126" s="148">
        <v>1</v>
      </c>
      <c r="J126" s="148">
        <v>2</v>
      </c>
      <c r="K126" s="148">
        <v>3</v>
      </c>
    </row>
    <row r="127" spans="1:11">
      <c r="A127" s="495" t="s">
        <v>649</v>
      </c>
      <c r="B127" s="893"/>
      <c r="C127" s="150">
        <v>6495</v>
      </c>
      <c r="D127" s="150">
        <v>5646</v>
      </c>
      <c r="E127" s="150">
        <v>12141</v>
      </c>
      <c r="F127" s="150">
        <v>119</v>
      </c>
      <c r="G127" s="150">
        <v>107</v>
      </c>
      <c r="H127" s="150">
        <v>226</v>
      </c>
      <c r="I127" s="150">
        <v>390256</v>
      </c>
      <c r="J127" s="150">
        <v>295745</v>
      </c>
      <c r="K127" s="150">
        <v>686001</v>
      </c>
    </row>
    <row r="128" spans="1:11">
      <c r="A128" s="274" t="s">
        <v>590</v>
      </c>
      <c r="B128" s="884"/>
      <c r="C128" s="148">
        <v>227</v>
      </c>
      <c r="D128" s="148">
        <v>269</v>
      </c>
      <c r="E128" s="148">
        <v>496</v>
      </c>
      <c r="F128" s="148">
        <v>3</v>
      </c>
      <c r="G128" s="148">
        <v>15</v>
      </c>
      <c r="H128" s="148">
        <v>18</v>
      </c>
      <c r="I128" s="148">
        <v>376</v>
      </c>
      <c r="J128" s="148">
        <v>702</v>
      </c>
      <c r="K128" s="148">
        <v>1078</v>
      </c>
    </row>
    <row r="129" spans="1:11" ht="15" customHeight="1">
      <c r="A129" s="1003" t="s">
        <v>557</v>
      </c>
      <c r="B129" s="888" t="s">
        <v>268</v>
      </c>
      <c r="C129" s="148">
        <v>2203</v>
      </c>
      <c r="D129" s="148">
        <v>1789</v>
      </c>
      <c r="E129" s="148">
        <v>3992</v>
      </c>
      <c r="F129" s="148"/>
      <c r="G129" s="148"/>
      <c r="H129" s="148"/>
      <c r="I129" s="148">
        <v>30321</v>
      </c>
      <c r="J129" s="148">
        <v>42117</v>
      </c>
      <c r="K129" s="148">
        <v>72438</v>
      </c>
    </row>
    <row r="130" spans="1:11" ht="14.25" customHeight="1">
      <c r="A130" s="1004"/>
      <c r="B130" s="888" t="s">
        <v>76</v>
      </c>
      <c r="C130" s="148">
        <v>154</v>
      </c>
      <c r="D130" s="148">
        <v>641</v>
      </c>
      <c r="E130" s="148">
        <v>795</v>
      </c>
      <c r="F130" s="148">
        <v>8</v>
      </c>
      <c r="G130" s="148">
        <v>42</v>
      </c>
      <c r="H130" s="148">
        <v>50</v>
      </c>
      <c r="I130" s="148">
        <v>3344</v>
      </c>
      <c r="J130" s="148">
        <v>12777</v>
      </c>
      <c r="K130" s="148">
        <v>16121</v>
      </c>
    </row>
    <row r="131" spans="1:11" ht="14.25" customHeight="1">
      <c r="A131" s="1004"/>
      <c r="B131" s="888" t="s">
        <v>559</v>
      </c>
      <c r="C131" s="148">
        <v>331</v>
      </c>
      <c r="D131" s="148">
        <v>364</v>
      </c>
      <c r="E131" s="148">
        <v>695</v>
      </c>
      <c r="F131" s="148"/>
      <c r="G131" s="148"/>
      <c r="H131" s="148"/>
      <c r="I131" s="148">
        <v>5012</v>
      </c>
      <c r="J131" s="148">
        <v>10867</v>
      </c>
      <c r="K131" s="148">
        <v>15879</v>
      </c>
    </row>
    <row r="132" spans="1:11" ht="14.25" customHeight="1">
      <c r="A132" s="1004"/>
      <c r="B132" s="880" t="s">
        <v>558</v>
      </c>
      <c r="C132" s="148">
        <v>257</v>
      </c>
      <c r="D132" s="148">
        <v>194</v>
      </c>
      <c r="E132" s="148">
        <v>451</v>
      </c>
      <c r="F132" s="148">
        <v>0</v>
      </c>
      <c r="G132" s="148">
        <v>14</v>
      </c>
      <c r="H132" s="148">
        <v>14</v>
      </c>
      <c r="I132" s="148">
        <v>6995</v>
      </c>
      <c r="J132" s="148">
        <v>4273</v>
      </c>
      <c r="K132" s="148">
        <v>11268</v>
      </c>
    </row>
    <row r="133" spans="1:11" ht="14.25" customHeight="1">
      <c r="A133" s="1004"/>
      <c r="B133" s="880" t="s">
        <v>564</v>
      </c>
      <c r="C133" s="148">
        <v>890</v>
      </c>
      <c r="D133" s="148">
        <v>918</v>
      </c>
      <c r="E133" s="148">
        <v>1808</v>
      </c>
      <c r="F133" s="148">
        <v>10</v>
      </c>
      <c r="G133" s="148">
        <v>48</v>
      </c>
      <c r="H133" s="148">
        <v>58</v>
      </c>
      <c r="I133" s="148">
        <v>4658</v>
      </c>
      <c r="J133" s="148">
        <v>4933</v>
      </c>
      <c r="K133" s="148">
        <v>9591</v>
      </c>
    </row>
    <row r="134" spans="1:11" ht="14.25" customHeight="1">
      <c r="A134" s="1004"/>
      <c r="B134" s="880" t="s">
        <v>661</v>
      </c>
      <c r="C134" s="148">
        <v>101</v>
      </c>
      <c r="D134" s="148">
        <v>176</v>
      </c>
      <c r="E134" s="148">
        <v>277</v>
      </c>
      <c r="F134" s="148">
        <v>2</v>
      </c>
      <c r="G134" s="148">
        <v>10</v>
      </c>
      <c r="H134" s="148">
        <v>12</v>
      </c>
      <c r="I134" s="148">
        <v>2621</v>
      </c>
      <c r="J134" s="148">
        <v>6524</v>
      </c>
      <c r="K134" s="148">
        <v>9145</v>
      </c>
    </row>
    <row r="135" spans="1:11" ht="14.25" customHeight="1">
      <c r="A135" s="1004"/>
      <c r="B135" s="888" t="s">
        <v>560</v>
      </c>
      <c r="C135" s="151">
        <v>462</v>
      </c>
      <c r="D135" s="151">
        <v>426</v>
      </c>
      <c r="E135" s="151">
        <v>888</v>
      </c>
      <c r="F135" s="151">
        <v>1</v>
      </c>
      <c r="G135" s="151">
        <v>5</v>
      </c>
      <c r="H135" s="151">
        <v>6</v>
      </c>
      <c r="I135" s="151">
        <v>3284</v>
      </c>
      <c r="J135" s="151">
        <v>5672</v>
      </c>
      <c r="K135" s="151">
        <v>8956</v>
      </c>
    </row>
    <row r="136" spans="1:11" ht="14.25" customHeight="1">
      <c r="A136" s="1004"/>
      <c r="B136" s="888" t="s">
        <v>557</v>
      </c>
      <c r="C136" s="148">
        <v>563</v>
      </c>
      <c r="D136" s="148">
        <v>724</v>
      </c>
      <c r="E136" s="148">
        <v>1287</v>
      </c>
      <c r="F136" s="148">
        <v>4</v>
      </c>
      <c r="G136" s="148">
        <v>29</v>
      </c>
      <c r="H136" s="148">
        <v>33</v>
      </c>
      <c r="I136" s="148">
        <v>3705</v>
      </c>
      <c r="J136" s="148">
        <v>4809</v>
      </c>
      <c r="K136" s="148">
        <v>8514</v>
      </c>
    </row>
    <row r="137" spans="1:11" ht="14.25" customHeight="1">
      <c r="A137" s="1004"/>
      <c r="B137" s="888" t="s">
        <v>269</v>
      </c>
      <c r="C137" s="148">
        <v>173</v>
      </c>
      <c r="D137" s="148">
        <v>205</v>
      </c>
      <c r="E137" s="148">
        <v>378</v>
      </c>
      <c r="F137" s="148"/>
      <c r="G137" s="148"/>
      <c r="H137" s="148"/>
      <c r="I137" s="148">
        <v>2463</v>
      </c>
      <c r="J137" s="148">
        <v>5662</v>
      </c>
      <c r="K137" s="148">
        <v>8125</v>
      </c>
    </row>
    <row r="138" spans="1:11" ht="14.25" customHeight="1">
      <c r="A138" s="1004"/>
      <c r="B138" s="888" t="s">
        <v>569</v>
      </c>
      <c r="C138" s="148">
        <v>11</v>
      </c>
      <c r="D138" s="148">
        <v>1</v>
      </c>
      <c r="E138" s="148">
        <v>12</v>
      </c>
      <c r="F138" s="148"/>
      <c r="G138" s="148"/>
      <c r="H138" s="148"/>
      <c r="I138" s="148">
        <v>4741</v>
      </c>
      <c r="J138" s="148">
        <v>2096</v>
      </c>
      <c r="K138" s="148">
        <v>6837</v>
      </c>
    </row>
    <row r="139" spans="1:11" ht="14.25" customHeight="1">
      <c r="A139" s="1004"/>
      <c r="B139" s="889" t="s">
        <v>665</v>
      </c>
      <c r="C139" s="154">
        <v>144</v>
      </c>
      <c r="D139" s="154">
        <v>208</v>
      </c>
      <c r="E139" s="154">
        <v>352</v>
      </c>
      <c r="F139" s="154">
        <v>2</v>
      </c>
      <c r="G139" s="154">
        <v>6</v>
      </c>
      <c r="H139" s="154">
        <v>8</v>
      </c>
      <c r="I139" s="154">
        <v>1950</v>
      </c>
      <c r="J139" s="154">
        <v>3924</v>
      </c>
      <c r="K139" s="154">
        <v>5874</v>
      </c>
    </row>
    <row r="140" spans="1:11" ht="14.25" customHeight="1">
      <c r="A140" s="1004"/>
      <c r="B140" s="898" t="s">
        <v>650</v>
      </c>
      <c r="C140" s="137">
        <v>22</v>
      </c>
      <c r="D140" s="137">
        <v>22</v>
      </c>
      <c r="E140" s="137">
        <v>44</v>
      </c>
      <c r="F140" s="137"/>
      <c r="G140" s="137"/>
      <c r="H140" s="137"/>
      <c r="I140" s="137">
        <v>2537</v>
      </c>
      <c r="J140" s="137">
        <v>3152</v>
      </c>
      <c r="K140" s="137">
        <v>5689</v>
      </c>
    </row>
    <row r="141" spans="1:11" ht="14.25" customHeight="1">
      <c r="A141" s="1004"/>
      <c r="B141" s="898" t="s">
        <v>651</v>
      </c>
      <c r="C141" s="155">
        <v>1</v>
      </c>
      <c r="D141" s="155">
        <v>10</v>
      </c>
      <c r="E141" s="155">
        <v>11</v>
      </c>
      <c r="F141" s="155"/>
      <c r="G141" s="155"/>
      <c r="H141" s="155"/>
      <c r="I141" s="155">
        <v>697</v>
      </c>
      <c r="J141" s="155">
        <v>3895</v>
      </c>
      <c r="K141" s="155">
        <v>4592</v>
      </c>
    </row>
    <row r="142" spans="1:11" ht="14.25" customHeight="1">
      <c r="A142" s="1004"/>
      <c r="B142" s="889" t="s">
        <v>652</v>
      </c>
      <c r="C142" s="155">
        <v>65</v>
      </c>
      <c r="D142" s="155">
        <v>27</v>
      </c>
      <c r="E142" s="155">
        <v>92</v>
      </c>
      <c r="F142" s="155"/>
      <c r="G142" s="155"/>
      <c r="H142" s="155"/>
      <c r="I142" s="155">
        <v>2000</v>
      </c>
      <c r="J142" s="155">
        <v>2380</v>
      </c>
      <c r="K142" s="155">
        <v>4380</v>
      </c>
    </row>
    <row r="143" spans="1:11" ht="14.25" customHeight="1">
      <c r="A143" s="1004"/>
      <c r="B143" s="889" t="s">
        <v>568</v>
      </c>
      <c r="C143" s="155">
        <v>5</v>
      </c>
      <c r="D143" s="155">
        <v>15</v>
      </c>
      <c r="E143" s="155">
        <v>20</v>
      </c>
      <c r="F143" s="155"/>
      <c r="G143" s="155"/>
      <c r="H143" s="155"/>
      <c r="I143" s="155">
        <v>1001</v>
      </c>
      <c r="J143" s="155">
        <v>2647</v>
      </c>
      <c r="K143" s="155">
        <v>3648</v>
      </c>
    </row>
    <row r="144" spans="1:11" ht="14.25" customHeight="1">
      <c r="A144" s="1004" t="s">
        <v>557</v>
      </c>
      <c r="B144" s="888" t="s">
        <v>653</v>
      </c>
      <c r="C144" s="155">
        <v>18</v>
      </c>
      <c r="D144" s="155">
        <v>0</v>
      </c>
      <c r="E144" s="155">
        <v>18</v>
      </c>
      <c r="F144" s="155"/>
      <c r="G144" s="155"/>
      <c r="H144" s="155"/>
      <c r="I144" s="155">
        <v>3358</v>
      </c>
      <c r="J144" s="155">
        <v>273</v>
      </c>
      <c r="K144" s="155">
        <v>3631</v>
      </c>
    </row>
    <row r="145" spans="1:11" s="152" customFormat="1">
      <c r="A145" s="1004"/>
      <c r="B145" s="889" t="s">
        <v>656</v>
      </c>
      <c r="C145" s="155">
        <v>91</v>
      </c>
      <c r="D145" s="155">
        <v>94</v>
      </c>
      <c r="E145" s="155">
        <v>185</v>
      </c>
      <c r="F145" s="155">
        <v>7</v>
      </c>
      <c r="G145" s="155">
        <v>10</v>
      </c>
      <c r="H145" s="155">
        <v>17</v>
      </c>
      <c r="I145" s="155">
        <v>1115</v>
      </c>
      <c r="J145" s="155">
        <v>2368</v>
      </c>
      <c r="K145" s="155">
        <v>3483</v>
      </c>
    </row>
    <row r="146" spans="1:11" ht="14.25" customHeight="1">
      <c r="A146" s="1004"/>
      <c r="B146" s="889" t="s">
        <v>655</v>
      </c>
      <c r="C146" s="137">
        <v>52</v>
      </c>
      <c r="D146" s="137">
        <v>55</v>
      </c>
      <c r="E146" s="137">
        <v>107</v>
      </c>
      <c r="F146" s="155">
        <v>6</v>
      </c>
      <c r="G146" s="155">
        <v>6</v>
      </c>
      <c r="H146" s="155">
        <v>12</v>
      </c>
      <c r="I146" s="137">
        <v>1332</v>
      </c>
      <c r="J146" s="137">
        <v>2037</v>
      </c>
      <c r="K146" s="137">
        <v>3369</v>
      </c>
    </row>
    <row r="147" spans="1:11" ht="14.25" customHeight="1">
      <c r="A147" s="1004"/>
      <c r="B147" s="899" t="s">
        <v>563</v>
      </c>
      <c r="C147" s="137">
        <v>4</v>
      </c>
      <c r="D147" s="137">
        <v>6</v>
      </c>
      <c r="E147" s="137">
        <v>10</v>
      </c>
      <c r="F147" s="137"/>
      <c r="G147" s="137"/>
      <c r="H147" s="137"/>
      <c r="I147" s="137">
        <v>966</v>
      </c>
      <c r="J147" s="137">
        <v>2222</v>
      </c>
      <c r="K147" s="137">
        <v>3188</v>
      </c>
    </row>
    <row r="148" spans="1:11" ht="14.25" customHeight="1">
      <c r="A148" s="1004"/>
      <c r="B148" s="899" t="s">
        <v>561</v>
      </c>
      <c r="C148" s="137">
        <v>123</v>
      </c>
      <c r="D148" s="137">
        <v>63</v>
      </c>
      <c r="E148" s="137">
        <v>186</v>
      </c>
      <c r="F148" s="137"/>
      <c r="G148" s="137"/>
      <c r="H148" s="137"/>
      <c r="I148" s="137">
        <v>956</v>
      </c>
      <c r="J148" s="137">
        <v>2013</v>
      </c>
      <c r="K148" s="137">
        <v>2969</v>
      </c>
    </row>
    <row r="149" spans="1:11" ht="14.25" customHeight="1">
      <c r="A149" s="1004"/>
      <c r="B149" s="889" t="s">
        <v>654</v>
      </c>
      <c r="C149" s="137">
        <v>29</v>
      </c>
      <c r="D149" s="137">
        <v>8</v>
      </c>
      <c r="E149" s="137">
        <v>37</v>
      </c>
      <c r="F149" s="137"/>
      <c r="G149" s="137"/>
      <c r="H149" s="137"/>
      <c r="I149" s="137">
        <v>1638</v>
      </c>
      <c r="J149" s="137">
        <v>1296</v>
      </c>
      <c r="K149" s="137">
        <v>2934</v>
      </c>
    </row>
    <row r="150" spans="1:11" ht="14.25" customHeight="1">
      <c r="A150" s="1004"/>
      <c r="B150" s="889" t="s">
        <v>657</v>
      </c>
      <c r="C150" s="137">
        <v>8</v>
      </c>
      <c r="D150" s="137">
        <v>5</v>
      </c>
      <c r="E150" s="137">
        <v>13</v>
      </c>
      <c r="F150" s="137"/>
      <c r="G150" s="137"/>
      <c r="H150" s="137"/>
      <c r="I150" s="137">
        <v>790</v>
      </c>
      <c r="J150" s="137">
        <v>1057</v>
      </c>
      <c r="K150" s="137">
        <v>1847</v>
      </c>
    </row>
    <row r="151" spans="1:11" ht="14.25" customHeight="1">
      <c r="A151" s="1004"/>
      <c r="B151" s="898" t="s">
        <v>660</v>
      </c>
      <c r="C151" s="137">
        <v>0</v>
      </c>
      <c r="D151" s="137">
        <v>0</v>
      </c>
      <c r="E151" s="137">
        <v>0</v>
      </c>
      <c r="F151" s="137"/>
      <c r="G151" s="137"/>
      <c r="H151" s="137"/>
      <c r="I151" s="137">
        <v>540</v>
      </c>
      <c r="J151" s="137">
        <v>1146</v>
      </c>
      <c r="K151" s="137">
        <v>1686</v>
      </c>
    </row>
    <row r="152" spans="1:11" ht="14.25" customHeight="1">
      <c r="A152" s="1004"/>
      <c r="B152" s="898" t="s">
        <v>658</v>
      </c>
      <c r="C152" s="137">
        <v>26</v>
      </c>
      <c r="D152" s="137">
        <v>24</v>
      </c>
      <c r="E152" s="137">
        <v>50</v>
      </c>
      <c r="F152" s="137">
        <v>8</v>
      </c>
      <c r="G152" s="137">
        <v>91</v>
      </c>
      <c r="H152" s="137">
        <v>99</v>
      </c>
      <c r="I152" s="137">
        <v>653</v>
      </c>
      <c r="J152" s="137">
        <v>1000</v>
      </c>
      <c r="K152" s="137">
        <v>1653</v>
      </c>
    </row>
    <row r="153" spans="1:11" ht="14.25" customHeight="1">
      <c r="A153" s="1004"/>
      <c r="B153" s="889" t="s">
        <v>570</v>
      </c>
      <c r="C153" s="137">
        <v>36</v>
      </c>
      <c r="D153" s="137">
        <v>24</v>
      </c>
      <c r="E153" s="137">
        <v>60</v>
      </c>
      <c r="F153" s="137"/>
      <c r="G153" s="137"/>
      <c r="H153" s="137"/>
      <c r="I153" s="137">
        <v>358</v>
      </c>
      <c r="J153" s="137">
        <v>681</v>
      </c>
      <c r="K153" s="137">
        <v>1039</v>
      </c>
    </row>
    <row r="154" spans="1:11" ht="14.25" customHeight="1">
      <c r="A154" s="1004"/>
      <c r="B154" s="889" t="s">
        <v>659</v>
      </c>
      <c r="C154" s="137">
        <v>31</v>
      </c>
      <c r="D154" s="137">
        <v>41</v>
      </c>
      <c r="E154" s="137">
        <v>72</v>
      </c>
      <c r="F154" s="137">
        <v>1</v>
      </c>
      <c r="G154" s="137">
        <v>18</v>
      </c>
      <c r="H154" s="137">
        <v>19</v>
      </c>
      <c r="I154" s="137">
        <v>298</v>
      </c>
      <c r="J154" s="137">
        <v>335</v>
      </c>
      <c r="K154" s="137">
        <v>633</v>
      </c>
    </row>
    <row r="155" spans="1:11" ht="14.25" customHeight="1">
      <c r="A155" s="1004"/>
      <c r="B155" s="898" t="s">
        <v>662</v>
      </c>
      <c r="C155" s="137">
        <v>42</v>
      </c>
      <c r="D155" s="137">
        <v>52</v>
      </c>
      <c r="E155" s="137">
        <v>94</v>
      </c>
      <c r="F155" s="137"/>
      <c r="G155" s="137"/>
      <c r="H155" s="137"/>
      <c r="I155" s="137">
        <v>257</v>
      </c>
      <c r="J155" s="137">
        <v>283</v>
      </c>
      <c r="K155" s="137">
        <v>540</v>
      </c>
    </row>
    <row r="156" spans="1:11">
      <c r="A156" s="1004"/>
      <c r="B156" s="898" t="s">
        <v>664</v>
      </c>
      <c r="C156" s="137">
        <v>3</v>
      </c>
      <c r="D156" s="137">
        <v>7</v>
      </c>
      <c r="E156" s="137">
        <v>10</v>
      </c>
      <c r="F156" s="137"/>
      <c r="G156" s="137"/>
      <c r="H156" s="137"/>
      <c r="I156" s="137">
        <v>343</v>
      </c>
      <c r="J156" s="137">
        <v>172</v>
      </c>
      <c r="K156" s="137">
        <v>515</v>
      </c>
    </row>
    <row r="157" spans="1:11" ht="14.25" customHeight="1">
      <c r="A157" s="1004"/>
      <c r="B157" s="898" t="s">
        <v>565</v>
      </c>
      <c r="C157" s="137">
        <v>12</v>
      </c>
      <c r="D157" s="137">
        <v>13</v>
      </c>
      <c r="E157" s="137">
        <v>25</v>
      </c>
      <c r="F157" s="137"/>
      <c r="G157" s="137"/>
      <c r="H157" s="137"/>
      <c r="I157" s="137">
        <v>162</v>
      </c>
      <c r="J157" s="137">
        <v>338</v>
      </c>
      <c r="K157" s="137">
        <v>500</v>
      </c>
    </row>
    <row r="158" spans="1:11" ht="14.25" customHeight="1">
      <c r="A158" s="1004"/>
      <c r="B158" s="898" t="s">
        <v>663</v>
      </c>
      <c r="C158" s="137">
        <v>0</v>
      </c>
      <c r="D158" s="137">
        <v>0</v>
      </c>
      <c r="E158" s="137">
        <v>0</v>
      </c>
      <c r="F158" s="137"/>
      <c r="G158" s="137"/>
      <c r="H158" s="137"/>
      <c r="I158" s="137">
        <v>233</v>
      </c>
      <c r="J158" s="137">
        <v>259</v>
      </c>
      <c r="K158" s="137">
        <v>492</v>
      </c>
    </row>
    <row r="159" spans="1:11" ht="14.25" customHeight="1">
      <c r="A159" s="1004"/>
      <c r="B159" s="898" t="s">
        <v>667</v>
      </c>
      <c r="C159" s="137">
        <v>3</v>
      </c>
      <c r="D159" s="137">
        <v>0</v>
      </c>
      <c r="E159" s="137">
        <v>3</v>
      </c>
      <c r="F159" s="137"/>
      <c r="G159" s="137"/>
      <c r="H159" s="137"/>
      <c r="I159" s="137">
        <v>190</v>
      </c>
      <c r="J159" s="137">
        <v>164</v>
      </c>
      <c r="K159" s="137">
        <v>354</v>
      </c>
    </row>
    <row r="160" spans="1:11" ht="14.25" customHeight="1">
      <c r="A160" s="1004"/>
      <c r="B160" s="898" t="s">
        <v>562</v>
      </c>
      <c r="C160" s="137"/>
      <c r="D160" s="137"/>
      <c r="E160" s="137"/>
      <c r="F160" s="137"/>
      <c r="G160" s="137"/>
      <c r="H160" s="137"/>
      <c r="I160" s="137">
        <v>120</v>
      </c>
      <c r="J160" s="137">
        <v>217</v>
      </c>
      <c r="K160" s="137">
        <v>337</v>
      </c>
    </row>
    <row r="161" spans="1:11" ht="14.25" customHeight="1">
      <c r="A161" s="1004"/>
      <c r="B161" s="898" t="s">
        <v>673</v>
      </c>
      <c r="C161" s="137">
        <v>7</v>
      </c>
      <c r="D161" s="137">
        <v>6</v>
      </c>
      <c r="E161" s="137">
        <v>13</v>
      </c>
      <c r="F161" s="137"/>
      <c r="G161" s="137"/>
      <c r="H161" s="137"/>
      <c r="I161" s="137">
        <v>47</v>
      </c>
      <c r="J161" s="137">
        <v>269</v>
      </c>
      <c r="K161" s="137">
        <v>316</v>
      </c>
    </row>
    <row r="162" spans="1:11" ht="14.25" customHeight="1">
      <c r="A162" s="1004"/>
      <c r="B162" s="898" t="s">
        <v>567</v>
      </c>
      <c r="C162" s="137"/>
      <c r="D162" s="137"/>
      <c r="E162" s="137"/>
      <c r="F162" s="137"/>
      <c r="G162" s="137"/>
      <c r="H162" s="137"/>
      <c r="I162" s="137">
        <v>135</v>
      </c>
      <c r="J162" s="137">
        <v>170</v>
      </c>
      <c r="K162" s="137">
        <v>305</v>
      </c>
    </row>
    <row r="163" spans="1:11" ht="14.25" customHeight="1">
      <c r="A163" s="1004"/>
      <c r="B163" s="898" t="s">
        <v>671</v>
      </c>
      <c r="C163" s="137">
        <v>7</v>
      </c>
      <c r="D163" s="137">
        <v>6</v>
      </c>
      <c r="E163" s="137">
        <v>13</v>
      </c>
      <c r="F163" s="137"/>
      <c r="G163" s="137"/>
      <c r="H163" s="137"/>
      <c r="I163" s="137">
        <v>177</v>
      </c>
      <c r="J163" s="137">
        <v>102</v>
      </c>
      <c r="K163" s="137">
        <v>279</v>
      </c>
    </row>
    <row r="164" spans="1:11" ht="14.25" customHeight="1">
      <c r="A164" s="1004"/>
      <c r="B164" s="898" t="s">
        <v>669</v>
      </c>
      <c r="C164" s="137">
        <v>99</v>
      </c>
      <c r="D164" s="137">
        <v>47</v>
      </c>
      <c r="E164" s="137">
        <v>146</v>
      </c>
      <c r="F164" s="137"/>
      <c r="G164" s="137"/>
      <c r="H164" s="137"/>
      <c r="I164" s="137">
        <v>142</v>
      </c>
      <c r="J164" s="137">
        <v>103</v>
      </c>
      <c r="K164" s="137">
        <v>245</v>
      </c>
    </row>
    <row r="165" spans="1:11" ht="14.25" customHeight="1">
      <c r="A165" s="1004"/>
      <c r="B165" s="899" t="s">
        <v>668</v>
      </c>
      <c r="C165" s="137">
        <v>160</v>
      </c>
      <c r="D165" s="137">
        <v>21</v>
      </c>
      <c r="E165" s="137">
        <v>181</v>
      </c>
      <c r="F165" s="137"/>
      <c r="G165" s="137"/>
      <c r="H165" s="137"/>
      <c r="I165" s="137">
        <v>190</v>
      </c>
      <c r="J165" s="137">
        <v>44</v>
      </c>
      <c r="K165" s="137">
        <v>234</v>
      </c>
    </row>
    <row r="166" spans="1:11" ht="14.25" customHeight="1">
      <c r="A166" s="1004"/>
      <c r="B166" s="898" t="s">
        <v>670</v>
      </c>
      <c r="C166" s="137">
        <v>192</v>
      </c>
      <c r="D166" s="137">
        <v>48</v>
      </c>
      <c r="E166" s="137">
        <v>240</v>
      </c>
      <c r="F166" s="137"/>
      <c r="G166" s="137"/>
      <c r="H166" s="137"/>
      <c r="I166" s="137">
        <v>131</v>
      </c>
      <c r="J166" s="137">
        <v>87</v>
      </c>
      <c r="K166" s="137">
        <v>218</v>
      </c>
    </row>
    <row r="167" spans="1:11" ht="14.25" customHeight="1">
      <c r="A167" s="1004"/>
      <c r="B167" s="898" t="s">
        <v>666</v>
      </c>
      <c r="C167" s="137">
        <v>4</v>
      </c>
      <c r="D167" s="137">
        <v>17</v>
      </c>
      <c r="E167" s="137">
        <v>21</v>
      </c>
      <c r="F167" s="137"/>
      <c r="G167" s="137"/>
      <c r="H167" s="137"/>
      <c r="I167" s="137">
        <v>57</v>
      </c>
      <c r="J167" s="137">
        <v>114</v>
      </c>
      <c r="K167" s="137">
        <v>171</v>
      </c>
    </row>
    <row r="168" spans="1:11" ht="14.25" customHeight="1">
      <c r="A168" s="1004"/>
      <c r="B168" s="898" t="s">
        <v>674</v>
      </c>
      <c r="C168" s="137">
        <v>3</v>
      </c>
      <c r="D168" s="137">
        <v>0</v>
      </c>
      <c r="E168" s="137">
        <v>3</v>
      </c>
      <c r="F168" s="137"/>
      <c r="G168" s="137"/>
      <c r="H168" s="137"/>
      <c r="I168" s="137">
        <v>47</v>
      </c>
      <c r="J168" s="137">
        <v>111</v>
      </c>
      <c r="K168" s="137">
        <v>158</v>
      </c>
    </row>
    <row r="169" spans="1:11" ht="14.25" customHeight="1">
      <c r="A169" s="1004"/>
      <c r="B169" s="898" t="s">
        <v>672</v>
      </c>
      <c r="C169" s="137">
        <v>121</v>
      </c>
      <c r="D169" s="137">
        <v>8</v>
      </c>
      <c r="E169" s="137">
        <v>129</v>
      </c>
      <c r="F169" s="137"/>
      <c r="G169" s="137"/>
      <c r="H169" s="137"/>
      <c r="I169" s="137">
        <v>128</v>
      </c>
      <c r="J169" s="137">
        <v>18</v>
      </c>
      <c r="K169" s="137">
        <v>146</v>
      </c>
    </row>
    <row r="170" spans="1:11" ht="14.25" customHeight="1">
      <c r="A170" s="1004"/>
      <c r="B170" s="898" t="s">
        <v>675</v>
      </c>
      <c r="C170" s="137">
        <v>102</v>
      </c>
      <c r="D170" s="137">
        <v>17</v>
      </c>
      <c r="E170" s="137">
        <v>119</v>
      </c>
      <c r="F170" s="137"/>
      <c r="G170" s="137"/>
      <c r="H170" s="137"/>
      <c r="I170" s="137">
        <v>128</v>
      </c>
      <c r="J170" s="137">
        <v>10</v>
      </c>
      <c r="K170" s="137">
        <v>138</v>
      </c>
    </row>
    <row r="171" spans="1:11" ht="14.25" customHeight="1">
      <c r="A171" s="1004"/>
      <c r="B171" s="898" t="s">
        <v>676</v>
      </c>
      <c r="C171" s="137">
        <v>57</v>
      </c>
      <c r="D171" s="137">
        <v>19</v>
      </c>
      <c r="E171" s="137">
        <v>76</v>
      </c>
      <c r="F171" s="137"/>
      <c r="G171" s="137"/>
      <c r="H171" s="137"/>
      <c r="I171" s="137">
        <v>84</v>
      </c>
      <c r="J171" s="137">
        <v>20</v>
      </c>
      <c r="K171" s="137">
        <v>104</v>
      </c>
    </row>
    <row r="172" spans="1:11" ht="14.25" customHeight="1">
      <c r="A172" s="1004"/>
      <c r="B172" s="898" t="s">
        <v>679</v>
      </c>
      <c r="C172" s="137">
        <v>54</v>
      </c>
      <c r="D172" s="137">
        <v>23</v>
      </c>
      <c r="E172" s="137">
        <v>77</v>
      </c>
      <c r="F172" s="137"/>
      <c r="G172" s="137"/>
      <c r="H172" s="137"/>
      <c r="I172" s="137">
        <v>61</v>
      </c>
      <c r="J172" s="137">
        <v>26</v>
      </c>
      <c r="K172" s="137">
        <v>87</v>
      </c>
    </row>
    <row r="173" spans="1:11" ht="14.25" customHeight="1">
      <c r="A173" s="1004"/>
      <c r="B173" s="889" t="s">
        <v>677</v>
      </c>
      <c r="C173" s="137">
        <v>30</v>
      </c>
      <c r="D173" s="137">
        <v>24</v>
      </c>
      <c r="E173" s="137">
        <v>54</v>
      </c>
      <c r="F173" s="137"/>
      <c r="G173" s="137"/>
      <c r="H173" s="137"/>
      <c r="I173" s="137">
        <v>46</v>
      </c>
      <c r="J173" s="137">
        <v>22</v>
      </c>
      <c r="K173" s="137">
        <v>68</v>
      </c>
    </row>
    <row r="174" spans="1:11" ht="14.25" customHeight="1">
      <c r="A174" s="1004"/>
      <c r="B174" s="898" t="s">
        <v>678</v>
      </c>
      <c r="C174" s="137">
        <v>3</v>
      </c>
      <c r="D174" s="137">
        <v>3</v>
      </c>
      <c r="E174" s="137">
        <v>6</v>
      </c>
      <c r="F174" s="137">
        <v>1</v>
      </c>
      <c r="G174" s="137">
        <v>2</v>
      </c>
      <c r="H174" s="137">
        <v>3</v>
      </c>
      <c r="I174" s="137">
        <v>21</v>
      </c>
      <c r="J174" s="137">
        <v>3</v>
      </c>
      <c r="K174" s="137">
        <v>24</v>
      </c>
    </row>
    <row r="175" spans="1:11" ht="14.25" customHeight="1">
      <c r="A175" s="1004"/>
      <c r="B175" s="898" t="s">
        <v>680</v>
      </c>
      <c r="C175" s="137">
        <v>10</v>
      </c>
      <c r="D175" s="137">
        <v>3</v>
      </c>
      <c r="E175" s="137">
        <v>13</v>
      </c>
      <c r="F175" s="137"/>
      <c r="G175" s="137"/>
      <c r="H175" s="137"/>
      <c r="I175" s="137">
        <v>7</v>
      </c>
      <c r="J175" s="137">
        <v>1</v>
      </c>
      <c r="K175" s="137">
        <v>8</v>
      </c>
    </row>
    <row r="176" spans="1:11" ht="14.25" customHeight="1">
      <c r="A176" s="1005"/>
      <c r="B176" s="900" t="s">
        <v>940</v>
      </c>
      <c r="C176" s="137"/>
      <c r="D176" s="137"/>
      <c r="E176" s="137"/>
      <c r="F176" s="137"/>
      <c r="G176" s="137"/>
      <c r="H176" s="137"/>
      <c r="I176" s="137">
        <v>1</v>
      </c>
      <c r="J176" s="137">
        <v>1</v>
      </c>
      <c r="K176" s="137">
        <v>2</v>
      </c>
    </row>
    <row r="177" spans="1:11">
      <c r="A177" s="495" t="s">
        <v>571</v>
      </c>
      <c r="B177" s="901"/>
      <c r="C177" s="141">
        <v>6709</v>
      </c>
      <c r="D177" s="141">
        <v>6354</v>
      </c>
      <c r="E177" s="141">
        <v>13063</v>
      </c>
      <c r="F177" s="141">
        <v>50</v>
      </c>
      <c r="G177" s="141">
        <v>281</v>
      </c>
      <c r="H177" s="141">
        <v>331</v>
      </c>
      <c r="I177" s="141">
        <v>90040</v>
      </c>
      <c r="J177" s="141">
        <v>132690</v>
      </c>
      <c r="K177" s="141">
        <v>222730</v>
      </c>
    </row>
    <row r="178" spans="1:11" ht="15" customHeight="1">
      <c r="A178" s="1000" t="s">
        <v>251</v>
      </c>
      <c r="B178" s="902" t="s">
        <v>251</v>
      </c>
      <c r="C178" s="137">
        <v>652</v>
      </c>
      <c r="D178" s="137">
        <v>286</v>
      </c>
      <c r="E178" s="137">
        <v>938</v>
      </c>
      <c r="F178" s="137">
        <v>140</v>
      </c>
      <c r="G178" s="137">
        <v>173</v>
      </c>
      <c r="H178" s="137">
        <v>313</v>
      </c>
      <c r="I178" s="137">
        <v>12252</v>
      </c>
      <c r="J178" s="137">
        <v>8215</v>
      </c>
      <c r="K178" s="137">
        <v>20467</v>
      </c>
    </row>
    <row r="179" spans="1:11" ht="14.25" customHeight="1">
      <c r="A179" s="1002"/>
      <c r="B179" s="899" t="s">
        <v>941</v>
      </c>
      <c r="C179" s="137">
        <v>12</v>
      </c>
      <c r="D179" s="137">
        <v>6</v>
      </c>
      <c r="E179" s="137">
        <v>18</v>
      </c>
      <c r="F179" s="137">
        <v>8</v>
      </c>
      <c r="G179" s="137">
        <v>9</v>
      </c>
      <c r="H179" s="137">
        <v>17</v>
      </c>
      <c r="I179" s="137">
        <v>1060</v>
      </c>
      <c r="J179" s="137">
        <v>662</v>
      </c>
      <c r="K179" s="137">
        <v>1722</v>
      </c>
    </row>
    <row r="180" spans="1:11" ht="14.25" customHeight="1">
      <c r="A180" s="1002"/>
      <c r="B180" s="899" t="s">
        <v>682</v>
      </c>
      <c r="C180" s="137">
        <v>53</v>
      </c>
      <c r="D180" s="137">
        <v>9</v>
      </c>
      <c r="E180" s="137">
        <v>62</v>
      </c>
      <c r="F180" s="137">
        <v>20</v>
      </c>
      <c r="G180" s="137">
        <v>5</v>
      </c>
      <c r="H180" s="137">
        <v>25</v>
      </c>
      <c r="I180" s="137">
        <v>291</v>
      </c>
      <c r="J180" s="137">
        <v>47</v>
      </c>
      <c r="K180" s="137">
        <v>338</v>
      </c>
    </row>
    <row r="181" spans="1:11" ht="14.25" customHeight="1">
      <c r="A181" s="1002"/>
      <c r="B181" s="898" t="s">
        <v>681</v>
      </c>
      <c r="C181" s="137">
        <v>58</v>
      </c>
      <c r="D181" s="137">
        <v>7</v>
      </c>
      <c r="E181" s="137">
        <v>65</v>
      </c>
      <c r="F181" s="137">
        <v>7</v>
      </c>
      <c r="G181" s="137">
        <v>7</v>
      </c>
      <c r="H181" s="137">
        <v>14</v>
      </c>
      <c r="I181" s="137">
        <v>212</v>
      </c>
      <c r="J181" s="137">
        <v>93</v>
      </c>
      <c r="K181" s="137">
        <v>305</v>
      </c>
    </row>
    <row r="182" spans="1:11" ht="14.25" customHeight="1">
      <c r="A182" s="1002"/>
      <c r="B182" s="898" t="s">
        <v>709</v>
      </c>
      <c r="C182" s="137">
        <v>9</v>
      </c>
      <c r="D182" s="137">
        <v>3</v>
      </c>
      <c r="E182" s="137">
        <v>12</v>
      </c>
      <c r="F182" s="137">
        <v>2</v>
      </c>
      <c r="G182" s="137">
        <v>0</v>
      </c>
      <c r="H182" s="137">
        <v>2</v>
      </c>
      <c r="I182" s="137">
        <v>129</v>
      </c>
      <c r="J182" s="137">
        <v>148</v>
      </c>
      <c r="K182" s="137">
        <v>277</v>
      </c>
    </row>
    <row r="183" spans="1:11" ht="14.25" customHeight="1">
      <c r="A183" s="1001"/>
      <c r="B183" s="899" t="s">
        <v>586</v>
      </c>
      <c r="C183" s="137">
        <v>4</v>
      </c>
      <c r="D183" s="137">
        <v>3</v>
      </c>
      <c r="E183" s="137">
        <v>7</v>
      </c>
      <c r="F183" s="137"/>
      <c r="G183" s="137"/>
      <c r="H183" s="137"/>
      <c r="I183" s="137">
        <v>71</v>
      </c>
      <c r="J183" s="137">
        <v>40</v>
      </c>
      <c r="K183" s="137">
        <v>111</v>
      </c>
    </row>
    <row r="184" spans="1:11">
      <c r="A184" s="495" t="s">
        <v>683</v>
      </c>
      <c r="B184" s="901"/>
      <c r="C184" s="141">
        <v>788</v>
      </c>
      <c r="D184" s="141">
        <v>314</v>
      </c>
      <c r="E184" s="141">
        <v>1102</v>
      </c>
      <c r="F184" s="141">
        <v>177</v>
      </c>
      <c r="G184" s="141">
        <v>194</v>
      </c>
      <c r="H184" s="141">
        <v>371</v>
      </c>
      <c r="I184" s="141">
        <v>14015</v>
      </c>
      <c r="J184" s="141">
        <v>9205</v>
      </c>
      <c r="K184" s="141">
        <v>23220</v>
      </c>
    </row>
    <row r="185" spans="1:11">
      <c r="A185" s="1000" t="s">
        <v>582</v>
      </c>
      <c r="B185" s="899" t="s">
        <v>942</v>
      </c>
      <c r="C185" s="147"/>
      <c r="D185" s="147"/>
      <c r="E185" s="147"/>
      <c r="F185" s="147"/>
      <c r="G185" s="147"/>
      <c r="H185" s="147"/>
      <c r="I185" s="140">
        <v>553</v>
      </c>
      <c r="J185" s="140">
        <v>1551</v>
      </c>
      <c r="K185" s="140">
        <v>2104</v>
      </c>
    </row>
    <row r="186" spans="1:11" ht="14.25" customHeight="1">
      <c r="A186" s="1002"/>
      <c r="B186" s="898" t="s">
        <v>943</v>
      </c>
      <c r="C186" s="140"/>
      <c r="D186" s="140"/>
      <c r="E186" s="140"/>
      <c r="F186" s="140"/>
      <c r="G186" s="140"/>
      <c r="H186" s="140"/>
      <c r="I186" s="140">
        <v>296</v>
      </c>
      <c r="J186" s="140">
        <v>366</v>
      </c>
      <c r="K186" s="140">
        <v>662</v>
      </c>
    </row>
    <row r="187" spans="1:11">
      <c r="A187" s="1002"/>
      <c r="B187" s="889" t="s">
        <v>944</v>
      </c>
      <c r="C187" s="147"/>
      <c r="D187" s="147"/>
      <c r="E187" s="147"/>
      <c r="F187" s="147"/>
      <c r="G187" s="147"/>
      <c r="H187" s="147"/>
      <c r="I187" s="140">
        <v>77</v>
      </c>
      <c r="J187" s="140">
        <v>81</v>
      </c>
      <c r="K187" s="140">
        <v>158</v>
      </c>
    </row>
    <row r="188" spans="1:11" ht="14.25" customHeight="1">
      <c r="A188" s="1002"/>
      <c r="B188" s="889" t="s">
        <v>945</v>
      </c>
      <c r="C188" s="140"/>
      <c r="D188" s="140"/>
      <c r="E188" s="140"/>
      <c r="F188" s="140"/>
      <c r="G188" s="140"/>
      <c r="H188" s="140"/>
      <c r="I188" s="140">
        <v>14</v>
      </c>
      <c r="J188" s="140">
        <v>75</v>
      </c>
      <c r="K188" s="140">
        <v>89</v>
      </c>
    </row>
    <row r="189" spans="1:11" ht="14.25" customHeight="1">
      <c r="A189" s="1002"/>
      <c r="B189" s="898" t="s">
        <v>946</v>
      </c>
      <c r="C189" s="140"/>
      <c r="D189" s="140"/>
      <c r="E189" s="140"/>
      <c r="F189" s="140"/>
      <c r="G189" s="140"/>
      <c r="H189" s="140"/>
      <c r="I189" s="140">
        <v>56</v>
      </c>
      <c r="J189" s="140">
        <v>15</v>
      </c>
      <c r="K189" s="140">
        <v>71</v>
      </c>
    </row>
    <row r="190" spans="1:11" ht="14.25" customHeight="1">
      <c r="A190" s="1002"/>
      <c r="B190" s="898" t="s">
        <v>947</v>
      </c>
      <c r="C190" s="140"/>
      <c r="D190" s="140"/>
      <c r="E190" s="140"/>
      <c r="F190" s="140"/>
      <c r="G190" s="140"/>
      <c r="H190" s="140"/>
      <c r="I190" s="140">
        <v>28</v>
      </c>
      <c r="J190" s="140">
        <v>25</v>
      </c>
      <c r="K190" s="140">
        <v>53</v>
      </c>
    </row>
    <row r="191" spans="1:11" ht="14.25" customHeight="1">
      <c r="A191" s="1002"/>
      <c r="B191" s="889" t="s">
        <v>948</v>
      </c>
      <c r="C191" s="140"/>
      <c r="D191" s="140"/>
      <c r="E191" s="140"/>
      <c r="F191" s="140"/>
      <c r="G191" s="140"/>
      <c r="H191" s="140"/>
      <c r="I191" s="140">
        <v>20</v>
      </c>
      <c r="J191" s="140">
        <v>27</v>
      </c>
      <c r="K191" s="140">
        <v>47</v>
      </c>
    </row>
    <row r="192" spans="1:11" ht="14.25" customHeight="1">
      <c r="A192" s="1002"/>
      <c r="B192" s="889" t="s">
        <v>949</v>
      </c>
      <c r="C192" s="140"/>
      <c r="D192" s="140"/>
      <c r="E192" s="140"/>
      <c r="F192" s="140"/>
      <c r="G192" s="140"/>
      <c r="H192" s="140"/>
      <c r="I192" s="140">
        <v>17</v>
      </c>
      <c r="J192" s="140">
        <v>25</v>
      </c>
      <c r="K192" s="140">
        <v>42</v>
      </c>
    </row>
    <row r="193" spans="1:11" ht="14.25" customHeight="1">
      <c r="A193" s="1002"/>
      <c r="B193" s="889" t="s">
        <v>950</v>
      </c>
      <c r="C193" s="140"/>
      <c r="D193" s="140"/>
      <c r="E193" s="140"/>
      <c r="F193" s="140"/>
      <c r="G193" s="140"/>
      <c r="H193" s="140"/>
      <c r="I193" s="140">
        <v>1</v>
      </c>
      <c r="J193" s="140">
        <v>31</v>
      </c>
      <c r="K193" s="140">
        <v>32</v>
      </c>
    </row>
    <row r="194" spans="1:11" ht="14.25" customHeight="1">
      <c r="A194" s="1002"/>
      <c r="B194" s="898" t="s">
        <v>951</v>
      </c>
      <c r="C194" s="140"/>
      <c r="D194" s="140"/>
      <c r="E194" s="140"/>
      <c r="F194" s="140"/>
      <c r="G194" s="140"/>
      <c r="H194" s="140"/>
      <c r="I194" s="140">
        <v>21</v>
      </c>
      <c r="J194" s="140">
        <v>11</v>
      </c>
      <c r="K194" s="140">
        <v>32</v>
      </c>
    </row>
    <row r="195" spans="1:11" ht="28">
      <c r="A195" s="1002"/>
      <c r="B195" s="898" t="s">
        <v>952</v>
      </c>
      <c r="C195" s="140"/>
      <c r="D195" s="140"/>
      <c r="E195" s="140"/>
      <c r="F195" s="140"/>
      <c r="G195" s="140"/>
      <c r="H195" s="140"/>
      <c r="I195" s="140">
        <v>22</v>
      </c>
      <c r="J195" s="140">
        <v>4</v>
      </c>
      <c r="K195" s="140">
        <v>26</v>
      </c>
    </row>
    <row r="196" spans="1:11" ht="14.25" customHeight="1">
      <c r="A196" s="1002"/>
      <c r="B196" s="898" t="s">
        <v>953</v>
      </c>
      <c r="C196" s="140"/>
      <c r="D196" s="140"/>
      <c r="E196" s="140"/>
      <c r="F196" s="140"/>
      <c r="G196" s="140"/>
      <c r="H196" s="140"/>
      <c r="I196" s="140">
        <v>7</v>
      </c>
      <c r="J196" s="140">
        <v>12</v>
      </c>
      <c r="K196" s="140">
        <v>19</v>
      </c>
    </row>
    <row r="197" spans="1:11" ht="28">
      <c r="A197" s="1002"/>
      <c r="B197" s="898" t="s">
        <v>954</v>
      </c>
      <c r="C197" s="140"/>
      <c r="D197" s="140"/>
      <c r="E197" s="140"/>
      <c r="F197" s="140"/>
      <c r="G197" s="140"/>
      <c r="H197" s="140"/>
      <c r="I197" s="140">
        <v>11</v>
      </c>
      <c r="J197" s="140">
        <v>6</v>
      </c>
      <c r="K197" s="140">
        <v>17</v>
      </c>
    </row>
    <row r="198" spans="1:11">
      <c r="A198" s="1002"/>
      <c r="B198" s="898" t="s">
        <v>955</v>
      </c>
      <c r="C198" s="140"/>
      <c r="D198" s="140"/>
      <c r="E198" s="140"/>
      <c r="F198" s="140"/>
      <c r="G198" s="140"/>
      <c r="H198" s="140"/>
      <c r="I198" s="140">
        <v>3</v>
      </c>
      <c r="J198" s="140">
        <v>13</v>
      </c>
      <c r="K198" s="140">
        <v>16</v>
      </c>
    </row>
    <row r="199" spans="1:11" ht="14.25" customHeight="1">
      <c r="A199" s="1002"/>
      <c r="B199" s="898" t="s">
        <v>956</v>
      </c>
      <c r="C199" s="140"/>
      <c r="D199" s="140"/>
      <c r="E199" s="140"/>
      <c r="F199" s="140"/>
      <c r="G199" s="140"/>
      <c r="H199" s="140"/>
      <c r="I199" s="140">
        <v>10</v>
      </c>
      <c r="J199" s="140">
        <v>5</v>
      </c>
      <c r="K199" s="140">
        <v>15</v>
      </c>
    </row>
    <row r="200" spans="1:11" ht="14.25" customHeight="1">
      <c r="A200" s="1002"/>
      <c r="B200" s="898" t="s">
        <v>957</v>
      </c>
      <c r="C200" s="140"/>
      <c r="D200" s="140"/>
      <c r="E200" s="140"/>
      <c r="F200" s="140"/>
      <c r="G200" s="140"/>
      <c r="H200" s="140"/>
      <c r="I200" s="140">
        <v>8</v>
      </c>
      <c r="J200" s="140">
        <v>4</v>
      </c>
      <c r="K200" s="140">
        <v>12</v>
      </c>
    </row>
    <row r="201" spans="1:11" ht="14.25" customHeight="1">
      <c r="A201" s="1002"/>
      <c r="B201" s="898" t="s">
        <v>958</v>
      </c>
      <c r="C201" s="140"/>
      <c r="D201" s="140"/>
      <c r="E201" s="140"/>
      <c r="F201" s="140"/>
      <c r="G201" s="140"/>
      <c r="H201" s="140"/>
      <c r="I201" s="140">
        <v>8</v>
      </c>
      <c r="J201" s="140">
        <v>3</v>
      </c>
      <c r="K201" s="140">
        <v>11</v>
      </c>
    </row>
    <row r="202" spans="1:11" ht="14.25" customHeight="1">
      <c r="A202" s="1002"/>
      <c r="B202" s="898" t="s">
        <v>959</v>
      </c>
      <c r="C202" s="140"/>
      <c r="D202" s="140"/>
      <c r="E202" s="140"/>
      <c r="F202" s="140"/>
      <c r="G202" s="140"/>
      <c r="H202" s="140"/>
      <c r="I202" s="140">
        <v>6</v>
      </c>
      <c r="J202" s="140">
        <v>5</v>
      </c>
      <c r="K202" s="140">
        <v>11</v>
      </c>
    </row>
    <row r="203" spans="1:11">
      <c r="A203" s="1002"/>
      <c r="B203" s="898" t="s">
        <v>960</v>
      </c>
      <c r="C203" s="140"/>
      <c r="D203" s="140"/>
      <c r="E203" s="140"/>
      <c r="F203" s="140"/>
      <c r="G203" s="140"/>
      <c r="H203" s="140"/>
      <c r="I203" s="140">
        <v>10</v>
      </c>
      <c r="J203" s="140">
        <v>0</v>
      </c>
      <c r="K203" s="140">
        <v>10</v>
      </c>
    </row>
    <row r="204" spans="1:11" ht="14.25" customHeight="1">
      <c r="A204" s="1002"/>
      <c r="B204" s="898" t="s">
        <v>961</v>
      </c>
      <c r="C204" s="140"/>
      <c r="D204" s="140"/>
      <c r="E204" s="140"/>
      <c r="F204" s="140"/>
      <c r="G204" s="140"/>
      <c r="H204" s="140"/>
      <c r="I204" s="140">
        <v>1</v>
      </c>
      <c r="J204" s="140">
        <v>4</v>
      </c>
      <c r="K204" s="140">
        <v>5</v>
      </c>
    </row>
    <row r="205" spans="1:11" ht="14.25" customHeight="1">
      <c r="A205" s="1002"/>
      <c r="B205" s="898" t="s">
        <v>962</v>
      </c>
      <c r="C205" s="140"/>
      <c r="D205" s="140"/>
      <c r="E205" s="140"/>
      <c r="F205" s="140"/>
      <c r="G205" s="140"/>
      <c r="H205" s="140"/>
      <c r="I205" s="140">
        <v>0</v>
      </c>
      <c r="J205" s="140">
        <v>4</v>
      </c>
      <c r="K205" s="140">
        <v>4</v>
      </c>
    </row>
    <row r="206" spans="1:11" ht="14.25" customHeight="1">
      <c r="A206" s="1002"/>
      <c r="B206" s="898" t="s">
        <v>963</v>
      </c>
      <c r="C206" s="140"/>
      <c r="D206" s="140"/>
      <c r="E206" s="140"/>
      <c r="F206" s="140"/>
      <c r="G206" s="140"/>
      <c r="H206" s="140"/>
      <c r="I206" s="140">
        <v>2</v>
      </c>
      <c r="J206" s="140">
        <v>1</v>
      </c>
      <c r="K206" s="140">
        <v>3</v>
      </c>
    </row>
    <row r="207" spans="1:11" ht="14.25" customHeight="1">
      <c r="A207" s="1002"/>
      <c r="B207" s="898" t="s">
        <v>964</v>
      </c>
      <c r="C207" s="140"/>
      <c r="D207" s="140"/>
      <c r="E207" s="140"/>
      <c r="F207" s="140"/>
      <c r="G207" s="140"/>
      <c r="H207" s="140"/>
      <c r="I207" s="140">
        <v>0</v>
      </c>
      <c r="J207" s="140">
        <v>3</v>
      </c>
      <c r="K207" s="140">
        <v>3</v>
      </c>
    </row>
    <row r="208" spans="1:11" ht="28">
      <c r="A208" s="1002"/>
      <c r="B208" s="898" t="s">
        <v>965</v>
      </c>
      <c r="C208" s="140"/>
      <c r="D208" s="140"/>
      <c r="E208" s="140"/>
      <c r="F208" s="140"/>
      <c r="G208" s="140"/>
      <c r="H208" s="140"/>
      <c r="I208" s="140">
        <v>2</v>
      </c>
      <c r="J208" s="140">
        <v>0</v>
      </c>
      <c r="K208" s="140">
        <v>2</v>
      </c>
    </row>
    <row r="209" spans="1:11" ht="14.25" customHeight="1">
      <c r="A209" s="1002"/>
      <c r="B209" s="898" t="s">
        <v>994</v>
      </c>
      <c r="C209" s="140"/>
      <c r="D209" s="140"/>
      <c r="E209" s="140"/>
      <c r="F209" s="140"/>
      <c r="G209" s="140"/>
      <c r="H209" s="140"/>
      <c r="I209" s="140">
        <v>0</v>
      </c>
      <c r="J209" s="140">
        <v>0</v>
      </c>
      <c r="K209" s="140">
        <v>0</v>
      </c>
    </row>
    <row r="210" spans="1:11">
      <c r="A210" s="1002"/>
      <c r="B210" s="900" t="s">
        <v>995</v>
      </c>
      <c r="C210" s="140"/>
      <c r="D210" s="140"/>
      <c r="E210" s="140"/>
      <c r="F210" s="140"/>
      <c r="G210" s="140"/>
      <c r="H210" s="140"/>
      <c r="I210" s="140">
        <v>0</v>
      </c>
      <c r="J210" s="140">
        <v>0</v>
      </c>
      <c r="K210" s="140">
        <v>0</v>
      </c>
    </row>
    <row r="211" spans="1:11">
      <c r="A211" s="495" t="s">
        <v>976</v>
      </c>
      <c r="B211" s="901"/>
      <c r="C211" s="140"/>
      <c r="D211" s="140"/>
      <c r="E211" s="140"/>
      <c r="F211" s="140"/>
      <c r="G211" s="140"/>
      <c r="H211" s="140"/>
      <c r="I211" s="147">
        <v>1173</v>
      </c>
      <c r="J211" s="147">
        <v>2271</v>
      </c>
      <c r="K211" s="147">
        <v>3444</v>
      </c>
    </row>
    <row r="212" spans="1:11">
      <c r="A212" s="1000" t="s">
        <v>576</v>
      </c>
      <c r="B212" s="902" t="s">
        <v>576</v>
      </c>
      <c r="C212" s="140">
        <v>633</v>
      </c>
      <c r="D212" s="140">
        <v>240</v>
      </c>
      <c r="E212" s="140">
        <v>873</v>
      </c>
      <c r="F212" s="140">
        <v>116</v>
      </c>
      <c r="G212" s="140">
        <v>27</v>
      </c>
      <c r="H212" s="140">
        <v>143</v>
      </c>
      <c r="I212" s="140">
        <v>7851</v>
      </c>
      <c r="J212" s="140">
        <v>3807</v>
      </c>
      <c r="K212" s="140">
        <v>11658</v>
      </c>
    </row>
    <row r="213" spans="1:11" ht="16.5" customHeight="1">
      <c r="A213" s="1002"/>
      <c r="B213" s="900" t="s">
        <v>684</v>
      </c>
      <c r="C213" s="140">
        <v>44</v>
      </c>
      <c r="D213" s="140">
        <v>26</v>
      </c>
      <c r="E213" s="140">
        <v>70</v>
      </c>
      <c r="F213" s="140">
        <v>5</v>
      </c>
      <c r="G213" s="140">
        <v>6</v>
      </c>
      <c r="H213" s="140">
        <v>11</v>
      </c>
      <c r="I213" s="140">
        <v>158</v>
      </c>
      <c r="J213" s="140">
        <v>158</v>
      </c>
      <c r="K213" s="140">
        <v>316</v>
      </c>
    </row>
    <row r="214" spans="1:11" ht="16.5" customHeight="1">
      <c r="A214" s="498" t="s">
        <v>685</v>
      </c>
      <c r="B214" s="901"/>
      <c r="C214" s="147">
        <v>677</v>
      </c>
      <c r="D214" s="147">
        <v>266</v>
      </c>
      <c r="E214" s="147">
        <v>943</v>
      </c>
      <c r="F214" s="147">
        <v>121</v>
      </c>
      <c r="G214" s="147">
        <v>33</v>
      </c>
      <c r="H214" s="147">
        <v>154</v>
      </c>
      <c r="I214" s="147">
        <v>8009</v>
      </c>
      <c r="J214" s="147">
        <v>3965</v>
      </c>
      <c r="K214" s="147">
        <v>11974</v>
      </c>
    </row>
    <row r="215" spans="1:11" ht="16.5" customHeight="1">
      <c r="A215" s="604" t="s">
        <v>586</v>
      </c>
      <c r="B215" s="902" t="s">
        <v>586</v>
      </c>
      <c r="C215" s="140">
        <v>70</v>
      </c>
      <c r="D215" s="140">
        <v>41</v>
      </c>
      <c r="E215" s="140">
        <v>111</v>
      </c>
      <c r="F215" s="140">
        <v>20</v>
      </c>
      <c r="G215" s="140">
        <v>19</v>
      </c>
      <c r="H215" s="140">
        <v>39</v>
      </c>
      <c r="I215" s="140">
        <v>1217</v>
      </c>
      <c r="J215" s="140">
        <v>1444</v>
      </c>
      <c r="K215" s="140">
        <v>2661</v>
      </c>
    </row>
    <row r="216" spans="1:11" ht="16.5" customHeight="1">
      <c r="A216" s="1008"/>
      <c r="B216" s="898" t="s">
        <v>880</v>
      </c>
      <c r="C216" s="140">
        <v>67</v>
      </c>
      <c r="D216" s="140">
        <v>29</v>
      </c>
      <c r="E216" s="140">
        <v>96</v>
      </c>
      <c r="F216" s="140">
        <v>1</v>
      </c>
      <c r="G216" s="140">
        <v>1</v>
      </c>
      <c r="H216" s="140">
        <v>2</v>
      </c>
      <c r="I216" s="140">
        <v>1343</v>
      </c>
      <c r="J216" s="140">
        <v>949</v>
      </c>
      <c r="K216" s="140">
        <v>2292</v>
      </c>
    </row>
    <row r="217" spans="1:11" ht="16.5" customHeight="1">
      <c r="A217" s="1009"/>
      <c r="B217" s="898" t="s">
        <v>882</v>
      </c>
      <c r="C217" s="140">
        <v>87</v>
      </c>
      <c r="D217" s="140">
        <v>52</v>
      </c>
      <c r="E217" s="140">
        <v>139</v>
      </c>
      <c r="F217" s="140">
        <v>11</v>
      </c>
      <c r="G217" s="140">
        <v>2</v>
      </c>
      <c r="H217" s="140">
        <v>13</v>
      </c>
      <c r="I217" s="140">
        <v>455</v>
      </c>
      <c r="J217" s="140">
        <v>208</v>
      </c>
      <c r="K217" s="140">
        <v>663</v>
      </c>
    </row>
    <row r="218" spans="1:11" ht="16.5" customHeight="1">
      <c r="A218" s="1009"/>
      <c r="B218" s="898" t="s">
        <v>881</v>
      </c>
      <c r="C218" s="140">
        <v>39</v>
      </c>
      <c r="D218" s="140">
        <v>23</v>
      </c>
      <c r="E218" s="140">
        <v>62</v>
      </c>
      <c r="F218" s="140"/>
      <c r="G218" s="140"/>
      <c r="H218" s="140"/>
      <c r="I218" s="140">
        <v>442</v>
      </c>
      <c r="J218" s="140">
        <v>151</v>
      </c>
      <c r="K218" s="140">
        <v>593</v>
      </c>
    </row>
    <row r="219" spans="1:11" ht="16.5" customHeight="1">
      <c r="A219" s="1009"/>
      <c r="B219" s="898" t="s">
        <v>883</v>
      </c>
      <c r="C219" s="140">
        <v>24</v>
      </c>
      <c r="D219" s="140">
        <v>4</v>
      </c>
      <c r="E219" s="140">
        <v>28</v>
      </c>
      <c r="F219" s="140"/>
      <c r="G219" s="140"/>
      <c r="H219" s="140"/>
      <c r="I219" s="140">
        <v>44</v>
      </c>
      <c r="J219" s="140">
        <v>19</v>
      </c>
      <c r="K219" s="140">
        <v>63</v>
      </c>
    </row>
    <row r="220" spans="1:11" ht="16.5" customHeight="1">
      <c r="A220" s="1009"/>
      <c r="B220" s="900" t="s">
        <v>884</v>
      </c>
      <c r="C220" s="140"/>
      <c r="D220" s="140"/>
      <c r="E220" s="140"/>
      <c r="F220" s="140"/>
      <c r="G220" s="140"/>
      <c r="H220" s="140"/>
      <c r="I220" s="140">
        <v>21</v>
      </c>
      <c r="J220" s="140">
        <v>16</v>
      </c>
      <c r="K220" s="140">
        <v>37</v>
      </c>
    </row>
    <row r="221" spans="1:11" ht="16.5" customHeight="1">
      <c r="A221" s="499" t="s">
        <v>885</v>
      </c>
      <c r="B221" s="901"/>
      <c r="C221" s="147">
        <v>287</v>
      </c>
      <c r="D221" s="147">
        <v>149</v>
      </c>
      <c r="E221" s="147">
        <v>436</v>
      </c>
      <c r="F221" s="147">
        <v>32</v>
      </c>
      <c r="G221" s="147">
        <v>22</v>
      </c>
      <c r="H221" s="147">
        <v>54</v>
      </c>
      <c r="I221" s="147">
        <v>3522</v>
      </c>
      <c r="J221" s="147">
        <v>2787</v>
      </c>
      <c r="K221" s="147">
        <v>6309</v>
      </c>
    </row>
    <row r="222" spans="1:11" ht="16.5" customHeight="1">
      <c r="A222" s="1000" t="s">
        <v>254</v>
      </c>
      <c r="B222" s="902" t="s">
        <v>687</v>
      </c>
      <c r="C222" s="140">
        <v>5438</v>
      </c>
      <c r="D222" s="140">
        <v>4425</v>
      </c>
      <c r="E222" s="140">
        <v>9863</v>
      </c>
      <c r="F222" s="140">
        <v>140</v>
      </c>
      <c r="G222" s="140">
        <v>316</v>
      </c>
      <c r="H222" s="140">
        <v>456</v>
      </c>
      <c r="I222" s="140">
        <v>68710</v>
      </c>
      <c r="J222" s="140">
        <v>84925</v>
      </c>
      <c r="K222" s="140">
        <v>153635</v>
      </c>
    </row>
    <row r="223" spans="1:11" ht="16.5" customHeight="1">
      <c r="A223" s="1002"/>
      <c r="B223" s="898" t="s">
        <v>686</v>
      </c>
      <c r="C223" s="140">
        <v>2567</v>
      </c>
      <c r="D223" s="140">
        <v>1970</v>
      </c>
      <c r="E223" s="140">
        <v>4537</v>
      </c>
      <c r="F223" s="140">
        <v>195</v>
      </c>
      <c r="G223" s="140">
        <v>677</v>
      </c>
      <c r="H223" s="140">
        <v>872</v>
      </c>
      <c r="I223" s="140">
        <v>41681</v>
      </c>
      <c r="J223" s="140">
        <v>62588</v>
      </c>
      <c r="K223" s="140">
        <v>104269</v>
      </c>
    </row>
    <row r="224" spans="1:11" ht="16.5" customHeight="1">
      <c r="A224" s="1002"/>
      <c r="B224" s="898" t="s">
        <v>254</v>
      </c>
      <c r="C224" s="140">
        <v>3373</v>
      </c>
      <c r="D224" s="140">
        <v>3419</v>
      </c>
      <c r="E224" s="140">
        <v>6792</v>
      </c>
      <c r="F224" s="140">
        <v>150</v>
      </c>
      <c r="G224" s="140">
        <v>246</v>
      </c>
      <c r="H224" s="140">
        <v>396</v>
      </c>
      <c r="I224" s="140">
        <v>33733</v>
      </c>
      <c r="J224" s="140">
        <v>56911</v>
      </c>
      <c r="K224" s="140">
        <v>90644</v>
      </c>
    </row>
    <row r="225" spans="1:11" ht="16.5" customHeight="1">
      <c r="A225" s="1002"/>
      <c r="B225" s="898" t="s">
        <v>689</v>
      </c>
      <c r="C225" s="140">
        <v>4584</v>
      </c>
      <c r="D225" s="140">
        <v>3136</v>
      </c>
      <c r="E225" s="140">
        <v>7720</v>
      </c>
      <c r="F225" s="140">
        <v>183</v>
      </c>
      <c r="G225" s="140">
        <v>378</v>
      </c>
      <c r="H225" s="140">
        <v>561</v>
      </c>
      <c r="I225" s="140">
        <v>37046</v>
      </c>
      <c r="J225" s="140">
        <v>47696</v>
      </c>
      <c r="K225" s="140">
        <v>84742</v>
      </c>
    </row>
    <row r="226" spans="1:11" ht="16.5" customHeight="1">
      <c r="A226" s="1002"/>
      <c r="B226" s="898" t="s">
        <v>690</v>
      </c>
      <c r="C226" s="140">
        <v>1034</v>
      </c>
      <c r="D226" s="140">
        <v>1591</v>
      </c>
      <c r="E226" s="140">
        <v>2625</v>
      </c>
      <c r="F226" s="140">
        <v>50</v>
      </c>
      <c r="G226" s="140">
        <v>143</v>
      </c>
      <c r="H226" s="140">
        <v>193</v>
      </c>
      <c r="I226" s="140">
        <v>19457</v>
      </c>
      <c r="J226" s="140">
        <v>46672</v>
      </c>
      <c r="K226" s="140">
        <v>66129</v>
      </c>
    </row>
    <row r="227" spans="1:11" ht="16.5" customHeight="1">
      <c r="A227" s="1002"/>
      <c r="B227" s="898" t="s">
        <v>688</v>
      </c>
      <c r="C227" s="140">
        <v>3247</v>
      </c>
      <c r="D227" s="140">
        <v>3440</v>
      </c>
      <c r="E227" s="140">
        <v>6687</v>
      </c>
      <c r="F227" s="140">
        <v>72</v>
      </c>
      <c r="G227" s="140">
        <v>187</v>
      </c>
      <c r="H227" s="140">
        <v>259</v>
      </c>
      <c r="I227" s="140">
        <v>24747</v>
      </c>
      <c r="J227" s="140">
        <v>36567</v>
      </c>
      <c r="K227" s="140">
        <v>61314</v>
      </c>
    </row>
    <row r="228" spans="1:11" ht="16.5" customHeight="1">
      <c r="A228" s="1002"/>
      <c r="B228" s="898" t="s">
        <v>691</v>
      </c>
      <c r="C228" s="140">
        <v>1155</v>
      </c>
      <c r="D228" s="140">
        <v>1677</v>
      </c>
      <c r="E228" s="140">
        <v>2832</v>
      </c>
      <c r="F228" s="140">
        <v>65</v>
      </c>
      <c r="G228" s="140">
        <v>120</v>
      </c>
      <c r="H228" s="140">
        <v>185</v>
      </c>
      <c r="I228" s="140">
        <v>14635</v>
      </c>
      <c r="J228" s="140">
        <v>40464</v>
      </c>
      <c r="K228" s="140">
        <v>55099</v>
      </c>
    </row>
    <row r="229" spans="1:11" ht="16.5" customHeight="1">
      <c r="A229" s="1002"/>
      <c r="B229" s="898" t="s">
        <v>696</v>
      </c>
      <c r="C229" s="140">
        <v>1090</v>
      </c>
      <c r="D229" s="140">
        <v>1757</v>
      </c>
      <c r="E229" s="140">
        <v>2847</v>
      </c>
      <c r="F229" s="140">
        <v>26</v>
      </c>
      <c r="G229" s="140">
        <v>66</v>
      </c>
      <c r="H229" s="140">
        <v>92</v>
      </c>
      <c r="I229" s="140">
        <v>6100</v>
      </c>
      <c r="J229" s="140">
        <v>14825</v>
      </c>
      <c r="K229" s="140">
        <v>20925</v>
      </c>
    </row>
    <row r="230" spans="1:11" ht="16.5" customHeight="1">
      <c r="A230" s="1002"/>
      <c r="B230" s="898" t="s">
        <v>693</v>
      </c>
      <c r="C230" s="140">
        <v>712</v>
      </c>
      <c r="D230" s="140">
        <v>1114</v>
      </c>
      <c r="E230" s="140">
        <v>1826</v>
      </c>
      <c r="F230" s="140">
        <v>28</v>
      </c>
      <c r="G230" s="140">
        <v>42</v>
      </c>
      <c r="H230" s="140">
        <v>70</v>
      </c>
      <c r="I230" s="140">
        <v>4962</v>
      </c>
      <c r="J230" s="140">
        <v>12690</v>
      </c>
      <c r="K230" s="140">
        <v>17652</v>
      </c>
    </row>
    <row r="231" spans="1:11" ht="16.5" customHeight="1">
      <c r="A231" s="1002"/>
      <c r="B231" s="898" t="s">
        <v>694</v>
      </c>
      <c r="C231" s="140">
        <v>576</v>
      </c>
      <c r="D231" s="140">
        <v>534</v>
      </c>
      <c r="E231" s="140">
        <v>1110</v>
      </c>
      <c r="F231" s="140">
        <v>26</v>
      </c>
      <c r="G231" s="140">
        <v>55</v>
      </c>
      <c r="H231" s="140">
        <v>81</v>
      </c>
      <c r="I231" s="140">
        <v>4441</v>
      </c>
      <c r="J231" s="140">
        <v>5748</v>
      </c>
      <c r="K231" s="140">
        <v>10189</v>
      </c>
    </row>
    <row r="232" spans="1:11" ht="14.25" customHeight="1">
      <c r="A232" s="1002"/>
      <c r="B232" s="898" t="s">
        <v>695</v>
      </c>
      <c r="C232" s="140">
        <v>728</v>
      </c>
      <c r="D232" s="140">
        <v>376</v>
      </c>
      <c r="E232" s="140">
        <v>1104</v>
      </c>
      <c r="F232" s="140">
        <v>22</v>
      </c>
      <c r="G232" s="140">
        <v>10</v>
      </c>
      <c r="H232" s="140">
        <v>32</v>
      </c>
      <c r="I232" s="140">
        <v>3998</v>
      </c>
      <c r="J232" s="140">
        <v>3648</v>
      </c>
      <c r="K232" s="140">
        <v>7646</v>
      </c>
    </row>
    <row r="233" spans="1:11" ht="14.25" customHeight="1">
      <c r="A233" s="1002"/>
      <c r="B233" s="898" t="s">
        <v>697</v>
      </c>
      <c r="C233" s="140">
        <v>160</v>
      </c>
      <c r="D233" s="140">
        <v>152</v>
      </c>
      <c r="E233" s="140">
        <v>312</v>
      </c>
      <c r="F233" s="140">
        <v>1</v>
      </c>
      <c r="G233" s="140">
        <v>4</v>
      </c>
      <c r="H233" s="140">
        <v>5</v>
      </c>
      <c r="I233" s="140">
        <v>1816</v>
      </c>
      <c r="J233" s="140">
        <v>1584</v>
      </c>
      <c r="K233" s="140">
        <v>3400</v>
      </c>
    </row>
    <row r="234" spans="1:11" ht="14.25" customHeight="1">
      <c r="A234" s="1002"/>
      <c r="B234" s="898" t="s">
        <v>698</v>
      </c>
      <c r="C234" s="140">
        <v>62</v>
      </c>
      <c r="D234" s="140">
        <v>46</v>
      </c>
      <c r="E234" s="140">
        <v>108</v>
      </c>
      <c r="F234" s="140">
        <v>0</v>
      </c>
      <c r="G234" s="140">
        <v>2</v>
      </c>
      <c r="H234" s="140">
        <v>2</v>
      </c>
      <c r="I234" s="140">
        <v>552</v>
      </c>
      <c r="J234" s="140">
        <v>994</v>
      </c>
      <c r="K234" s="140">
        <v>1546</v>
      </c>
    </row>
    <row r="235" spans="1:11" ht="14.25" customHeight="1">
      <c r="A235" s="1002"/>
      <c r="B235" s="898" t="s">
        <v>699</v>
      </c>
      <c r="C235" s="140">
        <v>117</v>
      </c>
      <c r="D235" s="140">
        <v>43</v>
      </c>
      <c r="E235" s="140">
        <v>160</v>
      </c>
      <c r="F235" s="140"/>
      <c r="G235" s="140"/>
      <c r="H235" s="140"/>
      <c r="I235" s="140">
        <v>627</v>
      </c>
      <c r="J235" s="140">
        <v>524</v>
      </c>
      <c r="K235" s="140">
        <v>1151</v>
      </c>
    </row>
    <row r="236" spans="1:11">
      <c r="A236" s="1002"/>
      <c r="B236" s="898" t="s">
        <v>966</v>
      </c>
      <c r="C236" s="140">
        <v>44</v>
      </c>
      <c r="D236" s="140">
        <v>21</v>
      </c>
      <c r="E236" s="140">
        <v>65</v>
      </c>
      <c r="F236" s="140">
        <v>1</v>
      </c>
      <c r="G236" s="140">
        <v>0</v>
      </c>
      <c r="H236" s="140">
        <v>1</v>
      </c>
      <c r="I236" s="140">
        <v>249</v>
      </c>
      <c r="J236" s="140">
        <v>376</v>
      </c>
      <c r="K236" s="140">
        <v>625</v>
      </c>
    </row>
    <row r="237" spans="1:11" ht="28">
      <c r="A237" s="1002"/>
      <c r="B237" s="898" t="s">
        <v>967</v>
      </c>
      <c r="C237" s="140"/>
      <c r="D237" s="140"/>
      <c r="E237" s="140"/>
      <c r="F237" s="140"/>
      <c r="G237" s="140"/>
      <c r="H237" s="140"/>
      <c r="I237" s="140">
        <v>69</v>
      </c>
      <c r="J237" s="140">
        <v>56</v>
      </c>
      <c r="K237" s="140">
        <v>125</v>
      </c>
    </row>
    <row r="238" spans="1:11" ht="28">
      <c r="A238" s="1002"/>
      <c r="B238" s="900" t="s">
        <v>968</v>
      </c>
      <c r="C238" s="140">
        <v>3</v>
      </c>
      <c r="D238" s="140">
        <v>9</v>
      </c>
      <c r="E238" s="140">
        <v>12</v>
      </c>
      <c r="F238" s="140"/>
      <c r="G238" s="140"/>
      <c r="H238" s="140"/>
      <c r="I238" s="140">
        <v>37</v>
      </c>
      <c r="J238" s="140">
        <v>50</v>
      </c>
      <c r="K238" s="140">
        <v>87</v>
      </c>
    </row>
    <row r="239" spans="1:11" ht="16.5" customHeight="1">
      <c r="A239" s="499" t="s">
        <v>700</v>
      </c>
      <c r="B239" s="901"/>
      <c r="C239" s="147">
        <v>24890</v>
      </c>
      <c r="D239" s="147">
        <v>23710</v>
      </c>
      <c r="E239" s="147">
        <v>48600</v>
      </c>
      <c r="F239" s="147">
        <v>959</v>
      </c>
      <c r="G239" s="147">
        <v>2246</v>
      </c>
      <c r="H239" s="147">
        <v>3205</v>
      </c>
      <c r="I239" s="147">
        <v>262860</v>
      </c>
      <c r="J239" s="147">
        <v>416318</v>
      </c>
      <c r="K239" s="147">
        <v>679178</v>
      </c>
    </row>
    <row r="240" spans="1:11" ht="16.5" customHeight="1">
      <c r="A240" s="1000" t="s">
        <v>277</v>
      </c>
      <c r="B240" s="898" t="s">
        <v>702</v>
      </c>
      <c r="C240" s="140">
        <v>1522</v>
      </c>
      <c r="D240" s="140">
        <v>1124</v>
      </c>
      <c r="E240" s="140">
        <v>2646</v>
      </c>
      <c r="F240" s="140">
        <v>403</v>
      </c>
      <c r="G240" s="140">
        <v>711</v>
      </c>
      <c r="H240" s="140">
        <v>1114</v>
      </c>
      <c r="I240" s="140">
        <v>78356</v>
      </c>
      <c r="J240" s="140">
        <v>83898</v>
      </c>
      <c r="K240" s="140">
        <v>162254</v>
      </c>
    </row>
    <row r="241" spans="1:11" ht="16.5" customHeight="1">
      <c r="A241" s="1002"/>
      <c r="B241" s="898" t="s">
        <v>703</v>
      </c>
      <c r="C241" s="140">
        <v>733</v>
      </c>
      <c r="D241" s="140">
        <v>842</v>
      </c>
      <c r="E241" s="140">
        <v>1575</v>
      </c>
      <c r="F241" s="140">
        <v>94</v>
      </c>
      <c r="G241" s="140">
        <v>115</v>
      </c>
      <c r="H241" s="140">
        <v>209</v>
      </c>
      <c r="I241" s="140">
        <v>51769</v>
      </c>
      <c r="J241" s="140">
        <v>90049</v>
      </c>
      <c r="K241" s="140">
        <v>141818</v>
      </c>
    </row>
    <row r="242" spans="1:11" ht="16.5" customHeight="1">
      <c r="A242" s="1002"/>
      <c r="B242" s="898" t="s">
        <v>701</v>
      </c>
      <c r="C242" s="140">
        <v>1359</v>
      </c>
      <c r="D242" s="140">
        <v>855</v>
      </c>
      <c r="E242" s="140">
        <v>2214</v>
      </c>
      <c r="F242" s="140">
        <v>215</v>
      </c>
      <c r="G242" s="140">
        <v>171</v>
      </c>
      <c r="H242" s="140">
        <v>386</v>
      </c>
      <c r="I242" s="140">
        <v>62748</v>
      </c>
      <c r="J242" s="140">
        <v>70335</v>
      </c>
      <c r="K242" s="140">
        <v>133083</v>
      </c>
    </row>
    <row r="243" spans="1:11" ht="16.5" customHeight="1">
      <c r="A243" s="1002"/>
      <c r="B243" s="898" t="s">
        <v>277</v>
      </c>
      <c r="C243" s="140">
        <v>1177</v>
      </c>
      <c r="D243" s="140">
        <v>972</v>
      </c>
      <c r="E243" s="140">
        <v>2149</v>
      </c>
      <c r="F243" s="140">
        <v>172</v>
      </c>
      <c r="G243" s="140">
        <v>156</v>
      </c>
      <c r="H243" s="140">
        <v>328</v>
      </c>
      <c r="I243" s="140">
        <v>50965</v>
      </c>
      <c r="J243" s="140">
        <v>65340</v>
      </c>
      <c r="K243" s="140">
        <v>116305</v>
      </c>
    </row>
    <row r="244" spans="1:11" ht="16.5" customHeight="1">
      <c r="A244" s="1002"/>
      <c r="B244" s="898" t="s">
        <v>704</v>
      </c>
      <c r="C244" s="140">
        <v>1639</v>
      </c>
      <c r="D244" s="140">
        <v>1548</v>
      </c>
      <c r="E244" s="140">
        <v>3187</v>
      </c>
      <c r="F244" s="140">
        <v>261</v>
      </c>
      <c r="G244" s="140">
        <v>376</v>
      </c>
      <c r="H244" s="140">
        <v>637</v>
      </c>
      <c r="I244" s="140">
        <v>51227</v>
      </c>
      <c r="J244" s="140">
        <v>63504</v>
      </c>
      <c r="K244" s="140">
        <v>114731</v>
      </c>
    </row>
    <row r="245" spans="1:11" ht="16.5" customHeight="1">
      <c r="A245" s="1002"/>
      <c r="B245" s="898" t="s">
        <v>706</v>
      </c>
      <c r="C245" s="140">
        <v>760</v>
      </c>
      <c r="D245" s="140">
        <v>388</v>
      </c>
      <c r="E245" s="140">
        <v>1148</v>
      </c>
      <c r="F245" s="140">
        <v>70</v>
      </c>
      <c r="G245" s="140">
        <v>88</v>
      </c>
      <c r="H245" s="140">
        <v>158</v>
      </c>
      <c r="I245" s="140">
        <v>32087</v>
      </c>
      <c r="J245" s="140">
        <v>34645</v>
      </c>
      <c r="K245" s="140">
        <v>66732</v>
      </c>
    </row>
    <row r="246" spans="1:11" ht="16.5" customHeight="1">
      <c r="A246" s="1002"/>
      <c r="B246" s="898" t="s">
        <v>705</v>
      </c>
      <c r="C246" s="140">
        <v>1551</v>
      </c>
      <c r="D246" s="140">
        <v>1990</v>
      </c>
      <c r="E246" s="140">
        <v>3541</v>
      </c>
      <c r="F246" s="140">
        <v>181</v>
      </c>
      <c r="G246" s="140">
        <v>179</v>
      </c>
      <c r="H246" s="140">
        <v>360</v>
      </c>
      <c r="I246" s="140">
        <v>19222</v>
      </c>
      <c r="J246" s="140">
        <v>35225</v>
      </c>
      <c r="K246" s="140">
        <v>54447</v>
      </c>
    </row>
    <row r="247" spans="1:11" ht="16.5" customHeight="1">
      <c r="A247" s="1002"/>
      <c r="B247" s="898" t="s">
        <v>707</v>
      </c>
      <c r="C247" s="140">
        <v>335</v>
      </c>
      <c r="D247" s="140">
        <v>807</v>
      </c>
      <c r="E247" s="140">
        <v>1142</v>
      </c>
      <c r="F247" s="140">
        <v>65</v>
      </c>
      <c r="G247" s="140">
        <v>253</v>
      </c>
      <c r="H247" s="140">
        <v>318</v>
      </c>
      <c r="I247" s="140">
        <v>17087</v>
      </c>
      <c r="J247" s="140">
        <v>37096</v>
      </c>
      <c r="K247" s="140">
        <v>54183</v>
      </c>
    </row>
    <row r="248" spans="1:11" ht="16.5" customHeight="1">
      <c r="A248" s="1002"/>
      <c r="B248" s="898" t="s">
        <v>686</v>
      </c>
      <c r="C248" s="140">
        <v>381</v>
      </c>
      <c r="D248" s="140">
        <v>299</v>
      </c>
      <c r="E248" s="140">
        <v>680</v>
      </c>
      <c r="F248" s="140">
        <v>60</v>
      </c>
      <c r="G248" s="140">
        <v>101</v>
      </c>
      <c r="H248" s="140">
        <v>161</v>
      </c>
      <c r="I248" s="140">
        <v>12930</v>
      </c>
      <c r="J248" s="140">
        <v>21534</v>
      </c>
      <c r="K248" s="140">
        <v>34464</v>
      </c>
    </row>
    <row r="249" spans="1:11" ht="16.5" customHeight="1">
      <c r="A249" s="1002"/>
      <c r="B249" s="898" t="s">
        <v>708</v>
      </c>
      <c r="C249" s="140">
        <v>205</v>
      </c>
      <c r="D249" s="140">
        <v>110</v>
      </c>
      <c r="E249" s="140">
        <v>315</v>
      </c>
      <c r="F249" s="140">
        <v>34</v>
      </c>
      <c r="G249" s="140">
        <v>27</v>
      </c>
      <c r="H249" s="140">
        <v>61</v>
      </c>
      <c r="I249" s="140">
        <v>16077</v>
      </c>
      <c r="J249" s="140">
        <v>9765</v>
      </c>
      <c r="K249" s="140">
        <v>25842</v>
      </c>
    </row>
    <row r="250" spans="1:11" ht="16.5" customHeight="1">
      <c r="A250" s="1002"/>
      <c r="B250" s="898" t="s">
        <v>709</v>
      </c>
      <c r="C250" s="140">
        <v>308</v>
      </c>
      <c r="D250" s="140">
        <v>373</v>
      </c>
      <c r="E250" s="140">
        <v>681</v>
      </c>
      <c r="F250" s="140">
        <v>60</v>
      </c>
      <c r="G250" s="140">
        <v>131</v>
      </c>
      <c r="H250" s="140">
        <v>191</v>
      </c>
      <c r="I250" s="140">
        <v>6586</v>
      </c>
      <c r="J250" s="140">
        <v>6007</v>
      </c>
      <c r="K250" s="140">
        <v>12593</v>
      </c>
    </row>
    <row r="251" spans="1:11">
      <c r="A251" s="1002"/>
      <c r="B251" s="898" t="s">
        <v>969</v>
      </c>
      <c r="C251" s="140">
        <v>549</v>
      </c>
      <c r="D251" s="140">
        <v>660</v>
      </c>
      <c r="E251" s="140">
        <v>1209</v>
      </c>
      <c r="F251" s="140">
        <v>17</v>
      </c>
      <c r="G251" s="140">
        <v>31</v>
      </c>
      <c r="H251" s="140">
        <v>48</v>
      </c>
      <c r="I251" s="140">
        <v>4602</v>
      </c>
      <c r="J251" s="140">
        <v>7517</v>
      </c>
      <c r="K251" s="140">
        <v>12119</v>
      </c>
    </row>
    <row r="252" spans="1:11" ht="16.5" customHeight="1">
      <c r="A252" s="1002"/>
      <c r="B252" s="898" t="s">
        <v>692</v>
      </c>
      <c r="C252" s="140">
        <v>28</v>
      </c>
      <c r="D252" s="140">
        <v>77</v>
      </c>
      <c r="E252" s="140">
        <v>105</v>
      </c>
      <c r="F252" s="140">
        <v>8</v>
      </c>
      <c r="G252" s="140">
        <v>13</v>
      </c>
      <c r="H252" s="140">
        <v>21</v>
      </c>
      <c r="I252" s="140">
        <v>2469</v>
      </c>
      <c r="J252" s="140">
        <v>3527</v>
      </c>
      <c r="K252" s="140">
        <v>5996</v>
      </c>
    </row>
    <row r="253" spans="1:11" ht="16.5" customHeight="1">
      <c r="A253" s="1002"/>
      <c r="B253" s="898" t="s">
        <v>710</v>
      </c>
      <c r="C253" s="140">
        <v>93</v>
      </c>
      <c r="D253" s="140">
        <v>91</v>
      </c>
      <c r="E253" s="140">
        <v>184</v>
      </c>
      <c r="F253" s="140">
        <v>10</v>
      </c>
      <c r="G253" s="140">
        <v>25</v>
      </c>
      <c r="H253" s="140">
        <v>35</v>
      </c>
      <c r="I253" s="140">
        <v>2107</v>
      </c>
      <c r="J253" s="140">
        <v>2473</v>
      </c>
      <c r="K253" s="140">
        <v>4580</v>
      </c>
    </row>
    <row r="254" spans="1:11" ht="16.5" customHeight="1">
      <c r="A254" s="1002"/>
      <c r="B254" s="898" t="s">
        <v>970</v>
      </c>
      <c r="C254" s="140">
        <v>65</v>
      </c>
      <c r="D254" s="140">
        <v>60</v>
      </c>
      <c r="E254" s="140">
        <v>125</v>
      </c>
      <c r="F254" s="140">
        <v>7</v>
      </c>
      <c r="G254" s="140">
        <v>5</v>
      </c>
      <c r="H254" s="140">
        <v>12</v>
      </c>
      <c r="I254" s="140">
        <v>474</v>
      </c>
      <c r="J254" s="140">
        <v>397</v>
      </c>
      <c r="K254" s="140">
        <v>871</v>
      </c>
    </row>
    <row r="255" spans="1:11" ht="16.5" customHeight="1">
      <c r="A255" s="1002"/>
      <c r="B255" s="898" t="s">
        <v>711</v>
      </c>
      <c r="C255" s="140">
        <v>105</v>
      </c>
      <c r="D255" s="140">
        <v>72</v>
      </c>
      <c r="E255" s="140">
        <v>177</v>
      </c>
      <c r="F255" s="140">
        <v>44</v>
      </c>
      <c r="G255" s="140">
        <v>30</v>
      </c>
      <c r="H255" s="140">
        <v>74</v>
      </c>
      <c r="I255" s="140">
        <v>330</v>
      </c>
      <c r="J255" s="140">
        <v>241</v>
      </c>
      <c r="K255" s="140">
        <v>571</v>
      </c>
    </row>
    <row r="256" spans="1:11" ht="16.5" customHeight="1">
      <c r="A256" s="1002"/>
      <c r="B256" s="898" t="s">
        <v>971</v>
      </c>
      <c r="C256" s="140">
        <v>12</v>
      </c>
      <c r="D256" s="140">
        <v>10</v>
      </c>
      <c r="E256" s="140">
        <v>22</v>
      </c>
      <c r="F256" s="140">
        <v>0</v>
      </c>
      <c r="G256" s="140">
        <v>0</v>
      </c>
      <c r="H256" s="140">
        <v>0</v>
      </c>
      <c r="I256" s="140">
        <v>294</v>
      </c>
      <c r="J256" s="140">
        <v>190</v>
      </c>
      <c r="K256" s="140">
        <v>484</v>
      </c>
    </row>
    <row r="257" spans="1:11" ht="16.5" customHeight="1">
      <c r="A257" s="1002"/>
      <c r="B257" s="898" t="s">
        <v>972</v>
      </c>
      <c r="C257" s="140">
        <v>7</v>
      </c>
      <c r="D257" s="140">
        <v>8</v>
      </c>
      <c r="E257" s="140">
        <v>15</v>
      </c>
      <c r="F257" s="140"/>
      <c r="G257" s="140"/>
      <c r="H257" s="140"/>
      <c r="I257" s="140">
        <v>76</v>
      </c>
      <c r="J257" s="140">
        <v>324</v>
      </c>
      <c r="K257" s="140">
        <v>400</v>
      </c>
    </row>
    <row r="258" spans="1:11" ht="28">
      <c r="A258" s="1002"/>
      <c r="B258" s="900" t="s">
        <v>973</v>
      </c>
      <c r="C258" s="140">
        <v>0</v>
      </c>
      <c r="D258" s="140">
        <v>1</v>
      </c>
      <c r="E258" s="140">
        <v>1</v>
      </c>
      <c r="F258" s="140"/>
      <c r="G258" s="140"/>
      <c r="H258" s="140"/>
      <c r="I258" s="140">
        <v>38</v>
      </c>
      <c r="J258" s="140">
        <v>137</v>
      </c>
      <c r="K258" s="140">
        <v>175</v>
      </c>
    </row>
    <row r="259" spans="1:11" ht="16.5" customHeight="1">
      <c r="A259" s="499" t="s">
        <v>712</v>
      </c>
      <c r="B259" s="901"/>
      <c r="C259" s="147">
        <v>10829</v>
      </c>
      <c r="D259" s="147">
        <v>10287</v>
      </c>
      <c r="E259" s="147">
        <v>21116</v>
      </c>
      <c r="F259" s="147">
        <v>1701</v>
      </c>
      <c r="G259" s="147">
        <v>2412</v>
      </c>
      <c r="H259" s="147">
        <v>4113</v>
      </c>
      <c r="I259" s="147">
        <v>409444</v>
      </c>
      <c r="J259" s="147">
        <v>532204</v>
      </c>
      <c r="K259" s="147">
        <v>941648</v>
      </c>
    </row>
    <row r="260" spans="1:11" ht="16.5" customHeight="1">
      <c r="A260" s="499" t="s">
        <v>270</v>
      </c>
      <c r="B260" s="901"/>
      <c r="C260" s="140">
        <v>458</v>
      </c>
      <c r="D260" s="140">
        <v>501</v>
      </c>
      <c r="E260" s="140">
        <v>959</v>
      </c>
      <c r="F260" s="140">
        <v>69</v>
      </c>
      <c r="G260" s="140">
        <v>108</v>
      </c>
      <c r="H260" s="140">
        <v>177</v>
      </c>
      <c r="I260" s="140">
        <v>27155</v>
      </c>
      <c r="J260" s="140">
        <v>32310</v>
      </c>
      <c r="K260" s="140">
        <v>59465</v>
      </c>
    </row>
    <row r="261" spans="1:11">
      <c r="A261" s="1000" t="s">
        <v>581</v>
      </c>
      <c r="B261" s="898" t="s">
        <v>581</v>
      </c>
      <c r="C261" s="140">
        <v>456</v>
      </c>
      <c r="D261" s="140">
        <v>435</v>
      </c>
      <c r="E261" s="140">
        <v>891</v>
      </c>
      <c r="F261" s="140"/>
      <c r="G261" s="140"/>
      <c r="H261" s="140"/>
      <c r="I261" s="140">
        <v>2109</v>
      </c>
      <c r="J261" s="140">
        <v>1689</v>
      </c>
      <c r="K261" s="140">
        <v>3798</v>
      </c>
    </row>
    <row r="262" spans="1:11" ht="16.5" customHeight="1">
      <c r="A262" s="1001"/>
      <c r="B262" s="898" t="s">
        <v>713</v>
      </c>
      <c r="C262" s="140">
        <v>16</v>
      </c>
      <c r="D262" s="140">
        <v>7</v>
      </c>
      <c r="E262" s="140">
        <v>23</v>
      </c>
      <c r="F262" s="140"/>
      <c r="G262" s="140"/>
      <c r="H262" s="140"/>
      <c r="I262" s="140">
        <v>72</v>
      </c>
      <c r="J262" s="140">
        <v>10</v>
      </c>
      <c r="K262" s="140">
        <v>82</v>
      </c>
    </row>
    <row r="263" spans="1:11" ht="16.5" customHeight="1">
      <c r="A263" s="232" t="s">
        <v>714</v>
      </c>
      <c r="B263" s="898"/>
      <c r="C263" s="147">
        <v>472</v>
      </c>
      <c r="D263" s="147">
        <v>442</v>
      </c>
      <c r="E263" s="147">
        <v>914</v>
      </c>
      <c r="F263" s="147"/>
      <c r="G263" s="147"/>
      <c r="H263" s="147"/>
      <c r="I263" s="147">
        <v>2181</v>
      </c>
      <c r="J263" s="147">
        <v>1699</v>
      </c>
      <c r="K263" s="147">
        <v>3880</v>
      </c>
    </row>
    <row r="264" spans="1:11" ht="16.5" customHeight="1">
      <c r="A264" s="499" t="s">
        <v>587</v>
      </c>
      <c r="B264" s="901"/>
      <c r="C264" s="140">
        <v>26</v>
      </c>
      <c r="D264" s="140">
        <v>107</v>
      </c>
      <c r="E264" s="140">
        <v>133</v>
      </c>
      <c r="F264" s="140">
        <v>35</v>
      </c>
      <c r="G264" s="140">
        <v>89</v>
      </c>
      <c r="H264" s="140">
        <v>124</v>
      </c>
      <c r="I264" s="140">
        <v>880</v>
      </c>
      <c r="J264" s="140">
        <v>9696</v>
      </c>
      <c r="K264" s="140">
        <v>10576</v>
      </c>
    </row>
    <row r="265" spans="1:11" ht="16.5" customHeight="1">
      <c r="A265" s="498" t="s">
        <v>60</v>
      </c>
      <c r="B265" s="471"/>
      <c r="C265" s="147">
        <v>114161</v>
      </c>
      <c r="D265" s="147">
        <v>93406</v>
      </c>
      <c r="E265" s="147">
        <v>207567</v>
      </c>
      <c r="F265" s="147">
        <v>6313</v>
      </c>
      <c r="G265" s="147">
        <v>10357</v>
      </c>
      <c r="H265" s="147">
        <v>16670</v>
      </c>
      <c r="I265" s="147">
        <v>1997093</v>
      </c>
      <c r="J265" s="147">
        <v>2583059</v>
      </c>
      <c r="K265" s="147">
        <v>4580152</v>
      </c>
    </row>
  </sheetData>
  <mergeCells count="26">
    <mergeCell ref="A129:A143"/>
    <mergeCell ref="A144:A176"/>
    <mergeCell ref="A11:A12"/>
    <mergeCell ref="A48:A53"/>
    <mergeCell ref="A1:K1"/>
    <mergeCell ref="C2:E2"/>
    <mergeCell ref="F2:H2"/>
    <mergeCell ref="I2:K2"/>
    <mergeCell ref="A5:A8"/>
    <mergeCell ref="A17:A21"/>
    <mergeCell ref="A261:A262"/>
    <mergeCell ref="A178:A183"/>
    <mergeCell ref="A25:A45"/>
    <mergeCell ref="A222:A238"/>
    <mergeCell ref="A240:A258"/>
    <mergeCell ref="A59:A63"/>
    <mergeCell ref="A66:A67"/>
    <mergeCell ref="A75:A86"/>
    <mergeCell ref="A88:A94"/>
    <mergeCell ref="A96:A97"/>
    <mergeCell ref="A216:A220"/>
    <mergeCell ref="A107:A126"/>
    <mergeCell ref="A185:A210"/>
    <mergeCell ref="A212:A213"/>
    <mergeCell ref="A70:A73"/>
    <mergeCell ref="A99:A103"/>
  </mergeCells>
  <pageMargins left="0.59055118110236227" right="0.39370078740157483" top="0.39370078740157483" bottom="0.39370078740157483" header="0.31496062992125984" footer="0.19685039370078741"/>
  <pageSetup paperSize="9" scale="63" firstPageNumber="46" orientation="portrait" useFirstPageNumber="1" r:id="rId1"/>
  <headerFooter>
    <oddFooter>&amp;LAISHE 2020-21&amp;CT-13</oddFooter>
  </headerFooter>
  <rowBreaks count="3" manualBreakCount="3">
    <brk id="74" max="10" man="1"/>
    <brk id="143" max="10" man="1"/>
    <brk id="211" max="10" man="1"/>
  </row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B050"/>
  </sheetPr>
  <dimension ref="A1:Z49"/>
  <sheetViews>
    <sheetView view="pageBreakPreview" zoomScaleSheetLayoutView="100" workbookViewId="0">
      <pane xSplit="2" ySplit="4" topLeftCell="O29" activePane="bottomRight" state="frozen"/>
      <selection activeCell="H31" sqref="H31"/>
      <selection pane="topRight" activeCell="H31" sqref="H31"/>
      <selection pane="bottomLeft" activeCell="H31" sqref="H31"/>
      <selection pane="bottomRight" activeCell="O41" sqref="O41"/>
    </sheetView>
  </sheetViews>
  <sheetFormatPr defaultColWidth="9.1796875" defaultRowHeight="14"/>
  <cols>
    <col min="1" max="1" width="5.1796875" style="658" customWidth="1"/>
    <col min="2" max="2" width="20.453125" style="658" customWidth="1"/>
    <col min="3" max="3" width="9.26953125" style="658" customWidth="1"/>
    <col min="4" max="4" width="9.1796875" style="658" customWidth="1"/>
    <col min="5" max="5" width="9" style="658" customWidth="1"/>
    <col min="6" max="6" width="9.26953125" style="658" customWidth="1"/>
    <col min="7" max="7" width="8.7265625" style="658" customWidth="1"/>
    <col min="8" max="8" width="7.7265625" style="658" customWidth="1"/>
    <col min="9" max="9" width="8.26953125" style="658" customWidth="1"/>
    <col min="10" max="10" width="8.54296875" style="658" customWidth="1"/>
    <col min="11" max="11" width="7.81640625" style="658" customWidth="1"/>
    <col min="12" max="12" width="7.7265625" style="658" customWidth="1"/>
    <col min="13" max="13" width="8.1796875" style="658" customWidth="1"/>
    <col min="14" max="14" width="8.7265625" style="658" customWidth="1"/>
    <col min="15" max="16384" width="9.1796875" style="658"/>
  </cols>
  <sheetData>
    <row r="1" spans="1:26" s="216" customFormat="1" ht="27" customHeight="1">
      <c r="B1" s="158" t="s">
        <v>143</v>
      </c>
      <c r="C1" s="1020" t="s">
        <v>179</v>
      </c>
      <c r="D1" s="1020"/>
      <c r="E1" s="1020"/>
      <c r="F1" s="1020"/>
      <c r="G1" s="1020"/>
      <c r="H1" s="1020"/>
      <c r="I1" s="1020"/>
      <c r="J1" s="1020"/>
      <c r="K1" s="1020"/>
      <c r="L1" s="1020"/>
      <c r="M1" s="1020"/>
      <c r="N1" s="1020"/>
      <c r="O1" s="1017" t="s">
        <v>1005</v>
      </c>
      <c r="P1" s="1017"/>
      <c r="Q1" s="1017"/>
      <c r="R1" s="1017"/>
      <c r="S1" s="1017"/>
      <c r="T1" s="1017"/>
      <c r="U1" s="1017"/>
      <c r="V1" s="1017"/>
      <c r="W1" s="1017"/>
      <c r="X1" s="1017"/>
      <c r="Y1" s="1017"/>
      <c r="Z1" s="1017"/>
    </row>
    <row r="2" spans="1:26" s="649" customFormat="1" ht="30" customHeight="1">
      <c r="A2" s="1021" t="s">
        <v>84</v>
      </c>
      <c r="B2" s="1018" t="s">
        <v>2</v>
      </c>
      <c r="C2" s="1023" t="s">
        <v>152</v>
      </c>
      <c r="D2" s="1024"/>
      <c r="E2" s="1025"/>
      <c r="F2" s="1023" t="s">
        <v>538</v>
      </c>
      <c r="G2" s="1024"/>
      <c r="H2" s="1025"/>
      <c r="I2" s="1023" t="s">
        <v>315</v>
      </c>
      <c r="J2" s="1024"/>
      <c r="K2" s="1025"/>
      <c r="L2" s="1023" t="s">
        <v>1074</v>
      </c>
      <c r="M2" s="1024"/>
      <c r="N2" s="1025"/>
      <c r="O2" s="1026" t="s">
        <v>108</v>
      </c>
      <c r="P2" s="1027"/>
      <c r="Q2" s="1028"/>
      <c r="R2" s="1026" t="s">
        <v>109</v>
      </c>
      <c r="S2" s="1027"/>
      <c r="T2" s="1028"/>
      <c r="U2" s="1018" t="s">
        <v>110</v>
      </c>
      <c r="V2" s="1018"/>
      <c r="W2" s="1018"/>
      <c r="X2" s="1016" t="s">
        <v>296</v>
      </c>
      <c r="Y2" s="1016"/>
      <c r="Z2" s="1016"/>
    </row>
    <row r="3" spans="1:26" s="651" customFormat="1" ht="24.75" customHeight="1">
      <c r="A3" s="1022"/>
      <c r="B3" s="1018"/>
      <c r="C3" s="650" t="s">
        <v>87</v>
      </c>
      <c r="D3" s="650" t="s">
        <v>88</v>
      </c>
      <c r="E3" s="650" t="s">
        <v>12</v>
      </c>
      <c r="F3" s="650" t="s">
        <v>87</v>
      </c>
      <c r="G3" s="650" t="s">
        <v>88</v>
      </c>
      <c r="H3" s="650" t="s">
        <v>12</v>
      </c>
      <c r="I3" s="650" t="s">
        <v>87</v>
      </c>
      <c r="J3" s="650" t="s">
        <v>88</v>
      </c>
      <c r="K3" s="650" t="s">
        <v>12</v>
      </c>
      <c r="L3" s="650" t="s">
        <v>87</v>
      </c>
      <c r="M3" s="650" t="s">
        <v>88</v>
      </c>
      <c r="N3" s="650" t="s">
        <v>12</v>
      </c>
      <c r="O3" s="650" t="s">
        <v>87</v>
      </c>
      <c r="P3" s="650" t="s">
        <v>88</v>
      </c>
      <c r="Q3" s="650" t="s">
        <v>12</v>
      </c>
      <c r="R3" s="650" t="s">
        <v>87</v>
      </c>
      <c r="S3" s="650" t="s">
        <v>88</v>
      </c>
      <c r="T3" s="650" t="s">
        <v>12</v>
      </c>
      <c r="U3" s="650" t="s">
        <v>87</v>
      </c>
      <c r="V3" s="650" t="s">
        <v>88</v>
      </c>
      <c r="W3" s="650" t="s">
        <v>12</v>
      </c>
      <c r="X3" s="650" t="s">
        <v>87</v>
      </c>
      <c r="Y3" s="650" t="s">
        <v>88</v>
      </c>
      <c r="Z3" s="650" t="s">
        <v>12</v>
      </c>
    </row>
    <row r="4" spans="1:26" s="651" customFormat="1" ht="13.5" customHeight="1">
      <c r="A4" s="652">
        <v>1</v>
      </c>
      <c r="B4" s="652">
        <v>2</v>
      </c>
      <c r="C4" s="652">
        <v>3</v>
      </c>
      <c r="D4" s="652">
        <v>4</v>
      </c>
      <c r="E4" s="652">
        <v>5</v>
      </c>
      <c r="F4" s="652">
        <v>6</v>
      </c>
      <c r="G4" s="652">
        <v>7</v>
      </c>
      <c r="H4" s="652">
        <v>8</v>
      </c>
      <c r="I4" s="652">
        <v>9</v>
      </c>
      <c r="J4" s="652">
        <v>10</v>
      </c>
      <c r="K4" s="652">
        <v>11</v>
      </c>
      <c r="L4" s="652">
        <v>12</v>
      </c>
      <c r="M4" s="652">
        <v>13</v>
      </c>
      <c r="N4" s="652">
        <v>14</v>
      </c>
      <c r="O4" s="652">
        <v>3</v>
      </c>
      <c r="P4" s="652">
        <v>4</v>
      </c>
      <c r="Q4" s="652">
        <v>5</v>
      </c>
      <c r="R4" s="652">
        <v>6</v>
      </c>
      <c r="S4" s="652">
        <v>7</v>
      </c>
      <c r="T4" s="652">
        <v>8</v>
      </c>
      <c r="U4" s="731">
        <v>9</v>
      </c>
      <c r="V4" s="731">
        <v>10</v>
      </c>
      <c r="W4" s="731">
        <v>11</v>
      </c>
      <c r="X4" s="731">
        <v>12</v>
      </c>
      <c r="Y4" s="731">
        <v>13</v>
      </c>
      <c r="Z4" s="731">
        <v>14</v>
      </c>
    </row>
    <row r="5" spans="1:26" s="651" customFormat="1" ht="30.75" customHeight="1">
      <c r="A5" s="654">
        <v>1</v>
      </c>
      <c r="B5" s="655" t="s">
        <v>171</v>
      </c>
      <c r="C5" s="656">
        <v>5534</v>
      </c>
      <c r="D5" s="656">
        <v>6431</v>
      </c>
      <c r="E5" s="656">
        <v>11965</v>
      </c>
      <c r="F5" s="656">
        <v>32</v>
      </c>
      <c r="G5" s="656">
        <v>15</v>
      </c>
      <c r="H5" s="656">
        <v>47</v>
      </c>
      <c r="I5" s="656">
        <v>186</v>
      </c>
      <c r="J5" s="656">
        <v>276</v>
      </c>
      <c r="K5" s="656">
        <v>462</v>
      </c>
      <c r="L5" s="656">
        <v>1581</v>
      </c>
      <c r="M5" s="656">
        <v>1888</v>
      </c>
      <c r="N5" s="656">
        <v>3469</v>
      </c>
      <c r="O5" s="656">
        <v>22</v>
      </c>
      <c r="P5" s="656">
        <v>34</v>
      </c>
      <c r="Q5" s="656">
        <v>56</v>
      </c>
      <c r="R5" s="656">
        <v>255</v>
      </c>
      <c r="S5" s="656">
        <v>363</v>
      </c>
      <c r="T5" s="656">
        <v>618</v>
      </c>
      <c r="U5" s="656">
        <v>401</v>
      </c>
      <c r="V5" s="656">
        <v>731</v>
      </c>
      <c r="W5" s="656">
        <v>1132</v>
      </c>
      <c r="X5" s="656">
        <v>51</v>
      </c>
      <c r="Y5" s="656">
        <v>37</v>
      </c>
      <c r="Z5" s="656">
        <v>88</v>
      </c>
    </row>
    <row r="6" spans="1:26" s="651" customFormat="1" ht="24" customHeight="1">
      <c r="A6" s="654">
        <v>2</v>
      </c>
      <c r="B6" s="657" t="s">
        <v>15</v>
      </c>
      <c r="C6" s="656">
        <v>1056065</v>
      </c>
      <c r="D6" s="656">
        <v>931553</v>
      </c>
      <c r="E6" s="656">
        <v>1987618</v>
      </c>
      <c r="F6" s="656">
        <v>171844</v>
      </c>
      <c r="G6" s="656">
        <v>160275</v>
      </c>
      <c r="H6" s="656">
        <v>332119</v>
      </c>
      <c r="I6" s="656">
        <v>48475</v>
      </c>
      <c r="J6" s="656">
        <v>44369</v>
      </c>
      <c r="K6" s="656">
        <v>92844</v>
      </c>
      <c r="L6" s="656">
        <v>463929</v>
      </c>
      <c r="M6" s="656">
        <v>386063</v>
      </c>
      <c r="N6" s="656">
        <v>849992</v>
      </c>
      <c r="O6" s="656">
        <v>1659</v>
      </c>
      <c r="P6" s="656">
        <v>957</v>
      </c>
      <c r="Q6" s="656">
        <v>2616</v>
      </c>
      <c r="R6" s="656">
        <v>28338</v>
      </c>
      <c r="S6" s="656">
        <v>23313</v>
      </c>
      <c r="T6" s="656">
        <v>51651</v>
      </c>
      <c r="U6" s="656">
        <v>5727</v>
      </c>
      <c r="V6" s="656">
        <v>4301</v>
      </c>
      <c r="W6" s="656">
        <v>10028</v>
      </c>
      <c r="X6" s="656">
        <v>15650</v>
      </c>
      <c r="Y6" s="656">
        <v>14068</v>
      </c>
      <c r="Z6" s="656">
        <v>29718</v>
      </c>
    </row>
    <row r="7" spans="1:26" s="651" customFormat="1" ht="24" customHeight="1">
      <c r="A7" s="654">
        <v>3</v>
      </c>
      <c r="B7" s="657" t="s">
        <v>16</v>
      </c>
      <c r="C7" s="656">
        <v>31465</v>
      </c>
      <c r="D7" s="656">
        <v>28270</v>
      </c>
      <c r="E7" s="656">
        <v>59735</v>
      </c>
      <c r="F7" s="656">
        <v>670</v>
      </c>
      <c r="G7" s="656">
        <v>407</v>
      </c>
      <c r="H7" s="656">
        <v>1077</v>
      </c>
      <c r="I7" s="656">
        <v>20576</v>
      </c>
      <c r="J7" s="656">
        <v>21101</v>
      </c>
      <c r="K7" s="656">
        <v>41677</v>
      </c>
      <c r="L7" s="656">
        <v>1222</v>
      </c>
      <c r="M7" s="656">
        <v>845</v>
      </c>
      <c r="N7" s="656">
        <v>2067</v>
      </c>
      <c r="O7" s="656">
        <v>22</v>
      </c>
      <c r="P7" s="656">
        <v>10</v>
      </c>
      <c r="Q7" s="656">
        <v>32</v>
      </c>
      <c r="R7" s="656">
        <v>53</v>
      </c>
      <c r="S7" s="656">
        <v>40</v>
      </c>
      <c r="T7" s="656">
        <v>93</v>
      </c>
      <c r="U7" s="656">
        <v>1849</v>
      </c>
      <c r="V7" s="656">
        <v>1292</v>
      </c>
      <c r="W7" s="656">
        <v>3141</v>
      </c>
      <c r="X7" s="656">
        <v>111</v>
      </c>
      <c r="Y7" s="656">
        <v>74</v>
      </c>
      <c r="Z7" s="656">
        <v>185</v>
      </c>
    </row>
    <row r="8" spans="1:26" s="651" customFormat="1" ht="24" customHeight="1">
      <c r="A8" s="654">
        <v>4</v>
      </c>
      <c r="B8" s="657" t="s">
        <v>17</v>
      </c>
      <c r="C8" s="656">
        <v>341985</v>
      </c>
      <c r="D8" s="656">
        <v>355108</v>
      </c>
      <c r="E8" s="656">
        <v>697093</v>
      </c>
      <c r="F8" s="656">
        <v>27177</v>
      </c>
      <c r="G8" s="656">
        <v>26775</v>
      </c>
      <c r="H8" s="656">
        <v>53952</v>
      </c>
      <c r="I8" s="656">
        <v>59272</v>
      </c>
      <c r="J8" s="656">
        <v>63715</v>
      </c>
      <c r="K8" s="656">
        <v>122987</v>
      </c>
      <c r="L8" s="656">
        <v>84052</v>
      </c>
      <c r="M8" s="656">
        <v>91542</v>
      </c>
      <c r="N8" s="656">
        <v>175594</v>
      </c>
      <c r="O8" s="656">
        <v>644</v>
      </c>
      <c r="P8" s="656">
        <v>316</v>
      </c>
      <c r="Q8" s="656">
        <v>960</v>
      </c>
      <c r="R8" s="656">
        <v>44845</v>
      </c>
      <c r="S8" s="656">
        <v>43084</v>
      </c>
      <c r="T8" s="656">
        <v>87929</v>
      </c>
      <c r="U8" s="656">
        <v>6791</v>
      </c>
      <c r="V8" s="656">
        <v>6571</v>
      </c>
      <c r="W8" s="656">
        <v>13362</v>
      </c>
      <c r="X8" s="656">
        <v>8496</v>
      </c>
      <c r="Y8" s="656">
        <v>8916</v>
      </c>
      <c r="Z8" s="656">
        <v>17412</v>
      </c>
    </row>
    <row r="9" spans="1:26" s="651" customFormat="1" ht="24" customHeight="1">
      <c r="A9" s="654">
        <v>5</v>
      </c>
      <c r="B9" s="657" t="s">
        <v>18</v>
      </c>
      <c r="C9" s="656">
        <v>1309402</v>
      </c>
      <c r="D9" s="656">
        <v>1051539</v>
      </c>
      <c r="E9" s="656">
        <v>2360941</v>
      </c>
      <c r="F9" s="656">
        <v>152405</v>
      </c>
      <c r="G9" s="656">
        <v>105205</v>
      </c>
      <c r="H9" s="656">
        <v>257610</v>
      </c>
      <c r="I9" s="656">
        <v>20577</v>
      </c>
      <c r="J9" s="656">
        <v>15421</v>
      </c>
      <c r="K9" s="656">
        <v>35998</v>
      </c>
      <c r="L9" s="656">
        <v>547653</v>
      </c>
      <c r="M9" s="656">
        <v>446029</v>
      </c>
      <c r="N9" s="656">
        <v>993682</v>
      </c>
      <c r="O9" s="656">
        <v>3410</v>
      </c>
      <c r="P9" s="656">
        <v>2236</v>
      </c>
      <c r="Q9" s="656">
        <v>5646</v>
      </c>
      <c r="R9" s="656">
        <v>78713</v>
      </c>
      <c r="S9" s="656">
        <v>75028</v>
      </c>
      <c r="T9" s="656">
        <v>153741</v>
      </c>
      <c r="U9" s="656">
        <v>1222</v>
      </c>
      <c r="V9" s="656">
        <v>1658</v>
      </c>
      <c r="W9" s="656">
        <v>2880</v>
      </c>
      <c r="X9" s="656">
        <v>16533</v>
      </c>
      <c r="Y9" s="656">
        <v>12612</v>
      </c>
      <c r="Z9" s="656">
        <v>29145</v>
      </c>
    </row>
    <row r="10" spans="1:26" s="651" customFormat="1" ht="24" customHeight="1">
      <c r="A10" s="654">
        <v>6</v>
      </c>
      <c r="B10" s="657" t="s">
        <v>19</v>
      </c>
      <c r="C10" s="656">
        <v>54809</v>
      </c>
      <c r="D10" s="656">
        <v>55656</v>
      </c>
      <c r="E10" s="656">
        <v>110465</v>
      </c>
      <c r="F10" s="656">
        <v>9293</v>
      </c>
      <c r="G10" s="656">
        <v>7542</v>
      </c>
      <c r="H10" s="656">
        <v>16835</v>
      </c>
      <c r="I10" s="656">
        <v>1055</v>
      </c>
      <c r="J10" s="656">
        <v>968</v>
      </c>
      <c r="K10" s="656">
        <v>2023</v>
      </c>
      <c r="L10" s="656">
        <v>5261</v>
      </c>
      <c r="M10" s="656">
        <v>3541</v>
      </c>
      <c r="N10" s="656">
        <v>8802</v>
      </c>
      <c r="O10" s="656">
        <v>231</v>
      </c>
      <c r="P10" s="656">
        <v>86</v>
      </c>
      <c r="Q10" s="656">
        <v>317</v>
      </c>
      <c r="R10" s="656">
        <v>327</v>
      </c>
      <c r="S10" s="656">
        <v>376</v>
      </c>
      <c r="T10" s="656">
        <v>703</v>
      </c>
      <c r="U10" s="656">
        <v>2072</v>
      </c>
      <c r="V10" s="656">
        <v>3190</v>
      </c>
      <c r="W10" s="656">
        <v>5262</v>
      </c>
      <c r="X10" s="656">
        <v>832</v>
      </c>
      <c r="Y10" s="656">
        <v>631</v>
      </c>
      <c r="Z10" s="656">
        <v>1463</v>
      </c>
    </row>
    <row r="11" spans="1:26" s="651" customFormat="1" ht="24" customHeight="1">
      <c r="A11" s="654">
        <v>7</v>
      </c>
      <c r="B11" s="657" t="s">
        <v>20</v>
      </c>
      <c r="C11" s="656">
        <v>302840</v>
      </c>
      <c r="D11" s="656">
        <v>350565</v>
      </c>
      <c r="E11" s="656">
        <v>653405</v>
      </c>
      <c r="F11" s="656">
        <v>41449</v>
      </c>
      <c r="G11" s="656">
        <v>44456</v>
      </c>
      <c r="H11" s="656">
        <v>85905</v>
      </c>
      <c r="I11" s="656">
        <v>57790</v>
      </c>
      <c r="J11" s="656">
        <v>81319</v>
      </c>
      <c r="K11" s="656">
        <v>139109</v>
      </c>
      <c r="L11" s="656">
        <v>133754</v>
      </c>
      <c r="M11" s="656">
        <v>151173</v>
      </c>
      <c r="N11" s="656">
        <v>284927</v>
      </c>
      <c r="O11" s="656">
        <v>344</v>
      </c>
      <c r="P11" s="656">
        <v>132</v>
      </c>
      <c r="Q11" s="656">
        <v>476</v>
      </c>
      <c r="R11" s="656">
        <v>2017</v>
      </c>
      <c r="S11" s="656">
        <v>2676</v>
      </c>
      <c r="T11" s="656">
        <v>4693</v>
      </c>
      <c r="U11" s="656">
        <v>1885</v>
      </c>
      <c r="V11" s="656">
        <v>3038</v>
      </c>
      <c r="W11" s="656">
        <v>4923</v>
      </c>
      <c r="X11" s="656">
        <v>1398</v>
      </c>
      <c r="Y11" s="656">
        <v>1143</v>
      </c>
      <c r="Z11" s="656">
        <v>2541</v>
      </c>
    </row>
    <row r="12" spans="1:26" s="651" customFormat="1" ht="24" customHeight="1">
      <c r="A12" s="654">
        <v>8</v>
      </c>
      <c r="B12" s="657" t="s">
        <v>23</v>
      </c>
      <c r="C12" s="656">
        <v>564849</v>
      </c>
      <c r="D12" s="656">
        <v>541422</v>
      </c>
      <c r="E12" s="656">
        <v>1106271</v>
      </c>
      <c r="F12" s="656">
        <v>58208</v>
      </c>
      <c r="G12" s="656">
        <v>51061</v>
      </c>
      <c r="H12" s="656">
        <v>109269</v>
      </c>
      <c r="I12" s="656">
        <v>10597</v>
      </c>
      <c r="J12" s="656">
        <v>8934</v>
      </c>
      <c r="K12" s="656">
        <v>19531</v>
      </c>
      <c r="L12" s="656">
        <v>90936</v>
      </c>
      <c r="M12" s="656">
        <v>65976</v>
      </c>
      <c r="N12" s="656">
        <v>156912</v>
      </c>
      <c r="O12" s="656">
        <v>2984</v>
      </c>
      <c r="P12" s="656">
        <v>1442</v>
      </c>
      <c r="Q12" s="656">
        <v>4426</v>
      </c>
      <c r="R12" s="656">
        <v>11900</v>
      </c>
      <c r="S12" s="656">
        <v>9304</v>
      </c>
      <c r="T12" s="656">
        <v>21204</v>
      </c>
      <c r="U12" s="656">
        <v>4865</v>
      </c>
      <c r="V12" s="656">
        <v>6211</v>
      </c>
      <c r="W12" s="656">
        <v>11076</v>
      </c>
      <c r="X12" s="656">
        <v>14261</v>
      </c>
      <c r="Y12" s="656">
        <v>8932</v>
      </c>
      <c r="Z12" s="656">
        <v>23193</v>
      </c>
    </row>
    <row r="13" spans="1:26" s="651" customFormat="1" ht="24" customHeight="1">
      <c r="A13" s="654">
        <v>9</v>
      </c>
      <c r="B13" s="657" t="s">
        <v>24</v>
      </c>
      <c r="C13" s="656">
        <v>29404</v>
      </c>
      <c r="D13" s="656">
        <v>30881</v>
      </c>
      <c r="E13" s="656">
        <v>60285</v>
      </c>
      <c r="F13" s="656">
        <v>899</v>
      </c>
      <c r="G13" s="656">
        <v>674</v>
      </c>
      <c r="H13" s="656">
        <v>1573</v>
      </c>
      <c r="I13" s="656">
        <v>2088</v>
      </c>
      <c r="J13" s="656">
        <v>2756</v>
      </c>
      <c r="K13" s="656">
        <v>4844</v>
      </c>
      <c r="L13" s="656">
        <v>5615</v>
      </c>
      <c r="M13" s="656">
        <v>6104</v>
      </c>
      <c r="N13" s="656">
        <v>11719</v>
      </c>
      <c r="O13" s="656">
        <v>34</v>
      </c>
      <c r="P13" s="656">
        <v>13</v>
      </c>
      <c r="Q13" s="656">
        <v>47</v>
      </c>
      <c r="R13" s="656">
        <v>1378</v>
      </c>
      <c r="S13" s="656">
        <v>1520</v>
      </c>
      <c r="T13" s="656">
        <v>2898</v>
      </c>
      <c r="U13" s="656">
        <v>3630</v>
      </c>
      <c r="V13" s="656">
        <v>5449</v>
      </c>
      <c r="W13" s="656">
        <v>9079</v>
      </c>
      <c r="X13" s="656">
        <v>197</v>
      </c>
      <c r="Y13" s="656">
        <v>98</v>
      </c>
      <c r="Z13" s="656">
        <v>295</v>
      </c>
    </row>
    <row r="14" spans="1:26" s="651" customFormat="1" ht="24" customHeight="1">
      <c r="A14" s="654">
        <v>10</v>
      </c>
      <c r="B14" s="657" t="s">
        <v>25</v>
      </c>
      <c r="C14" s="656">
        <v>938144</v>
      </c>
      <c r="D14" s="656">
        <v>714986</v>
      </c>
      <c r="E14" s="656">
        <v>1653130</v>
      </c>
      <c r="F14" s="656">
        <v>84815</v>
      </c>
      <c r="G14" s="656">
        <v>65967</v>
      </c>
      <c r="H14" s="656">
        <v>150782</v>
      </c>
      <c r="I14" s="656">
        <v>89913</v>
      </c>
      <c r="J14" s="656">
        <v>87551</v>
      </c>
      <c r="K14" s="656">
        <v>177464</v>
      </c>
      <c r="L14" s="656">
        <v>294584</v>
      </c>
      <c r="M14" s="656">
        <v>207275</v>
      </c>
      <c r="N14" s="656">
        <v>501859</v>
      </c>
      <c r="O14" s="656">
        <v>1143</v>
      </c>
      <c r="P14" s="656">
        <v>628</v>
      </c>
      <c r="Q14" s="656">
        <v>1771</v>
      </c>
      <c r="R14" s="656">
        <v>18170</v>
      </c>
      <c r="S14" s="656">
        <v>14935</v>
      </c>
      <c r="T14" s="656">
        <v>33105</v>
      </c>
      <c r="U14" s="656">
        <v>5561</v>
      </c>
      <c r="V14" s="656">
        <v>5709</v>
      </c>
      <c r="W14" s="656">
        <v>11270</v>
      </c>
      <c r="X14" s="656">
        <v>23494</v>
      </c>
      <c r="Y14" s="656">
        <v>16279</v>
      </c>
      <c r="Z14" s="656">
        <v>39773</v>
      </c>
    </row>
    <row r="15" spans="1:26" s="651" customFormat="1" ht="24" customHeight="1">
      <c r="A15" s="654">
        <v>11</v>
      </c>
      <c r="B15" s="657" t="s">
        <v>26</v>
      </c>
      <c r="C15" s="656">
        <v>517813</v>
      </c>
      <c r="D15" s="656">
        <v>511346</v>
      </c>
      <c r="E15" s="656">
        <v>1029159</v>
      </c>
      <c r="F15" s="656">
        <v>78157</v>
      </c>
      <c r="G15" s="656">
        <v>76128</v>
      </c>
      <c r="H15" s="656">
        <v>154285</v>
      </c>
      <c r="I15" s="656">
        <v>2799</v>
      </c>
      <c r="J15" s="656">
        <v>1776</v>
      </c>
      <c r="K15" s="656">
        <v>4575</v>
      </c>
      <c r="L15" s="656">
        <v>116069</v>
      </c>
      <c r="M15" s="656">
        <v>109671</v>
      </c>
      <c r="N15" s="656">
        <v>225740</v>
      </c>
      <c r="O15" s="656">
        <v>646</v>
      </c>
      <c r="P15" s="656">
        <v>447</v>
      </c>
      <c r="Q15" s="656">
        <v>1093</v>
      </c>
      <c r="R15" s="656">
        <v>7423</v>
      </c>
      <c r="S15" s="656">
        <v>3022</v>
      </c>
      <c r="T15" s="656">
        <v>10445</v>
      </c>
      <c r="U15" s="656">
        <v>4769</v>
      </c>
      <c r="V15" s="656">
        <v>6919</v>
      </c>
      <c r="W15" s="656">
        <v>11688</v>
      </c>
      <c r="X15" s="656">
        <v>5867</v>
      </c>
      <c r="Y15" s="656">
        <v>4413</v>
      </c>
      <c r="Z15" s="656">
        <v>10280</v>
      </c>
    </row>
    <row r="16" spans="1:26" s="651" customFormat="1" ht="24" customHeight="1">
      <c r="A16" s="654">
        <v>12</v>
      </c>
      <c r="B16" s="657" t="s">
        <v>27</v>
      </c>
      <c r="C16" s="656">
        <v>133196</v>
      </c>
      <c r="D16" s="656">
        <v>156389</v>
      </c>
      <c r="E16" s="656">
        <v>289585</v>
      </c>
      <c r="F16" s="656">
        <v>25382</v>
      </c>
      <c r="G16" s="656">
        <v>30990</v>
      </c>
      <c r="H16" s="656">
        <v>56372</v>
      </c>
      <c r="I16" s="656">
        <v>7967</v>
      </c>
      <c r="J16" s="656">
        <v>9353</v>
      </c>
      <c r="K16" s="656">
        <v>17320</v>
      </c>
      <c r="L16" s="656">
        <v>16132</v>
      </c>
      <c r="M16" s="656">
        <v>21501</v>
      </c>
      <c r="N16" s="656">
        <v>37633</v>
      </c>
      <c r="O16" s="656">
        <v>192</v>
      </c>
      <c r="P16" s="656">
        <v>91</v>
      </c>
      <c r="Q16" s="656">
        <v>283</v>
      </c>
      <c r="R16" s="656">
        <v>616</v>
      </c>
      <c r="S16" s="656">
        <v>560</v>
      </c>
      <c r="T16" s="656">
        <v>1176</v>
      </c>
      <c r="U16" s="656">
        <v>1141</v>
      </c>
      <c r="V16" s="656">
        <v>1354</v>
      </c>
      <c r="W16" s="656">
        <v>2495</v>
      </c>
      <c r="X16" s="656">
        <v>1196</v>
      </c>
      <c r="Y16" s="656">
        <v>1203</v>
      </c>
      <c r="Z16" s="656">
        <v>2399</v>
      </c>
    </row>
    <row r="17" spans="1:26" s="651" customFormat="1" ht="24" customHeight="1">
      <c r="A17" s="654">
        <v>13</v>
      </c>
      <c r="B17" s="655" t="s">
        <v>57</v>
      </c>
      <c r="C17" s="656">
        <v>193476</v>
      </c>
      <c r="D17" s="656">
        <v>205378</v>
      </c>
      <c r="E17" s="656">
        <v>398854</v>
      </c>
      <c r="F17" s="656">
        <v>10549</v>
      </c>
      <c r="G17" s="656">
        <v>11892</v>
      </c>
      <c r="H17" s="656">
        <v>22441</v>
      </c>
      <c r="I17" s="656">
        <v>13607</v>
      </c>
      <c r="J17" s="656">
        <v>11126</v>
      </c>
      <c r="K17" s="656">
        <v>24733</v>
      </c>
      <c r="L17" s="656">
        <v>14281</v>
      </c>
      <c r="M17" s="656">
        <v>12033</v>
      </c>
      <c r="N17" s="656">
        <v>26314</v>
      </c>
      <c r="O17" s="656">
        <v>297</v>
      </c>
      <c r="P17" s="656">
        <v>291</v>
      </c>
      <c r="Q17" s="656">
        <v>588</v>
      </c>
      <c r="R17" s="656">
        <v>65193</v>
      </c>
      <c r="S17" s="656">
        <v>66149</v>
      </c>
      <c r="T17" s="656">
        <v>131342</v>
      </c>
      <c r="U17" s="656">
        <v>2465</v>
      </c>
      <c r="V17" s="656">
        <v>3328</v>
      </c>
      <c r="W17" s="656">
        <v>5793</v>
      </c>
      <c r="X17" s="656">
        <v>2500</v>
      </c>
      <c r="Y17" s="656">
        <v>3192</v>
      </c>
      <c r="Z17" s="656">
        <v>5692</v>
      </c>
    </row>
    <row r="18" spans="1:26" s="651" customFormat="1" ht="24" customHeight="1">
      <c r="A18" s="654">
        <v>14</v>
      </c>
      <c r="B18" s="657" t="s">
        <v>29</v>
      </c>
      <c r="C18" s="656">
        <v>393349</v>
      </c>
      <c r="D18" s="656">
        <v>393338</v>
      </c>
      <c r="E18" s="656">
        <v>786687</v>
      </c>
      <c r="F18" s="656">
        <v>38118</v>
      </c>
      <c r="G18" s="656">
        <v>33279</v>
      </c>
      <c r="H18" s="656">
        <v>71397</v>
      </c>
      <c r="I18" s="656">
        <v>66777</v>
      </c>
      <c r="J18" s="656">
        <v>80751</v>
      </c>
      <c r="K18" s="656">
        <v>147528</v>
      </c>
      <c r="L18" s="656">
        <v>154440</v>
      </c>
      <c r="M18" s="656">
        <v>149715</v>
      </c>
      <c r="N18" s="656">
        <v>304155</v>
      </c>
      <c r="O18" s="656">
        <v>546</v>
      </c>
      <c r="P18" s="656">
        <v>225</v>
      </c>
      <c r="Q18" s="656">
        <v>771</v>
      </c>
      <c r="R18" s="656">
        <v>17069</v>
      </c>
      <c r="S18" s="656">
        <v>17244</v>
      </c>
      <c r="T18" s="656">
        <v>34313</v>
      </c>
      <c r="U18" s="656">
        <v>4916</v>
      </c>
      <c r="V18" s="656">
        <v>6884</v>
      </c>
      <c r="W18" s="656">
        <v>11800</v>
      </c>
      <c r="X18" s="656">
        <v>3010</v>
      </c>
      <c r="Y18" s="656">
        <v>1700</v>
      </c>
      <c r="Z18" s="656">
        <v>4710</v>
      </c>
    </row>
    <row r="19" spans="1:26" s="651" customFormat="1" ht="24" customHeight="1">
      <c r="A19" s="654">
        <v>15</v>
      </c>
      <c r="B19" s="657" t="s">
        <v>30</v>
      </c>
      <c r="C19" s="656">
        <v>1223601</v>
      </c>
      <c r="D19" s="656">
        <v>1216836</v>
      </c>
      <c r="E19" s="656">
        <v>2440437</v>
      </c>
      <c r="F19" s="656">
        <v>157702</v>
      </c>
      <c r="G19" s="656">
        <v>154146</v>
      </c>
      <c r="H19" s="656">
        <v>311848</v>
      </c>
      <c r="I19" s="656">
        <v>58644</v>
      </c>
      <c r="J19" s="656">
        <v>56327</v>
      </c>
      <c r="K19" s="656">
        <v>114971</v>
      </c>
      <c r="L19" s="656">
        <v>565089</v>
      </c>
      <c r="M19" s="656">
        <v>573864</v>
      </c>
      <c r="N19" s="656">
        <v>1138953</v>
      </c>
      <c r="O19" s="656">
        <v>2665</v>
      </c>
      <c r="P19" s="656">
        <v>1830</v>
      </c>
      <c r="Q19" s="656">
        <v>4495</v>
      </c>
      <c r="R19" s="656">
        <v>72487</v>
      </c>
      <c r="S19" s="656">
        <v>65871</v>
      </c>
      <c r="T19" s="656">
        <v>138358</v>
      </c>
      <c r="U19" s="656">
        <v>36086</v>
      </c>
      <c r="V19" s="656">
        <v>45593</v>
      </c>
      <c r="W19" s="656">
        <v>81679</v>
      </c>
      <c r="X19" s="656">
        <v>15920</v>
      </c>
      <c r="Y19" s="656">
        <v>35128</v>
      </c>
      <c r="Z19" s="656">
        <v>51048</v>
      </c>
    </row>
    <row r="20" spans="1:26" s="651" customFormat="1" ht="24" customHeight="1">
      <c r="A20" s="654">
        <v>16</v>
      </c>
      <c r="B20" s="657" t="s">
        <v>31</v>
      </c>
      <c r="C20" s="656">
        <v>559625</v>
      </c>
      <c r="D20" s="656">
        <v>804911</v>
      </c>
      <c r="E20" s="656">
        <v>1364536</v>
      </c>
      <c r="F20" s="656">
        <v>34488</v>
      </c>
      <c r="G20" s="656">
        <v>62108</v>
      </c>
      <c r="H20" s="656">
        <v>96596</v>
      </c>
      <c r="I20" s="656">
        <v>5702</v>
      </c>
      <c r="J20" s="656">
        <v>8712</v>
      </c>
      <c r="K20" s="656">
        <v>14414</v>
      </c>
      <c r="L20" s="656">
        <v>270266</v>
      </c>
      <c r="M20" s="656">
        <v>426085</v>
      </c>
      <c r="N20" s="656">
        <v>696351</v>
      </c>
      <c r="O20" s="656">
        <v>2103</v>
      </c>
      <c r="P20" s="656">
        <v>1888</v>
      </c>
      <c r="Q20" s="656">
        <v>3991</v>
      </c>
      <c r="R20" s="656">
        <v>68170</v>
      </c>
      <c r="S20" s="656">
        <v>102759</v>
      </c>
      <c r="T20" s="656">
        <v>170929</v>
      </c>
      <c r="U20" s="656">
        <v>51334</v>
      </c>
      <c r="V20" s="656">
        <v>63552</v>
      </c>
      <c r="W20" s="656">
        <v>114886</v>
      </c>
      <c r="X20" s="656">
        <v>6189</v>
      </c>
      <c r="Y20" s="656">
        <v>10363</v>
      </c>
      <c r="Z20" s="656">
        <v>16552</v>
      </c>
    </row>
    <row r="21" spans="1:26" s="651" customFormat="1" ht="24" customHeight="1">
      <c r="A21" s="654">
        <v>17</v>
      </c>
      <c r="B21" s="182" t="s">
        <v>172</v>
      </c>
      <c r="C21" s="656">
        <v>1108</v>
      </c>
      <c r="D21" s="656">
        <v>2039</v>
      </c>
      <c r="E21" s="656">
        <v>3147</v>
      </c>
      <c r="F21" s="656">
        <v>0</v>
      </c>
      <c r="G21" s="656">
        <v>16</v>
      </c>
      <c r="H21" s="656">
        <v>16</v>
      </c>
      <c r="I21" s="656">
        <v>902</v>
      </c>
      <c r="J21" s="656">
        <v>1937</v>
      </c>
      <c r="K21" s="656">
        <v>2839</v>
      </c>
      <c r="L21" s="656">
        <v>35</v>
      </c>
      <c r="M21" s="656">
        <v>24</v>
      </c>
      <c r="N21" s="656">
        <v>59</v>
      </c>
      <c r="O21" s="656">
        <v>0</v>
      </c>
      <c r="P21" s="656">
        <v>0</v>
      </c>
      <c r="Q21" s="656">
        <v>0</v>
      </c>
      <c r="R21" s="656">
        <v>679</v>
      </c>
      <c r="S21" s="656">
        <v>1341</v>
      </c>
      <c r="T21" s="656">
        <v>2020</v>
      </c>
      <c r="U21" s="656">
        <v>226</v>
      </c>
      <c r="V21" s="656">
        <v>564</v>
      </c>
      <c r="W21" s="656">
        <v>790</v>
      </c>
      <c r="X21" s="656">
        <v>0</v>
      </c>
      <c r="Y21" s="656">
        <v>0</v>
      </c>
      <c r="Z21" s="656">
        <v>0</v>
      </c>
    </row>
    <row r="22" spans="1:26" s="651" customFormat="1" ht="24" customHeight="1">
      <c r="A22" s="654">
        <v>18</v>
      </c>
      <c r="B22" s="657" t="s">
        <v>32</v>
      </c>
      <c r="C22" s="656">
        <v>133</v>
      </c>
      <c r="D22" s="656">
        <v>427</v>
      </c>
      <c r="E22" s="656">
        <v>560</v>
      </c>
      <c r="F22" s="656">
        <v>0</v>
      </c>
      <c r="G22" s="656">
        <v>0</v>
      </c>
      <c r="H22" s="656">
        <v>0</v>
      </c>
      <c r="I22" s="656">
        <v>70</v>
      </c>
      <c r="J22" s="656">
        <v>256</v>
      </c>
      <c r="K22" s="656">
        <v>326</v>
      </c>
      <c r="L22" s="656">
        <v>0</v>
      </c>
      <c r="M22" s="656">
        <v>0</v>
      </c>
      <c r="N22" s="656">
        <v>0</v>
      </c>
      <c r="O22" s="656">
        <v>0</v>
      </c>
      <c r="P22" s="656">
        <v>0</v>
      </c>
      <c r="Q22" s="656">
        <v>0</v>
      </c>
      <c r="R22" s="656">
        <v>70</v>
      </c>
      <c r="S22" s="656">
        <v>256</v>
      </c>
      <c r="T22" s="656">
        <v>326</v>
      </c>
      <c r="U22" s="656">
        <v>0</v>
      </c>
      <c r="V22" s="656">
        <v>0</v>
      </c>
      <c r="W22" s="656">
        <v>0</v>
      </c>
      <c r="X22" s="656">
        <v>0</v>
      </c>
      <c r="Y22" s="656">
        <v>0</v>
      </c>
      <c r="Z22" s="656">
        <v>0</v>
      </c>
    </row>
    <row r="23" spans="1:26" s="651" customFormat="1" ht="24" customHeight="1">
      <c r="A23" s="654">
        <v>19</v>
      </c>
      <c r="B23" s="657" t="s">
        <v>33</v>
      </c>
      <c r="C23" s="656">
        <v>1374036</v>
      </c>
      <c r="D23" s="656">
        <v>1224525</v>
      </c>
      <c r="E23" s="656">
        <v>2598561</v>
      </c>
      <c r="F23" s="656">
        <v>210178</v>
      </c>
      <c r="G23" s="656">
        <v>184840</v>
      </c>
      <c r="H23" s="656">
        <v>395018</v>
      </c>
      <c r="I23" s="656">
        <v>140698</v>
      </c>
      <c r="J23" s="656">
        <v>153701</v>
      </c>
      <c r="K23" s="656">
        <v>294399</v>
      </c>
      <c r="L23" s="656">
        <v>528269</v>
      </c>
      <c r="M23" s="656">
        <v>512294</v>
      </c>
      <c r="N23" s="656">
        <v>1040563</v>
      </c>
      <c r="O23" s="656">
        <v>1886</v>
      </c>
      <c r="P23" s="656">
        <v>708</v>
      </c>
      <c r="Q23" s="656">
        <v>2594</v>
      </c>
      <c r="R23" s="656">
        <v>20995</v>
      </c>
      <c r="S23" s="656">
        <v>20432</v>
      </c>
      <c r="T23" s="656">
        <v>41427</v>
      </c>
      <c r="U23" s="656">
        <v>8968</v>
      </c>
      <c r="V23" s="656">
        <v>9814</v>
      </c>
      <c r="W23" s="656">
        <v>18782</v>
      </c>
      <c r="X23" s="656">
        <v>7293</v>
      </c>
      <c r="Y23" s="656">
        <v>5162</v>
      </c>
      <c r="Z23" s="656">
        <v>12455</v>
      </c>
    </row>
    <row r="24" spans="1:26" s="651" customFormat="1" ht="24" customHeight="1">
      <c r="A24" s="654">
        <v>20</v>
      </c>
      <c r="B24" s="657" t="s">
        <v>34</v>
      </c>
      <c r="C24" s="656">
        <v>2491897</v>
      </c>
      <c r="D24" s="656">
        <v>2054252</v>
      </c>
      <c r="E24" s="656">
        <v>4546149</v>
      </c>
      <c r="F24" s="656">
        <v>290289</v>
      </c>
      <c r="G24" s="656">
        <v>255618</v>
      </c>
      <c r="H24" s="656">
        <v>545907</v>
      </c>
      <c r="I24" s="656">
        <v>111489</v>
      </c>
      <c r="J24" s="656">
        <v>86643</v>
      </c>
      <c r="K24" s="656">
        <v>198132</v>
      </c>
      <c r="L24" s="656">
        <v>723073</v>
      </c>
      <c r="M24" s="656">
        <v>583566</v>
      </c>
      <c r="N24" s="656">
        <v>1306639</v>
      </c>
      <c r="O24" s="656">
        <v>3949</v>
      </c>
      <c r="P24" s="656">
        <v>2214</v>
      </c>
      <c r="Q24" s="656">
        <v>6163</v>
      </c>
      <c r="R24" s="656">
        <v>79148</v>
      </c>
      <c r="S24" s="656">
        <v>71656</v>
      </c>
      <c r="T24" s="656">
        <v>150804</v>
      </c>
      <c r="U24" s="656">
        <v>42054</v>
      </c>
      <c r="V24" s="656">
        <v>39620</v>
      </c>
      <c r="W24" s="656">
        <v>81674</v>
      </c>
      <c r="X24" s="656">
        <v>29953</v>
      </c>
      <c r="Y24" s="656">
        <v>21698</v>
      </c>
      <c r="Z24" s="656">
        <v>51651</v>
      </c>
    </row>
    <row r="25" spans="1:26" s="651" customFormat="1" ht="24" customHeight="1">
      <c r="A25" s="654">
        <v>21</v>
      </c>
      <c r="B25" s="657" t="s">
        <v>35</v>
      </c>
      <c r="C25" s="656">
        <v>68916</v>
      </c>
      <c r="D25" s="656">
        <v>69583</v>
      </c>
      <c r="E25" s="656">
        <v>138499</v>
      </c>
      <c r="F25" s="656">
        <v>5110</v>
      </c>
      <c r="G25" s="656">
        <v>4229</v>
      </c>
      <c r="H25" s="656">
        <v>9339</v>
      </c>
      <c r="I25" s="656">
        <v>18790</v>
      </c>
      <c r="J25" s="656">
        <v>18859</v>
      </c>
      <c r="K25" s="656">
        <v>37649</v>
      </c>
      <c r="L25" s="656">
        <v>18578</v>
      </c>
      <c r="M25" s="656">
        <v>22308</v>
      </c>
      <c r="N25" s="656">
        <v>40886</v>
      </c>
      <c r="O25" s="656">
        <v>123</v>
      </c>
      <c r="P25" s="656">
        <v>110</v>
      </c>
      <c r="Q25" s="656">
        <v>233</v>
      </c>
      <c r="R25" s="656">
        <v>1904</v>
      </c>
      <c r="S25" s="656">
        <v>2526</v>
      </c>
      <c r="T25" s="656">
        <v>4430</v>
      </c>
      <c r="U25" s="656">
        <v>2519</v>
      </c>
      <c r="V25" s="656">
        <v>2630</v>
      </c>
      <c r="W25" s="656">
        <v>5149</v>
      </c>
      <c r="X25" s="656">
        <v>115</v>
      </c>
      <c r="Y25" s="656">
        <v>59</v>
      </c>
      <c r="Z25" s="656">
        <v>174</v>
      </c>
    </row>
    <row r="26" spans="1:26" s="651" customFormat="1" ht="24" customHeight="1">
      <c r="A26" s="654">
        <v>22</v>
      </c>
      <c r="B26" s="657" t="s">
        <v>36</v>
      </c>
      <c r="C26" s="656">
        <v>43104</v>
      </c>
      <c r="D26" s="656">
        <v>54480</v>
      </c>
      <c r="E26" s="656">
        <v>97584</v>
      </c>
      <c r="F26" s="656">
        <v>2114</v>
      </c>
      <c r="G26" s="656">
        <v>1697</v>
      </c>
      <c r="H26" s="656">
        <v>3811</v>
      </c>
      <c r="I26" s="656">
        <v>30260</v>
      </c>
      <c r="J26" s="656">
        <v>41669</v>
      </c>
      <c r="K26" s="656">
        <v>71929</v>
      </c>
      <c r="L26" s="656">
        <v>1120</v>
      </c>
      <c r="M26" s="656">
        <v>1158</v>
      </c>
      <c r="N26" s="656">
        <v>2278</v>
      </c>
      <c r="O26" s="656">
        <v>188</v>
      </c>
      <c r="P26" s="656">
        <v>139</v>
      </c>
      <c r="Q26" s="656">
        <v>327</v>
      </c>
      <c r="R26" s="656">
        <v>1150</v>
      </c>
      <c r="S26" s="656">
        <v>912</v>
      </c>
      <c r="T26" s="656">
        <v>2062</v>
      </c>
      <c r="U26" s="656">
        <v>13119</v>
      </c>
      <c r="V26" s="656">
        <v>17005</v>
      </c>
      <c r="W26" s="656">
        <v>30124</v>
      </c>
      <c r="X26" s="656">
        <v>207</v>
      </c>
      <c r="Y26" s="656">
        <v>136</v>
      </c>
      <c r="Z26" s="656">
        <v>343</v>
      </c>
    </row>
    <row r="27" spans="1:26" s="651" customFormat="1" ht="24" customHeight="1">
      <c r="A27" s="654">
        <v>23</v>
      </c>
      <c r="B27" s="657" t="s">
        <v>37</v>
      </c>
      <c r="C27" s="656">
        <v>19201</v>
      </c>
      <c r="D27" s="656">
        <v>19509</v>
      </c>
      <c r="E27" s="656">
        <v>38710</v>
      </c>
      <c r="F27" s="656">
        <v>200</v>
      </c>
      <c r="G27" s="656">
        <v>111</v>
      </c>
      <c r="H27" s="656">
        <v>311</v>
      </c>
      <c r="I27" s="656">
        <v>17963</v>
      </c>
      <c r="J27" s="656">
        <v>18673</v>
      </c>
      <c r="K27" s="656">
        <v>36636</v>
      </c>
      <c r="L27" s="656">
        <v>379</v>
      </c>
      <c r="M27" s="656">
        <v>244</v>
      </c>
      <c r="N27" s="656">
        <v>623</v>
      </c>
      <c r="O27" s="656">
        <v>14</v>
      </c>
      <c r="P27" s="656">
        <v>13</v>
      </c>
      <c r="Q27" s="656">
        <v>27</v>
      </c>
      <c r="R27" s="656">
        <v>50</v>
      </c>
      <c r="S27" s="656">
        <v>28</v>
      </c>
      <c r="T27" s="656">
        <v>78</v>
      </c>
      <c r="U27" s="656">
        <v>9747</v>
      </c>
      <c r="V27" s="656">
        <v>10304</v>
      </c>
      <c r="W27" s="656">
        <v>20051</v>
      </c>
      <c r="X27" s="656">
        <v>18</v>
      </c>
      <c r="Y27" s="656">
        <v>8</v>
      </c>
      <c r="Z27" s="656">
        <v>26</v>
      </c>
    </row>
    <row r="28" spans="1:26" s="651" customFormat="1" ht="24" customHeight="1">
      <c r="A28" s="654">
        <v>24</v>
      </c>
      <c r="B28" s="657" t="s">
        <v>38</v>
      </c>
      <c r="C28" s="656">
        <v>21750</v>
      </c>
      <c r="D28" s="656">
        <v>25204</v>
      </c>
      <c r="E28" s="656">
        <v>46954</v>
      </c>
      <c r="F28" s="656">
        <v>279</v>
      </c>
      <c r="G28" s="656">
        <v>265</v>
      </c>
      <c r="H28" s="656">
        <v>544</v>
      </c>
      <c r="I28" s="656">
        <v>18340</v>
      </c>
      <c r="J28" s="656">
        <v>21869</v>
      </c>
      <c r="K28" s="656">
        <v>40209</v>
      </c>
      <c r="L28" s="656">
        <v>517</v>
      </c>
      <c r="M28" s="656">
        <v>472</v>
      </c>
      <c r="N28" s="656">
        <v>989</v>
      </c>
      <c r="O28" s="656">
        <v>3</v>
      </c>
      <c r="P28" s="656">
        <v>5</v>
      </c>
      <c r="Q28" s="656">
        <v>8</v>
      </c>
      <c r="R28" s="656">
        <v>113</v>
      </c>
      <c r="S28" s="656">
        <v>144</v>
      </c>
      <c r="T28" s="656">
        <v>257</v>
      </c>
      <c r="U28" s="656">
        <v>4719</v>
      </c>
      <c r="V28" s="656">
        <v>6615</v>
      </c>
      <c r="W28" s="656">
        <v>11334</v>
      </c>
      <c r="X28" s="656">
        <v>173</v>
      </c>
      <c r="Y28" s="656">
        <v>60</v>
      </c>
      <c r="Z28" s="656">
        <v>233</v>
      </c>
    </row>
    <row r="29" spans="1:26" s="651" customFormat="1" ht="24" customHeight="1">
      <c r="A29" s="654">
        <v>25</v>
      </c>
      <c r="B29" s="657" t="s">
        <v>39</v>
      </c>
      <c r="C29" s="656">
        <v>525883</v>
      </c>
      <c r="D29" s="656">
        <v>481139</v>
      </c>
      <c r="E29" s="656">
        <v>1007022</v>
      </c>
      <c r="F29" s="656">
        <v>93024</v>
      </c>
      <c r="G29" s="656">
        <v>77606</v>
      </c>
      <c r="H29" s="656">
        <v>170630</v>
      </c>
      <c r="I29" s="656">
        <v>72697</v>
      </c>
      <c r="J29" s="656">
        <v>69019</v>
      </c>
      <c r="K29" s="656">
        <v>141716</v>
      </c>
      <c r="L29" s="656">
        <v>100218</v>
      </c>
      <c r="M29" s="656">
        <v>99879</v>
      </c>
      <c r="N29" s="656">
        <v>200097</v>
      </c>
      <c r="O29" s="656">
        <v>1041</v>
      </c>
      <c r="P29" s="656">
        <v>693</v>
      </c>
      <c r="Q29" s="656">
        <v>1734</v>
      </c>
      <c r="R29" s="656">
        <v>4728</v>
      </c>
      <c r="S29" s="656">
        <v>3759</v>
      </c>
      <c r="T29" s="656">
        <v>8487</v>
      </c>
      <c r="U29" s="656">
        <v>1562</v>
      </c>
      <c r="V29" s="656">
        <v>1548</v>
      </c>
      <c r="W29" s="656">
        <v>3110</v>
      </c>
      <c r="X29" s="656">
        <v>7257</v>
      </c>
      <c r="Y29" s="656">
        <v>7991</v>
      </c>
      <c r="Z29" s="656">
        <v>15248</v>
      </c>
    </row>
    <row r="30" spans="1:26" s="651" customFormat="1" ht="24" customHeight="1">
      <c r="A30" s="654">
        <v>26</v>
      </c>
      <c r="B30" s="657" t="s">
        <v>40</v>
      </c>
      <c r="C30" s="656">
        <v>43187</v>
      </c>
      <c r="D30" s="656">
        <v>48066</v>
      </c>
      <c r="E30" s="656">
        <v>91253</v>
      </c>
      <c r="F30" s="656">
        <v>5684</v>
      </c>
      <c r="G30" s="656">
        <v>6319</v>
      </c>
      <c r="H30" s="656">
        <v>12003</v>
      </c>
      <c r="I30" s="656">
        <v>463</v>
      </c>
      <c r="J30" s="656">
        <v>440</v>
      </c>
      <c r="K30" s="656">
        <v>903</v>
      </c>
      <c r="L30" s="656">
        <v>27277</v>
      </c>
      <c r="M30" s="656">
        <v>31222</v>
      </c>
      <c r="N30" s="656">
        <v>58499</v>
      </c>
      <c r="O30" s="656">
        <v>120</v>
      </c>
      <c r="P30" s="656">
        <v>202</v>
      </c>
      <c r="Q30" s="656">
        <v>322</v>
      </c>
      <c r="R30" s="656">
        <v>1202</v>
      </c>
      <c r="S30" s="656">
        <v>1139</v>
      </c>
      <c r="T30" s="656">
        <v>2341</v>
      </c>
      <c r="U30" s="656">
        <v>851</v>
      </c>
      <c r="V30" s="656">
        <v>1866</v>
      </c>
      <c r="W30" s="656">
        <v>2717</v>
      </c>
      <c r="X30" s="656">
        <v>176</v>
      </c>
      <c r="Y30" s="656">
        <v>122</v>
      </c>
      <c r="Z30" s="656">
        <v>298</v>
      </c>
    </row>
    <row r="31" spans="1:26" s="651" customFormat="1" ht="24" customHeight="1">
      <c r="A31" s="654">
        <v>27</v>
      </c>
      <c r="B31" s="657" t="s">
        <v>41</v>
      </c>
      <c r="C31" s="656">
        <v>418244</v>
      </c>
      <c r="D31" s="656">
        <v>415091</v>
      </c>
      <c r="E31" s="656">
        <v>833335</v>
      </c>
      <c r="F31" s="656">
        <v>83203</v>
      </c>
      <c r="G31" s="656">
        <v>102784</v>
      </c>
      <c r="H31" s="656">
        <v>185987</v>
      </c>
      <c r="I31" s="656">
        <v>2946</v>
      </c>
      <c r="J31" s="656">
        <v>1975</v>
      </c>
      <c r="K31" s="656">
        <v>4921</v>
      </c>
      <c r="L31" s="656">
        <v>53023</v>
      </c>
      <c r="M31" s="656">
        <v>54386</v>
      </c>
      <c r="N31" s="656">
        <v>107409</v>
      </c>
      <c r="O31" s="656">
        <v>318</v>
      </c>
      <c r="P31" s="656">
        <v>255</v>
      </c>
      <c r="Q31" s="656">
        <v>573</v>
      </c>
      <c r="R31" s="656">
        <v>11803</v>
      </c>
      <c r="S31" s="656">
        <v>4682</v>
      </c>
      <c r="T31" s="656">
        <v>16485</v>
      </c>
      <c r="U31" s="656">
        <v>53417</v>
      </c>
      <c r="V31" s="656">
        <v>65836</v>
      </c>
      <c r="W31" s="656">
        <v>119253</v>
      </c>
      <c r="X31" s="656">
        <v>5937</v>
      </c>
      <c r="Y31" s="656">
        <v>3337</v>
      </c>
      <c r="Z31" s="656">
        <v>9274</v>
      </c>
    </row>
    <row r="32" spans="1:26" s="651" customFormat="1" ht="24" customHeight="1">
      <c r="A32" s="654">
        <v>28</v>
      </c>
      <c r="B32" s="657" t="s">
        <v>42</v>
      </c>
      <c r="C32" s="656">
        <v>1278304</v>
      </c>
      <c r="D32" s="656">
        <v>1154486</v>
      </c>
      <c r="E32" s="656">
        <v>2432790</v>
      </c>
      <c r="F32" s="656">
        <v>209453</v>
      </c>
      <c r="G32" s="656">
        <v>180795</v>
      </c>
      <c r="H32" s="656">
        <v>390248</v>
      </c>
      <c r="I32" s="656">
        <v>138517</v>
      </c>
      <c r="J32" s="656">
        <v>139281</v>
      </c>
      <c r="K32" s="656">
        <v>277798</v>
      </c>
      <c r="L32" s="656">
        <v>494833</v>
      </c>
      <c r="M32" s="656">
        <v>466248</v>
      </c>
      <c r="N32" s="656">
        <v>961081</v>
      </c>
      <c r="O32" s="656">
        <v>4579</v>
      </c>
      <c r="P32" s="656">
        <v>1729</v>
      </c>
      <c r="Q32" s="656">
        <v>6308</v>
      </c>
      <c r="R32" s="656">
        <v>24356</v>
      </c>
      <c r="S32" s="656">
        <v>18634</v>
      </c>
      <c r="T32" s="656">
        <v>42990</v>
      </c>
      <c r="U32" s="656">
        <v>8595</v>
      </c>
      <c r="V32" s="656">
        <v>11274</v>
      </c>
      <c r="W32" s="656">
        <v>19869</v>
      </c>
      <c r="X32" s="656">
        <v>14756</v>
      </c>
      <c r="Y32" s="656">
        <v>13941</v>
      </c>
      <c r="Z32" s="656">
        <v>28697</v>
      </c>
    </row>
    <row r="33" spans="1:26" s="651" customFormat="1" ht="24" customHeight="1">
      <c r="A33" s="654">
        <v>29</v>
      </c>
      <c r="B33" s="657" t="s">
        <v>43</v>
      </c>
      <c r="C33" s="656">
        <v>16707</v>
      </c>
      <c r="D33" s="656">
        <v>18067</v>
      </c>
      <c r="E33" s="656">
        <v>34774</v>
      </c>
      <c r="F33" s="656">
        <v>858</v>
      </c>
      <c r="G33" s="656">
        <v>774</v>
      </c>
      <c r="H33" s="656">
        <v>1632</v>
      </c>
      <c r="I33" s="656">
        <v>4209</v>
      </c>
      <c r="J33" s="656">
        <v>5899</v>
      </c>
      <c r="K33" s="656">
        <v>10108</v>
      </c>
      <c r="L33" s="656">
        <v>3759</v>
      </c>
      <c r="M33" s="656">
        <v>5060</v>
      </c>
      <c r="N33" s="656">
        <v>8819</v>
      </c>
      <c r="O33" s="656">
        <v>7</v>
      </c>
      <c r="P33" s="656">
        <v>1</v>
      </c>
      <c r="Q33" s="656">
        <v>8</v>
      </c>
      <c r="R33" s="656">
        <v>102</v>
      </c>
      <c r="S33" s="656">
        <v>45</v>
      </c>
      <c r="T33" s="656">
        <v>147</v>
      </c>
      <c r="U33" s="656">
        <v>572</v>
      </c>
      <c r="V33" s="656">
        <v>784</v>
      </c>
      <c r="W33" s="656">
        <v>1356</v>
      </c>
      <c r="X33" s="656">
        <v>46</v>
      </c>
      <c r="Y33" s="656">
        <v>41</v>
      </c>
      <c r="Z33" s="656">
        <v>87</v>
      </c>
    </row>
    <row r="34" spans="1:26" s="651" customFormat="1" ht="24" customHeight="1">
      <c r="A34" s="654">
        <v>30</v>
      </c>
      <c r="B34" s="657" t="s">
        <v>44</v>
      </c>
      <c r="C34" s="656">
        <v>1662153</v>
      </c>
      <c r="D34" s="656">
        <v>1674286</v>
      </c>
      <c r="E34" s="656">
        <v>3336439</v>
      </c>
      <c r="F34" s="656">
        <v>275101</v>
      </c>
      <c r="G34" s="656">
        <v>297976</v>
      </c>
      <c r="H34" s="656">
        <v>573077</v>
      </c>
      <c r="I34" s="656">
        <v>17434</v>
      </c>
      <c r="J34" s="656">
        <v>15418</v>
      </c>
      <c r="K34" s="656">
        <v>32852</v>
      </c>
      <c r="L34" s="656">
        <v>963357</v>
      </c>
      <c r="M34" s="656">
        <v>972604</v>
      </c>
      <c r="N34" s="656">
        <v>1935961</v>
      </c>
      <c r="O34" s="656">
        <v>2831</v>
      </c>
      <c r="P34" s="656">
        <v>2038</v>
      </c>
      <c r="Q34" s="656">
        <v>4869</v>
      </c>
      <c r="R34" s="656">
        <v>65103</v>
      </c>
      <c r="S34" s="656">
        <v>49869</v>
      </c>
      <c r="T34" s="656">
        <v>114972</v>
      </c>
      <c r="U34" s="656">
        <v>76594</v>
      </c>
      <c r="V34" s="656">
        <v>85648</v>
      </c>
      <c r="W34" s="656">
        <v>162242</v>
      </c>
      <c r="X34" s="656">
        <v>20557</v>
      </c>
      <c r="Y34" s="656">
        <v>18667</v>
      </c>
      <c r="Z34" s="656">
        <v>39224</v>
      </c>
    </row>
    <row r="35" spans="1:26" s="651" customFormat="1" ht="24" customHeight="1">
      <c r="A35" s="654">
        <v>31</v>
      </c>
      <c r="B35" s="657" t="s">
        <v>142</v>
      </c>
      <c r="C35" s="656">
        <v>775309</v>
      </c>
      <c r="D35" s="656">
        <v>798477</v>
      </c>
      <c r="E35" s="656">
        <v>1573786</v>
      </c>
      <c r="F35" s="656">
        <v>107016</v>
      </c>
      <c r="G35" s="656">
        <v>124337</v>
      </c>
      <c r="H35" s="656">
        <v>231353</v>
      </c>
      <c r="I35" s="656">
        <v>63453</v>
      </c>
      <c r="J35" s="656">
        <v>59454</v>
      </c>
      <c r="K35" s="656">
        <v>122907</v>
      </c>
      <c r="L35" s="656">
        <v>328401</v>
      </c>
      <c r="M35" s="656">
        <v>335695</v>
      </c>
      <c r="N35" s="656">
        <v>664096</v>
      </c>
      <c r="O35" s="656">
        <v>1761</v>
      </c>
      <c r="P35" s="656">
        <v>1343</v>
      </c>
      <c r="Q35" s="656">
        <v>3104</v>
      </c>
      <c r="R35" s="656">
        <v>65893</v>
      </c>
      <c r="S35" s="656">
        <v>63061</v>
      </c>
      <c r="T35" s="656">
        <v>128954</v>
      </c>
      <c r="U35" s="656">
        <v>3769</v>
      </c>
      <c r="V35" s="656">
        <v>5896</v>
      </c>
      <c r="W35" s="656">
        <v>9665</v>
      </c>
      <c r="X35" s="656">
        <v>7201</v>
      </c>
      <c r="Y35" s="656">
        <v>7214</v>
      </c>
      <c r="Z35" s="656">
        <v>14415</v>
      </c>
    </row>
    <row r="36" spans="1:26" s="651" customFormat="1" ht="50.25" customHeight="1">
      <c r="A36" s="654">
        <v>32</v>
      </c>
      <c r="B36" s="655" t="s">
        <v>173</v>
      </c>
      <c r="C36" s="656">
        <v>5948</v>
      </c>
      <c r="D36" s="656">
        <v>5622</v>
      </c>
      <c r="E36" s="656">
        <v>11570</v>
      </c>
      <c r="F36" s="656">
        <v>231</v>
      </c>
      <c r="G36" s="656">
        <v>251</v>
      </c>
      <c r="H36" s="656">
        <v>482</v>
      </c>
      <c r="I36" s="656">
        <v>816</v>
      </c>
      <c r="J36" s="656">
        <v>1056</v>
      </c>
      <c r="K36" s="656">
        <v>1872</v>
      </c>
      <c r="L36" s="656">
        <v>832</v>
      </c>
      <c r="M36" s="656">
        <v>1035</v>
      </c>
      <c r="N36" s="656">
        <v>1867</v>
      </c>
      <c r="O36" s="656">
        <v>10</v>
      </c>
      <c r="P36" s="656">
        <v>10</v>
      </c>
      <c r="Q36" s="656">
        <v>20</v>
      </c>
      <c r="R36" s="656">
        <v>135</v>
      </c>
      <c r="S36" s="656">
        <v>132</v>
      </c>
      <c r="T36" s="656">
        <v>267</v>
      </c>
      <c r="U36" s="656">
        <v>10</v>
      </c>
      <c r="V36" s="656">
        <v>297</v>
      </c>
      <c r="W36" s="656">
        <v>307</v>
      </c>
      <c r="X36" s="656">
        <v>45</v>
      </c>
      <c r="Y36" s="656">
        <v>39</v>
      </c>
      <c r="Z36" s="656">
        <v>84</v>
      </c>
    </row>
    <row r="37" spans="1:26" s="651" customFormat="1" ht="24" customHeight="1">
      <c r="A37" s="654">
        <v>33</v>
      </c>
      <c r="B37" s="657" t="s">
        <v>45</v>
      </c>
      <c r="C37" s="656">
        <v>48428</v>
      </c>
      <c r="D37" s="656">
        <v>44232</v>
      </c>
      <c r="E37" s="656">
        <v>92660</v>
      </c>
      <c r="F37" s="656">
        <v>7955</v>
      </c>
      <c r="G37" s="656">
        <v>7047</v>
      </c>
      <c r="H37" s="656">
        <v>15002</v>
      </c>
      <c r="I37" s="656">
        <v>10610</v>
      </c>
      <c r="J37" s="656">
        <v>10115</v>
      </c>
      <c r="K37" s="656">
        <v>20725</v>
      </c>
      <c r="L37" s="656">
        <v>8261</v>
      </c>
      <c r="M37" s="656">
        <v>7359</v>
      </c>
      <c r="N37" s="656">
        <v>15620</v>
      </c>
      <c r="O37" s="656">
        <v>90</v>
      </c>
      <c r="P37" s="656">
        <v>47</v>
      </c>
      <c r="Q37" s="656">
        <v>137</v>
      </c>
      <c r="R37" s="656">
        <v>656</v>
      </c>
      <c r="S37" s="656">
        <v>691</v>
      </c>
      <c r="T37" s="656">
        <v>1347</v>
      </c>
      <c r="U37" s="656">
        <v>333</v>
      </c>
      <c r="V37" s="656">
        <v>295</v>
      </c>
      <c r="W37" s="656">
        <v>628</v>
      </c>
      <c r="X37" s="656">
        <v>355</v>
      </c>
      <c r="Y37" s="656">
        <v>166</v>
      </c>
      <c r="Z37" s="656">
        <v>521</v>
      </c>
    </row>
    <row r="38" spans="1:26" s="651" customFormat="1" ht="24" customHeight="1">
      <c r="A38" s="654">
        <v>34</v>
      </c>
      <c r="B38" s="657" t="s">
        <v>47</v>
      </c>
      <c r="C38" s="656">
        <v>3397012</v>
      </c>
      <c r="D38" s="656">
        <v>3254055</v>
      </c>
      <c r="E38" s="656">
        <v>6651067</v>
      </c>
      <c r="F38" s="656">
        <v>575597</v>
      </c>
      <c r="G38" s="656">
        <v>580871</v>
      </c>
      <c r="H38" s="656">
        <v>1156468</v>
      </c>
      <c r="I38" s="656">
        <v>29258</v>
      </c>
      <c r="J38" s="656">
        <v>32098</v>
      </c>
      <c r="K38" s="656">
        <v>61356</v>
      </c>
      <c r="L38" s="656">
        <v>1289890</v>
      </c>
      <c r="M38" s="656">
        <v>1317920</v>
      </c>
      <c r="N38" s="656">
        <v>2607810</v>
      </c>
      <c r="O38" s="656">
        <v>9484</v>
      </c>
      <c r="P38" s="656">
        <v>5519</v>
      </c>
      <c r="Q38" s="656">
        <v>15003</v>
      </c>
      <c r="R38" s="656">
        <v>137654</v>
      </c>
      <c r="S38" s="656">
        <v>161657</v>
      </c>
      <c r="T38" s="656">
        <v>299311</v>
      </c>
      <c r="U38" s="656">
        <v>10725</v>
      </c>
      <c r="V38" s="656">
        <v>12255</v>
      </c>
      <c r="W38" s="656">
        <v>22980</v>
      </c>
      <c r="X38" s="656">
        <v>23733</v>
      </c>
      <c r="Y38" s="656">
        <v>16288</v>
      </c>
      <c r="Z38" s="656">
        <v>40021</v>
      </c>
    </row>
    <row r="39" spans="1:26" s="651" customFormat="1" ht="24" customHeight="1">
      <c r="A39" s="654">
        <v>35</v>
      </c>
      <c r="B39" s="657" t="s">
        <v>46</v>
      </c>
      <c r="C39" s="656">
        <v>304850</v>
      </c>
      <c r="D39" s="656">
        <v>315301</v>
      </c>
      <c r="E39" s="656">
        <v>620151</v>
      </c>
      <c r="F39" s="656">
        <v>42740</v>
      </c>
      <c r="G39" s="656">
        <v>48262</v>
      </c>
      <c r="H39" s="656">
        <v>91002</v>
      </c>
      <c r="I39" s="656">
        <v>10219</v>
      </c>
      <c r="J39" s="656">
        <v>10944</v>
      </c>
      <c r="K39" s="656">
        <v>21163</v>
      </c>
      <c r="L39" s="656">
        <v>53371</v>
      </c>
      <c r="M39" s="656">
        <v>48798</v>
      </c>
      <c r="N39" s="656">
        <v>102169</v>
      </c>
      <c r="O39" s="656">
        <v>1497</v>
      </c>
      <c r="P39" s="656">
        <v>1458</v>
      </c>
      <c r="Q39" s="656">
        <v>2955</v>
      </c>
      <c r="R39" s="656">
        <v>11100</v>
      </c>
      <c r="S39" s="656">
        <v>12540</v>
      </c>
      <c r="T39" s="656">
        <v>23640</v>
      </c>
      <c r="U39" s="656">
        <v>1889</v>
      </c>
      <c r="V39" s="656">
        <v>2369</v>
      </c>
      <c r="W39" s="656">
        <v>4258</v>
      </c>
      <c r="X39" s="656">
        <v>1970</v>
      </c>
      <c r="Y39" s="656">
        <v>1234</v>
      </c>
      <c r="Z39" s="656">
        <v>3204</v>
      </c>
    </row>
    <row r="40" spans="1:26" s="651" customFormat="1" ht="24" customHeight="1">
      <c r="A40" s="654">
        <v>36</v>
      </c>
      <c r="B40" s="657" t="s">
        <v>48</v>
      </c>
      <c r="C40" s="656">
        <v>1086183</v>
      </c>
      <c r="D40" s="656">
        <v>1129353</v>
      </c>
      <c r="E40" s="656">
        <v>2215536</v>
      </c>
      <c r="F40" s="656">
        <v>193301</v>
      </c>
      <c r="G40" s="656">
        <v>196461</v>
      </c>
      <c r="H40" s="656">
        <v>389762</v>
      </c>
      <c r="I40" s="656">
        <v>35878</v>
      </c>
      <c r="J40" s="656">
        <v>37271</v>
      </c>
      <c r="K40" s="656">
        <v>73149</v>
      </c>
      <c r="L40" s="656">
        <v>173809</v>
      </c>
      <c r="M40" s="656">
        <v>174094</v>
      </c>
      <c r="N40" s="656">
        <v>347903</v>
      </c>
      <c r="O40" s="656">
        <v>4491</v>
      </c>
      <c r="P40" s="656">
        <v>2591</v>
      </c>
      <c r="Q40" s="656">
        <v>7082</v>
      </c>
      <c r="R40" s="656">
        <v>110860</v>
      </c>
      <c r="S40" s="656">
        <v>127310</v>
      </c>
      <c r="T40" s="656">
        <v>238170</v>
      </c>
      <c r="U40" s="656">
        <v>7381</v>
      </c>
      <c r="V40" s="656">
        <v>7702</v>
      </c>
      <c r="W40" s="656">
        <v>15083</v>
      </c>
      <c r="X40" s="656">
        <v>8753</v>
      </c>
      <c r="Y40" s="656">
        <v>8574</v>
      </c>
      <c r="Z40" s="656">
        <v>17327</v>
      </c>
    </row>
    <row r="41" spans="1:26" s="812" customFormat="1" ht="24" customHeight="1">
      <c r="A41" s="1019" t="s">
        <v>49</v>
      </c>
      <c r="B41" s="1019"/>
      <c r="C41" s="840">
        <v>21237910</v>
      </c>
      <c r="D41" s="840">
        <v>20142803</v>
      </c>
      <c r="E41" s="840">
        <v>41380713</v>
      </c>
      <c r="F41" s="840">
        <v>2993521</v>
      </c>
      <c r="G41" s="840">
        <v>2901179</v>
      </c>
      <c r="H41" s="840">
        <v>5894700</v>
      </c>
      <c r="I41" s="840">
        <v>1191037</v>
      </c>
      <c r="J41" s="840">
        <v>1221032</v>
      </c>
      <c r="K41" s="840">
        <v>2412069</v>
      </c>
      <c r="L41" s="840">
        <v>7533866</v>
      </c>
      <c r="M41" s="840">
        <v>7287671</v>
      </c>
      <c r="N41" s="840">
        <v>14821537</v>
      </c>
      <c r="O41" s="840">
        <v>49334</v>
      </c>
      <c r="P41" s="840">
        <v>29701</v>
      </c>
      <c r="Q41" s="840">
        <v>79035</v>
      </c>
      <c r="R41" s="840">
        <v>954655</v>
      </c>
      <c r="S41" s="840">
        <v>967058</v>
      </c>
      <c r="T41" s="840">
        <v>1921713</v>
      </c>
      <c r="U41" s="840">
        <v>381764</v>
      </c>
      <c r="V41" s="840">
        <v>448102</v>
      </c>
      <c r="W41" s="840">
        <v>829866</v>
      </c>
      <c r="X41" s="841">
        <v>244250</v>
      </c>
      <c r="Y41" s="841">
        <v>223526</v>
      </c>
      <c r="Z41" s="841">
        <v>467776</v>
      </c>
    </row>
    <row r="42" spans="1:26" s="812" customFormat="1" ht="21.75" customHeight="1">
      <c r="A42" s="813"/>
      <c r="B42" s="813"/>
      <c r="C42" s="814"/>
      <c r="D42" s="814"/>
      <c r="E42" s="814"/>
      <c r="F42" s="814"/>
      <c r="G42" s="814"/>
      <c r="I42" s="814"/>
      <c r="J42" s="814"/>
      <c r="L42" s="814"/>
      <c r="M42" s="814"/>
      <c r="O42" s="814"/>
      <c r="P42" s="814"/>
      <c r="R42" s="814"/>
      <c r="S42" s="814"/>
      <c r="U42" s="814"/>
      <c r="V42" s="814"/>
    </row>
    <row r="43" spans="1:26">
      <c r="C43" s="658">
        <v>21119079</v>
      </c>
      <c r="D43" s="658">
        <v>19905778</v>
      </c>
      <c r="E43" s="658">
        <v>41024857</v>
      </c>
      <c r="F43" s="815">
        <v>51.206690434475902</v>
      </c>
      <c r="H43" s="816">
        <v>13.7528450129637</v>
      </c>
      <c r="I43" s="815">
        <v>49.925680726477388</v>
      </c>
      <c r="K43" s="816">
        <v>5.6347496835881721</v>
      </c>
      <c r="L43" s="815">
        <v>51.275262013750201</v>
      </c>
      <c r="N43" s="816">
        <f>N41/E41*100</f>
        <v>35.817500292950491</v>
      </c>
      <c r="O43" s="651"/>
      <c r="Q43" s="816">
        <v>0.19315606633315016</v>
      </c>
      <c r="T43" s="816">
        <v>4.4510697502248453</v>
      </c>
      <c r="W43" s="816">
        <v>1.9019590976270802</v>
      </c>
      <c r="X43" s="816"/>
      <c r="Y43" s="816"/>
    </row>
    <row r="44" spans="1:26">
      <c r="C44" s="658" t="b">
        <v>1</v>
      </c>
      <c r="D44" s="658" t="b">
        <v>1</v>
      </c>
      <c r="E44" s="658" t="b">
        <v>1</v>
      </c>
      <c r="L44" s="658">
        <v>50000</v>
      </c>
      <c r="N44" s="658">
        <v>50000</v>
      </c>
    </row>
    <row r="45" spans="1:26">
      <c r="C45" s="659"/>
      <c r="D45" s="659" t="s">
        <v>87</v>
      </c>
      <c r="E45" s="659" t="s">
        <v>88</v>
      </c>
      <c r="F45" s="659" t="s">
        <v>12</v>
      </c>
    </row>
    <row r="46" spans="1:26">
      <c r="C46" s="659" t="s">
        <v>95</v>
      </c>
      <c r="D46" s="659">
        <v>21119079</v>
      </c>
      <c r="E46" s="659">
        <v>19905778</v>
      </c>
      <c r="F46" s="659">
        <v>41024857</v>
      </c>
    </row>
    <row r="47" spans="1:26">
      <c r="C47" s="659" t="s">
        <v>112</v>
      </c>
      <c r="D47" s="659">
        <v>2889125</v>
      </c>
      <c r="E47" s="659">
        <v>2752960</v>
      </c>
      <c r="F47" s="659">
        <v>5642085</v>
      </c>
    </row>
    <row r="48" spans="1:26">
      <c r="C48" s="659" t="s">
        <v>113</v>
      </c>
      <c r="D48" s="659">
        <v>1154106</v>
      </c>
      <c r="E48" s="659">
        <v>1157542</v>
      </c>
      <c r="F48" s="659">
        <v>2311648</v>
      </c>
    </row>
    <row r="49" spans="3:6">
      <c r="C49" s="659" t="s">
        <v>114</v>
      </c>
      <c r="D49" s="659">
        <v>7253014</v>
      </c>
      <c r="E49" s="659">
        <v>6892236</v>
      </c>
      <c r="F49" s="659">
        <v>14145250</v>
      </c>
    </row>
  </sheetData>
  <mergeCells count="13">
    <mergeCell ref="X2:Z2"/>
    <mergeCell ref="O1:Z1"/>
    <mergeCell ref="U2:W2"/>
    <mergeCell ref="A41:B41"/>
    <mergeCell ref="C1:N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39370078740157483" right="0.15748031496062992" top="0.51181102362204722" bottom="0.39370078740157483" header="0.19685039370078741" footer="0.15748031496062992"/>
  <pageSetup paperSize="9" scale="73" firstPageNumber="14" orientation="portrait" useFirstPageNumber="1" r:id="rId1"/>
  <headerFooter>
    <oddFooter>&amp;L&amp;"Arial,Italic"&amp;9AISHE 2020-21&amp;CT-&amp;P</oddFooter>
  </headerFooter>
  <colBreaks count="1" manualBreakCount="1">
    <brk id="14" max="40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B050"/>
  </sheetPr>
  <dimension ref="A1:AC168"/>
  <sheetViews>
    <sheetView showGridLines="0" showZeros="0" view="pageBreakPreview" zoomScale="70" zoomScaleSheetLayoutView="70" workbookViewId="0">
      <pane xSplit="2" ySplit="4" topLeftCell="U152" activePane="bottomRight" state="frozen"/>
      <selection activeCell="H31" sqref="H31"/>
      <selection pane="topRight" activeCell="H31" sqref="H31"/>
      <selection pane="bottomLeft" activeCell="H31" sqref="H31"/>
      <selection pane="bottomRight" activeCell="AB167" sqref="AB167"/>
    </sheetView>
  </sheetViews>
  <sheetFormatPr defaultColWidth="9.1796875" defaultRowHeight="14"/>
  <cols>
    <col min="1" max="1" width="6" style="159" customWidth="1"/>
    <col min="2" max="2" width="35.54296875" style="167" customWidth="1"/>
    <col min="3" max="11" width="9" style="159" customWidth="1"/>
    <col min="12" max="20" width="9.1796875" style="159" customWidth="1"/>
    <col min="21" max="29" width="9" style="159" customWidth="1"/>
    <col min="30" max="16384" width="9.1796875" style="159"/>
  </cols>
  <sheetData>
    <row r="1" spans="1:29" s="157" customFormat="1" ht="33.75" customHeight="1">
      <c r="B1" s="158" t="s">
        <v>715</v>
      </c>
      <c r="C1" s="1030" t="s">
        <v>1026</v>
      </c>
      <c r="D1" s="1030"/>
      <c r="E1" s="1030"/>
      <c r="F1" s="1030"/>
      <c r="G1" s="1030"/>
      <c r="H1" s="1030"/>
      <c r="I1" s="1030"/>
      <c r="J1" s="1030"/>
      <c r="K1" s="1030"/>
      <c r="L1" s="1030" t="str">
        <f>C1</f>
        <v>Country-wise &amp; Level-wise Foreign Students
(Based on Actual Response)</v>
      </c>
      <c r="M1" s="1030"/>
      <c r="N1" s="1030"/>
      <c r="O1" s="1030"/>
      <c r="P1" s="1030"/>
      <c r="Q1" s="1030"/>
      <c r="R1" s="1030"/>
      <c r="S1" s="1030"/>
      <c r="T1" s="1030"/>
      <c r="U1" s="1030" t="str">
        <f>L1</f>
        <v>Country-wise &amp; Level-wise Foreign Students
(Based on Actual Response)</v>
      </c>
      <c r="V1" s="1030"/>
      <c r="W1" s="1030"/>
      <c r="X1" s="1030"/>
      <c r="Y1" s="1030"/>
      <c r="Z1" s="1030"/>
      <c r="AA1" s="1030"/>
      <c r="AB1" s="1030"/>
      <c r="AC1" s="1030"/>
    </row>
    <row r="2" spans="1:29" ht="16.899999999999999" customHeight="1">
      <c r="A2" s="1031" t="s">
        <v>235</v>
      </c>
      <c r="B2" s="989" t="s">
        <v>716</v>
      </c>
      <c r="C2" s="1032" t="s">
        <v>89</v>
      </c>
      <c r="D2" s="1032"/>
      <c r="E2" s="1032"/>
      <c r="F2" s="1032" t="s">
        <v>90</v>
      </c>
      <c r="G2" s="1032"/>
      <c r="H2" s="1032"/>
      <c r="I2" s="1032" t="s">
        <v>85</v>
      </c>
      <c r="J2" s="1032"/>
      <c r="K2" s="1032"/>
      <c r="L2" s="1032" t="s">
        <v>86</v>
      </c>
      <c r="M2" s="1032"/>
      <c r="N2" s="1032"/>
      <c r="O2" s="1032" t="s">
        <v>91</v>
      </c>
      <c r="P2" s="1032"/>
      <c r="Q2" s="1032"/>
      <c r="R2" s="1032" t="s">
        <v>92</v>
      </c>
      <c r="S2" s="1032"/>
      <c r="T2" s="1032"/>
      <c r="U2" s="1032" t="s">
        <v>93</v>
      </c>
      <c r="V2" s="1032"/>
      <c r="W2" s="1032"/>
      <c r="X2" s="1032" t="s">
        <v>94</v>
      </c>
      <c r="Y2" s="1032"/>
      <c r="Z2" s="1032"/>
      <c r="AA2" s="1032" t="s">
        <v>60</v>
      </c>
      <c r="AB2" s="1032"/>
      <c r="AC2" s="1032"/>
    </row>
    <row r="3" spans="1:29" ht="16.899999999999999" customHeight="1">
      <c r="A3" s="1031"/>
      <c r="B3" s="989"/>
      <c r="C3" s="580" t="s">
        <v>87</v>
      </c>
      <c r="D3" s="580" t="s">
        <v>88</v>
      </c>
      <c r="E3" s="580" t="s">
        <v>12</v>
      </c>
      <c r="F3" s="580" t="s">
        <v>87</v>
      </c>
      <c r="G3" s="580" t="s">
        <v>88</v>
      </c>
      <c r="H3" s="580" t="s">
        <v>12</v>
      </c>
      <c r="I3" s="580" t="s">
        <v>87</v>
      </c>
      <c r="J3" s="580" t="s">
        <v>88</v>
      </c>
      <c r="K3" s="580" t="s">
        <v>12</v>
      </c>
      <c r="L3" s="580" t="s">
        <v>87</v>
      </c>
      <c r="M3" s="580" t="s">
        <v>88</v>
      </c>
      <c r="N3" s="580" t="s">
        <v>12</v>
      </c>
      <c r="O3" s="580" t="s">
        <v>87</v>
      </c>
      <c r="P3" s="580" t="s">
        <v>88</v>
      </c>
      <c r="Q3" s="580" t="s">
        <v>12</v>
      </c>
      <c r="R3" s="580" t="s">
        <v>87</v>
      </c>
      <c r="S3" s="580" t="s">
        <v>88</v>
      </c>
      <c r="T3" s="580" t="s">
        <v>12</v>
      </c>
      <c r="U3" s="580" t="s">
        <v>87</v>
      </c>
      <c r="V3" s="580" t="s">
        <v>88</v>
      </c>
      <c r="W3" s="580" t="s">
        <v>12</v>
      </c>
      <c r="X3" s="580" t="s">
        <v>87</v>
      </c>
      <c r="Y3" s="580" t="s">
        <v>88</v>
      </c>
      <c r="Z3" s="580" t="s">
        <v>12</v>
      </c>
      <c r="AA3" s="580" t="s">
        <v>87</v>
      </c>
      <c r="AB3" s="580" t="s">
        <v>88</v>
      </c>
      <c r="AC3" s="580" t="s">
        <v>12</v>
      </c>
    </row>
    <row r="4" spans="1:29" s="161" customFormat="1" ht="10.9" customHeight="1">
      <c r="A4" s="160">
        <v>1</v>
      </c>
      <c r="B4" s="160">
        <v>2</v>
      </c>
      <c r="C4" s="160">
        <v>3</v>
      </c>
      <c r="D4" s="160">
        <v>4</v>
      </c>
      <c r="E4" s="160">
        <v>5</v>
      </c>
      <c r="F4" s="160">
        <v>6</v>
      </c>
      <c r="G4" s="160">
        <v>7</v>
      </c>
      <c r="H4" s="160">
        <v>8</v>
      </c>
      <c r="I4" s="160">
        <v>9</v>
      </c>
      <c r="J4" s="160">
        <v>10</v>
      </c>
      <c r="K4" s="160">
        <v>11</v>
      </c>
      <c r="L4" s="160">
        <v>12</v>
      </c>
      <c r="M4" s="160">
        <v>13</v>
      </c>
      <c r="N4" s="160">
        <v>14</v>
      </c>
      <c r="O4" s="160">
        <v>15</v>
      </c>
      <c r="P4" s="160">
        <v>16</v>
      </c>
      <c r="Q4" s="160">
        <v>17</v>
      </c>
      <c r="R4" s="160">
        <v>18</v>
      </c>
      <c r="S4" s="160">
        <v>19</v>
      </c>
      <c r="T4" s="160">
        <v>20</v>
      </c>
      <c r="U4" s="160">
        <v>21</v>
      </c>
      <c r="V4" s="160">
        <v>22</v>
      </c>
      <c r="W4" s="160">
        <v>23</v>
      </c>
      <c r="X4" s="160">
        <v>24</v>
      </c>
      <c r="Y4" s="160">
        <v>25</v>
      </c>
      <c r="Z4" s="160">
        <v>26</v>
      </c>
      <c r="AA4" s="160">
        <v>27</v>
      </c>
      <c r="AB4" s="160">
        <v>28</v>
      </c>
      <c r="AC4" s="160">
        <v>29</v>
      </c>
    </row>
    <row r="5" spans="1:29" ht="15.75" customHeight="1">
      <c r="A5" s="162">
        <v>1</v>
      </c>
      <c r="B5" s="163" t="s">
        <v>717</v>
      </c>
      <c r="C5" s="164">
        <v>78</v>
      </c>
      <c r="D5" s="164">
        <v>26</v>
      </c>
      <c r="E5" s="164">
        <v>104</v>
      </c>
      <c r="F5" s="164">
        <v>1</v>
      </c>
      <c r="G5" s="164">
        <v>0</v>
      </c>
      <c r="H5" s="164">
        <v>1</v>
      </c>
      <c r="I5" s="164">
        <v>1046</v>
      </c>
      <c r="J5" s="164">
        <v>541</v>
      </c>
      <c r="K5" s="164">
        <v>1587</v>
      </c>
      <c r="L5" s="164">
        <v>7789</v>
      </c>
      <c r="M5" s="164">
        <v>3047</v>
      </c>
      <c r="N5" s="164">
        <v>10836</v>
      </c>
      <c r="O5" s="164">
        <v>10</v>
      </c>
      <c r="P5" s="164">
        <v>4</v>
      </c>
      <c r="Q5" s="164">
        <v>14</v>
      </c>
      <c r="R5" s="164">
        <v>844</v>
      </c>
      <c r="S5" s="164">
        <v>133</v>
      </c>
      <c r="T5" s="164">
        <v>977</v>
      </c>
      <c r="U5" s="164">
        <v>0</v>
      </c>
      <c r="V5" s="164">
        <v>3</v>
      </c>
      <c r="W5" s="164">
        <v>3</v>
      </c>
      <c r="X5" s="164">
        <v>22</v>
      </c>
      <c r="Y5" s="164">
        <v>30</v>
      </c>
      <c r="Z5" s="164">
        <v>52</v>
      </c>
      <c r="AA5" s="164">
        <v>9790</v>
      </c>
      <c r="AB5" s="164">
        <v>3784</v>
      </c>
      <c r="AC5" s="165">
        <v>13574</v>
      </c>
    </row>
    <row r="6" spans="1:29" ht="15.75" customHeight="1">
      <c r="A6" s="162">
        <v>2</v>
      </c>
      <c r="B6" s="163" t="s">
        <v>718</v>
      </c>
      <c r="C6" s="164">
        <v>141</v>
      </c>
      <c r="D6" s="164">
        <v>9</v>
      </c>
      <c r="E6" s="164">
        <v>150</v>
      </c>
      <c r="F6" s="164">
        <v>0</v>
      </c>
      <c r="G6" s="164">
        <v>1</v>
      </c>
      <c r="H6" s="164">
        <v>1</v>
      </c>
      <c r="I6" s="164">
        <v>1193</v>
      </c>
      <c r="J6" s="164">
        <v>291</v>
      </c>
      <c r="K6" s="164">
        <v>1484</v>
      </c>
      <c r="L6" s="164">
        <v>2105</v>
      </c>
      <c r="M6" s="164">
        <v>304</v>
      </c>
      <c r="N6" s="164">
        <v>2409</v>
      </c>
      <c r="O6" s="164">
        <v>1</v>
      </c>
      <c r="P6" s="164">
        <v>1</v>
      </c>
      <c r="Q6" s="164">
        <v>2</v>
      </c>
      <c r="R6" s="164">
        <v>7</v>
      </c>
      <c r="S6" s="164">
        <v>2</v>
      </c>
      <c r="T6" s="164">
        <v>9</v>
      </c>
      <c r="U6" s="164"/>
      <c r="V6" s="164"/>
      <c r="W6" s="164"/>
      <c r="X6" s="164">
        <v>19</v>
      </c>
      <c r="Y6" s="164">
        <v>4</v>
      </c>
      <c r="Z6" s="164">
        <v>23</v>
      </c>
      <c r="AA6" s="164">
        <v>3466</v>
      </c>
      <c r="AB6" s="164">
        <v>612</v>
      </c>
      <c r="AC6" s="165">
        <v>4078</v>
      </c>
    </row>
    <row r="7" spans="1:29" ht="15.75" customHeight="1">
      <c r="A7" s="162">
        <v>3</v>
      </c>
      <c r="B7" s="163" t="s">
        <v>719</v>
      </c>
      <c r="C7" s="164">
        <v>74</v>
      </c>
      <c r="D7" s="164">
        <v>22</v>
      </c>
      <c r="E7" s="164">
        <v>96</v>
      </c>
      <c r="F7" s="164">
        <v>1</v>
      </c>
      <c r="G7" s="164">
        <v>3</v>
      </c>
      <c r="H7" s="164">
        <v>4</v>
      </c>
      <c r="I7" s="164">
        <v>275</v>
      </c>
      <c r="J7" s="164">
        <v>111</v>
      </c>
      <c r="K7" s="164">
        <v>386</v>
      </c>
      <c r="L7" s="164">
        <v>1826</v>
      </c>
      <c r="M7" s="164">
        <v>384</v>
      </c>
      <c r="N7" s="164">
        <v>2210</v>
      </c>
      <c r="O7" s="164">
        <v>7</v>
      </c>
      <c r="P7" s="164">
        <v>1</v>
      </c>
      <c r="Q7" s="164">
        <v>8</v>
      </c>
      <c r="R7" s="164">
        <v>8</v>
      </c>
      <c r="S7" s="164">
        <v>4</v>
      </c>
      <c r="T7" s="164">
        <v>12</v>
      </c>
      <c r="U7" s="164">
        <v>4</v>
      </c>
      <c r="V7" s="164">
        <v>5</v>
      </c>
      <c r="W7" s="164">
        <v>9</v>
      </c>
      <c r="X7" s="164">
        <v>18</v>
      </c>
      <c r="Y7" s="164">
        <v>7</v>
      </c>
      <c r="Z7" s="164">
        <v>25</v>
      </c>
      <c r="AA7" s="164">
        <v>2213</v>
      </c>
      <c r="AB7" s="164">
        <v>537</v>
      </c>
      <c r="AC7" s="165">
        <v>2750</v>
      </c>
    </row>
    <row r="8" spans="1:29" ht="15.75" customHeight="1">
      <c r="A8" s="162">
        <v>4</v>
      </c>
      <c r="B8" s="163" t="s">
        <v>722</v>
      </c>
      <c r="C8" s="164">
        <v>19</v>
      </c>
      <c r="D8" s="164">
        <v>12</v>
      </c>
      <c r="E8" s="164">
        <v>31</v>
      </c>
      <c r="F8" s="164"/>
      <c r="G8" s="164"/>
      <c r="H8" s="164"/>
      <c r="I8" s="164">
        <v>63</v>
      </c>
      <c r="J8" s="164">
        <v>76</v>
      </c>
      <c r="K8" s="164">
        <v>139</v>
      </c>
      <c r="L8" s="164">
        <v>840</v>
      </c>
      <c r="M8" s="164">
        <v>994</v>
      </c>
      <c r="N8" s="164">
        <v>1834</v>
      </c>
      <c r="O8" s="164">
        <v>1</v>
      </c>
      <c r="P8" s="164">
        <v>4</v>
      </c>
      <c r="Q8" s="164">
        <v>5</v>
      </c>
      <c r="R8" s="164">
        <v>0</v>
      </c>
      <c r="S8" s="164">
        <v>317</v>
      </c>
      <c r="T8" s="164">
        <v>317</v>
      </c>
      <c r="U8" s="164">
        <v>2</v>
      </c>
      <c r="V8" s="164">
        <v>3</v>
      </c>
      <c r="W8" s="164">
        <v>5</v>
      </c>
      <c r="X8" s="164">
        <v>57</v>
      </c>
      <c r="Y8" s="164">
        <v>70</v>
      </c>
      <c r="Z8" s="164">
        <v>127</v>
      </c>
      <c r="AA8" s="164">
        <v>982</v>
      </c>
      <c r="AB8" s="164">
        <v>1476</v>
      </c>
      <c r="AC8" s="165">
        <v>2458</v>
      </c>
    </row>
    <row r="9" spans="1:29" ht="15.75" customHeight="1">
      <c r="A9" s="162">
        <v>5</v>
      </c>
      <c r="B9" s="163" t="s">
        <v>726</v>
      </c>
      <c r="C9" s="164">
        <v>7</v>
      </c>
      <c r="D9" s="164">
        <v>6</v>
      </c>
      <c r="E9" s="164">
        <v>13</v>
      </c>
      <c r="F9" s="164"/>
      <c r="G9" s="164"/>
      <c r="H9" s="164"/>
      <c r="I9" s="164">
        <v>72</v>
      </c>
      <c r="J9" s="164">
        <v>77</v>
      </c>
      <c r="K9" s="164">
        <v>149</v>
      </c>
      <c r="L9" s="164">
        <v>1193</v>
      </c>
      <c r="M9" s="164">
        <v>930</v>
      </c>
      <c r="N9" s="164">
        <v>2123</v>
      </c>
      <c r="O9" s="164">
        <v>6</v>
      </c>
      <c r="P9" s="164">
        <v>2</v>
      </c>
      <c r="Q9" s="164">
        <v>8</v>
      </c>
      <c r="R9" s="164">
        <v>1</v>
      </c>
      <c r="S9" s="164">
        <v>0</v>
      </c>
      <c r="T9" s="164">
        <v>1</v>
      </c>
      <c r="U9" s="164">
        <v>0</v>
      </c>
      <c r="V9" s="164">
        <v>1</v>
      </c>
      <c r="W9" s="164">
        <v>1</v>
      </c>
      <c r="X9" s="164">
        <v>7</v>
      </c>
      <c r="Y9" s="164">
        <v>5</v>
      </c>
      <c r="Z9" s="164">
        <v>12</v>
      </c>
      <c r="AA9" s="164">
        <v>1286</v>
      </c>
      <c r="AB9" s="164">
        <v>1021</v>
      </c>
      <c r="AC9" s="165">
        <v>2307</v>
      </c>
    </row>
    <row r="10" spans="1:29" ht="15.75" customHeight="1">
      <c r="A10" s="162">
        <v>6</v>
      </c>
      <c r="B10" s="163" t="s">
        <v>720</v>
      </c>
      <c r="C10" s="164">
        <v>5</v>
      </c>
      <c r="D10" s="164">
        <v>3</v>
      </c>
      <c r="E10" s="164">
        <v>8</v>
      </c>
      <c r="F10" s="164"/>
      <c r="G10" s="164"/>
      <c r="H10" s="164"/>
      <c r="I10" s="164">
        <v>78</v>
      </c>
      <c r="J10" s="164">
        <v>57</v>
      </c>
      <c r="K10" s="164">
        <v>135</v>
      </c>
      <c r="L10" s="164">
        <v>862</v>
      </c>
      <c r="M10" s="164">
        <v>760</v>
      </c>
      <c r="N10" s="164">
        <v>1622</v>
      </c>
      <c r="O10" s="164">
        <v>0</v>
      </c>
      <c r="P10" s="164">
        <v>1</v>
      </c>
      <c r="Q10" s="164">
        <v>1</v>
      </c>
      <c r="R10" s="164">
        <v>15</v>
      </c>
      <c r="S10" s="164">
        <v>6</v>
      </c>
      <c r="T10" s="164">
        <v>21</v>
      </c>
      <c r="U10" s="164"/>
      <c r="V10" s="164"/>
      <c r="W10" s="164"/>
      <c r="X10" s="164">
        <v>23</v>
      </c>
      <c r="Y10" s="164">
        <v>17</v>
      </c>
      <c r="Z10" s="164">
        <v>40</v>
      </c>
      <c r="AA10" s="164">
        <v>983</v>
      </c>
      <c r="AB10" s="164">
        <v>844</v>
      </c>
      <c r="AC10" s="165">
        <v>1827</v>
      </c>
    </row>
    <row r="11" spans="1:29" ht="15.75" customHeight="1">
      <c r="A11" s="162">
        <v>7</v>
      </c>
      <c r="B11" s="163" t="s">
        <v>721</v>
      </c>
      <c r="C11" s="164">
        <v>7</v>
      </c>
      <c r="D11" s="164">
        <v>0</v>
      </c>
      <c r="E11" s="164">
        <v>7</v>
      </c>
      <c r="F11" s="164"/>
      <c r="G11" s="164"/>
      <c r="H11" s="164"/>
      <c r="I11" s="164">
        <v>200</v>
      </c>
      <c r="J11" s="164">
        <v>26</v>
      </c>
      <c r="K11" s="164">
        <v>226</v>
      </c>
      <c r="L11" s="164">
        <v>1217</v>
      </c>
      <c r="M11" s="164">
        <v>124</v>
      </c>
      <c r="N11" s="164">
        <v>1341</v>
      </c>
      <c r="O11" s="164">
        <v>1</v>
      </c>
      <c r="P11" s="164">
        <v>0</v>
      </c>
      <c r="Q11" s="164">
        <v>1</v>
      </c>
      <c r="R11" s="164">
        <v>2</v>
      </c>
      <c r="S11" s="164">
        <v>1</v>
      </c>
      <c r="T11" s="164">
        <v>3</v>
      </c>
      <c r="U11" s="164"/>
      <c r="V11" s="164"/>
      <c r="W11" s="164"/>
      <c r="X11" s="164">
        <v>14</v>
      </c>
      <c r="Y11" s="164">
        <v>8</v>
      </c>
      <c r="Z11" s="164">
        <v>22</v>
      </c>
      <c r="AA11" s="164">
        <v>1441</v>
      </c>
      <c r="AB11" s="164">
        <v>159</v>
      </c>
      <c r="AC11" s="165">
        <v>1600</v>
      </c>
    </row>
    <row r="12" spans="1:29" ht="15.75" customHeight="1">
      <c r="A12" s="162">
        <v>8</v>
      </c>
      <c r="B12" s="163" t="s">
        <v>723</v>
      </c>
      <c r="C12" s="164">
        <v>62</v>
      </c>
      <c r="D12" s="164">
        <v>7</v>
      </c>
      <c r="E12" s="164">
        <v>69</v>
      </c>
      <c r="F12" s="164"/>
      <c r="G12" s="164"/>
      <c r="H12" s="164"/>
      <c r="I12" s="164">
        <v>298</v>
      </c>
      <c r="J12" s="164">
        <v>93</v>
      </c>
      <c r="K12" s="164">
        <v>391</v>
      </c>
      <c r="L12" s="164">
        <v>649</v>
      </c>
      <c r="M12" s="164">
        <v>272</v>
      </c>
      <c r="N12" s="164">
        <v>921</v>
      </c>
      <c r="O12" s="164">
        <v>5</v>
      </c>
      <c r="P12" s="164">
        <v>0</v>
      </c>
      <c r="Q12" s="164">
        <v>5</v>
      </c>
      <c r="R12" s="164">
        <v>0</v>
      </c>
      <c r="S12" s="164">
        <v>5</v>
      </c>
      <c r="T12" s="164">
        <v>5</v>
      </c>
      <c r="U12" s="164">
        <v>1</v>
      </c>
      <c r="V12" s="164">
        <v>0</v>
      </c>
      <c r="W12" s="164">
        <v>1</v>
      </c>
      <c r="X12" s="164">
        <v>21</v>
      </c>
      <c r="Y12" s="164">
        <v>6</v>
      </c>
      <c r="Z12" s="164">
        <v>27</v>
      </c>
      <c r="AA12" s="164">
        <v>1036</v>
      </c>
      <c r="AB12" s="164">
        <v>383</v>
      </c>
      <c r="AC12" s="165">
        <v>1419</v>
      </c>
    </row>
    <row r="13" spans="1:29">
      <c r="A13" s="162">
        <v>9</v>
      </c>
      <c r="B13" s="163" t="s">
        <v>728</v>
      </c>
      <c r="C13" s="164">
        <v>21</v>
      </c>
      <c r="D13" s="164">
        <v>7</v>
      </c>
      <c r="E13" s="164">
        <v>28</v>
      </c>
      <c r="F13" s="164"/>
      <c r="G13" s="164"/>
      <c r="H13" s="164"/>
      <c r="I13" s="164">
        <v>86</v>
      </c>
      <c r="J13" s="164">
        <v>51</v>
      </c>
      <c r="K13" s="164">
        <v>137</v>
      </c>
      <c r="L13" s="164">
        <v>544</v>
      </c>
      <c r="M13" s="164">
        <v>468</v>
      </c>
      <c r="N13" s="164">
        <v>1012</v>
      </c>
      <c r="O13" s="164">
        <v>0</v>
      </c>
      <c r="P13" s="164">
        <v>1</v>
      </c>
      <c r="Q13" s="164">
        <v>1</v>
      </c>
      <c r="R13" s="164">
        <v>55</v>
      </c>
      <c r="S13" s="164">
        <v>37</v>
      </c>
      <c r="T13" s="164">
        <v>92</v>
      </c>
      <c r="U13" s="164"/>
      <c r="V13" s="164"/>
      <c r="W13" s="164"/>
      <c r="X13" s="164">
        <v>13</v>
      </c>
      <c r="Y13" s="164">
        <v>23</v>
      </c>
      <c r="Z13" s="164">
        <v>36</v>
      </c>
      <c r="AA13" s="164">
        <v>719</v>
      </c>
      <c r="AB13" s="164">
        <v>587</v>
      </c>
      <c r="AC13" s="165">
        <v>1306</v>
      </c>
    </row>
    <row r="14" spans="1:29" ht="15.75" customHeight="1">
      <c r="A14" s="162">
        <v>10</v>
      </c>
      <c r="B14" s="163" t="s">
        <v>724</v>
      </c>
      <c r="C14" s="164">
        <v>125</v>
      </c>
      <c r="D14" s="164">
        <v>18</v>
      </c>
      <c r="E14" s="164">
        <v>143</v>
      </c>
      <c r="F14" s="164"/>
      <c r="G14" s="164"/>
      <c r="H14" s="164"/>
      <c r="I14" s="164">
        <v>176</v>
      </c>
      <c r="J14" s="164">
        <v>37</v>
      </c>
      <c r="K14" s="164">
        <v>213</v>
      </c>
      <c r="L14" s="164">
        <v>677</v>
      </c>
      <c r="M14" s="164">
        <v>60</v>
      </c>
      <c r="N14" s="164">
        <v>737</v>
      </c>
      <c r="O14" s="164"/>
      <c r="P14" s="164"/>
      <c r="Q14" s="164"/>
      <c r="R14" s="164"/>
      <c r="S14" s="164"/>
      <c r="T14" s="164"/>
      <c r="U14" s="164"/>
      <c r="V14" s="164"/>
      <c r="W14" s="164"/>
      <c r="X14" s="164">
        <v>2</v>
      </c>
      <c r="Y14" s="164">
        <v>0</v>
      </c>
      <c r="Z14" s="164">
        <v>2</v>
      </c>
      <c r="AA14" s="164">
        <v>980</v>
      </c>
      <c r="AB14" s="164">
        <v>115</v>
      </c>
      <c r="AC14" s="165">
        <v>1095</v>
      </c>
    </row>
    <row r="15" spans="1:29" ht="15.75" customHeight="1">
      <c r="A15" s="162">
        <v>11</v>
      </c>
      <c r="B15" s="163" t="s">
        <v>730</v>
      </c>
      <c r="C15" s="164">
        <v>178</v>
      </c>
      <c r="D15" s="164">
        <v>5</v>
      </c>
      <c r="E15" s="164">
        <v>183</v>
      </c>
      <c r="F15" s="164"/>
      <c r="G15" s="164"/>
      <c r="H15" s="164"/>
      <c r="I15" s="164">
        <v>149</v>
      </c>
      <c r="J15" s="164">
        <v>20</v>
      </c>
      <c r="K15" s="164">
        <v>169</v>
      </c>
      <c r="L15" s="164">
        <v>422</v>
      </c>
      <c r="M15" s="164">
        <v>190</v>
      </c>
      <c r="N15" s="164">
        <v>612</v>
      </c>
      <c r="O15" s="164">
        <v>1</v>
      </c>
      <c r="P15" s="164">
        <v>1</v>
      </c>
      <c r="Q15" s="164">
        <v>2</v>
      </c>
      <c r="R15" s="164"/>
      <c r="S15" s="164"/>
      <c r="T15" s="164"/>
      <c r="U15" s="164"/>
      <c r="V15" s="164"/>
      <c r="W15" s="164"/>
      <c r="X15" s="164">
        <v>1</v>
      </c>
      <c r="Y15" s="164">
        <v>0</v>
      </c>
      <c r="Z15" s="164">
        <v>1</v>
      </c>
      <c r="AA15" s="164">
        <v>751</v>
      </c>
      <c r="AB15" s="164">
        <v>216</v>
      </c>
      <c r="AC15" s="165">
        <v>967</v>
      </c>
    </row>
    <row r="16" spans="1:29" ht="15.75" customHeight="1">
      <c r="A16" s="162">
        <v>12</v>
      </c>
      <c r="B16" s="163" t="s">
        <v>727</v>
      </c>
      <c r="C16" s="164">
        <v>23</v>
      </c>
      <c r="D16" s="164">
        <v>12</v>
      </c>
      <c r="E16" s="164">
        <v>35</v>
      </c>
      <c r="F16" s="164">
        <v>1</v>
      </c>
      <c r="G16" s="164">
        <v>2</v>
      </c>
      <c r="H16" s="164">
        <v>3</v>
      </c>
      <c r="I16" s="164">
        <v>57</v>
      </c>
      <c r="J16" s="164">
        <v>67</v>
      </c>
      <c r="K16" s="164">
        <v>124</v>
      </c>
      <c r="L16" s="164">
        <v>317</v>
      </c>
      <c r="M16" s="164">
        <v>359</v>
      </c>
      <c r="N16" s="164">
        <v>676</v>
      </c>
      <c r="O16" s="164">
        <v>1</v>
      </c>
      <c r="P16" s="164">
        <v>0</v>
      </c>
      <c r="Q16" s="164">
        <v>1</v>
      </c>
      <c r="R16" s="164">
        <v>5</v>
      </c>
      <c r="S16" s="164">
        <v>1</v>
      </c>
      <c r="T16" s="164">
        <v>6</v>
      </c>
      <c r="U16" s="164"/>
      <c r="V16" s="164"/>
      <c r="W16" s="164"/>
      <c r="X16" s="164">
        <v>10</v>
      </c>
      <c r="Y16" s="164">
        <v>7</v>
      </c>
      <c r="Z16" s="164">
        <v>17</v>
      </c>
      <c r="AA16" s="164">
        <v>414</v>
      </c>
      <c r="AB16" s="164">
        <v>448</v>
      </c>
      <c r="AC16" s="165">
        <v>862</v>
      </c>
    </row>
    <row r="17" spans="1:29" ht="15.75" customHeight="1">
      <c r="A17" s="162">
        <v>13</v>
      </c>
      <c r="B17" s="163" t="s">
        <v>736</v>
      </c>
      <c r="C17" s="164">
        <v>7</v>
      </c>
      <c r="D17" s="164">
        <v>0</v>
      </c>
      <c r="E17" s="164">
        <v>7</v>
      </c>
      <c r="F17" s="164"/>
      <c r="G17" s="164"/>
      <c r="H17" s="164"/>
      <c r="I17" s="164">
        <v>33</v>
      </c>
      <c r="J17" s="164">
        <v>42</v>
      </c>
      <c r="K17" s="164">
        <v>75</v>
      </c>
      <c r="L17" s="164">
        <v>416</v>
      </c>
      <c r="M17" s="164">
        <v>239</v>
      </c>
      <c r="N17" s="164">
        <v>655</v>
      </c>
      <c r="O17" s="164">
        <v>1</v>
      </c>
      <c r="P17" s="164">
        <v>1</v>
      </c>
      <c r="Q17" s="164">
        <v>2</v>
      </c>
      <c r="R17" s="164">
        <v>1</v>
      </c>
      <c r="S17" s="164">
        <v>3</v>
      </c>
      <c r="T17" s="164">
        <v>4</v>
      </c>
      <c r="U17" s="164"/>
      <c r="V17" s="164"/>
      <c r="W17" s="164"/>
      <c r="X17" s="164">
        <v>7</v>
      </c>
      <c r="Y17" s="164">
        <v>1</v>
      </c>
      <c r="Z17" s="164">
        <v>8</v>
      </c>
      <c r="AA17" s="164">
        <v>465</v>
      </c>
      <c r="AB17" s="164">
        <v>286</v>
      </c>
      <c r="AC17" s="165">
        <v>751</v>
      </c>
    </row>
    <row r="18" spans="1:29" ht="15.75" customHeight="1">
      <c r="A18" s="162">
        <v>14</v>
      </c>
      <c r="B18" s="163" t="s">
        <v>738</v>
      </c>
      <c r="C18" s="164">
        <v>6</v>
      </c>
      <c r="D18" s="164">
        <v>3</v>
      </c>
      <c r="E18" s="164">
        <v>9</v>
      </c>
      <c r="F18" s="164"/>
      <c r="G18" s="164"/>
      <c r="H18" s="164"/>
      <c r="I18" s="164">
        <v>34</v>
      </c>
      <c r="J18" s="164">
        <v>15</v>
      </c>
      <c r="K18" s="164">
        <v>49</v>
      </c>
      <c r="L18" s="164">
        <v>345</v>
      </c>
      <c r="M18" s="164">
        <v>293</v>
      </c>
      <c r="N18" s="164">
        <v>638</v>
      </c>
      <c r="O18" s="164">
        <v>0</v>
      </c>
      <c r="P18" s="164">
        <v>1</v>
      </c>
      <c r="Q18" s="164">
        <v>1</v>
      </c>
      <c r="R18" s="164"/>
      <c r="S18" s="164"/>
      <c r="T18" s="164"/>
      <c r="U18" s="164"/>
      <c r="V18" s="164"/>
      <c r="W18" s="164"/>
      <c r="X18" s="164">
        <v>0</v>
      </c>
      <c r="Y18" s="164">
        <v>2</v>
      </c>
      <c r="Z18" s="164">
        <v>2</v>
      </c>
      <c r="AA18" s="164">
        <v>385</v>
      </c>
      <c r="AB18" s="164">
        <v>314</v>
      </c>
      <c r="AC18" s="165">
        <v>699</v>
      </c>
    </row>
    <row r="19" spans="1:29" ht="15.75" customHeight="1">
      <c r="A19" s="162">
        <v>15</v>
      </c>
      <c r="B19" s="163" t="s">
        <v>732</v>
      </c>
      <c r="C19" s="164">
        <v>43</v>
      </c>
      <c r="D19" s="164">
        <v>18</v>
      </c>
      <c r="E19" s="164">
        <v>61</v>
      </c>
      <c r="F19" s="164"/>
      <c r="G19" s="164"/>
      <c r="H19" s="164"/>
      <c r="I19" s="164">
        <v>86</v>
      </c>
      <c r="J19" s="164">
        <v>19</v>
      </c>
      <c r="K19" s="164">
        <v>105</v>
      </c>
      <c r="L19" s="164">
        <v>421</v>
      </c>
      <c r="M19" s="164">
        <v>48</v>
      </c>
      <c r="N19" s="164">
        <v>469</v>
      </c>
      <c r="O19" s="164"/>
      <c r="P19" s="164"/>
      <c r="Q19" s="164"/>
      <c r="R19" s="164"/>
      <c r="S19" s="164"/>
      <c r="T19" s="164"/>
      <c r="U19" s="164"/>
      <c r="V19" s="164"/>
      <c r="W19" s="164"/>
      <c r="X19" s="164">
        <v>2</v>
      </c>
      <c r="Y19" s="164">
        <v>0</v>
      </c>
      <c r="Z19" s="164">
        <v>2</v>
      </c>
      <c r="AA19" s="164">
        <v>552</v>
      </c>
      <c r="AB19" s="164">
        <v>85</v>
      </c>
      <c r="AC19" s="165">
        <v>637</v>
      </c>
    </row>
    <row r="20" spans="1:29" ht="15.75" customHeight="1">
      <c r="A20" s="162">
        <v>16</v>
      </c>
      <c r="B20" s="163" t="s">
        <v>734</v>
      </c>
      <c r="C20" s="164"/>
      <c r="D20" s="164"/>
      <c r="E20" s="164"/>
      <c r="F20" s="164"/>
      <c r="G20" s="164"/>
      <c r="H20" s="164"/>
      <c r="I20" s="164">
        <v>14</v>
      </c>
      <c r="J20" s="164">
        <v>13</v>
      </c>
      <c r="K20" s="164">
        <v>27</v>
      </c>
      <c r="L20" s="164">
        <v>289</v>
      </c>
      <c r="M20" s="164">
        <v>246</v>
      </c>
      <c r="N20" s="164">
        <v>535</v>
      </c>
      <c r="O20" s="164"/>
      <c r="P20" s="164"/>
      <c r="Q20" s="164"/>
      <c r="R20" s="164">
        <v>2</v>
      </c>
      <c r="S20" s="164">
        <v>0</v>
      </c>
      <c r="T20" s="164">
        <v>2</v>
      </c>
      <c r="U20" s="164"/>
      <c r="V20" s="164"/>
      <c r="W20" s="164"/>
      <c r="X20" s="164">
        <v>5</v>
      </c>
      <c r="Y20" s="164">
        <v>4</v>
      </c>
      <c r="Z20" s="164">
        <v>9</v>
      </c>
      <c r="AA20" s="164">
        <v>310</v>
      </c>
      <c r="AB20" s="164">
        <v>263</v>
      </c>
      <c r="AC20" s="165">
        <v>573</v>
      </c>
    </row>
    <row r="21" spans="1:29" ht="15.75" customHeight="1">
      <c r="A21" s="162">
        <v>17</v>
      </c>
      <c r="B21" s="163" t="s">
        <v>729</v>
      </c>
      <c r="C21" s="164">
        <v>41</v>
      </c>
      <c r="D21" s="164">
        <v>40</v>
      </c>
      <c r="E21" s="164">
        <v>81</v>
      </c>
      <c r="F21" s="164">
        <v>0</v>
      </c>
      <c r="G21" s="164">
        <v>1</v>
      </c>
      <c r="H21" s="164">
        <v>1</v>
      </c>
      <c r="I21" s="164">
        <v>109</v>
      </c>
      <c r="J21" s="164">
        <v>147</v>
      </c>
      <c r="K21" s="164">
        <v>256</v>
      </c>
      <c r="L21" s="164">
        <v>113</v>
      </c>
      <c r="M21" s="164">
        <v>114</v>
      </c>
      <c r="N21" s="164">
        <v>227</v>
      </c>
      <c r="O21" s="164">
        <v>1</v>
      </c>
      <c r="P21" s="164">
        <v>5</v>
      </c>
      <c r="Q21" s="164">
        <v>6</v>
      </c>
      <c r="R21" s="164"/>
      <c r="S21" s="164"/>
      <c r="T21" s="164"/>
      <c r="U21" s="164"/>
      <c r="V21" s="164"/>
      <c r="W21" s="164"/>
      <c r="X21" s="164">
        <v>1</v>
      </c>
      <c r="Y21" s="164">
        <v>0</v>
      </c>
      <c r="Z21" s="164">
        <v>1</v>
      </c>
      <c r="AA21" s="164">
        <v>265</v>
      </c>
      <c r="AB21" s="164">
        <v>307</v>
      </c>
      <c r="AC21" s="165">
        <v>572</v>
      </c>
    </row>
    <row r="22" spans="1:29" ht="15.75" customHeight="1">
      <c r="A22" s="162">
        <v>18</v>
      </c>
      <c r="B22" s="163" t="s">
        <v>735</v>
      </c>
      <c r="C22" s="164">
        <v>6</v>
      </c>
      <c r="D22" s="164">
        <v>2</v>
      </c>
      <c r="E22" s="164">
        <v>8</v>
      </c>
      <c r="F22" s="164"/>
      <c r="G22" s="164"/>
      <c r="H22" s="164"/>
      <c r="I22" s="164">
        <v>45</v>
      </c>
      <c r="J22" s="164">
        <v>29</v>
      </c>
      <c r="K22" s="164">
        <v>74</v>
      </c>
      <c r="L22" s="164">
        <v>226</v>
      </c>
      <c r="M22" s="164">
        <v>149</v>
      </c>
      <c r="N22" s="164">
        <v>375</v>
      </c>
      <c r="O22" s="164">
        <v>2</v>
      </c>
      <c r="P22" s="164">
        <v>0</v>
      </c>
      <c r="Q22" s="164">
        <v>2</v>
      </c>
      <c r="R22" s="164">
        <v>8</v>
      </c>
      <c r="S22" s="164">
        <v>6</v>
      </c>
      <c r="T22" s="164">
        <v>14</v>
      </c>
      <c r="U22" s="164">
        <v>1</v>
      </c>
      <c r="V22" s="164">
        <v>0</v>
      </c>
      <c r="W22" s="164">
        <v>1</v>
      </c>
      <c r="X22" s="164">
        <v>33</v>
      </c>
      <c r="Y22" s="164">
        <v>48</v>
      </c>
      <c r="Z22" s="164">
        <v>81</v>
      </c>
      <c r="AA22" s="164">
        <v>321</v>
      </c>
      <c r="AB22" s="164">
        <v>234</v>
      </c>
      <c r="AC22" s="165">
        <v>555</v>
      </c>
    </row>
    <row r="23" spans="1:29" ht="15.75" customHeight="1">
      <c r="A23" s="162">
        <v>19</v>
      </c>
      <c r="B23" s="163" t="s">
        <v>742</v>
      </c>
      <c r="C23" s="164">
        <v>2</v>
      </c>
      <c r="D23" s="164">
        <v>2</v>
      </c>
      <c r="E23" s="164">
        <v>4</v>
      </c>
      <c r="F23" s="164"/>
      <c r="G23" s="164"/>
      <c r="H23" s="164"/>
      <c r="I23" s="164">
        <v>12</v>
      </c>
      <c r="J23" s="164">
        <v>17</v>
      </c>
      <c r="K23" s="164">
        <v>29</v>
      </c>
      <c r="L23" s="164">
        <v>274</v>
      </c>
      <c r="M23" s="164">
        <v>221</v>
      </c>
      <c r="N23" s="164">
        <v>495</v>
      </c>
      <c r="O23" s="164">
        <v>2</v>
      </c>
      <c r="P23" s="164">
        <v>0</v>
      </c>
      <c r="Q23" s="164">
        <v>2</v>
      </c>
      <c r="R23" s="164">
        <v>0</v>
      </c>
      <c r="S23" s="164">
        <v>1</v>
      </c>
      <c r="T23" s="164">
        <v>1</v>
      </c>
      <c r="U23" s="164"/>
      <c r="V23" s="164"/>
      <c r="W23" s="164"/>
      <c r="X23" s="164">
        <v>1</v>
      </c>
      <c r="Y23" s="164">
        <v>3</v>
      </c>
      <c r="Z23" s="164">
        <v>4</v>
      </c>
      <c r="AA23" s="164">
        <v>291</v>
      </c>
      <c r="AB23" s="164">
        <v>244</v>
      </c>
      <c r="AC23" s="165">
        <v>535</v>
      </c>
    </row>
    <row r="24" spans="1:29" ht="15.75" customHeight="1">
      <c r="A24" s="162">
        <v>20</v>
      </c>
      <c r="B24" s="163" t="s">
        <v>739</v>
      </c>
      <c r="C24" s="164">
        <v>0</v>
      </c>
      <c r="D24" s="164">
        <v>1</v>
      </c>
      <c r="E24" s="164">
        <v>1</v>
      </c>
      <c r="F24" s="164"/>
      <c r="G24" s="164"/>
      <c r="H24" s="164"/>
      <c r="I24" s="164">
        <v>17</v>
      </c>
      <c r="J24" s="164">
        <v>23</v>
      </c>
      <c r="K24" s="164">
        <v>40</v>
      </c>
      <c r="L24" s="164">
        <v>250</v>
      </c>
      <c r="M24" s="164">
        <v>183</v>
      </c>
      <c r="N24" s="164">
        <v>433</v>
      </c>
      <c r="O24" s="164"/>
      <c r="P24" s="164"/>
      <c r="Q24" s="164"/>
      <c r="R24" s="164">
        <v>0</v>
      </c>
      <c r="S24" s="164">
        <v>1</v>
      </c>
      <c r="T24" s="164">
        <v>1</v>
      </c>
      <c r="U24" s="164"/>
      <c r="V24" s="164"/>
      <c r="W24" s="164"/>
      <c r="X24" s="164">
        <v>1</v>
      </c>
      <c r="Y24" s="164">
        <v>1</v>
      </c>
      <c r="Z24" s="164">
        <v>2</v>
      </c>
      <c r="AA24" s="164">
        <v>268</v>
      </c>
      <c r="AB24" s="164">
        <v>209</v>
      </c>
      <c r="AC24" s="165">
        <v>477</v>
      </c>
    </row>
    <row r="25" spans="1:29" ht="15.75" customHeight="1">
      <c r="A25" s="162">
        <v>21</v>
      </c>
      <c r="B25" s="163" t="s">
        <v>746</v>
      </c>
      <c r="C25" s="164">
        <v>31</v>
      </c>
      <c r="D25" s="164">
        <v>5</v>
      </c>
      <c r="E25" s="164">
        <v>36</v>
      </c>
      <c r="F25" s="164"/>
      <c r="G25" s="164"/>
      <c r="H25" s="164"/>
      <c r="I25" s="164">
        <v>110</v>
      </c>
      <c r="J25" s="164">
        <v>29</v>
      </c>
      <c r="K25" s="164">
        <v>139</v>
      </c>
      <c r="L25" s="164">
        <v>200</v>
      </c>
      <c r="M25" s="164">
        <v>63</v>
      </c>
      <c r="N25" s="164">
        <v>263</v>
      </c>
      <c r="O25" s="164"/>
      <c r="P25" s="164"/>
      <c r="Q25" s="164"/>
      <c r="R25" s="164"/>
      <c r="S25" s="164"/>
      <c r="T25" s="164"/>
      <c r="U25" s="164"/>
      <c r="V25" s="164"/>
      <c r="W25" s="164"/>
      <c r="X25" s="164">
        <v>5</v>
      </c>
      <c r="Y25" s="164">
        <v>11</v>
      </c>
      <c r="Z25" s="164">
        <v>16</v>
      </c>
      <c r="AA25" s="164">
        <v>346</v>
      </c>
      <c r="AB25" s="164">
        <v>108</v>
      </c>
      <c r="AC25" s="165">
        <v>454</v>
      </c>
    </row>
    <row r="26" spans="1:29">
      <c r="A26" s="162">
        <v>22</v>
      </c>
      <c r="B26" s="163" t="s">
        <v>741</v>
      </c>
      <c r="C26" s="164">
        <v>14</v>
      </c>
      <c r="D26" s="164">
        <v>4</v>
      </c>
      <c r="E26" s="164">
        <v>18</v>
      </c>
      <c r="F26" s="164"/>
      <c r="G26" s="164"/>
      <c r="H26" s="164"/>
      <c r="I26" s="164">
        <v>82</v>
      </c>
      <c r="J26" s="164">
        <v>24</v>
      </c>
      <c r="K26" s="164">
        <v>106</v>
      </c>
      <c r="L26" s="164">
        <v>213</v>
      </c>
      <c r="M26" s="164">
        <v>80</v>
      </c>
      <c r="N26" s="164">
        <v>293</v>
      </c>
      <c r="O26" s="164">
        <v>1</v>
      </c>
      <c r="P26" s="164">
        <v>0</v>
      </c>
      <c r="Q26" s="164">
        <v>1</v>
      </c>
      <c r="R26" s="164">
        <v>2</v>
      </c>
      <c r="S26" s="164">
        <v>3</v>
      </c>
      <c r="T26" s="164">
        <v>5</v>
      </c>
      <c r="U26" s="164"/>
      <c r="V26" s="164"/>
      <c r="W26" s="164"/>
      <c r="X26" s="164">
        <v>5</v>
      </c>
      <c r="Y26" s="164">
        <v>1</v>
      </c>
      <c r="Z26" s="164">
        <v>6</v>
      </c>
      <c r="AA26" s="164">
        <v>317</v>
      </c>
      <c r="AB26" s="164">
        <v>112</v>
      </c>
      <c r="AC26" s="165">
        <v>429</v>
      </c>
    </row>
    <row r="27" spans="1:29">
      <c r="A27" s="162">
        <v>23</v>
      </c>
      <c r="B27" s="163" t="s">
        <v>737</v>
      </c>
      <c r="C27" s="164">
        <v>1</v>
      </c>
      <c r="D27" s="164">
        <v>1</v>
      </c>
      <c r="E27" s="164">
        <v>2</v>
      </c>
      <c r="F27" s="164"/>
      <c r="G27" s="164"/>
      <c r="H27" s="164"/>
      <c r="I27" s="164">
        <v>10</v>
      </c>
      <c r="J27" s="164">
        <v>6</v>
      </c>
      <c r="K27" s="164">
        <v>16</v>
      </c>
      <c r="L27" s="164">
        <v>202</v>
      </c>
      <c r="M27" s="164">
        <v>117</v>
      </c>
      <c r="N27" s="164">
        <v>319</v>
      </c>
      <c r="O27" s="164"/>
      <c r="P27" s="164"/>
      <c r="Q27" s="164"/>
      <c r="R27" s="164"/>
      <c r="S27" s="164"/>
      <c r="T27" s="164"/>
      <c r="U27" s="164"/>
      <c r="V27" s="164"/>
      <c r="W27" s="164"/>
      <c r="X27" s="164"/>
      <c r="Y27" s="164"/>
      <c r="Z27" s="164"/>
      <c r="AA27" s="164">
        <v>213</v>
      </c>
      <c r="AB27" s="164">
        <v>124</v>
      </c>
      <c r="AC27" s="165">
        <v>337</v>
      </c>
    </row>
    <row r="28" spans="1:29">
      <c r="A28" s="162">
        <v>24</v>
      </c>
      <c r="B28" s="163" t="s">
        <v>725</v>
      </c>
      <c r="C28" s="164">
        <v>1</v>
      </c>
      <c r="D28" s="164">
        <v>1</v>
      </c>
      <c r="E28" s="164">
        <v>2</v>
      </c>
      <c r="F28" s="164"/>
      <c r="G28" s="164"/>
      <c r="H28" s="164"/>
      <c r="I28" s="164">
        <v>4</v>
      </c>
      <c r="J28" s="164">
        <v>5</v>
      </c>
      <c r="K28" s="164">
        <v>9</v>
      </c>
      <c r="L28" s="164">
        <v>119</v>
      </c>
      <c r="M28" s="164">
        <v>203</v>
      </c>
      <c r="N28" s="164">
        <v>322</v>
      </c>
      <c r="O28" s="164"/>
      <c r="P28" s="164"/>
      <c r="Q28" s="164"/>
      <c r="R28" s="164"/>
      <c r="S28" s="164"/>
      <c r="T28" s="164"/>
      <c r="U28" s="164"/>
      <c r="V28" s="164"/>
      <c r="W28" s="164"/>
      <c r="X28" s="164">
        <v>0</v>
      </c>
      <c r="Y28" s="164">
        <v>2</v>
      </c>
      <c r="Z28" s="164">
        <v>2</v>
      </c>
      <c r="AA28" s="164">
        <v>124</v>
      </c>
      <c r="AB28" s="164">
        <v>211</v>
      </c>
      <c r="AC28" s="165">
        <v>335</v>
      </c>
    </row>
    <row r="29" spans="1:29">
      <c r="A29" s="162">
        <v>25</v>
      </c>
      <c r="B29" s="163" t="s">
        <v>744</v>
      </c>
      <c r="C29" s="164">
        <v>1</v>
      </c>
      <c r="D29" s="164">
        <v>1</v>
      </c>
      <c r="E29" s="164">
        <v>2</v>
      </c>
      <c r="F29" s="164">
        <v>3</v>
      </c>
      <c r="G29" s="164">
        <v>5</v>
      </c>
      <c r="H29" s="164">
        <v>8</v>
      </c>
      <c r="I29" s="164">
        <v>39</v>
      </c>
      <c r="J29" s="164">
        <v>54</v>
      </c>
      <c r="K29" s="164">
        <v>93</v>
      </c>
      <c r="L29" s="164">
        <v>90</v>
      </c>
      <c r="M29" s="164">
        <v>130</v>
      </c>
      <c r="N29" s="164">
        <v>220</v>
      </c>
      <c r="O29" s="164">
        <v>1</v>
      </c>
      <c r="P29" s="164">
        <v>2</v>
      </c>
      <c r="Q29" s="164">
        <v>3</v>
      </c>
      <c r="R29" s="164"/>
      <c r="S29" s="164"/>
      <c r="T29" s="164"/>
      <c r="U29" s="164"/>
      <c r="V29" s="164"/>
      <c r="W29" s="164"/>
      <c r="X29" s="164">
        <v>1</v>
      </c>
      <c r="Y29" s="164">
        <v>1</v>
      </c>
      <c r="Z29" s="164">
        <v>2</v>
      </c>
      <c r="AA29" s="164">
        <v>135</v>
      </c>
      <c r="AB29" s="164">
        <v>193</v>
      </c>
      <c r="AC29" s="165">
        <v>328</v>
      </c>
    </row>
    <row r="30" spans="1:29">
      <c r="A30" s="162">
        <v>26</v>
      </c>
      <c r="B30" s="163" t="s">
        <v>749</v>
      </c>
      <c r="C30" s="164">
        <v>1</v>
      </c>
      <c r="D30" s="164">
        <v>1</v>
      </c>
      <c r="E30" s="164">
        <v>2</v>
      </c>
      <c r="F30" s="164"/>
      <c r="G30" s="164"/>
      <c r="H30" s="164"/>
      <c r="I30" s="164">
        <v>53</v>
      </c>
      <c r="J30" s="164">
        <v>32</v>
      </c>
      <c r="K30" s="164">
        <v>85</v>
      </c>
      <c r="L30" s="164">
        <v>126</v>
      </c>
      <c r="M30" s="164">
        <v>87</v>
      </c>
      <c r="N30" s="164">
        <v>213</v>
      </c>
      <c r="O30" s="164"/>
      <c r="P30" s="164"/>
      <c r="Q30" s="164"/>
      <c r="R30" s="164"/>
      <c r="S30" s="164"/>
      <c r="T30" s="164"/>
      <c r="U30" s="164"/>
      <c r="V30" s="164"/>
      <c r="W30" s="164"/>
      <c r="X30" s="164">
        <v>7</v>
      </c>
      <c r="Y30" s="164">
        <v>13</v>
      </c>
      <c r="Z30" s="164">
        <v>20</v>
      </c>
      <c r="AA30" s="164">
        <v>187</v>
      </c>
      <c r="AB30" s="164">
        <v>133</v>
      </c>
      <c r="AC30" s="165">
        <v>320</v>
      </c>
    </row>
    <row r="31" spans="1:29">
      <c r="A31" s="162">
        <v>27</v>
      </c>
      <c r="B31" s="163" t="s">
        <v>733</v>
      </c>
      <c r="C31" s="164">
        <v>1</v>
      </c>
      <c r="D31" s="164">
        <v>0</v>
      </c>
      <c r="E31" s="164">
        <v>1</v>
      </c>
      <c r="F31" s="164"/>
      <c r="G31" s="164"/>
      <c r="H31" s="164"/>
      <c r="I31" s="164">
        <v>133</v>
      </c>
      <c r="J31" s="164">
        <v>13</v>
      </c>
      <c r="K31" s="164">
        <v>146</v>
      </c>
      <c r="L31" s="164">
        <v>131</v>
      </c>
      <c r="M31" s="164">
        <v>26</v>
      </c>
      <c r="N31" s="164">
        <v>157</v>
      </c>
      <c r="O31" s="164"/>
      <c r="P31" s="164"/>
      <c r="Q31" s="164"/>
      <c r="R31" s="164"/>
      <c r="S31" s="164"/>
      <c r="T31" s="164"/>
      <c r="U31" s="164"/>
      <c r="V31" s="164"/>
      <c r="W31" s="164"/>
      <c r="X31" s="164">
        <v>0</v>
      </c>
      <c r="Y31" s="164">
        <v>1</v>
      </c>
      <c r="Z31" s="164">
        <v>1</v>
      </c>
      <c r="AA31" s="164">
        <v>265</v>
      </c>
      <c r="AB31" s="164">
        <v>40</v>
      </c>
      <c r="AC31" s="165">
        <v>305</v>
      </c>
    </row>
    <row r="32" spans="1:29">
      <c r="A32" s="162">
        <v>28</v>
      </c>
      <c r="B32" s="163" t="s">
        <v>813</v>
      </c>
      <c r="C32" s="164"/>
      <c r="D32" s="164"/>
      <c r="E32" s="164"/>
      <c r="F32" s="164"/>
      <c r="G32" s="164"/>
      <c r="H32" s="164"/>
      <c r="I32" s="164">
        <v>21</v>
      </c>
      <c r="J32" s="164">
        <v>12</v>
      </c>
      <c r="K32" s="164">
        <v>33</v>
      </c>
      <c r="L32" s="164">
        <v>186</v>
      </c>
      <c r="M32" s="164">
        <v>81</v>
      </c>
      <c r="N32" s="164">
        <v>267</v>
      </c>
      <c r="O32" s="164"/>
      <c r="P32" s="164"/>
      <c r="Q32" s="164"/>
      <c r="R32" s="164"/>
      <c r="S32" s="164"/>
      <c r="T32" s="164"/>
      <c r="U32" s="164"/>
      <c r="V32" s="164"/>
      <c r="W32" s="164"/>
      <c r="X32" s="164"/>
      <c r="Y32" s="164"/>
      <c r="Z32" s="164"/>
      <c r="AA32" s="164">
        <v>207</v>
      </c>
      <c r="AB32" s="164">
        <v>93</v>
      </c>
      <c r="AC32" s="165">
        <v>300</v>
      </c>
    </row>
    <row r="33" spans="1:29">
      <c r="A33" s="162">
        <v>29</v>
      </c>
      <c r="B33" s="163" t="s">
        <v>747</v>
      </c>
      <c r="C33" s="164">
        <v>16</v>
      </c>
      <c r="D33" s="164">
        <v>3</v>
      </c>
      <c r="E33" s="164">
        <v>19</v>
      </c>
      <c r="F33" s="164"/>
      <c r="G33" s="164"/>
      <c r="H33" s="164"/>
      <c r="I33" s="164">
        <v>34</v>
      </c>
      <c r="J33" s="164">
        <v>21</v>
      </c>
      <c r="K33" s="164">
        <v>55</v>
      </c>
      <c r="L33" s="164">
        <v>111</v>
      </c>
      <c r="M33" s="164">
        <v>101</v>
      </c>
      <c r="N33" s="164">
        <v>212</v>
      </c>
      <c r="O33" s="164"/>
      <c r="P33" s="164"/>
      <c r="Q33" s="164"/>
      <c r="R33" s="164">
        <v>5</v>
      </c>
      <c r="S33" s="164">
        <v>5</v>
      </c>
      <c r="T33" s="164">
        <v>10</v>
      </c>
      <c r="U33" s="164">
        <v>0</v>
      </c>
      <c r="V33" s="164">
        <v>1</v>
      </c>
      <c r="W33" s="164">
        <v>1</v>
      </c>
      <c r="X33" s="164"/>
      <c r="Y33" s="164"/>
      <c r="Z33" s="164"/>
      <c r="AA33" s="164">
        <v>166</v>
      </c>
      <c r="AB33" s="164">
        <v>131</v>
      </c>
      <c r="AC33" s="165">
        <v>297</v>
      </c>
    </row>
    <row r="34" spans="1:29">
      <c r="A34" s="162">
        <v>30</v>
      </c>
      <c r="B34" s="163" t="s">
        <v>740</v>
      </c>
      <c r="C34" s="164">
        <v>61</v>
      </c>
      <c r="D34" s="164">
        <v>11</v>
      </c>
      <c r="E34" s="164">
        <v>72</v>
      </c>
      <c r="F34" s="164"/>
      <c r="G34" s="164"/>
      <c r="H34" s="164"/>
      <c r="I34" s="164">
        <v>83</v>
      </c>
      <c r="J34" s="164">
        <v>14</v>
      </c>
      <c r="K34" s="164">
        <v>97</v>
      </c>
      <c r="L34" s="164">
        <v>84</v>
      </c>
      <c r="M34" s="164">
        <v>19</v>
      </c>
      <c r="N34" s="164">
        <v>103</v>
      </c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>
        <v>228</v>
      </c>
      <c r="AB34" s="164">
        <v>44</v>
      </c>
      <c r="AC34" s="165">
        <v>272</v>
      </c>
    </row>
    <row r="35" spans="1:29">
      <c r="A35" s="162">
        <v>31</v>
      </c>
      <c r="B35" s="163" t="s">
        <v>731</v>
      </c>
      <c r="C35" s="164">
        <v>2</v>
      </c>
      <c r="D35" s="164">
        <v>2</v>
      </c>
      <c r="E35" s="164">
        <v>4</v>
      </c>
      <c r="F35" s="164"/>
      <c r="G35" s="164"/>
      <c r="H35" s="164"/>
      <c r="I35" s="164">
        <v>12</v>
      </c>
      <c r="J35" s="164">
        <v>13</v>
      </c>
      <c r="K35" s="164">
        <v>25</v>
      </c>
      <c r="L35" s="164">
        <v>95</v>
      </c>
      <c r="M35" s="164">
        <v>85</v>
      </c>
      <c r="N35" s="164">
        <v>180</v>
      </c>
      <c r="O35" s="164"/>
      <c r="P35" s="164"/>
      <c r="Q35" s="164"/>
      <c r="R35" s="164"/>
      <c r="S35" s="164"/>
      <c r="T35" s="164"/>
      <c r="U35" s="164"/>
      <c r="V35" s="164"/>
      <c r="W35" s="164"/>
      <c r="X35" s="164">
        <v>21</v>
      </c>
      <c r="Y35" s="164">
        <v>8</v>
      </c>
      <c r="Z35" s="164">
        <v>29</v>
      </c>
      <c r="AA35" s="164">
        <v>130</v>
      </c>
      <c r="AB35" s="164">
        <v>108</v>
      </c>
      <c r="AC35" s="165">
        <v>238</v>
      </c>
    </row>
    <row r="36" spans="1:29">
      <c r="A36" s="162">
        <v>32</v>
      </c>
      <c r="B36" s="163" t="s">
        <v>748</v>
      </c>
      <c r="C36" s="164">
        <v>1</v>
      </c>
      <c r="D36" s="164">
        <v>0</v>
      </c>
      <c r="E36" s="164">
        <v>1</v>
      </c>
      <c r="F36" s="164"/>
      <c r="G36" s="164"/>
      <c r="H36" s="164"/>
      <c r="I36" s="164">
        <v>44</v>
      </c>
      <c r="J36" s="164">
        <v>10</v>
      </c>
      <c r="K36" s="164">
        <v>54</v>
      </c>
      <c r="L36" s="164">
        <v>125</v>
      </c>
      <c r="M36" s="164">
        <v>47</v>
      </c>
      <c r="N36" s="164">
        <v>172</v>
      </c>
      <c r="O36" s="164"/>
      <c r="P36" s="164"/>
      <c r="Q36" s="164"/>
      <c r="R36" s="164">
        <v>2</v>
      </c>
      <c r="S36" s="164">
        <v>1</v>
      </c>
      <c r="T36" s="164">
        <v>3</v>
      </c>
      <c r="U36" s="164"/>
      <c r="V36" s="164"/>
      <c r="W36" s="164"/>
      <c r="X36" s="164">
        <v>3</v>
      </c>
      <c r="Y36" s="164">
        <v>2</v>
      </c>
      <c r="Z36" s="164">
        <v>5</v>
      </c>
      <c r="AA36" s="164">
        <v>175</v>
      </c>
      <c r="AB36" s="164">
        <v>60</v>
      </c>
      <c r="AC36" s="165">
        <v>235</v>
      </c>
    </row>
    <row r="37" spans="1:29">
      <c r="A37" s="162">
        <v>33</v>
      </c>
      <c r="B37" s="163" t="s">
        <v>751</v>
      </c>
      <c r="C37" s="164">
        <v>14</v>
      </c>
      <c r="D37" s="164">
        <v>12</v>
      </c>
      <c r="E37" s="164">
        <v>26</v>
      </c>
      <c r="F37" s="164"/>
      <c r="G37" s="164"/>
      <c r="H37" s="164"/>
      <c r="I37" s="164">
        <v>22</v>
      </c>
      <c r="J37" s="164">
        <v>14</v>
      </c>
      <c r="K37" s="164">
        <v>36</v>
      </c>
      <c r="L37" s="164">
        <v>98</v>
      </c>
      <c r="M37" s="164">
        <v>62</v>
      </c>
      <c r="N37" s="164">
        <v>160</v>
      </c>
      <c r="O37" s="164"/>
      <c r="P37" s="164"/>
      <c r="Q37" s="164"/>
      <c r="R37" s="164"/>
      <c r="S37" s="164"/>
      <c r="T37" s="164"/>
      <c r="U37" s="164"/>
      <c r="V37" s="164"/>
      <c r="W37" s="164"/>
      <c r="X37" s="164">
        <v>4</v>
      </c>
      <c r="Y37" s="164">
        <v>0</v>
      </c>
      <c r="Z37" s="164">
        <v>4</v>
      </c>
      <c r="AA37" s="164">
        <v>138</v>
      </c>
      <c r="AB37" s="164">
        <v>88</v>
      </c>
      <c r="AC37" s="165">
        <v>226</v>
      </c>
    </row>
    <row r="38" spans="1:29">
      <c r="A38" s="162">
        <v>34</v>
      </c>
      <c r="B38" s="163" t="s">
        <v>750</v>
      </c>
      <c r="C38" s="164">
        <v>2</v>
      </c>
      <c r="D38" s="164">
        <v>7</v>
      </c>
      <c r="E38" s="164">
        <v>9</v>
      </c>
      <c r="F38" s="164"/>
      <c r="G38" s="164"/>
      <c r="H38" s="164"/>
      <c r="I38" s="164">
        <v>18</v>
      </c>
      <c r="J38" s="164">
        <v>24</v>
      </c>
      <c r="K38" s="164">
        <v>42</v>
      </c>
      <c r="L38" s="164">
        <v>84</v>
      </c>
      <c r="M38" s="164">
        <v>68</v>
      </c>
      <c r="N38" s="164">
        <v>152</v>
      </c>
      <c r="O38" s="164"/>
      <c r="P38" s="164"/>
      <c r="Q38" s="164"/>
      <c r="R38" s="164">
        <v>4</v>
      </c>
      <c r="S38" s="164">
        <v>1</v>
      </c>
      <c r="T38" s="164">
        <v>5</v>
      </c>
      <c r="U38" s="164"/>
      <c r="V38" s="164"/>
      <c r="W38" s="164"/>
      <c r="X38" s="164"/>
      <c r="Y38" s="164"/>
      <c r="Z38" s="164"/>
      <c r="AA38" s="164">
        <v>108</v>
      </c>
      <c r="AB38" s="164">
        <v>100</v>
      </c>
      <c r="AC38" s="165">
        <v>208</v>
      </c>
    </row>
    <row r="39" spans="1:29">
      <c r="A39" s="162">
        <v>35</v>
      </c>
      <c r="B39" s="163" t="s">
        <v>754</v>
      </c>
      <c r="C39" s="164">
        <v>2</v>
      </c>
      <c r="D39" s="164">
        <v>1</v>
      </c>
      <c r="E39" s="164">
        <v>3</v>
      </c>
      <c r="F39" s="164"/>
      <c r="G39" s="164"/>
      <c r="H39" s="164"/>
      <c r="I39" s="164">
        <v>8</v>
      </c>
      <c r="J39" s="164">
        <v>11</v>
      </c>
      <c r="K39" s="164">
        <v>19</v>
      </c>
      <c r="L39" s="164">
        <v>87</v>
      </c>
      <c r="M39" s="164">
        <v>66</v>
      </c>
      <c r="N39" s="164">
        <v>153</v>
      </c>
      <c r="O39" s="164">
        <v>0</v>
      </c>
      <c r="P39" s="164">
        <v>1</v>
      </c>
      <c r="Q39" s="164">
        <v>1</v>
      </c>
      <c r="R39" s="164"/>
      <c r="S39" s="164"/>
      <c r="T39" s="164"/>
      <c r="U39" s="164"/>
      <c r="V39" s="164"/>
      <c r="W39" s="164"/>
      <c r="X39" s="164">
        <v>21</v>
      </c>
      <c r="Y39" s="164">
        <v>9</v>
      </c>
      <c r="Z39" s="164">
        <v>30</v>
      </c>
      <c r="AA39" s="164">
        <v>118</v>
      </c>
      <c r="AB39" s="164">
        <v>88</v>
      </c>
      <c r="AC39" s="165">
        <v>206</v>
      </c>
    </row>
    <row r="40" spans="1:29">
      <c r="A40" s="162">
        <v>36</v>
      </c>
      <c r="B40" s="163" t="s">
        <v>753</v>
      </c>
      <c r="C40" s="164"/>
      <c r="D40" s="164"/>
      <c r="E40" s="164"/>
      <c r="F40" s="164"/>
      <c r="G40" s="164"/>
      <c r="H40" s="164"/>
      <c r="I40" s="164">
        <v>6</v>
      </c>
      <c r="J40" s="164">
        <v>11</v>
      </c>
      <c r="K40" s="164">
        <v>17</v>
      </c>
      <c r="L40" s="164">
        <v>122</v>
      </c>
      <c r="M40" s="164">
        <v>49</v>
      </c>
      <c r="N40" s="164">
        <v>171</v>
      </c>
      <c r="O40" s="164"/>
      <c r="P40" s="164"/>
      <c r="Q40" s="164"/>
      <c r="R40" s="164"/>
      <c r="S40" s="164"/>
      <c r="T40" s="164"/>
      <c r="U40" s="164"/>
      <c r="V40" s="164"/>
      <c r="W40" s="164"/>
      <c r="X40" s="164">
        <v>1</v>
      </c>
      <c r="Y40" s="164">
        <v>0</v>
      </c>
      <c r="Z40" s="164">
        <v>1</v>
      </c>
      <c r="AA40" s="164">
        <v>129</v>
      </c>
      <c r="AB40" s="164">
        <v>60</v>
      </c>
      <c r="AC40" s="165">
        <v>189</v>
      </c>
    </row>
    <row r="41" spans="1:29">
      <c r="A41" s="162">
        <v>37</v>
      </c>
      <c r="B41" s="163" t="s">
        <v>761</v>
      </c>
      <c r="C41" s="164">
        <v>2</v>
      </c>
      <c r="D41" s="164">
        <v>0</v>
      </c>
      <c r="E41" s="164">
        <v>2</v>
      </c>
      <c r="F41" s="164"/>
      <c r="G41" s="164"/>
      <c r="H41" s="164"/>
      <c r="I41" s="164">
        <v>25</v>
      </c>
      <c r="J41" s="164">
        <v>16</v>
      </c>
      <c r="K41" s="164">
        <v>41</v>
      </c>
      <c r="L41" s="164">
        <v>93</v>
      </c>
      <c r="M41" s="164">
        <v>46</v>
      </c>
      <c r="N41" s="164">
        <v>139</v>
      </c>
      <c r="O41" s="164"/>
      <c r="P41" s="164"/>
      <c r="Q41" s="164"/>
      <c r="R41" s="164"/>
      <c r="S41" s="164"/>
      <c r="T41" s="164"/>
      <c r="U41" s="164"/>
      <c r="V41" s="164"/>
      <c r="W41" s="164"/>
      <c r="X41" s="164">
        <v>2</v>
      </c>
      <c r="Y41" s="164">
        <v>0</v>
      </c>
      <c r="Z41" s="164">
        <v>2</v>
      </c>
      <c r="AA41" s="164">
        <v>122</v>
      </c>
      <c r="AB41" s="164">
        <v>62</v>
      </c>
      <c r="AC41" s="165">
        <v>184</v>
      </c>
    </row>
    <row r="42" spans="1:29">
      <c r="A42" s="162">
        <v>38</v>
      </c>
      <c r="B42" s="163" t="s">
        <v>759</v>
      </c>
      <c r="C42" s="164"/>
      <c r="D42" s="164"/>
      <c r="E42" s="164"/>
      <c r="F42" s="164"/>
      <c r="G42" s="164"/>
      <c r="H42" s="164"/>
      <c r="I42" s="164">
        <v>10</v>
      </c>
      <c r="J42" s="164">
        <v>14</v>
      </c>
      <c r="K42" s="164">
        <v>24</v>
      </c>
      <c r="L42" s="164">
        <v>63</v>
      </c>
      <c r="M42" s="164">
        <v>91</v>
      </c>
      <c r="N42" s="164">
        <v>154</v>
      </c>
      <c r="O42" s="164"/>
      <c r="P42" s="164"/>
      <c r="Q42" s="164"/>
      <c r="R42" s="164">
        <v>1</v>
      </c>
      <c r="S42" s="164">
        <v>0</v>
      </c>
      <c r="T42" s="164">
        <v>1</v>
      </c>
      <c r="U42" s="164"/>
      <c r="V42" s="164"/>
      <c r="W42" s="164"/>
      <c r="X42" s="164">
        <v>2</v>
      </c>
      <c r="Y42" s="164">
        <v>1</v>
      </c>
      <c r="Z42" s="164">
        <v>3</v>
      </c>
      <c r="AA42" s="164">
        <v>76</v>
      </c>
      <c r="AB42" s="164">
        <v>106</v>
      </c>
      <c r="AC42" s="165">
        <v>182</v>
      </c>
    </row>
    <row r="43" spans="1:29">
      <c r="A43" s="162">
        <v>39</v>
      </c>
      <c r="B43" s="163" t="s">
        <v>743</v>
      </c>
      <c r="C43" s="164">
        <v>3</v>
      </c>
      <c r="D43" s="164">
        <v>2</v>
      </c>
      <c r="E43" s="164">
        <v>5</v>
      </c>
      <c r="F43" s="164"/>
      <c r="G43" s="164"/>
      <c r="H43" s="164"/>
      <c r="I43" s="164">
        <v>8</v>
      </c>
      <c r="J43" s="164">
        <v>6</v>
      </c>
      <c r="K43" s="164">
        <v>14</v>
      </c>
      <c r="L43" s="164">
        <v>91</v>
      </c>
      <c r="M43" s="164">
        <v>59</v>
      </c>
      <c r="N43" s="164">
        <v>150</v>
      </c>
      <c r="O43" s="164"/>
      <c r="P43" s="164"/>
      <c r="Q43" s="164"/>
      <c r="R43" s="164"/>
      <c r="S43" s="164"/>
      <c r="T43" s="164"/>
      <c r="U43" s="164"/>
      <c r="V43" s="164"/>
      <c r="W43" s="164"/>
      <c r="X43" s="164">
        <v>0</v>
      </c>
      <c r="Y43" s="164">
        <v>1</v>
      </c>
      <c r="Z43" s="164">
        <v>1</v>
      </c>
      <c r="AA43" s="164">
        <v>102</v>
      </c>
      <c r="AB43" s="164">
        <v>68</v>
      </c>
      <c r="AC43" s="165">
        <v>170</v>
      </c>
    </row>
    <row r="44" spans="1:29">
      <c r="A44" s="162">
        <v>40</v>
      </c>
      <c r="B44" s="163" t="s">
        <v>752</v>
      </c>
      <c r="C44" s="164"/>
      <c r="D44" s="164"/>
      <c r="E44" s="164"/>
      <c r="F44" s="164"/>
      <c r="G44" s="164"/>
      <c r="H44" s="164"/>
      <c r="I44" s="164">
        <v>30</v>
      </c>
      <c r="J44" s="164">
        <v>11</v>
      </c>
      <c r="K44" s="164">
        <v>41</v>
      </c>
      <c r="L44" s="164">
        <v>93</v>
      </c>
      <c r="M44" s="164">
        <v>28</v>
      </c>
      <c r="N44" s="164">
        <v>121</v>
      </c>
      <c r="O44" s="164"/>
      <c r="P44" s="164"/>
      <c r="Q44" s="164"/>
      <c r="R44" s="164"/>
      <c r="S44" s="164"/>
      <c r="T44" s="164"/>
      <c r="U44" s="164"/>
      <c r="V44" s="164"/>
      <c r="W44" s="164"/>
      <c r="X44" s="164"/>
      <c r="Y44" s="164"/>
      <c r="Z44" s="164"/>
      <c r="AA44" s="164">
        <v>123</v>
      </c>
      <c r="AB44" s="164">
        <v>39</v>
      </c>
      <c r="AC44" s="165">
        <v>162</v>
      </c>
    </row>
    <row r="45" spans="1:29">
      <c r="A45" s="162">
        <v>41</v>
      </c>
      <c r="B45" s="163" t="s">
        <v>778</v>
      </c>
      <c r="C45" s="164">
        <v>7</v>
      </c>
      <c r="D45" s="164">
        <v>1</v>
      </c>
      <c r="E45" s="164">
        <v>8</v>
      </c>
      <c r="F45" s="164"/>
      <c r="G45" s="164"/>
      <c r="H45" s="164"/>
      <c r="I45" s="164">
        <v>36</v>
      </c>
      <c r="J45" s="164">
        <v>4</v>
      </c>
      <c r="K45" s="164">
        <v>40</v>
      </c>
      <c r="L45" s="164">
        <v>82</v>
      </c>
      <c r="M45" s="164">
        <v>23</v>
      </c>
      <c r="N45" s="164">
        <v>105</v>
      </c>
      <c r="O45" s="164"/>
      <c r="P45" s="164"/>
      <c r="Q45" s="164"/>
      <c r="R45" s="164">
        <v>2</v>
      </c>
      <c r="S45" s="164">
        <v>0</v>
      </c>
      <c r="T45" s="164">
        <v>2</v>
      </c>
      <c r="U45" s="164"/>
      <c r="V45" s="164"/>
      <c r="W45" s="164"/>
      <c r="X45" s="164">
        <v>4</v>
      </c>
      <c r="Y45" s="164">
        <v>2</v>
      </c>
      <c r="Z45" s="164">
        <v>6</v>
      </c>
      <c r="AA45" s="164">
        <v>131</v>
      </c>
      <c r="AB45" s="164">
        <v>30</v>
      </c>
      <c r="AC45" s="165">
        <v>161</v>
      </c>
    </row>
    <row r="46" spans="1:29">
      <c r="A46" s="162">
        <v>42</v>
      </c>
      <c r="B46" s="163" t="s">
        <v>745</v>
      </c>
      <c r="C46" s="164">
        <v>13</v>
      </c>
      <c r="D46" s="164">
        <v>9</v>
      </c>
      <c r="E46" s="164">
        <v>22</v>
      </c>
      <c r="F46" s="164">
        <v>3</v>
      </c>
      <c r="G46" s="164">
        <v>1</v>
      </c>
      <c r="H46" s="164">
        <v>4</v>
      </c>
      <c r="I46" s="164">
        <v>29</v>
      </c>
      <c r="J46" s="164">
        <v>9</v>
      </c>
      <c r="K46" s="164">
        <v>38</v>
      </c>
      <c r="L46" s="164">
        <v>73</v>
      </c>
      <c r="M46" s="164">
        <v>20</v>
      </c>
      <c r="N46" s="164">
        <v>93</v>
      </c>
      <c r="O46" s="164"/>
      <c r="P46" s="164"/>
      <c r="Q46" s="164"/>
      <c r="R46" s="164">
        <v>3</v>
      </c>
      <c r="S46" s="164">
        <v>0</v>
      </c>
      <c r="T46" s="164">
        <v>3</v>
      </c>
      <c r="U46" s="164"/>
      <c r="V46" s="164"/>
      <c r="W46" s="164"/>
      <c r="X46" s="164">
        <v>0</v>
      </c>
      <c r="Y46" s="164">
        <v>1</v>
      </c>
      <c r="Z46" s="164">
        <v>1</v>
      </c>
      <c r="AA46" s="164">
        <v>121</v>
      </c>
      <c r="AB46" s="164">
        <v>40</v>
      </c>
      <c r="AC46" s="165">
        <v>161</v>
      </c>
    </row>
    <row r="47" spans="1:29">
      <c r="A47" s="162">
        <v>43</v>
      </c>
      <c r="B47" s="163" t="s">
        <v>757</v>
      </c>
      <c r="C47" s="164">
        <v>0</v>
      </c>
      <c r="D47" s="164">
        <v>1</v>
      </c>
      <c r="E47" s="164">
        <v>1</v>
      </c>
      <c r="F47" s="164"/>
      <c r="G47" s="164"/>
      <c r="H47" s="164"/>
      <c r="I47" s="164">
        <v>10</v>
      </c>
      <c r="J47" s="164">
        <v>8</v>
      </c>
      <c r="K47" s="164">
        <v>18</v>
      </c>
      <c r="L47" s="164">
        <v>73</v>
      </c>
      <c r="M47" s="164">
        <v>47</v>
      </c>
      <c r="N47" s="164">
        <v>120</v>
      </c>
      <c r="O47" s="164"/>
      <c r="P47" s="164"/>
      <c r="Q47" s="164"/>
      <c r="R47" s="164"/>
      <c r="S47" s="164"/>
      <c r="T47" s="164"/>
      <c r="U47" s="164"/>
      <c r="V47" s="164"/>
      <c r="W47" s="164"/>
      <c r="X47" s="164"/>
      <c r="Y47" s="164"/>
      <c r="Z47" s="164"/>
      <c r="AA47" s="164">
        <v>83</v>
      </c>
      <c r="AB47" s="164">
        <v>56</v>
      </c>
      <c r="AC47" s="165">
        <v>139</v>
      </c>
    </row>
    <row r="48" spans="1:29">
      <c r="A48" s="162">
        <v>44</v>
      </c>
      <c r="B48" s="163" t="s">
        <v>760</v>
      </c>
      <c r="C48" s="164">
        <v>13</v>
      </c>
      <c r="D48" s="164">
        <v>22</v>
      </c>
      <c r="E48" s="164">
        <v>35</v>
      </c>
      <c r="F48" s="164">
        <v>3</v>
      </c>
      <c r="G48" s="164">
        <v>1</v>
      </c>
      <c r="H48" s="164">
        <v>4</v>
      </c>
      <c r="I48" s="164">
        <v>26</v>
      </c>
      <c r="J48" s="164">
        <v>37</v>
      </c>
      <c r="K48" s="164">
        <v>63</v>
      </c>
      <c r="L48" s="164">
        <v>21</v>
      </c>
      <c r="M48" s="164">
        <v>11</v>
      </c>
      <c r="N48" s="164">
        <v>32</v>
      </c>
      <c r="O48" s="164"/>
      <c r="P48" s="164"/>
      <c r="Q48" s="164"/>
      <c r="R48" s="164"/>
      <c r="S48" s="164"/>
      <c r="T48" s="164"/>
      <c r="U48" s="164"/>
      <c r="V48" s="164"/>
      <c r="W48" s="164"/>
      <c r="X48" s="164"/>
      <c r="Y48" s="164"/>
      <c r="Z48" s="164"/>
      <c r="AA48" s="164">
        <v>63</v>
      </c>
      <c r="AB48" s="164">
        <v>71</v>
      </c>
      <c r="AC48" s="165">
        <v>134</v>
      </c>
    </row>
    <row r="49" spans="1:29" ht="28">
      <c r="A49" s="162">
        <v>45</v>
      </c>
      <c r="B49" s="163" t="s">
        <v>767</v>
      </c>
      <c r="C49" s="164"/>
      <c r="D49" s="164"/>
      <c r="E49" s="164"/>
      <c r="F49" s="164"/>
      <c r="G49" s="164"/>
      <c r="H49" s="164"/>
      <c r="I49" s="164">
        <v>14</v>
      </c>
      <c r="J49" s="164">
        <v>2</v>
      </c>
      <c r="K49" s="164">
        <v>16</v>
      </c>
      <c r="L49" s="164">
        <v>78</v>
      </c>
      <c r="M49" s="164">
        <v>34</v>
      </c>
      <c r="N49" s="164">
        <v>112</v>
      </c>
      <c r="O49" s="164">
        <v>1</v>
      </c>
      <c r="P49" s="164">
        <v>0</v>
      </c>
      <c r="Q49" s="164">
        <v>1</v>
      </c>
      <c r="R49" s="164">
        <v>2</v>
      </c>
      <c r="S49" s="164">
        <v>0</v>
      </c>
      <c r="T49" s="164">
        <v>2</v>
      </c>
      <c r="U49" s="164"/>
      <c r="V49" s="164"/>
      <c r="W49" s="164"/>
      <c r="X49" s="164">
        <v>1</v>
      </c>
      <c r="Y49" s="164">
        <v>0</v>
      </c>
      <c r="Z49" s="164">
        <v>1</v>
      </c>
      <c r="AA49" s="164">
        <v>96</v>
      </c>
      <c r="AB49" s="164">
        <v>36</v>
      </c>
      <c r="AC49" s="165">
        <v>132</v>
      </c>
    </row>
    <row r="50" spans="1:29">
      <c r="A50" s="162">
        <v>46</v>
      </c>
      <c r="B50" s="163" t="s">
        <v>772</v>
      </c>
      <c r="C50" s="164">
        <v>1</v>
      </c>
      <c r="D50" s="164">
        <v>1</v>
      </c>
      <c r="E50" s="164">
        <v>2</v>
      </c>
      <c r="F50" s="164"/>
      <c r="G50" s="164"/>
      <c r="H50" s="164"/>
      <c r="I50" s="164">
        <v>16</v>
      </c>
      <c r="J50" s="164">
        <v>17</v>
      </c>
      <c r="K50" s="164">
        <v>33</v>
      </c>
      <c r="L50" s="164">
        <v>42</v>
      </c>
      <c r="M50" s="164">
        <v>43</v>
      </c>
      <c r="N50" s="164">
        <v>85</v>
      </c>
      <c r="O50" s="164"/>
      <c r="P50" s="164"/>
      <c r="Q50" s="164"/>
      <c r="R50" s="164"/>
      <c r="S50" s="164"/>
      <c r="T50" s="164"/>
      <c r="U50" s="164"/>
      <c r="V50" s="164"/>
      <c r="W50" s="164"/>
      <c r="X50" s="164">
        <v>2</v>
      </c>
      <c r="Y50" s="164">
        <v>4</v>
      </c>
      <c r="Z50" s="164">
        <v>6</v>
      </c>
      <c r="AA50" s="164">
        <v>61</v>
      </c>
      <c r="AB50" s="164">
        <v>65</v>
      </c>
      <c r="AC50" s="165">
        <v>126</v>
      </c>
    </row>
    <row r="51" spans="1:29">
      <c r="A51" s="162">
        <v>47</v>
      </c>
      <c r="B51" s="163" t="s">
        <v>755</v>
      </c>
      <c r="C51" s="164">
        <v>5</v>
      </c>
      <c r="D51" s="164">
        <v>2</v>
      </c>
      <c r="E51" s="164">
        <v>7</v>
      </c>
      <c r="F51" s="164">
        <v>1</v>
      </c>
      <c r="G51" s="164">
        <v>0</v>
      </c>
      <c r="H51" s="164">
        <v>1</v>
      </c>
      <c r="I51" s="164">
        <v>6</v>
      </c>
      <c r="J51" s="164">
        <v>3</v>
      </c>
      <c r="K51" s="164">
        <v>9</v>
      </c>
      <c r="L51" s="164">
        <v>47</v>
      </c>
      <c r="M51" s="164">
        <v>46</v>
      </c>
      <c r="N51" s="164">
        <v>93</v>
      </c>
      <c r="O51" s="164"/>
      <c r="P51" s="164"/>
      <c r="Q51" s="164"/>
      <c r="R51" s="164">
        <v>0</v>
      </c>
      <c r="S51" s="164">
        <v>4</v>
      </c>
      <c r="T51" s="164">
        <v>4</v>
      </c>
      <c r="U51" s="164">
        <v>1</v>
      </c>
      <c r="V51" s="164">
        <v>5</v>
      </c>
      <c r="W51" s="164">
        <v>6</v>
      </c>
      <c r="X51" s="164">
        <v>3</v>
      </c>
      <c r="Y51" s="164">
        <v>0</v>
      </c>
      <c r="Z51" s="164">
        <v>3</v>
      </c>
      <c r="AA51" s="164">
        <v>63</v>
      </c>
      <c r="AB51" s="164">
        <v>60</v>
      </c>
      <c r="AC51" s="165">
        <v>123</v>
      </c>
    </row>
    <row r="52" spans="1:29">
      <c r="A52" s="162">
        <v>48</v>
      </c>
      <c r="B52" s="163" t="s">
        <v>766</v>
      </c>
      <c r="C52" s="164"/>
      <c r="D52" s="164"/>
      <c r="E52" s="164"/>
      <c r="F52" s="164"/>
      <c r="G52" s="164"/>
      <c r="H52" s="164"/>
      <c r="I52" s="164">
        <v>16</v>
      </c>
      <c r="J52" s="164">
        <v>7</v>
      </c>
      <c r="K52" s="164">
        <v>23</v>
      </c>
      <c r="L52" s="164">
        <v>67</v>
      </c>
      <c r="M52" s="164">
        <v>28</v>
      </c>
      <c r="N52" s="164">
        <v>95</v>
      </c>
      <c r="O52" s="164"/>
      <c r="P52" s="164"/>
      <c r="Q52" s="164"/>
      <c r="R52" s="164"/>
      <c r="S52" s="164"/>
      <c r="T52" s="164"/>
      <c r="U52" s="164"/>
      <c r="V52" s="164"/>
      <c r="W52" s="164"/>
      <c r="X52" s="164"/>
      <c r="Y52" s="164"/>
      <c r="Z52" s="164"/>
      <c r="AA52" s="164">
        <v>83</v>
      </c>
      <c r="AB52" s="164">
        <v>35</v>
      </c>
      <c r="AC52" s="165">
        <v>118</v>
      </c>
    </row>
    <row r="53" spans="1:29">
      <c r="A53" s="162">
        <v>49</v>
      </c>
      <c r="B53" s="163" t="s">
        <v>980</v>
      </c>
      <c r="C53" s="164"/>
      <c r="D53" s="164"/>
      <c r="E53" s="164"/>
      <c r="F53" s="164"/>
      <c r="G53" s="164"/>
      <c r="H53" s="164"/>
      <c r="I53" s="164"/>
      <c r="J53" s="164"/>
      <c r="K53" s="164"/>
      <c r="L53" s="164">
        <v>62</v>
      </c>
      <c r="M53" s="164">
        <v>49</v>
      </c>
      <c r="N53" s="164">
        <v>111</v>
      </c>
      <c r="O53" s="164"/>
      <c r="P53" s="164"/>
      <c r="Q53" s="164"/>
      <c r="R53" s="164"/>
      <c r="S53" s="164"/>
      <c r="T53" s="164"/>
      <c r="U53" s="164"/>
      <c r="V53" s="164"/>
      <c r="W53" s="164"/>
      <c r="X53" s="164"/>
      <c r="Y53" s="164"/>
      <c r="Z53" s="164"/>
      <c r="AA53" s="164">
        <v>62</v>
      </c>
      <c r="AB53" s="164">
        <v>49</v>
      </c>
      <c r="AC53" s="165">
        <v>111</v>
      </c>
    </row>
    <row r="54" spans="1:29">
      <c r="A54" s="162">
        <v>50</v>
      </c>
      <c r="B54" s="163" t="s">
        <v>770</v>
      </c>
      <c r="C54" s="164">
        <v>1</v>
      </c>
      <c r="D54" s="164">
        <v>0</v>
      </c>
      <c r="E54" s="164">
        <v>1</v>
      </c>
      <c r="F54" s="164"/>
      <c r="G54" s="164"/>
      <c r="H54" s="164"/>
      <c r="I54" s="164">
        <v>10</v>
      </c>
      <c r="J54" s="164">
        <v>0</v>
      </c>
      <c r="K54" s="164">
        <v>10</v>
      </c>
      <c r="L54" s="164">
        <v>63</v>
      </c>
      <c r="M54" s="164">
        <v>33</v>
      </c>
      <c r="N54" s="164">
        <v>96</v>
      </c>
      <c r="O54" s="164"/>
      <c r="P54" s="164"/>
      <c r="Q54" s="164"/>
      <c r="R54" s="164"/>
      <c r="S54" s="164"/>
      <c r="T54" s="164"/>
      <c r="U54" s="164"/>
      <c r="V54" s="164"/>
      <c r="W54" s="164"/>
      <c r="X54" s="164"/>
      <c r="Y54" s="164"/>
      <c r="Z54" s="164"/>
      <c r="AA54" s="164">
        <v>74</v>
      </c>
      <c r="AB54" s="164">
        <v>33</v>
      </c>
      <c r="AC54" s="165">
        <v>107</v>
      </c>
    </row>
    <row r="55" spans="1:29" ht="31.5" customHeight="1">
      <c r="A55" s="162">
        <v>51</v>
      </c>
      <c r="B55" s="163" t="s">
        <v>763</v>
      </c>
      <c r="C55" s="164">
        <v>3</v>
      </c>
      <c r="D55" s="164">
        <v>0</v>
      </c>
      <c r="E55" s="164">
        <v>3</v>
      </c>
      <c r="F55" s="164"/>
      <c r="G55" s="164"/>
      <c r="H55" s="164"/>
      <c r="I55" s="164">
        <v>20</v>
      </c>
      <c r="J55" s="164">
        <v>11</v>
      </c>
      <c r="K55" s="164">
        <v>31</v>
      </c>
      <c r="L55" s="164">
        <v>49</v>
      </c>
      <c r="M55" s="164">
        <v>20</v>
      </c>
      <c r="N55" s="164">
        <v>69</v>
      </c>
      <c r="O55" s="164"/>
      <c r="P55" s="164"/>
      <c r="Q55" s="164"/>
      <c r="R55" s="164">
        <v>1</v>
      </c>
      <c r="S55" s="164">
        <v>0</v>
      </c>
      <c r="T55" s="164">
        <v>1</v>
      </c>
      <c r="U55" s="164"/>
      <c r="V55" s="164"/>
      <c r="W55" s="164"/>
      <c r="X55" s="164"/>
      <c r="Y55" s="164"/>
      <c r="Z55" s="164"/>
      <c r="AA55" s="164">
        <v>73</v>
      </c>
      <c r="AB55" s="164">
        <v>31</v>
      </c>
      <c r="AC55" s="165">
        <v>104</v>
      </c>
    </row>
    <row r="56" spans="1:29">
      <c r="A56" s="162">
        <v>52</v>
      </c>
      <c r="B56" s="163" t="s">
        <v>756</v>
      </c>
      <c r="C56" s="164">
        <v>1</v>
      </c>
      <c r="D56" s="164">
        <v>0</v>
      </c>
      <c r="E56" s="164">
        <v>1</v>
      </c>
      <c r="F56" s="164"/>
      <c r="G56" s="164"/>
      <c r="H56" s="164"/>
      <c r="I56" s="164">
        <v>7</v>
      </c>
      <c r="J56" s="164">
        <v>6</v>
      </c>
      <c r="K56" s="164">
        <v>13</v>
      </c>
      <c r="L56" s="164">
        <v>50</v>
      </c>
      <c r="M56" s="164">
        <v>23</v>
      </c>
      <c r="N56" s="164">
        <v>73</v>
      </c>
      <c r="O56" s="164">
        <v>1</v>
      </c>
      <c r="P56" s="164">
        <v>0</v>
      </c>
      <c r="Q56" s="164">
        <v>1</v>
      </c>
      <c r="R56" s="164">
        <v>0</v>
      </c>
      <c r="S56" s="164">
        <v>1</v>
      </c>
      <c r="T56" s="164">
        <v>1</v>
      </c>
      <c r="U56" s="164"/>
      <c r="V56" s="164"/>
      <c r="W56" s="164"/>
      <c r="X56" s="164">
        <v>1</v>
      </c>
      <c r="Y56" s="164">
        <v>0</v>
      </c>
      <c r="Z56" s="164">
        <v>1</v>
      </c>
      <c r="AA56" s="164">
        <v>60</v>
      </c>
      <c r="AB56" s="164">
        <v>30</v>
      </c>
      <c r="AC56" s="165">
        <v>90</v>
      </c>
    </row>
    <row r="57" spans="1:29">
      <c r="A57" s="162">
        <v>53</v>
      </c>
      <c r="B57" s="163" t="s">
        <v>768</v>
      </c>
      <c r="C57" s="164">
        <v>2</v>
      </c>
      <c r="D57" s="164">
        <v>2</v>
      </c>
      <c r="E57" s="164">
        <v>4</v>
      </c>
      <c r="F57" s="164"/>
      <c r="G57" s="164"/>
      <c r="H57" s="164"/>
      <c r="I57" s="164">
        <v>8</v>
      </c>
      <c r="J57" s="164">
        <v>5</v>
      </c>
      <c r="K57" s="164">
        <v>13</v>
      </c>
      <c r="L57" s="164">
        <v>29</v>
      </c>
      <c r="M57" s="164">
        <v>33</v>
      </c>
      <c r="N57" s="164">
        <v>62</v>
      </c>
      <c r="O57" s="164"/>
      <c r="P57" s="164"/>
      <c r="Q57" s="164"/>
      <c r="R57" s="164"/>
      <c r="S57" s="164"/>
      <c r="T57" s="164"/>
      <c r="U57" s="164">
        <v>4</v>
      </c>
      <c r="V57" s="164">
        <v>3</v>
      </c>
      <c r="W57" s="164">
        <v>7</v>
      </c>
      <c r="X57" s="164">
        <v>1</v>
      </c>
      <c r="Y57" s="164">
        <v>3</v>
      </c>
      <c r="Z57" s="164">
        <v>4</v>
      </c>
      <c r="AA57" s="164">
        <v>44</v>
      </c>
      <c r="AB57" s="164">
        <v>46</v>
      </c>
      <c r="AC57" s="165">
        <v>90</v>
      </c>
    </row>
    <row r="58" spans="1:29">
      <c r="A58" s="162">
        <v>54</v>
      </c>
      <c r="B58" s="163" t="s">
        <v>788</v>
      </c>
      <c r="C58" s="164">
        <v>1</v>
      </c>
      <c r="D58" s="164">
        <v>0</v>
      </c>
      <c r="E58" s="164">
        <v>1</v>
      </c>
      <c r="F58" s="164"/>
      <c r="G58" s="164"/>
      <c r="H58" s="164"/>
      <c r="I58" s="164">
        <v>7</v>
      </c>
      <c r="J58" s="164">
        <v>0</v>
      </c>
      <c r="K58" s="164">
        <v>7</v>
      </c>
      <c r="L58" s="164">
        <v>62</v>
      </c>
      <c r="M58" s="164">
        <v>14</v>
      </c>
      <c r="N58" s="164">
        <v>76</v>
      </c>
      <c r="O58" s="164"/>
      <c r="P58" s="164"/>
      <c r="Q58" s="164"/>
      <c r="R58" s="164"/>
      <c r="S58" s="164"/>
      <c r="T58" s="164"/>
      <c r="U58" s="164"/>
      <c r="V58" s="164"/>
      <c r="W58" s="164"/>
      <c r="X58" s="164"/>
      <c r="Y58" s="164"/>
      <c r="Z58" s="164"/>
      <c r="AA58" s="164">
        <v>70</v>
      </c>
      <c r="AB58" s="164">
        <v>14</v>
      </c>
      <c r="AC58" s="165">
        <v>84</v>
      </c>
    </row>
    <row r="59" spans="1:29">
      <c r="A59" s="162">
        <v>55</v>
      </c>
      <c r="B59" s="163" t="s">
        <v>769</v>
      </c>
      <c r="C59" s="164">
        <v>2</v>
      </c>
      <c r="D59" s="164">
        <v>2</v>
      </c>
      <c r="E59" s="164">
        <v>4</v>
      </c>
      <c r="F59" s="164"/>
      <c r="G59" s="164"/>
      <c r="H59" s="164"/>
      <c r="I59" s="164">
        <v>18</v>
      </c>
      <c r="J59" s="164">
        <v>16</v>
      </c>
      <c r="K59" s="164">
        <v>34</v>
      </c>
      <c r="L59" s="164">
        <v>23</v>
      </c>
      <c r="M59" s="164">
        <v>23</v>
      </c>
      <c r="N59" s="164">
        <v>46</v>
      </c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>
        <v>43</v>
      </c>
      <c r="AB59" s="164">
        <v>41</v>
      </c>
      <c r="AC59" s="165">
        <v>84</v>
      </c>
    </row>
    <row r="60" spans="1:29">
      <c r="A60" s="162">
        <v>56</v>
      </c>
      <c r="B60" s="163" t="s">
        <v>762</v>
      </c>
      <c r="C60" s="164">
        <v>5</v>
      </c>
      <c r="D60" s="164">
        <v>6</v>
      </c>
      <c r="E60" s="164">
        <v>11</v>
      </c>
      <c r="F60" s="164"/>
      <c r="G60" s="164"/>
      <c r="H60" s="164"/>
      <c r="I60" s="164">
        <v>22</v>
      </c>
      <c r="J60" s="164">
        <v>16</v>
      </c>
      <c r="K60" s="164">
        <v>38</v>
      </c>
      <c r="L60" s="164">
        <v>20</v>
      </c>
      <c r="M60" s="164">
        <v>11</v>
      </c>
      <c r="N60" s="164">
        <v>31</v>
      </c>
      <c r="O60" s="164"/>
      <c r="P60" s="164"/>
      <c r="Q60" s="164"/>
      <c r="R60" s="164">
        <v>1</v>
      </c>
      <c r="S60" s="164">
        <v>1</v>
      </c>
      <c r="T60" s="164">
        <v>2</v>
      </c>
      <c r="U60" s="164"/>
      <c r="V60" s="164"/>
      <c r="W60" s="164"/>
      <c r="X60" s="164">
        <v>1</v>
      </c>
      <c r="Y60" s="164">
        <v>0</v>
      </c>
      <c r="Z60" s="164">
        <v>1</v>
      </c>
      <c r="AA60" s="164">
        <v>49</v>
      </c>
      <c r="AB60" s="164">
        <v>34</v>
      </c>
      <c r="AC60" s="165">
        <v>83</v>
      </c>
    </row>
    <row r="61" spans="1:29">
      <c r="A61" s="162">
        <v>57</v>
      </c>
      <c r="B61" s="163" t="s">
        <v>779</v>
      </c>
      <c r="C61" s="164"/>
      <c r="D61" s="164"/>
      <c r="E61" s="164"/>
      <c r="F61" s="164"/>
      <c r="G61" s="164"/>
      <c r="H61" s="164"/>
      <c r="I61" s="164">
        <v>23</v>
      </c>
      <c r="J61" s="164">
        <v>6</v>
      </c>
      <c r="K61" s="164">
        <v>29</v>
      </c>
      <c r="L61" s="164">
        <v>42</v>
      </c>
      <c r="M61" s="164">
        <v>12</v>
      </c>
      <c r="N61" s="164">
        <v>54</v>
      </c>
      <c r="O61" s="164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>
        <v>65</v>
      </c>
      <c r="AB61" s="164">
        <v>18</v>
      </c>
      <c r="AC61" s="165">
        <v>83</v>
      </c>
    </row>
    <row r="62" spans="1:29">
      <c r="A62" s="162">
        <v>58</v>
      </c>
      <c r="B62" s="163" t="s">
        <v>764</v>
      </c>
      <c r="C62" s="164">
        <v>7</v>
      </c>
      <c r="D62" s="164">
        <v>4</v>
      </c>
      <c r="E62" s="164">
        <v>11</v>
      </c>
      <c r="F62" s="164"/>
      <c r="G62" s="164"/>
      <c r="H62" s="164"/>
      <c r="I62" s="164">
        <v>13</v>
      </c>
      <c r="J62" s="164">
        <v>6</v>
      </c>
      <c r="K62" s="164">
        <v>19</v>
      </c>
      <c r="L62" s="164">
        <v>34</v>
      </c>
      <c r="M62" s="164">
        <v>11</v>
      </c>
      <c r="N62" s="164">
        <v>45</v>
      </c>
      <c r="O62" s="164"/>
      <c r="P62" s="164"/>
      <c r="Q62" s="164"/>
      <c r="R62" s="164"/>
      <c r="S62" s="164"/>
      <c r="T62" s="164"/>
      <c r="U62" s="164"/>
      <c r="V62" s="164"/>
      <c r="W62" s="164"/>
      <c r="X62" s="164"/>
      <c r="Y62" s="164"/>
      <c r="Z62" s="164"/>
      <c r="AA62" s="164">
        <v>54</v>
      </c>
      <c r="AB62" s="164">
        <v>21</v>
      </c>
      <c r="AC62" s="165">
        <v>75</v>
      </c>
    </row>
    <row r="63" spans="1:29">
      <c r="A63" s="162">
        <v>59</v>
      </c>
      <c r="B63" s="163" t="s">
        <v>758</v>
      </c>
      <c r="C63" s="164"/>
      <c r="D63" s="164"/>
      <c r="E63" s="164"/>
      <c r="F63" s="164"/>
      <c r="G63" s="164"/>
      <c r="H63" s="164"/>
      <c r="I63" s="164">
        <v>3</v>
      </c>
      <c r="J63" s="164">
        <v>12</v>
      </c>
      <c r="K63" s="164">
        <v>15</v>
      </c>
      <c r="L63" s="164">
        <v>23</v>
      </c>
      <c r="M63" s="164">
        <v>34</v>
      </c>
      <c r="N63" s="164">
        <v>57</v>
      </c>
      <c r="O63" s="164"/>
      <c r="P63" s="164"/>
      <c r="Q63" s="164"/>
      <c r="R63" s="164">
        <v>1</v>
      </c>
      <c r="S63" s="164">
        <v>0</v>
      </c>
      <c r="T63" s="164">
        <v>1</v>
      </c>
      <c r="U63" s="164"/>
      <c r="V63" s="164"/>
      <c r="W63" s="164"/>
      <c r="X63" s="164"/>
      <c r="Y63" s="164"/>
      <c r="Z63" s="164"/>
      <c r="AA63" s="164">
        <v>27</v>
      </c>
      <c r="AB63" s="164">
        <v>46</v>
      </c>
      <c r="AC63" s="165">
        <v>73</v>
      </c>
    </row>
    <row r="64" spans="1:29" ht="15.75" customHeight="1">
      <c r="A64" s="162">
        <v>60</v>
      </c>
      <c r="B64" s="163" t="s">
        <v>773</v>
      </c>
      <c r="C64" s="164">
        <v>32</v>
      </c>
      <c r="D64" s="164">
        <v>2</v>
      </c>
      <c r="E64" s="164">
        <v>34</v>
      </c>
      <c r="F64" s="164"/>
      <c r="G64" s="164"/>
      <c r="H64" s="164"/>
      <c r="I64" s="164">
        <v>19</v>
      </c>
      <c r="J64" s="164">
        <v>2</v>
      </c>
      <c r="K64" s="164">
        <v>21</v>
      </c>
      <c r="L64" s="164">
        <v>13</v>
      </c>
      <c r="M64" s="164">
        <v>3</v>
      </c>
      <c r="N64" s="164">
        <v>16</v>
      </c>
      <c r="O64" s="164"/>
      <c r="P64" s="164"/>
      <c r="Q64" s="164"/>
      <c r="R64" s="164"/>
      <c r="S64" s="164"/>
      <c r="T64" s="164"/>
      <c r="U64" s="164"/>
      <c r="V64" s="164"/>
      <c r="W64" s="164"/>
      <c r="X64" s="164"/>
      <c r="Y64" s="164"/>
      <c r="Z64" s="164"/>
      <c r="AA64" s="164">
        <v>64</v>
      </c>
      <c r="AB64" s="164">
        <v>7</v>
      </c>
      <c r="AC64" s="165">
        <v>71</v>
      </c>
    </row>
    <row r="65" spans="1:29">
      <c r="A65" s="162">
        <v>61</v>
      </c>
      <c r="B65" s="163" t="s">
        <v>771</v>
      </c>
      <c r="C65" s="164">
        <v>1</v>
      </c>
      <c r="D65" s="164">
        <v>2</v>
      </c>
      <c r="E65" s="164">
        <v>3</v>
      </c>
      <c r="F65" s="164"/>
      <c r="G65" s="164"/>
      <c r="H65" s="164"/>
      <c r="I65" s="164">
        <v>12</v>
      </c>
      <c r="J65" s="164">
        <v>14</v>
      </c>
      <c r="K65" s="164">
        <v>26</v>
      </c>
      <c r="L65" s="164">
        <v>18</v>
      </c>
      <c r="M65" s="164">
        <v>19</v>
      </c>
      <c r="N65" s="164">
        <v>37</v>
      </c>
      <c r="O65" s="164"/>
      <c r="P65" s="164"/>
      <c r="Q65" s="164"/>
      <c r="R65" s="164">
        <v>1</v>
      </c>
      <c r="S65" s="164">
        <v>1</v>
      </c>
      <c r="T65" s="164">
        <v>2</v>
      </c>
      <c r="U65" s="164"/>
      <c r="V65" s="164"/>
      <c r="W65" s="164"/>
      <c r="X65" s="164">
        <v>1</v>
      </c>
      <c r="Y65" s="164">
        <v>0</v>
      </c>
      <c r="Z65" s="164">
        <v>1</v>
      </c>
      <c r="AA65" s="164">
        <v>33</v>
      </c>
      <c r="AB65" s="164">
        <v>36</v>
      </c>
      <c r="AC65" s="165">
        <v>69</v>
      </c>
    </row>
    <row r="66" spans="1:29">
      <c r="A66" s="162">
        <v>62</v>
      </c>
      <c r="B66" s="163" t="s">
        <v>774</v>
      </c>
      <c r="C66" s="164"/>
      <c r="D66" s="164"/>
      <c r="E66" s="164"/>
      <c r="F66" s="164"/>
      <c r="G66" s="164"/>
      <c r="H66" s="164"/>
      <c r="I66" s="164">
        <v>10</v>
      </c>
      <c r="J66" s="164">
        <v>1</v>
      </c>
      <c r="K66" s="164">
        <v>11</v>
      </c>
      <c r="L66" s="164">
        <v>40</v>
      </c>
      <c r="M66" s="164">
        <v>6</v>
      </c>
      <c r="N66" s="164">
        <v>46</v>
      </c>
      <c r="O66" s="164"/>
      <c r="P66" s="164"/>
      <c r="Q66" s="164"/>
      <c r="R66" s="164"/>
      <c r="S66" s="164"/>
      <c r="T66" s="164"/>
      <c r="U66" s="164"/>
      <c r="V66" s="164"/>
      <c r="W66" s="164"/>
      <c r="X66" s="164">
        <v>9</v>
      </c>
      <c r="Y66" s="164">
        <v>0</v>
      </c>
      <c r="Z66" s="164">
        <v>9</v>
      </c>
      <c r="AA66" s="164">
        <v>59</v>
      </c>
      <c r="AB66" s="164">
        <v>7</v>
      </c>
      <c r="AC66" s="165">
        <v>66</v>
      </c>
    </row>
    <row r="67" spans="1:29" ht="28">
      <c r="A67" s="162">
        <v>63</v>
      </c>
      <c r="B67" s="163" t="s">
        <v>781</v>
      </c>
      <c r="C67" s="164">
        <v>5</v>
      </c>
      <c r="D67" s="164">
        <v>2</v>
      </c>
      <c r="E67" s="164">
        <v>7</v>
      </c>
      <c r="F67" s="164"/>
      <c r="G67" s="164"/>
      <c r="H67" s="164"/>
      <c r="I67" s="164">
        <v>28</v>
      </c>
      <c r="J67" s="164">
        <v>6</v>
      </c>
      <c r="K67" s="164">
        <v>34</v>
      </c>
      <c r="L67" s="164">
        <v>19</v>
      </c>
      <c r="M67" s="164">
        <v>1</v>
      </c>
      <c r="N67" s="164">
        <v>20</v>
      </c>
      <c r="O67" s="164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>
        <v>52</v>
      </c>
      <c r="AB67" s="164">
        <v>9</v>
      </c>
      <c r="AC67" s="165">
        <v>61</v>
      </c>
    </row>
    <row r="68" spans="1:29">
      <c r="A68" s="162">
        <v>64</v>
      </c>
      <c r="B68" s="163" t="s">
        <v>777</v>
      </c>
      <c r="C68" s="164">
        <v>0</v>
      </c>
      <c r="D68" s="164">
        <v>1</v>
      </c>
      <c r="E68" s="164">
        <v>1</v>
      </c>
      <c r="F68" s="164"/>
      <c r="G68" s="164"/>
      <c r="H68" s="164"/>
      <c r="I68" s="164">
        <v>17</v>
      </c>
      <c r="J68" s="164">
        <v>10</v>
      </c>
      <c r="K68" s="164">
        <v>27</v>
      </c>
      <c r="L68" s="164">
        <v>16</v>
      </c>
      <c r="M68" s="164">
        <v>13</v>
      </c>
      <c r="N68" s="164">
        <v>29</v>
      </c>
      <c r="O68" s="164"/>
      <c r="P68" s="164"/>
      <c r="Q68" s="164"/>
      <c r="R68" s="164">
        <v>1</v>
      </c>
      <c r="S68" s="164">
        <v>0</v>
      </c>
      <c r="T68" s="164">
        <v>1</v>
      </c>
      <c r="U68" s="164"/>
      <c r="V68" s="164"/>
      <c r="W68" s="164"/>
      <c r="X68" s="164"/>
      <c r="Y68" s="164"/>
      <c r="Z68" s="164"/>
      <c r="AA68" s="164">
        <v>34</v>
      </c>
      <c r="AB68" s="164">
        <v>24</v>
      </c>
      <c r="AC68" s="165">
        <v>58</v>
      </c>
    </row>
    <row r="69" spans="1:29">
      <c r="A69" s="162">
        <v>65</v>
      </c>
      <c r="B69" s="163" t="s">
        <v>780</v>
      </c>
      <c r="C69" s="164"/>
      <c r="D69" s="164"/>
      <c r="E69" s="164"/>
      <c r="F69" s="164"/>
      <c r="G69" s="164"/>
      <c r="H69" s="164"/>
      <c r="I69" s="164">
        <v>13</v>
      </c>
      <c r="J69" s="164">
        <v>8</v>
      </c>
      <c r="K69" s="164">
        <v>21</v>
      </c>
      <c r="L69" s="164">
        <v>26</v>
      </c>
      <c r="M69" s="164">
        <v>11</v>
      </c>
      <c r="N69" s="164">
        <v>37</v>
      </c>
      <c r="O69" s="164"/>
      <c r="P69" s="164"/>
      <c r="Q69" s="164"/>
      <c r="R69" s="164"/>
      <c r="S69" s="164"/>
      <c r="T69" s="164"/>
      <c r="U69" s="164"/>
      <c r="V69" s="164"/>
      <c r="W69" s="164"/>
      <c r="X69" s="164"/>
      <c r="Y69" s="164"/>
      <c r="Z69" s="164"/>
      <c r="AA69" s="164">
        <v>39</v>
      </c>
      <c r="AB69" s="164">
        <v>19</v>
      </c>
      <c r="AC69" s="165">
        <v>58</v>
      </c>
    </row>
    <row r="70" spans="1:29">
      <c r="A70" s="162">
        <v>66</v>
      </c>
      <c r="B70" s="163" t="s">
        <v>784</v>
      </c>
      <c r="C70" s="164">
        <v>1</v>
      </c>
      <c r="D70" s="164">
        <v>0</v>
      </c>
      <c r="E70" s="164">
        <v>1</v>
      </c>
      <c r="F70" s="164"/>
      <c r="G70" s="164"/>
      <c r="H70" s="164"/>
      <c r="I70" s="164">
        <v>13</v>
      </c>
      <c r="J70" s="164">
        <v>5</v>
      </c>
      <c r="K70" s="164">
        <v>18</v>
      </c>
      <c r="L70" s="164">
        <v>27</v>
      </c>
      <c r="M70" s="164">
        <v>8</v>
      </c>
      <c r="N70" s="164">
        <v>35</v>
      </c>
      <c r="O70" s="164"/>
      <c r="P70" s="164"/>
      <c r="Q70" s="164"/>
      <c r="R70" s="164"/>
      <c r="S70" s="164"/>
      <c r="T70" s="164"/>
      <c r="U70" s="164"/>
      <c r="V70" s="164"/>
      <c r="W70" s="164"/>
      <c r="X70" s="164"/>
      <c r="Y70" s="164"/>
      <c r="Z70" s="164"/>
      <c r="AA70" s="164">
        <v>41</v>
      </c>
      <c r="AB70" s="164">
        <v>13</v>
      </c>
      <c r="AC70" s="165">
        <v>54</v>
      </c>
    </row>
    <row r="71" spans="1:29">
      <c r="A71" s="162">
        <v>67</v>
      </c>
      <c r="B71" s="163" t="s">
        <v>787</v>
      </c>
      <c r="C71" s="164"/>
      <c r="D71" s="164"/>
      <c r="E71" s="164"/>
      <c r="F71" s="164"/>
      <c r="G71" s="164"/>
      <c r="H71" s="164"/>
      <c r="I71" s="164">
        <v>7</v>
      </c>
      <c r="J71" s="164">
        <v>0</v>
      </c>
      <c r="K71" s="164">
        <v>7</v>
      </c>
      <c r="L71" s="164">
        <v>42</v>
      </c>
      <c r="M71" s="164">
        <v>1</v>
      </c>
      <c r="N71" s="164">
        <v>43</v>
      </c>
      <c r="O71" s="164"/>
      <c r="P71" s="164"/>
      <c r="Q71" s="164"/>
      <c r="R71" s="164"/>
      <c r="S71" s="164"/>
      <c r="T71" s="164"/>
      <c r="U71" s="164"/>
      <c r="V71" s="164"/>
      <c r="W71" s="164"/>
      <c r="X71" s="164">
        <v>0</v>
      </c>
      <c r="Y71" s="164">
        <v>1</v>
      </c>
      <c r="Z71" s="164">
        <v>1</v>
      </c>
      <c r="AA71" s="164">
        <v>49</v>
      </c>
      <c r="AB71" s="164">
        <v>2</v>
      </c>
      <c r="AC71" s="165">
        <v>51</v>
      </c>
    </row>
    <row r="72" spans="1:29">
      <c r="A72" s="162">
        <v>68</v>
      </c>
      <c r="B72" s="163" t="s">
        <v>796</v>
      </c>
      <c r="C72" s="164"/>
      <c r="D72" s="164"/>
      <c r="E72" s="164"/>
      <c r="F72" s="164"/>
      <c r="G72" s="164"/>
      <c r="H72" s="164"/>
      <c r="I72" s="164">
        <v>3</v>
      </c>
      <c r="J72" s="164">
        <v>2</v>
      </c>
      <c r="K72" s="164">
        <v>5</v>
      </c>
      <c r="L72" s="164">
        <v>38</v>
      </c>
      <c r="M72" s="164">
        <v>6</v>
      </c>
      <c r="N72" s="164">
        <v>44</v>
      </c>
      <c r="O72" s="164"/>
      <c r="P72" s="164"/>
      <c r="Q72" s="164"/>
      <c r="R72" s="164"/>
      <c r="S72" s="164"/>
      <c r="T72" s="164"/>
      <c r="U72" s="164"/>
      <c r="V72" s="164"/>
      <c r="W72" s="164"/>
      <c r="X72" s="164"/>
      <c r="Y72" s="164"/>
      <c r="Z72" s="164"/>
      <c r="AA72" s="164">
        <v>41</v>
      </c>
      <c r="AB72" s="164">
        <v>8</v>
      </c>
      <c r="AC72" s="165">
        <v>49</v>
      </c>
    </row>
    <row r="73" spans="1:29">
      <c r="A73" s="162">
        <v>69</v>
      </c>
      <c r="B73" s="163" t="s">
        <v>783</v>
      </c>
      <c r="C73" s="164"/>
      <c r="D73" s="164"/>
      <c r="E73" s="164"/>
      <c r="F73" s="164"/>
      <c r="G73" s="164"/>
      <c r="H73" s="164"/>
      <c r="I73" s="164">
        <v>9</v>
      </c>
      <c r="J73" s="164">
        <v>15</v>
      </c>
      <c r="K73" s="164">
        <v>24</v>
      </c>
      <c r="L73" s="164">
        <v>17</v>
      </c>
      <c r="M73" s="164">
        <v>6</v>
      </c>
      <c r="N73" s="164">
        <v>23</v>
      </c>
      <c r="O73" s="164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>
        <v>26</v>
      </c>
      <c r="AB73" s="164">
        <v>21</v>
      </c>
      <c r="AC73" s="165">
        <v>47</v>
      </c>
    </row>
    <row r="74" spans="1:29">
      <c r="A74" s="162">
        <v>70</v>
      </c>
      <c r="B74" s="163" t="s">
        <v>800</v>
      </c>
      <c r="C74" s="164"/>
      <c r="D74" s="164"/>
      <c r="E74" s="164"/>
      <c r="F74" s="164"/>
      <c r="G74" s="164"/>
      <c r="H74" s="164"/>
      <c r="I74" s="164">
        <v>0</v>
      </c>
      <c r="J74" s="164">
        <v>4</v>
      </c>
      <c r="K74" s="164">
        <v>4</v>
      </c>
      <c r="L74" s="164">
        <v>7</v>
      </c>
      <c r="M74" s="164">
        <v>31</v>
      </c>
      <c r="N74" s="164">
        <v>38</v>
      </c>
      <c r="O74" s="164"/>
      <c r="P74" s="164"/>
      <c r="Q74" s="164"/>
      <c r="R74" s="164">
        <v>3</v>
      </c>
      <c r="S74" s="164">
        <v>1</v>
      </c>
      <c r="T74" s="164">
        <v>4</v>
      </c>
      <c r="U74" s="164"/>
      <c r="V74" s="164"/>
      <c r="W74" s="164"/>
      <c r="X74" s="164"/>
      <c r="Y74" s="164"/>
      <c r="Z74" s="164"/>
      <c r="AA74" s="164">
        <v>10</v>
      </c>
      <c r="AB74" s="164">
        <v>36</v>
      </c>
      <c r="AC74" s="165">
        <v>46</v>
      </c>
    </row>
    <row r="75" spans="1:29">
      <c r="A75" s="162">
        <v>71</v>
      </c>
      <c r="B75" s="163" t="s">
        <v>802</v>
      </c>
      <c r="C75" s="164"/>
      <c r="D75" s="164"/>
      <c r="E75" s="164"/>
      <c r="F75" s="164"/>
      <c r="G75" s="164"/>
      <c r="H75" s="164"/>
      <c r="I75" s="164">
        <v>3</v>
      </c>
      <c r="J75" s="164">
        <v>8</v>
      </c>
      <c r="K75" s="164">
        <v>11</v>
      </c>
      <c r="L75" s="164">
        <v>17</v>
      </c>
      <c r="M75" s="164">
        <v>6</v>
      </c>
      <c r="N75" s="164">
        <v>23</v>
      </c>
      <c r="O75" s="164"/>
      <c r="P75" s="164"/>
      <c r="Q75" s="164"/>
      <c r="R75" s="164">
        <v>1</v>
      </c>
      <c r="S75" s="164">
        <v>1</v>
      </c>
      <c r="T75" s="164">
        <v>2</v>
      </c>
      <c r="U75" s="164"/>
      <c r="V75" s="164"/>
      <c r="W75" s="164"/>
      <c r="X75" s="164"/>
      <c r="Y75" s="164"/>
      <c r="Z75" s="164"/>
      <c r="AA75" s="164">
        <v>21</v>
      </c>
      <c r="AB75" s="164">
        <v>15</v>
      </c>
      <c r="AC75" s="165">
        <v>36</v>
      </c>
    </row>
    <row r="76" spans="1:29">
      <c r="A76" s="162">
        <v>72</v>
      </c>
      <c r="B76" s="163" t="s">
        <v>806</v>
      </c>
      <c r="C76" s="164">
        <v>2</v>
      </c>
      <c r="D76" s="164">
        <v>3</v>
      </c>
      <c r="E76" s="164">
        <v>5</v>
      </c>
      <c r="F76" s="164">
        <v>1</v>
      </c>
      <c r="G76" s="164">
        <v>0</v>
      </c>
      <c r="H76" s="164">
        <v>1</v>
      </c>
      <c r="I76" s="164">
        <v>9</v>
      </c>
      <c r="J76" s="164">
        <v>4</v>
      </c>
      <c r="K76" s="164">
        <v>13</v>
      </c>
      <c r="L76" s="164">
        <v>12</v>
      </c>
      <c r="M76" s="164">
        <v>3</v>
      </c>
      <c r="N76" s="164">
        <v>15</v>
      </c>
      <c r="O76" s="164"/>
      <c r="P76" s="164"/>
      <c r="Q76" s="164"/>
      <c r="R76" s="164"/>
      <c r="S76" s="164"/>
      <c r="T76" s="164"/>
      <c r="U76" s="164"/>
      <c r="V76" s="164"/>
      <c r="W76" s="164"/>
      <c r="X76" s="164"/>
      <c r="Y76" s="164"/>
      <c r="Z76" s="164"/>
      <c r="AA76" s="164">
        <v>24</v>
      </c>
      <c r="AB76" s="164">
        <v>10</v>
      </c>
      <c r="AC76" s="165">
        <v>34</v>
      </c>
    </row>
    <row r="77" spans="1:29" ht="28">
      <c r="A77" s="162">
        <v>73</v>
      </c>
      <c r="B77" s="163" t="s">
        <v>794</v>
      </c>
      <c r="C77" s="164"/>
      <c r="D77" s="164"/>
      <c r="E77" s="164"/>
      <c r="F77" s="164">
        <v>1</v>
      </c>
      <c r="G77" s="164">
        <v>0</v>
      </c>
      <c r="H77" s="164">
        <v>1</v>
      </c>
      <c r="I77" s="164">
        <v>5</v>
      </c>
      <c r="J77" s="164">
        <v>0</v>
      </c>
      <c r="K77" s="164">
        <v>5</v>
      </c>
      <c r="L77" s="164">
        <v>14</v>
      </c>
      <c r="M77" s="164">
        <v>13</v>
      </c>
      <c r="N77" s="164">
        <v>27</v>
      </c>
      <c r="O77" s="164"/>
      <c r="P77" s="164"/>
      <c r="Q77" s="164"/>
      <c r="R77" s="164"/>
      <c r="S77" s="164"/>
      <c r="T77" s="164"/>
      <c r="U77" s="164"/>
      <c r="V77" s="164"/>
      <c r="W77" s="164"/>
      <c r="X77" s="164"/>
      <c r="Y77" s="164"/>
      <c r="Z77" s="164"/>
      <c r="AA77" s="164">
        <v>20</v>
      </c>
      <c r="AB77" s="164">
        <v>13</v>
      </c>
      <c r="AC77" s="165">
        <v>33</v>
      </c>
    </row>
    <row r="78" spans="1:29">
      <c r="A78" s="162">
        <v>74</v>
      </c>
      <c r="B78" s="163" t="s">
        <v>799</v>
      </c>
      <c r="C78" s="164">
        <v>4</v>
      </c>
      <c r="D78" s="164">
        <v>0</v>
      </c>
      <c r="E78" s="164">
        <v>4</v>
      </c>
      <c r="F78" s="164"/>
      <c r="G78" s="164"/>
      <c r="H78" s="164"/>
      <c r="I78" s="164">
        <v>11</v>
      </c>
      <c r="J78" s="164">
        <v>5</v>
      </c>
      <c r="K78" s="164">
        <v>16</v>
      </c>
      <c r="L78" s="164">
        <v>11</v>
      </c>
      <c r="M78" s="164">
        <v>2</v>
      </c>
      <c r="N78" s="164">
        <v>13</v>
      </c>
      <c r="O78" s="164"/>
      <c r="P78" s="164"/>
      <c r="Q78" s="164"/>
      <c r="R78" s="164"/>
      <c r="S78" s="164"/>
      <c r="T78" s="164"/>
      <c r="U78" s="164"/>
      <c r="V78" s="164"/>
      <c r="W78" s="164"/>
      <c r="X78" s="164"/>
      <c r="Y78" s="164"/>
      <c r="Z78" s="164"/>
      <c r="AA78" s="164">
        <v>26</v>
      </c>
      <c r="AB78" s="164">
        <v>7</v>
      </c>
      <c r="AC78" s="165">
        <v>33</v>
      </c>
    </row>
    <row r="79" spans="1:29">
      <c r="A79" s="162">
        <v>75</v>
      </c>
      <c r="B79" s="163" t="s">
        <v>765</v>
      </c>
      <c r="C79" s="164">
        <v>2</v>
      </c>
      <c r="D79" s="164">
        <v>1</v>
      </c>
      <c r="E79" s="164">
        <v>3</v>
      </c>
      <c r="F79" s="164"/>
      <c r="G79" s="164"/>
      <c r="H79" s="164"/>
      <c r="I79" s="164">
        <v>2</v>
      </c>
      <c r="J79" s="164">
        <v>4</v>
      </c>
      <c r="K79" s="164">
        <v>6</v>
      </c>
      <c r="L79" s="164">
        <v>15</v>
      </c>
      <c r="M79" s="164">
        <v>8</v>
      </c>
      <c r="N79" s="164">
        <v>23</v>
      </c>
      <c r="O79" s="164"/>
      <c r="P79" s="164"/>
      <c r="Q79" s="164"/>
      <c r="R79" s="164">
        <v>0</v>
      </c>
      <c r="S79" s="164">
        <v>1</v>
      </c>
      <c r="T79" s="164">
        <v>1</v>
      </c>
      <c r="U79" s="164"/>
      <c r="V79" s="164"/>
      <c r="W79" s="164"/>
      <c r="X79" s="164"/>
      <c r="Y79" s="164"/>
      <c r="Z79" s="164"/>
      <c r="AA79" s="164">
        <v>19</v>
      </c>
      <c r="AB79" s="164">
        <v>14</v>
      </c>
      <c r="AC79" s="165">
        <v>33</v>
      </c>
    </row>
    <row r="80" spans="1:29">
      <c r="A80" s="162">
        <v>76</v>
      </c>
      <c r="B80" s="163" t="s">
        <v>792</v>
      </c>
      <c r="C80" s="164"/>
      <c r="D80" s="164"/>
      <c r="E80" s="164"/>
      <c r="F80" s="164"/>
      <c r="G80" s="164"/>
      <c r="H80" s="164"/>
      <c r="I80" s="164">
        <v>11</v>
      </c>
      <c r="J80" s="164">
        <v>9</v>
      </c>
      <c r="K80" s="164">
        <v>20</v>
      </c>
      <c r="L80" s="164">
        <v>8</v>
      </c>
      <c r="M80" s="164">
        <v>2</v>
      </c>
      <c r="N80" s="164">
        <v>10</v>
      </c>
      <c r="O80" s="164">
        <v>0</v>
      </c>
      <c r="P80" s="164">
        <v>1</v>
      </c>
      <c r="Q80" s="164">
        <v>1</v>
      </c>
      <c r="R80" s="164">
        <v>0</v>
      </c>
      <c r="S80" s="164">
        <v>1</v>
      </c>
      <c r="T80" s="164">
        <v>1</v>
      </c>
      <c r="U80" s="164"/>
      <c r="V80" s="164"/>
      <c r="W80" s="164"/>
      <c r="X80" s="164"/>
      <c r="Y80" s="164"/>
      <c r="Z80" s="164"/>
      <c r="AA80" s="164">
        <v>19</v>
      </c>
      <c r="AB80" s="164">
        <v>13</v>
      </c>
      <c r="AC80" s="165">
        <v>32</v>
      </c>
    </row>
    <row r="81" spans="1:29">
      <c r="A81" s="162">
        <v>77</v>
      </c>
      <c r="B81" s="163" t="s">
        <v>775</v>
      </c>
      <c r="C81" s="164">
        <v>2</v>
      </c>
      <c r="D81" s="164">
        <v>2</v>
      </c>
      <c r="E81" s="164">
        <v>4</v>
      </c>
      <c r="F81" s="164"/>
      <c r="G81" s="164"/>
      <c r="H81" s="164"/>
      <c r="I81" s="164">
        <v>6</v>
      </c>
      <c r="J81" s="164">
        <v>4</v>
      </c>
      <c r="K81" s="164">
        <v>10</v>
      </c>
      <c r="L81" s="164">
        <v>7</v>
      </c>
      <c r="M81" s="164">
        <v>11</v>
      </c>
      <c r="N81" s="164">
        <v>18</v>
      </c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>
        <v>15</v>
      </c>
      <c r="AB81" s="164">
        <v>17</v>
      </c>
      <c r="AC81" s="165">
        <v>32</v>
      </c>
    </row>
    <row r="82" spans="1:29" ht="29.25" customHeight="1">
      <c r="A82" s="162">
        <v>78</v>
      </c>
      <c r="B82" s="163" t="s">
        <v>807</v>
      </c>
      <c r="C82" s="164">
        <v>1</v>
      </c>
      <c r="D82" s="164">
        <v>1</v>
      </c>
      <c r="E82" s="164">
        <v>2</v>
      </c>
      <c r="F82" s="164">
        <v>0</v>
      </c>
      <c r="G82" s="164">
        <v>1</v>
      </c>
      <c r="H82" s="164">
        <v>1</v>
      </c>
      <c r="I82" s="164">
        <v>5</v>
      </c>
      <c r="J82" s="164">
        <v>4</v>
      </c>
      <c r="K82" s="164">
        <v>9</v>
      </c>
      <c r="L82" s="164">
        <v>12</v>
      </c>
      <c r="M82" s="164">
        <v>5</v>
      </c>
      <c r="N82" s="164">
        <v>17</v>
      </c>
      <c r="O82" s="164"/>
      <c r="P82" s="164"/>
      <c r="Q82" s="164"/>
      <c r="R82" s="164">
        <v>1</v>
      </c>
      <c r="S82" s="164">
        <v>2</v>
      </c>
      <c r="T82" s="164">
        <v>3</v>
      </c>
      <c r="U82" s="164"/>
      <c r="V82" s="164"/>
      <c r="W82" s="164"/>
      <c r="X82" s="164"/>
      <c r="Y82" s="164"/>
      <c r="Z82" s="164"/>
      <c r="AA82" s="164">
        <v>19</v>
      </c>
      <c r="AB82" s="164">
        <v>13</v>
      </c>
      <c r="AC82" s="165">
        <v>32</v>
      </c>
    </row>
    <row r="83" spans="1:29">
      <c r="A83" s="162">
        <v>79</v>
      </c>
      <c r="B83" s="163" t="s">
        <v>808</v>
      </c>
      <c r="C83" s="164"/>
      <c r="D83" s="164"/>
      <c r="E83" s="164"/>
      <c r="F83" s="164"/>
      <c r="G83" s="164"/>
      <c r="H83" s="164"/>
      <c r="I83" s="164">
        <v>3</v>
      </c>
      <c r="J83" s="164">
        <v>1</v>
      </c>
      <c r="K83" s="164">
        <v>4</v>
      </c>
      <c r="L83" s="164">
        <v>18</v>
      </c>
      <c r="M83" s="164">
        <v>6</v>
      </c>
      <c r="N83" s="164">
        <v>24</v>
      </c>
      <c r="O83" s="164"/>
      <c r="P83" s="164"/>
      <c r="Q83" s="164"/>
      <c r="R83" s="164"/>
      <c r="S83" s="164"/>
      <c r="T83" s="164"/>
      <c r="U83" s="164"/>
      <c r="V83" s="164"/>
      <c r="W83" s="164"/>
      <c r="X83" s="164"/>
      <c r="Y83" s="164"/>
      <c r="Z83" s="164"/>
      <c r="AA83" s="164">
        <v>21</v>
      </c>
      <c r="AB83" s="164">
        <v>7</v>
      </c>
      <c r="AC83" s="165">
        <v>28</v>
      </c>
    </row>
    <row r="84" spans="1:29">
      <c r="A84" s="162">
        <v>80</v>
      </c>
      <c r="B84" s="163" t="s">
        <v>805</v>
      </c>
      <c r="C84" s="164">
        <v>1</v>
      </c>
      <c r="D84" s="164">
        <v>2</v>
      </c>
      <c r="E84" s="164">
        <v>3</v>
      </c>
      <c r="F84" s="164"/>
      <c r="G84" s="164"/>
      <c r="H84" s="164"/>
      <c r="I84" s="164">
        <v>2</v>
      </c>
      <c r="J84" s="164">
        <v>4</v>
      </c>
      <c r="K84" s="164">
        <v>6</v>
      </c>
      <c r="L84" s="164">
        <v>9</v>
      </c>
      <c r="M84" s="164">
        <v>9</v>
      </c>
      <c r="N84" s="164">
        <v>18</v>
      </c>
      <c r="O84" s="164"/>
      <c r="P84" s="164"/>
      <c r="Q84" s="164"/>
      <c r="R84" s="164"/>
      <c r="S84" s="164"/>
      <c r="T84" s="164"/>
      <c r="U84" s="164"/>
      <c r="V84" s="164"/>
      <c r="W84" s="164"/>
      <c r="X84" s="164"/>
      <c r="Y84" s="164"/>
      <c r="Z84" s="164"/>
      <c r="AA84" s="164">
        <v>12</v>
      </c>
      <c r="AB84" s="164">
        <v>15</v>
      </c>
      <c r="AC84" s="165">
        <v>27</v>
      </c>
    </row>
    <row r="85" spans="1:29" ht="29.25" customHeight="1">
      <c r="A85" s="162">
        <v>81</v>
      </c>
      <c r="B85" s="163" t="s">
        <v>793</v>
      </c>
      <c r="C85" s="164">
        <v>0</v>
      </c>
      <c r="D85" s="164">
        <v>3</v>
      </c>
      <c r="E85" s="164">
        <v>3</v>
      </c>
      <c r="F85" s="164">
        <v>1</v>
      </c>
      <c r="G85" s="164">
        <v>0</v>
      </c>
      <c r="H85" s="164">
        <v>1</v>
      </c>
      <c r="I85" s="164">
        <v>1</v>
      </c>
      <c r="J85" s="164">
        <v>5</v>
      </c>
      <c r="K85" s="164">
        <v>6</v>
      </c>
      <c r="L85" s="164">
        <v>6</v>
      </c>
      <c r="M85" s="164">
        <v>7</v>
      </c>
      <c r="N85" s="164">
        <v>13</v>
      </c>
      <c r="O85" s="164">
        <v>0</v>
      </c>
      <c r="P85" s="164">
        <v>1</v>
      </c>
      <c r="Q85" s="164">
        <v>1</v>
      </c>
      <c r="R85" s="164">
        <v>2</v>
      </c>
      <c r="S85" s="164">
        <v>0</v>
      </c>
      <c r="T85" s="164">
        <v>2</v>
      </c>
      <c r="U85" s="164"/>
      <c r="V85" s="164"/>
      <c r="W85" s="164"/>
      <c r="X85" s="164">
        <v>1</v>
      </c>
      <c r="Y85" s="164">
        <v>0</v>
      </c>
      <c r="Z85" s="164">
        <v>1</v>
      </c>
      <c r="AA85" s="164">
        <v>11</v>
      </c>
      <c r="AB85" s="164">
        <v>16</v>
      </c>
      <c r="AC85" s="165">
        <v>27</v>
      </c>
    </row>
    <row r="86" spans="1:29">
      <c r="A86" s="162">
        <v>82</v>
      </c>
      <c r="B86" s="163" t="s">
        <v>791</v>
      </c>
      <c r="C86" s="164">
        <v>0</v>
      </c>
      <c r="D86" s="164">
        <v>3</v>
      </c>
      <c r="E86" s="164">
        <v>3</v>
      </c>
      <c r="F86" s="164"/>
      <c r="G86" s="164"/>
      <c r="H86" s="164"/>
      <c r="I86" s="164">
        <v>1</v>
      </c>
      <c r="J86" s="164">
        <v>2</v>
      </c>
      <c r="K86" s="164">
        <v>3</v>
      </c>
      <c r="L86" s="164">
        <v>8</v>
      </c>
      <c r="M86" s="164">
        <v>5</v>
      </c>
      <c r="N86" s="164">
        <v>13</v>
      </c>
      <c r="O86" s="164"/>
      <c r="P86" s="164"/>
      <c r="Q86" s="164"/>
      <c r="R86" s="164">
        <v>0</v>
      </c>
      <c r="S86" s="164">
        <v>7</v>
      </c>
      <c r="T86" s="164">
        <v>7</v>
      </c>
      <c r="U86" s="164"/>
      <c r="V86" s="164"/>
      <c r="W86" s="164"/>
      <c r="X86" s="164"/>
      <c r="Y86" s="164"/>
      <c r="Z86" s="164"/>
      <c r="AA86" s="164">
        <v>9</v>
      </c>
      <c r="AB86" s="164">
        <v>17</v>
      </c>
      <c r="AC86" s="165">
        <v>26</v>
      </c>
    </row>
    <row r="87" spans="1:29">
      <c r="A87" s="162">
        <v>83</v>
      </c>
      <c r="B87" s="163" t="s">
        <v>790</v>
      </c>
      <c r="C87" s="164">
        <v>1</v>
      </c>
      <c r="D87" s="164">
        <v>0</v>
      </c>
      <c r="E87" s="164">
        <v>1</v>
      </c>
      <c r="F87" s="164"/>
      <c r="G87" s="164"/>
      <c r="H87" s="164"/>
      <c r="I87" s="164">
        <v>2</v>
      </c>
      <c r="J87" s="164">
        <v>0</v>
      </c>
      <c r="K87" s="164">
        <v>2</v>
      </c>
      <c r="L87" s="164">
        <v>7</v>
      </c>
      <c r="M87" s="164">
        <v>15</v>
      </c>
      <c r="N87" s="164">
        <v>22</v>
      </c>
      <c r="O87" s="164"/>
      <c r="P87" s="164"/>
      <c r="Q87" s="164"/>
      <c r="R87" s="164"/>
      <c r="S87" s="164"/>
      <c r="T87" s="164"/>
      <c r="U87" s="164"/>
      <c r="V87" s="164"/>
      <c r="W87" s="164"/>
      <c r="X87" s="164"/>
      <c r="Y87" s="164"/>
      <c r="Z87" s="164"/>
      <c r="AA87" s="164">
        <v>10</v>
      </c>
      <c r="AB87" s="164">
        <v>15</v>
      </c>
      <c r="AC87" s="165">
        <v>25</v>
      </c>
    </row>
    <row r="88" spans="1:29">
      <c r="A88" s="162">
        <v>84</v>
      </c>
      <c r="B88" s="163" t="s">
        <v>809</v>
      </c>
      <c r="C88" s="164">
        <v>1</v>
      </c>
      <c r="D88" s="164">
        <v>0</v>
      </c>
      <c r="E88" s="164">
        <v>1</v>
      </c>
      <c r="F88" s="164"/>
      <c r="G88" s="164"/>
      <c r="H88" s="164"/>
      <c r="I88" s="164">
        <v>6</v>
      </c>
      <c r="J88" s="164">
        <v>2</v>
      </c>
      <c r="K88" s="164">
        <v>8</v>
      </c>
      <c r="L88" s="164">
        <v>7</v>
      </c>
      <c r="M88" s="164">
        <v>8</v>
      </c>
      <c r="N88" s="164">
        <v>15</v>
      </c>
      <c r="O88" s="164">
        <v>0</v>
      </c>
      <c r="P88" s="164">
        <v>1</v>
      </c>
      <c r="Q88" s="164">
        <v>1</v>
      </c>
      <c r="R88" s="164"/>
      <c r="S88" s="164"/>
      <c r="T88" s="164"/>
      <c r="U88" s="164"/>
      <c r="V88" s="164"/>
      <c r="W88" s="164"/>
      <c r="X88" s="164"/>
      <c r="Y88" s="164"/>
      <c r="Z88" s="164"/>
      <c r="AA88" s="164">
        <v>14</v>
      </c>
      <c r="AB88" s="164">
        <v>11</v>
      </c>
      <c r="AC88" s="165">
        <v>25</v>
      </c>
    </row>
    <row r="89" spans="1:29">
      <c r="A89" s="162">
        <v>85</v>
      </c>
      <c r="B89" s="163" t="s">
        <v>785</v>
      </c>
      <c r="C89" s="164">
        <v>0</v>
      </c>
      <c r="D89" s="164">
        <v>1</v>
      </c>
      <c r="E89" s="164">
        <v>1</v>
      </c>
      <c r="F89" s="164">
        <v>1</v>
      </c>
      <c r="G89" s="164">
        <v>0</v>
      </c>
      <c r="H89" s="164">
        <v>1</v>
      </c>
      <c r="I89" s="164">
        <v>5</v>
      </c>
      <c r="J89" s="164">
        <v>4</v>
      </c>
      <c r="K89" s="164">
        <v>9</v>
      </c>
      <c r="L89" s="164">
        <v>4</v>
      </c>
      <c r="M89" s="164">
        <v>6</v>
      </c>
      <c r="N89" s="164">
        <v>10</v>
      </c>
      <c r="O89" s="164"/>
      <c r="P89" s="164"/>
      <c r="Q89" s="164"/>
      <c r="R89" s="164">
        <v>1</v>
      </c>
      <c r="S89" s="164">
        <v>1</v>
      </c>
      <c r="T89" s="164">
        <v>2</v>
      </c>
      <c r="U89" s="164"/>
      <c r="V89" s="164"/>
      <c r="W89" s="164"/>
      <c r="X89" s="164"/>
      <c r="Y89" s="164"/>
      <c r="Z89" s="164"/>
      <c r="AA89" s="164">
        <v>11</v>
      </c>
      <c r="AB89" s="164">
        <v>12</v>
      </c>
      <c r="AC89" s="165">
        <v>23</v>
      </c>
    </row>
    <row r="90" spans="1:29" ht="28">
      <c r="A90" s="162">
        <v>86</v>
      </c>
      <c r="B90" s="163" t="s">
        <v>797</v>
      </c>
      <c r="C90" s="164">
        <v>2</v>
      </c>
      <c r="D90" s="164">
        <v>0</v>
      </c>
      <c r="E90" s="164">
        <v>2</v>
      </c>
      <c r="F90" s="164"/>
      <c r="G90" s="164"/>
      <c r="H90" s="164"/>
      <c r="I90" s="164">
        <v>4</v>
      </c>
      <c r="J90" s="164">
        <v>1</v>
      </c>
      <c r="K90" s="164">
        <v>5</v>
      </c>
      <c r="L90" s="164">
        <v>8</v>
      </c>
      <c r="M90" s="164">
        <v>7</v>
      </c>
      <c r="N90" s="164">
        <v>15</v>
      </c>
      <c r="O90" s="164"/>
      <c r="P90" s="164"/>
      <c r="Q90" s="164"/>
      <c r="R90" s="164"/>
      <c r="S90" s="164"/>
      <c r="T90" s="164"/>
      <c r="U90" s="164"/>
      <c r="V90" s="164"/>
      <c r="W90" s="164"/>
      <c r="X90" s="164"/>
      <c r="Y90" s="164"/>
      <c r="Z90" s="164"/>
      <c r="AA90" s="164">
        <v>14</v>
      </c>
      <c r="AB90" s="164">
        <v>8</v>
      </c>
      <c r="AC90" s="165">
        <v>22</v>
      </c>
    </row>
    <row r="91" spans="1:29">
      <c r="A91" s="162">
        <v>87</v>
      </c>
      <c r="B91" s="163" t="s">
        <v>795</v>
      </c>
      <c r="C91" s="164"/>
      <c r="D91" s="164"/>
      <c r="E91" s="164"/>
      <c r="F91" s="164"/>
      <c r="G91" s="164"/>
      <c r="H91" s="164"/>
      <c r="I91" s="164">
        <v>7</v>
      </c>
      <c r="J91" s="164">
        <v>1</v>
      </c>
      <c r="K91" s="164">
        <v>8</v>
      </c>
      <c r="L91" s="164">
        <v>9</v>
      </c>
      <c r="M91" s="164">
        <v>3</v>
      </c>
      <c r="N91" s="164">
        <v>12</v>
      </c>
      <c r="O91" s="164"/>
      <c r="P91" s="164"/>
      <c r="Q91" s="164"/>
      <c r="R91" s="164"/>
      <c r="S91" s="164"/>
      <c r="T91" s="164"/>
      <c r="U91" s="164"/>
      <c r="V91" s="164"/>
      <c r="W91" s="164"/>
      <c r="X91" s="164"/>
      <c r="Y91" s="164"/>
      <c r="Z91" s="164"/>
      <c r="AA91" s="164">
        <v>16</v>
      </c>
      <c r="AB91" s="164">
        <v>4</v>
      </c>
      <c r="AC91" s="165">
        <v>20</v>
      </c>
    </row>
    <row r="92" spans="1:29">
      <c r="A92" s="162">
        <v>88</v>
      </c>
      <c r="B92" s="163" t="s">
        <v>817</v>
      </c>
      <c r="C92" s="164"/>
      <c r="D92" s="164"/>
      <c r="E92" s="164"/>
      <c r="F92" s="164"/>
      <c r="G92" s="164"/>
      <c r="H92" s="164"/>
      <c r="I92" s="164">
        <v>8</v>
      </c>
      <c r="J92" s="164">
        <v>1</v>
      </c>
      <c r="K92" s="164">
        <v>9</v>
      </c>
      <c r="L92" s="164">
        <v>5</v>
      </c>
      <c r="M92" s="164">
        <v>5</v>
      </c>
      <c r="N92" s="164">
        <v>10</v>
      </c>
      <c r="O92" s="164"/>
      <c r="P92" s="164"/>
      <c r="Q92" s="164"/>
      <c r="R92" s="164"/>
      <c r="S92" s="164"/>
      <c r="T92" s="164"/>
      <c r="U92" s="164"/>
      <c r="V92" s="164"/>
      <c r="W92" s="164"/>
      <c r="X92" s="164"/>
      <c r="Y92" s="164"/>
      <c r="Z92" s="164"/>
      <c r="AA92" s="164">
        <v>13</v>
      </c>
      <c r="AB92" s="164">
        <v>6</v>
      </c>
      <c r="AC92" s="165">
        <v>19</v>
      </c>
    </row>
    <row r="93" spans="1:29">
      <c r="A93" s="162">
        <v>89</v>
      </c>
      <c r="B93" s="163" t="s">
        <v>810</v>
      </c>
      <c r="C93" s="164">
        <v>1</v>
      </c>
      <c r="D93" s="164">
        <v>1</v>
      </c>
      <c r="E93" s="164">
        <v>2</v>
      </c>
      <c r="F93" s="164"/>
      <c r="G93" s="164"/>
      <c r="H93" s="164"/>
      <c r="I93" s="164">
        <v>7</v>
      </c>
      <c r="J93" s="164">
        <v>2</v>
      </c>
      <c r="K93" s="164">
        <v>9</v>
      </c>
      <c r="L93" s="164">
        <v>2</v>
      </c>
      <c r="M93" s="164">
        <v>1</v>
      </c>
      <c r="N93" s="164">
        <v>3</v>
      </c>
      <c r="O93" s="164"/>
      <c r="P93" s="164"/>
      <c r="Q93" s="164"/>
      <c r="R93" s="164">
        <v>1</v>
      </c>
      <c r="S93" s="164">
        <v>1</v>
      </c>
      <c r="T93" s="164">
        <v>2</v>
      </c>
      <c r="U93" s="164"/>
      <c r="V93" s="164"/>
      <c r="W93" s="164"/>
      <c r="X93" s="164"/>
      <c r="Y93" s="164"/>
      <c r="Z93" s="164"/>
      <c r="AA93" s="164">
        <v>11</v>
      </c>
      <c r="AB93" s="164">
        <v>5</v>
      </c>
      <c r="AC93" s="165">
        <v>16</v>
      </c>
    </row>
    <row r="94" spans="1:29">
      <c r="A94" s="162">
        <v>90</v>
      </c>
      <c r="B94" s="163" t="s">
        <v>835</v>
      </c>
      <c r="C94" s="164">
        <v>1</v>
      </c>
      <c r="D94" s="164">
        <v>0</v>
      </c>
      <c r="E94" s="164">
        <v>1</v>
      </c>
      <c r="F94" s="164"/>
      <c r="G94" s="164"/>
      <c r="H94" s="164"/>
      <c r="I94" s="164">
        <v>1</v>
      </c>
      <c r="J94" s="164">
        <v>5</v>
      </c>
      <c r="K94" s="164">
        <v>6</v>
      </c>
      <c r="L94" s="164">
        <v>3</v>
      </c>
      <c r="M94" s="164">
        <v>4</v>
      </c>
      <c r="N94" s="164">
        <v>7</v>
      </c>
      <c r="O94" s="164">
        <v>0</v>
      </c>
      <c r="P94" s="164">
        <v>1</v>
      </c>
      <c r="Q94" s="164">
        <v>1</v>
      </c>
      <c r="R94" s="164"/>
      <c r="S94" s="164"/>
      <c r="T94" s="164"/>
      <c r="U94" s="164"/>
      <c r="V94" s="164"/>
      <c r="W94" s="164"/>
      <c r="X94" s="164"/>
      <c r="Y94" s="164"/>
      <c r="Z94" s="164"/>
      <c r="AA94" s="164">
        <v>5</v>
      </c>
      <c r="AB94" s="164">
        <v>10</v>
      </c>
      <c r="AC94" s="165">
        <v>15</v>
      </c>
    </row>
    <row r="95" spans="1:29">
      <c r="A95" s="162">
        <v>91</v>
      </c>
      <c r="B95" s="163" t="s">
        <v>798</v>
      </c>
      <c r="C95" s="164">
        <v>0</v>
      </c>
      <c r="D95" s="164">
        <v>1</v>
      </c>
      <c r="E95" s="164">
        <v>1</v>
      </c>
      <c r="F95" s="164"/>
      <c r="G95" s="164"/>
      <c r="H95" s="164"/>
      <c r="I95" s="164">
        <v>1</v>
      </c>
      <c r="J95" s="164">
        <v>3</v>
      </c>
      <c r="K95" s="164">
        <v>4</v>
      </c>
      <c r="L95" s="164">
        <v>5</v>
      </c>
      <c r="M95" s="164">
        <v>4</v>
      </c>
      <c r="N95" s="164">
        <v>9</v>
      </c>
      <c r="O95" s="164"/>
      <c r="P95" s="164"/>
      <c r="Q95" s="164"/>
      <c r="R95" s="164"/>
      <c r="S95" s="164"/>
      <c r="T95" s="164"/>
      <c r="U95" s="164"/>
      <c r="V95" s="164"/>
      <c r="W95" s="164"/>
      <c r="X95" s="164">
        <v>0</v>
      </c>
      <c r="Y95" s="164">
        <v>1</v>
      </c>
      <c r="Z95" s="164">
        <v>1</v>
      </c>
      <c r="AA95" s="164">
        <v>6</v>
      </c>
      <c r="AB95" s="164">
        <v>9</v>
      </c>
      <c r="AC95" s="165">
        <v>15</v>
      </c>
    </row>
    <row r="96" spans="1:29">
      <c r="A96" s="162">
        <v>92</v>
      </c>
      <c r="B96" s="163" t="s">
        <v>804</v>
      </c>
      <c r="C96" s="164"/>
      <c r="D96" s="164"/>
      <c r="E96" s="164"/>
      <c r="F96" s="164"/>
      <c r="G96" s="164"/>
      <c r="H96" s="164"/>
      <c r="I96" s="164">
        <v>5</v>
      </c>
      <c r="J96" s="164">
        <v>1</v>
      </c>
      <c r="K96" s="164">
        <v>6</v>
      </c>
      <c r="L96" s="164">
        <v>6</v>
      </c>
      <c r="M96" s="164">
        <v>2</v>
      </c>
      <c r="N96" s="164">
        <v>8</v>
      </c>
      <c r="O96" s="164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>
        <v>11</v>
      </c>
      <c r="AB96" s="164">
        <v>3</v>
      </c>
      <c r="AC96" s="165">
        <v>14</v>
      </c>
    </row>
    <row r="97" spans="1:29" ht="15.75" customHeight="1">
      <c r="A97" s="162">
        <v>93</v>
      </c>
      <c r="B97" s="163" t="s">
        <v>801</v>
      </c>
      <c r="C97" s="164">
        <v>1</v>
      </c>
      <c r="D97" s="164">
        <v>2</v>
      </c>
      <c r="E97" s="164">
        <v>3</v>
      </c>
      <c r="F97" s="164"/>
      <c r="G97" s="164"/>
      <c r="H97" s="164"/>
      <c r="I97" s="164">
        <v>3</v>
      </c>
      <c r="J97" s="164">
        <v>1</v>
      </c>
      <c r="K97" s="164">
        <v>4</v>
      </c>
      <c r="L97" s="164">
        <v>4</v>
      </c>
      <c r="M97" s="164">
        <v>3</v>
      </c>
      <c r="N97" s="164">
        <v>7</v>
      </c>
      <c r="O97" s="164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>
        <v>8</v>
      </c>
      <c r="AB97" s="164">
        <v>6</v>
      </c>
      <c r="AC97" s="165">
        <v>14</v>
      </c>
    </row>
    <row r="98" spans="1:29">
      <c r="A98" s="162">
        <v>94</v>
      </c>
      <c r="B98" s="163" t="s">
        <v>832</v>
      </c>
      <c r="C98" s="164">
        <v>1</v>
      </c>
      <c r="D98" s="164">
        <v>0</v>
      </c>
      <c r="E98" s="164">
        <v>1</v>
      </c>
      <c r="F98" s="164"/>
      <c r="G98" s="164"/>
      <c r="H98" s="164"/>
      <c r="I98" s="164"/>
      <c r="J98" s="164"/>
      <c r="K98" s="164"/>
      <c r="L98" s="164">
        <v>4</v>
      </c>
      <c r="M98" s="164">
        <v>8</v>
      </c>
      <c r="N98" s="164">
        <v>12</v>
      </c>
      <c r="O98" s="164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>
        <v>5</v>
      </c>
      <c r="AB98" s="164">
        <v>8</v>
      </c>
      <c r="AC98" s="165">
        <v>13</v>
      </c>
    </row>
    <row r="99" spans="1:29">
      <c r="A99" s="162">
        <v>95</v>
      </c>
      <c r="B99" s="163" t="s">
        <v>824</v>
      </c>
      <c r="C99" s="164"/>
      <c r="D99" s="164"/>
      <c r="E99" s="164"/>
      <c r="F99" s="164"/>
      <c r="G99" s="164"/>
      <c r="H99" s="164"/>
      <c r="I99" s="164">
        <v>0</v>
      </c>
      <c r="J99" s="164">
        <v>1</v>
      </c>
      <c r="K99" s="164">
        <v>1</v>
      </c>
      <c r="L99" s="164">
        <v>2</v>
      </c>
      <c r="M99" s="164">
        <v>8</v>
      </c>
      <c r="N99" s="164">
        <v>10</v>
      </c>
      <c r="O99" s="164"/>
      <c r="P99" s="164"/>
      <c r="Q99" s="164"/>
      <c r="R99" s="164"/>
      <c r="S99" s="164"/>
      <c r="T99" s="164"/>
      <c r="U99" s="164"/>
      <c r="V99" s="164"/>
      <c r="W99" s="164"/>
      <c r="X99" s="164">
        <v>0</v>
      </c>
      <c r="Y99" s="164">
        <v>2</v>
      </c>
      <c r="Z99" s="164">
        <v>2</v>
      </c>
      <c r="AA99" s="164">
        <v>2</v>
      </c>
      <c r="AB99" s="164">
        <v>11</v>
      </c>
      <c r="AC99" s="165">
        <v>13</v>
      </c>
    </row>
    <row r="100" spans="1:29">
      <c r="A100" s="162">
        <v>96</v>
      </c>
      <c r="B100" s="163" t="s">
        <v>834</v>
      </c>
      <c r="C100" s="164"/>
      <c r="D100" s="164"/>
      <c r="E100" s="164"/>
      <c r="F100" s="164"/>
      <c r="G100" s="164"/>
      <c r="H100" s="164"/>
      <c r="I100" s="164">
        <v>0</v>
      </c>
      <c r="J100" s="164">
        <v>3</v>
      </c>
      <c r="K100" s="164">
        <v>3</v>
      </c>
      <c r="L100" s="164">
        <v>5</v>
      </c>
      <c r="M100" s="164">
        <v>5</v>
      </c>
      <c r="N100" s="164">
        <v>10</v>
      </c>
      <c r="O100" s="164"/>
      <c r="P100" s="164"/>
      <c r="Q100" s="164"/>
      <c r="R100" s="164"/>
      <c r="S100" s="164"/>
      <c r="T100" s="164"/>
      <c r="U100" s="164"/>
      <c r="V100" s="164"/>
      <c r="W100" s="164"/>
      <c r="X100" s="164"/>
      <c r="Y100" s="164"/>
      <c r="Z100" s="164"/>
      <c r="AA100" s="164">
        <v>5</v>
      </c>
      <c r="AB100" s="164">
        <v>8</v>
      </c>
      <c r="AC100" s="165">
        <v>13</v>
      </c>
    </row>
    <row r="101" spans="1:29">
      <c r="A101" s="162">
        <v>97</v>
      </c>
      <c r="B101" s="163" t="s">
        <v>811</v>
      </c>
      <c r="C101" s="164"/>
      <c r="D101" s="164"/>
      <c r="E101" s="164"/>
      <c r="F101" s="164"/>
      <c r="G101" s="164"/>
      <c r="H101" s="164"/>
      <c r="I101" s="164">
        <v>2</v>
      </c>
      <c r="J101" s="164">
        <v>1</v>
      </c>
      <c r="K101" s="164">
        <v>3</v>
      </c>
      <c r="L101" s="164">
        <v>7</v>
      </c>
      <c r="M101" s="164">
        <v>0</v>
      </c>
      <c r="N101" s="164">
        <v>7</v>
      </c>
      <c r="O101" s="164"/>
      <c r="P101" s="164"/>
      <c r="Q101" s="164"/>
      <c r="R101" s="164">
        <v>2</v>
      </c>
      <c r="S101" s="164">
        <v>0</v>
      </c>
      <c r="T101" s="164">
        <v>2</v>
      </c>
      <c r="U101" s="164"/>
      <c r="V101" s="164"/>
      <c r="W101" s="164"/>
      <c r="X101" s="164"/>
      <c r="Y101" s="164"/>
      <c r="Z101" s="164"/>
      <c r="AA101" s="164">
        <v>11</v>
      </c>
      <c r="AB101" s="164">
        <v>1</v>
      </c>
      <c r="AC101" s="165">
        <v>12</v>
      </c>
    </row>
    <row r="102" spans="1:29">
      <c r="A102" s="162">
        <v>98</v>
      </c>
      <c r="B102" s="163" t="s">
        <v>803</v>
      </c>
      <c r="C102" s="164"/>
      <c r="D102" s="164"/>
      <c r="E102" s="164"/>
      <c r="F102" s="164"/>
      <c r="G102" s="164"/>
      <c r="H102" s="164"/>
      <c r="I102" s="164">
        <v>1</v>
      </c>
      <c r="J102" s="164">
        <v>0</v>
      </c>
      <c r="K102" s="164">
        <v>1</v>
      </c>
      <c r="L102" s="164">
        <v>1</v>
      </c>
      <c r="M102" s="164">
        <v>7</v>
      </c>
      <c r="N102" s="164">
        <v>8</v>
      </c>
      <c r="O102" s="164"/>
      <c r="P102" s="164"/>
      <c r="Q102" s="164"/>
      <c r="R102" s="164">
        <v>1</v>
      </c>
      <c r="S102" s="164">
        <v>1</v>
      </c>
      <c r="T102" s="164">
        <v>2</v>
      </c>
      <c r="U102" s="164"/>
      <c r="V102" s="164"/>
      <c r="W102" s="164"/>
      <c r="X102" s="164">
        <v>0</v>
      </c>
      <c r="Y102" s="164">
        <v>1</v>
      </c>
      <c r="Z102" s="164">
        <v>1</v>
      </c>
      <c r="AA102" s="164">
        <v>3</v>
      </c>
      <c r="AB102" s="164">
        <v>9</v>
      </c>
      <c r="AC102" s="165">
        <v>12</v>
      </c>
    </row>
    <row r="103" spans="1:29">
      <c r="A103" s="162">
        <v>99</v>
      </c>
      <c r="B103" s="163" t="s">
        <v>825</v>
      </c>
      <c r="C103" s="164"/>
      <c r="D103" s="164"/>
      <c r="E103" s="164"/>
      <c r="F103" s="164"/>
      <c r="G103" s="164"/>
      <c r="H103" s="164"/>
      <c r="I103" s="164">
        <v>1</v>
      </c>
      <c r="J103" s="164">
        <v>1</v>
      </c>
      <c r="K103" s="164">
        <v>2</v>
      </c>
      <c r="L103" s="164">
        <v>5</v>
      </c>
      <c r="M103" s="164">
        <v>4</v>
      </c>
      <c r="N103" s="164">
        <v>9</v>
      </c>
      <c r="O103" s="164"/>
      <c r="P103" s="164"/>
      <c r="Q103" s="164"/>
      <c r="R103" s="164"/>
      <c r="S103" s="164"/>
      <c r="T103" s="164"/>
      <c r="U103" s="164"/>
      <c r="V103" s="164"/>
      <c r="W103" s="164"/>
      <c r="X103" s="164"/>
      <c r="Y103" s="164"/>
      <c r="Z103" s="164"/>
      <c r="AA103" s="164">
        <v>6</v>
      </c>
      <c r="AB103" s="164">
        <v>5</v>
      </c>
      <c r="AC103" s="165">
        <v>11</v>
      </c>
    </row>
    <row r="104" spans="1:29">
      <c r="A104" s="162">
        <v>100</v>
      </c>
      <c r="B104" s="163" t="s">
        <v>821</v>
      </c>
      <c r="C104" s="164">
        <v>0</v>
      </c>
      <c r="D104" s="164">
        <v>1</v>
      </c>
      <c r="E104" s="164">
        <v>1</v>
      </c>
      <c r="F104" s="164"/>
      <c r="G104" s="164"/>
      <c r="H104" s="164"/>
      <c r="I104" s="164">
        <v>0</v>
      </c>
      <c r="J104" s="164">
        <v>1</v>
      </c>
      <c r="K104" s="164">
        <v>1</v>
      </c>
      <c r="L104" s="164">
        <v>2</v>
      </c>
      <c r="M104" s="164">
        <v>7</v>
      </c>
      <c r="N104" s="164">
        <v>9</v>
      </c>
      <c r="O104" s="164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>
        <v>2</v>
      </c>
      <c r="AB104" s="164">
        <v>9</v>
      </c>
      <c r="AC104" s="165">
        <v>11</v>
      </c>
    </row>
    <row r="105" spans="1:29">
      <c r="A105" s="162">
        <v>101</v>
      </c>
      <c r="B105" s="163" t="s">
        <v>831</v>
      </c>
      <c r="C105" s="164"/>
      <c r="D105" s="164"/>
      <c r="E105" s="164"/>
      <c r="F105" s="164"/>
      <c r="G105" s="164"/>
      <c r="H105" s="164"/>
      <c r="I105" s="164"/>
      <c r="J105" s="164"/>
      <c r="K105" s="164"/>
      <c r="L105" s="164">
        <v>5</v>
      </c>
      <c r="M105" s="164">
        <v>6</v>
      </c>
      <c r="N105" s="164">
        <v>11</v>
      </c>
      <c r="O105" s="164"/>
      <c r="P105" s="164"/>
      <c r="Q105" s="164"/>
      <c r="R105" s="164"/>
      <c r="S105" s="164"/>
      <c r="T105" s="164"/>
      <c r="U105" s="164"/>
      <c r="V105" s="164"/>
      <c r="W105" s="164"/>
      <c r="X105" s="164"/>
      <c r="Y105" s="164"/>
      <c r="Z105" s="164"/>
      <c r="AA105" s="164">
        <v>5</v>
      </c>
      <c r="AB105" s="164">
        <v>6</v>
      </c>
      <c r="AC105" s="165">
        <v>11</v>
      </c>
    </row>
    <row r="106" spans="1:29">
      <c r="A106" s="162">
        <v>102</v>
      </c>
      <c r="B106" s="163" t="s">
        <v>816</v>
      </c>
      <c r="C106" s="164"/>
      <c r="D106" s="164"/>
      <c r="E106" s="164"/>
      <c r="F106" s="164"/>
      <c r="G106" s="164"/>
      <c r="H106" s="164"/>
      <c r="I106" s="164">
        <v>6</v>
      </c>
      <c r="J106" s="164">
        <v>0</v>
      </c>
      <c r="K106" s="164">
        <v>6</v>
      </c>
      <c r="L106" s="164">
        <v>5</v>
      </c>
      <c r="M106" s="164">
        <v>0</v>
      </c>
      <c r="N106" s="164">
        <v>5</v>
      </c>
      <c r="O106" s="164"/>
      <c r="P106" s="164"/>
      <c r="Q106" s="164"/>
      <c r="R106" s="164"/>
      <c r="S106" s="164"/>
      <c r="T106" s="164"/>
      <c r="U106" s="164"/>
      <c r="V106" s="164"/>
      <c r="W106" s="164"/>
      <c r="X106" s="164"/>
      <c r="Y106" s="164"/>
      <c r="Z106" s="164"/>
      <c r="AA106" s="164">
        <v>11</v>
      </c>
      <c r="AB106" s="164">
        <v>0</v>
      </c>
      <c r="AC106" s="165">
        <v>11</v>
      </c>
    </row>
    <row r="107" spans="1:29">
      <c r="A107" s="162">
        <v>103</v>
      </c>
      <c r="B107" s="163" t="s">
        <v>819</v>
      </c>
      <c r="C107" s="164">
        <v>1</v>
      </c>
      <c r="D107" s="164">
        <v>0</v>
      </c>
      <c r="E107" s="164">
        <v>1</v>
      </c>
      <c r="F107" s="164"/>
      <c r="G107" s="164"/>
      <c r="H107" s="164"/>
      <c r="I107" s="164">
        <v>5</v>
      </c>
      <c r="J107" s="164">
        <v>2</v>
      </c>
      <c r="K107" s="164">
        <v>7</v>
      </c>
      <c r="L107" s="164">
        <v>0</v>
      </c>
      <c r="M107" s="164">
        <v>2</v>
      </c>
      <c r="N107" s="164">
        <v>2</v>
      </c>
      <c r="O107" s="164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>
        <v>6</v>
      </c>
      <c r="AB107" s="164">
        <v>4</v>
      </c>
      <c r="AC107" s="165">
        <v>10</v>
      </c>
    </row>
    <row r="108" spans="1:29">
      <c r="A108" s="162">
        <v>104</v>
      </c>
      <c r="B108" s="163" t="s">
        <v>815</v>
      </c>
      <c r="C108" s="164">
        <v>0</v>
      </c>
      <c r="D108" s="164">
        <v>1</v>
      </c>
      <c r="E108" s="164">
        <v>1</v>
      </c>
      <c r="F108" s="164"/>
      <c r="G108" s="164"/>
      <c r="H108" s="164"/>
      <c r="I108" s="164">
        <v>0</v>
      </c>
      <c r="J108" s="164">
        <v>3</v>
      </c>
      <c r="K108" s="164">
        <v>3</v>
      </c>
      <c r="L108" s="164">
        <v>0</v>
      </c>
      <c r="M108" s="164">
        <v>2</v>
      </c>
      <c r="N108" s="164">
        <v>2</v>
      </c>
      <c r="O108" s="164"/>
      <c r="P108" s="164"/>
      <c r="Q108" s="164"/>
      <c r="R108" s="164">
        <v>0</v>
      </c>
      <c r="S108" s="164">
        <v>4</v>
      </c>
      <c r="T108" s="164">
        <v>4</v>
      </c>
      <c r="U108" s="164"/>
      <c r="V108" s="164"/>
      <c r="W108" s="164"/>
      <c r="X108" s="164"/>
      <c r="Y108" s="164"/>
      <c r="Z108" s="164"/>
      <c r="AA108" s="164">
        <v>0</v>
      </c>
      <c r="AB108" s="164">
        <v>10</v>
      </c>
      <c r="AC108" s="165">
        <v>10</v>
      </c>
    </row>
    <row r="109" spans="1:29" ht="28">
      <c r="A109" s="162">
        <v>105</v>
      </c>
      <c r="B109" s="163" t="s">
        <v>818</v>
      </c>
      <c r="C109" s="164"/>
      <c r="D109" s="164"/>
      <c r="E109" s="164"/>
      <c r="F109" s="164"/>
      <c r="G109" s="164"/>
      <c r="H109" s="164"/>
      <c r="I109" s="164"/>
      <c r="J109" s="164"/>
      <c r="K109" s="164"/>
      <c r="L109" s="164">
        <v>4</v>
      </c>
      <c r="M109" s="164">
        <v>4</v>
      </c>
      <c r="N109" s="164">
        <v>8</v>
      </c>
      <c r="O109" s="164"/>
      <c r="P109" s="164"/>
      <c r="Q109" s="164"/>
      <c r="R109" s="164"/>
      <c r="S109" s="164"/>
      <c r="T109" s="164"/>
      <c r="U109" s="164"/>
      <c r="V109" s="164"/>
      <c r="W109" s="164"/>
      <c r="X109" s="164">
        <v>0</v>
      </c>
      <c r="Y109" s="164">
        <v>1</v>
      </c>
      <c r="Z109" s="164">
        <v>1</v>
      </c>
      <c r="AA109" s="164">
        <v>4</v>
      </c>
      <c r="AB109" s="164">
        <v>5</v>
      </c>
      <c r="AC109" s="165">
        <v>9</v>
      </c>
    </row>
    <row r="110" spans="1:29">
      <c r="A110" s="162">
        <v>106</v>
      </c>
      <c r="B110" s="163" t="s">
        <v>812</v>
      </c>
      <c r="C110" s="164"/>
      <c r="D110" s="164"/>
      <c r="E110" s="164"/>
      <c r="F110" s="164"/>
      <c r="G110" s="164"/>
      <c r="H110" s="164"/>
      <c r="I110" s="164">
        <v>0</v>
      </c>
      <c r="J110" s="164">
        <v>2</v>
      </c>
      <c r="K110" s="164">
        <v>2</v>
      </c>
      <c r="L110" s="164">
        <v>1</v>
      </c>
      <c r="M110" s="164">
        <v>5</v>
      </c>
      <c r="N110" s="164">
        <v>6</v>
      </c>
      <c r="O110" s="164"/>
      <c r="P110" s="164"/>
      <c r="Q110" s="164"/>
      <c r="R110" s="164"/>
      <c r="S110" s="164"/>
      <c r="T110" s="164"/>
      <c r="U110" s="164"/>
      <c r="V110" s="164"/>
      <c r="W110" s="164"/>
      <c r="X110" s="164">
        <v>0</v>
      </c>
      <c r="Y110" s="164">
        <v>1</v>
      </c>
      <c r="Z110" s="164">
        <v>1</v>
      </c>
      <c r="AA110" s="164">
        <v>1</v>
      </c>
      <c r="AB110" s="164">
        <v>8</v>
      </c>
      <c r="AC110" s="165">
        <v>9</v>
      </c>
    </row>
    <row r="111" spans="1:29">
      <c r="A111" s="162">
        <v>107</v>
      </c>
      <c r="B111" s="163" t="s">
        <v>822</v>
      </c>
      <c r="C111" s="164"/>
      <c r="D111" s="164"/>
      <c r="E111" s="164"/>
      <c r="F111" s="164"/>
      <c r="G111" s="164"/>
      <c r="H111" s="164"/>
      <c r="I111" s="164">
        <v>4</v>
      </c>
      <c r="J111" s="164">
        <v>0</v>
      </c>
      <c r="K111" s="164">
        <v>4</v>
      </c>
      <c r="L111" s="164">
        <v>5</v>
      </c>
      <c r="M111" s="164">
        <v>0</v>
      </c>
      <c r="N111" s="164">
        <v>5</v>
      </c>
      <c r="O111" s="164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>
        <v>9</v>
      </c>
      <c r="AB111" s="164">
        <v>0</v>
      </c>
      <c r="AC111" s="165">
        <v>9</v>
      </c>
    </row>
    <row r="112" spans="1:29">
      <c r="A112" s="162">
        <v>108</v>
      </c>
      <c r="B112" s="163" t="s">
        <v>829</v>
      </c>
      <c r="C112" s="164">
        <v>0</v>
      </c>
      <c r="D112" s="164">
        <v>3</v>
      </c>
      <c r="E112" s="164">
        <v>3</v>
      </c>
      <c r="F112" s="164"/>
      <c r="G112" s="164"/>
      <c r="H112" s="164"/>
      <c r="I112" s="164"/>
      <c r="J112" s="164"/>
      <c r="K112" s="164"/>
      <c r="L112" s="164">
        <v>1</v>
      </c>
      <c r="M112" s="164">
        <v>4</v>
      </c>
      <c r="N112" s="164">
        <v>5</v>
      </c>
      <c r="O112" s="164"/>
      <c r="P112" s="164"/>
      <c r="Q112" s="164"/>
      <c r="R112" s="164"/>
      <c r="S112" s="164"/>
      <c r="T112" s="164"/>
      <c r="U112" s="164"/>
      <c r="V112" s="164"/>
      <c r="W112" s="164"/>
      <c r="X112" s="164"/>
      <c r="Y112" s="164"/>
      <c r="Z112" s="164"/>
      <c r="AA112" s="164">
        <v>1</v>
      </c>
      <c r="AB112" s="164">
        <v>7</v>
      </c>
      <c r="AC112" s="165">
        <v>8</v>
      </c>
    </row>
    <row r="113" spans="1:29">
      <c r="A113" s="162">
        <v>109</v>
      </c>
      <c r="B113" s="163" t="s">
        <v>981</v>
      </c>
      <c r="C113" s="164"/>
      <c r="D113" s="164"/>
      <c r="E113" s="164"/>
      <c r="F113" s="164"/>
      <c r="G113" s="164"/>
      <c r="H113" s="164"/>
      <c r="I113" s="164">
        <v>1</v>
      </c>
      <c r="J113" s="164">
        <v>0</v>
      </c>
      <c r="K113" s="164">
        <v>1</v>
      </c>
      <c r="L113" s="164">
        <v>4</v>
      </c>
      <c r="M113" s="164">
        <v>3</v>
      </c>
      <c r="N113" s="164">
        <v>7</v>
      </c>
      <c r="O113" s="164"/>
      <c r="P113" s="164"/>
      <c r="Q113" s="164"/>
      <c r="R113" s="164"/>
      <c r="S113" s="164"/>
      <c r="T113" s="164"/>
      <c r="U113" s="164"/>
      <c r="V113" s="164"/>
      <c r="W113" s="164"/>
      <c r="X113" s="164"/>
      <c r="Y113" s="164"/>
      <c r="Z113" s="164"/>
      <c r="AA113" s="164">
        <v>5</v>
      </c>
      <c r="AB113" s="164">
        <v>3</v>
      </c>
      <c r="AC113" s="165">
        <v>8</v>
      </c>
    </row>
    <row r="114" spans="1:29">
      <c r="A114" s="162">
        <v>110</v>
      </c>
      <c r="B114" s="163" t="s">
        <v>857</v>
      </c>
      <c r="C114" s="164"/>
      <c r="D114" s="164"/>
      <c r="E114" s="164"/>
      <c r="F114" s="164"/>
      <c r="G114" s="164"/>
      <c r="H114" s="164"/>
      <c r="I114" s="164"/>
      <c r="J114" s="164"/>
      <c r="K114" s="164"/>
      <c r="L114" s="164">
        <v>3</v>
      </c>
      <c r="M114" s="164">
        <v>5</v>
      </c>
      <c r="N114" s="164">
        <v>8</v>
      </c>
      <c r="O114" s="164"/>
      <c r="P114" s="164"/>
      <c r="Q114" s="164"/>
      <c r="R114" s="164"/>
      <c r="S114" s="164"/>
      <c r="T114" s="164"/>
      <c r="U114" s="164"/>
      <c r="V114" s="164"/>
      <c r="W114" s="164"/>
      <c r="X114" s="164"/>
      <c r="Y114" s="164"/>
      <c r="Z114" s="164"/>
      <c r="AA114" s="164">
        <v>3</v>
      </c>
      <c r="AB114" s="164">
        <v>5</v>
      </c>
      <c r="AC114" s="165">
        <v>8</v>
      </c>
    </row>
    <row r="115" spans="1:29">
      <c r="A115" s="162">
        <v>111</v>
      </c>
      <c r="B115" s="163" t="s">
        <v>828</v>
      </c>
      <c r="C115" s="164"/>
      <c r="D115" s="164"/>
      <c r="E115" s="164"/>
      <c r="F115" s="164"/>
      <c r="G115" s="164"/>
      <c r="H115" s="164"/>
      <c r="I115" s="164">
        <v>0</v>
      </c>
      <c r="J115" s="164">
        <v>2</v>
      </c>
      <c r="K115" s="164">
        <v>2</v>
      </c>
      <c r="L115" s="164">
        <v>4</v>
      </c>
      <c r="M115" s="164">
        <v>1</v>
      </c>
      <c r="N115" s="164">
        <v>5</v>
      </c>
      <c r="O115" s="164"/>
      <c r="P115" s="164"/>
      <c r="Q115" s="164"/>
      <c r="R115" s="164"/>
      <c r="S115" s="164"/>
      <c r="T115" s="164"/>
      <c r="U115" s="164"/>
      <c r="V115" s="164"/>
      <c r="W115" s="164"/>
      <c r="X115" s="164"/>
      <c r="Y115" s="164"/>
      <c r="Z115" s="164"/>
      <c r="AA115" s="164">
        <v>4</v>
      </c>
      <c r="AB115" s="164">
        <v>3</v>
      </c>
      <c r="AC115" s="165">
        <v>7</v>
      </c>
    </row>
    <row r="116" spans="1:29">
      <c r="A116" s="162">
        <v>112</v>
      </c>
      <c r="B116" s="163" t="s">
        <v>823</v>
      </c>
      <c r="C116" s="164"/>
      <c r="D116" s="164"/>
      <c r="E116" s="164"/>
      <c r="F116" s="164"/>
      <c r="G116" s="164"/>
      <c r="H116" s="164"/>
      <c r="I116" s="164">
        <v>2</v>
      </c>
      <c r="J116" s="164">
        <v>0</v>
      </c>
      <c r="K116" s="164">
        <v>2</v>
      </c>
      <c r="L116" s="164">
        <v>4</v>
      </c>
      <c r="M116" s="164">
        <v>0</v>
      </c>
      <c r="N116" s="164">
        <v>4</v>
      </c>
      <c r="O116" s="164">
        <v>0</v>
      </c>
      <c r="P116" s="164">
        <v>1</v>
      </c>
      <c r="Q116" s="164">
        <v>1</v>
      </c>
      <c r="R116" s="164"/>
      <c r="S116" s="164"/>
      <c r="T116" s="164"/>
      <c r="U116" s="164"/>
      <c r="V116" s="164"/>
      <c r="W116" s="164"/>
      <c r="X116" s="164"/>
      <c r="Y116" s="164"/>
      <c r="Z116" s="164"/>
      <c r="AA116" s="164">
        <v>6</v>
      </c>
      <c r="AB116" s="164">
        <v>1</v>
      </c>
      <c r="AC116" s="165">
        <v>7</v>
      </c>
    </row>
    <row r="117" spans="1:29">
      <c r="A117" s="162">
        <v>113</v>
      </c>
      <c r="B117" s="163" t="s">
        <v>833</v>
      </c>
      <c r="C117" s="164">
        <v>0</v>
      </c>
      <c r="D117" s="164">
        <v>2</v>
      </c>
      <c r="E117" s="164">
        <v>2</v>
      </c>
      <c r="F117" s="164"/>
      <c r="G117" s="164"/>
      <c r="H117" s="164"/>
      <c r="I117" s="164">
        <v>0</v>
      </c>
      <c r="J117" s="164">
        <v>1</v>
      </c>
      <c r="K117" s="164">
        <v>1</v>
      </c>
      <c r="L117" s="164">
        <v>2</v>
      </c>
      <c r="M117" s="164">
        <v>2</v>
      </c>
      <c r="N117" s="164">
        <v>4</v>
      </c>
      <c r="O117" s="164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>
        <v>2</v>
      </c>
      <c r="AB117" s="164">
        <v>5</v>
      </c>
      <c r="AC117" s="165">
        <v>7</v>
      </c>
    </row>
    <row r="118" spans="1:29">
      <c r="A118" s="162">
        <v>114</v>
      </c>
      <c r="B118" s="163" t="s">
        <v>820</v>
      </c>
      <c r="C118" s="164"/>
      <c r="D118" s="164"/>
      <c r="E118" s="164"/>
      <c r="F118" s="164"/>
      <c r="G118" s="164"/>
      <c r="H118" s="164"/>
      <c r="I118" s="164">
        <v>0</v>
      </c>
      <c r="J118" s="164">
        <v>1</v>
      </c>
      <c r="K118" s="164">
        <v>1</v>
      </c>
      <c r="L118" s="164">
        <v>5</v>
      </c>
      <c r="M118" s="164">
        <v>1</v>
      </c>
      <c r="N118" s="164">
        <v>6</v>
      </c>
      <c r="O118" s="164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>
        <v>5</v>
      </c>
      <c r="AB118" s="164">
        <v>2</v>
      </c>
      <c r="AC118" s="165">
        <v>7</v>
      </c>
    </row>
    <row r="119" spans="1:29" ht="16.5" customHeight="1">
      <c r="A119" s="162">
        <v>115</v>
      </c>
      <c r="B119" s="163" t="s">
        <v>814</v>
      </c>
      <c r="C119" s="164"/>
      <c r="D119" s="164"/>
      <c r="E119" s="164"/>
      <c r="F119" s="164"/>
      <c r="G119" s="164"/>
      <c r="H119" s="164"/>
      <c r="I119" s="164">
        <v>2</v>
      </c>
      <c r="J119" s="164">
        <v>2</v>
      </c>
      <c r="K119" s="164">
        <v>4</v>
      </c>
      <c r="L119" s="164">
        <v>1</v>
      </c>
      <c r="M119" s="164">
        <v>1</v>
      </c>
      <c r="N119" s="164">
        <v>2</v>
      </c>
      <c r="O119" s="164"/>
      <c r="P119" s="164"/>
      <c r="Q119" s="164"/>
      <c r="R119" s="164"/>
      <c r="S119" s="164"/>
      <c r="T119" s="164"/>
      <c r="U119" s="164"/>
      <c r="V119" s="164"/>
      <c r="W119" s="164"/>
      <c r="X119" s="164"/>
      <c r="Y119" s="164"/>
      <c r="Z119" s="164"/>
      <c r="AA119" s="164">
        <v>3</v>
      </c>
      <c r="AB119" s="164">
        <v>3</v>
      </c>
      <c r="AC119" s="165">
        <v>6</v>
      </c>
    </row>
    <row r="120" spans="1:29">
      <c r="A120" s="162">
        <v>116</v>
      </c>
      <c r="B120" s="163" t="s">
        <v>860</v>
      </c>
      <c r="C120" s="164"/>
      <c r="D120" s="164"/>
      <c r="E120" s="164"/>
      <c r="F120" s="164"/>
      <c r="G120" s="164"/>
      <c r="H120" s="164"/>
      <c r="I120" s="164"/>
      <c r="J120" s="164"/>
      <c r="K120" s="164"/>
      <c r="L120" s="164">
        <v>6</v>
      </c>
      <c r="M120" s="164">
        <v>0</v>
      </c>
      <c r="N120" s="164">
        <v>6</v>
      </c>
      <c r="O120" s="164"/>
      <c r="P120" s="164"/>
      <c r="Q120" s="164"/>
      <c r="R120" s="164"/>
      <c r="S120" s="164"/>
      <c r="T120" s="164"/>
      <c r="U120" s="164"/>
      <c r="V120" s="164"/>
      <c r="W120" s="164"/>
      <c r="X120" s="164"/>
      <c r="Y120" s="164"/>
      <c r="Z120" s="164"/>
      <c r="AA120" s="164">
        <v>6</v>
      </c>
      <c r="AB120" s="164">
        <v>0</v>
      </c>
      <c r="AC120" s="165">
        <v>6</v>
      </c>
    </row>
    <row r="121" spans="1:29">
      <c r="A121" s="162">
        <v>117</v>
      </c>
      <c r="B121" s="163" t="s">
        <v>830</v>
      </c>
      <c r="C121" s="164">
        <v>0</v>
      </c>
      <c r="D121" s="164">
        <v>1</v>
      </c>
      <c r="E121" s="164">
        <v>1</v>
      </c>
      <c r="F121" s="164"/>
      <c r="G121" s="164"/>
      <c r="H121" s="164"/>
      <c r="I121" s="164">
        <v>0</v>
      </c>
      <c r="J121" s="164">
        <v>1</v>
      </c>
      <c r="K121" s="164">
        <v>1</v>
      </c>
      <c r="L121" s="164">
        <v>4</v>
      </c>
      <c r="M121" s="164">
        <v>0</v>
      </c>
      <c r="N121" s="164">
        <v>4</v>
      </c>
      <c r="O121" s="164"/>
      <c r="P121" s="164"/>
      <c r="Q121" s="164"/>
      <c r="R121" s="164"/>
      <c r="S121" s="164"/>
      <c r="T121" s="164"/>
      <c r="U121" s="164"/>
      <c r="V121" s="164"/>
      <c r="W121" s="164"/>
      <c r="X121" s="164"/>
      <c r="Y121" s="164"/>
      <c r="Z121" s="164"/>
      <c r="AA121" s="164">
        <v>4</v>
      </c>
      <c r="AB121" s="164">
        <v>2</v>
      </c>
      <c r="AC121" s="165">
        <v>6</v>
      </c>
    </row>
    <row r="122" spans="1:29">
      <c r="A122" s="162">
        <v>118</v>
      </c>
      <c r="B122" s="163" t="s">
        <v>836</v>
      </c>
      <c r="C122" s="164"/>
      <c r="D122" s="164"/>
      <c r="E122" s="164"/>
      <c r="F122" s="164"/>
      <c r="G122" s="164"/>
      <c r="H122" s="164"/>
      <c r="I122" s="164"/>
      <c r="J122" s="164"/>
      <c r="K122" s="164"/>
      <c r="L122" s="164">
        <v>2</v>
      </c>
      <c r="M122" s="164">
        <v>4</v>
      </c>
      <c r="N122" s="164">
        <v>6</v>
      </c>
      <c r="O122" s="164"/>
      <c r="P122" s="164"/>
      <c r="Q122" s="164"/>
      <c r="R122" s="164"/>
      <c r="S122" s="164"/>
      <c r="T122" s="164"/>
      <c r="U122" s="164"/>
      <c r="V122" s="164"/>
      <c r="W122" s="164"/>
      <c r="X122" s="164"/>
      <c r="Y122" s="164"/>
      <c r="Z122" s="164"/>
      <c r="AA122" s="164">
        <v>2</v>
      </c>
      <c r="AB122" s="164">
        <v>4</v>
      </c>
      <c r="AC122" s="165">
        <v>6</v>
      </c>
    </row>
    <row r="123" spans="1:29">
      <c r="A123" s="162">
        <v>119</v>
      </c>
      <c r="B123" s="163" t="s">
        <v>782</v>
      </c>
      <c r="C123" s="164"/>
      <c r="D123" s="164"/>
      <c r="E123" s="164"/>
      <c r="F123" s="164"/>
      <c r="G123" s="164"/>
      <c r="H123" s="164"/>
      <c r="I123" s="164">
        <v>0</v>
      </c>
      <c r="J123" s="164">
        <v>1</v>
      </c>
      <c r="K123" s="164">
        <v>1</v>
      </c>
      <c r="L123" s="164">
        <v>4</v>
      </c>
      <c r="M123" s="164">
        <v>1</v>
      </c>
      <c r="N123" s="164">
        <v>5</v>
      </c>
      <c r="O123" s="164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>
        <v>4</v>
      </c>
      <c r="AB123" s="164">
        <v>2</v>
      </c>
      <c r="AC123" s="165">
        <v>6</v>
      </c>
    </row>
    <row r="124" spans="1:29">
      <c r="A124" s="162">
        <v>120</v>
      </c>
      <c r="B124" s="163" t="s">
        <v>776</v>
      </c>
      <c r="C124" s="164">
        <v>3</v>
      </c>
      <c r="D124" s="164">
        <v>0</v>
      </c>
      <c r="E124" s="164">
        <v>3</v>
      </c>
      <c r="F124" s="164"/>
      <c r="G124" s="164"/>
      <c r="H124" s="164"/>
      <c r="I124" s="164">
        <v>2</v>
      </c>
      <c r="J124" s="164">
        <v>0</v>
      </c>
      <c r="K124" s="164">
        <v>2</v>
      </c>
      <c r="L124" s="164">
        <v>1</v>
      </c>
      <c r="M124" s="164">
        <v>0</v>
      </c>
      <c r="N124" s="164">
        <v>1</v>
      </c>
      <c r="O124" s="164"/>
      <c r="P124" s="164"/>
      <c r="Q124" s="164"/>
      <c r="R124" s="164"/>
      <c r="S124" s="164"/>
      <c r="T124" s="164"/>
      <c r="U124" s="164"/>
      <c r="V124" s="164"/>
      <c r="W124" s="164"/>
      <c r="X124" s="164"/>
      <c r="Y124" s="164"/>
      <c r="Z124" s="164"/>
      <c r="AA124" s="164">
        <v>6</v>
      </c>
      <c r="AB124" s="164">
        <v>0</v>
      </c>
      <c r="AC124" s="165">
        <v>6</v>
      </c>
    </row>
    <row r="125" spans="1:29">
      <c r="A125" s="162">
        <v>121</v>
      </c>
      <c r="B125" s="163" t="s">
        <v>858</v>
      </c>
      <c r="C125" s="164"/>
      <c r="D125" s="164"/>
      <c r="E125" s="164"/>
      <c r="F125" s="164"/>
      <c r="G125" s="164"/>
      <c r="H125" s="164"/>
      <c r="I125" s="164">
        <v>1</v>
      </c>
      <c r="J125" s="164">
        <v>0</v>
      </c>
      <c r="K125" s="164">
        <v>1</v>
      </c>
      <c r="L125" s="164">
        <v>2</v>
      </c>
      <c r="M125" s="164">
        <v>2</v>
      </c>
      <c r="N125" s="164">
        <v>4</v>
      </c>
      <c r="O125" s="164"/>
      <c r="P125" s="164"/>
      <c r="Q125" s="164"/>
      <c r="R125" s="164"/>
      <c r="S125" s="164"/>
      <c r="T125" s="164"/>
      <c r="U125" s="164"/>
      <c r="V125" s="164"/>
      <c r="W125" s="164"/>
      <c r="X125" s="164"/>
      <c r="Y125" s="164"/>
      <c r="Z125" s="164"/>
      <c r="AA125" s="164">
        <v>3</v>
      </c>
      <c r="AB125" s="164">
        <v>2</v>
      </c>
      <c r="AC125" s="165">
        <v>5</v>
      </c>
    </row>
    <row r="126" spans="1:29">
      <c r="A126" s="162">
        <v>122</v>
      </c>
      <c r="B126" s="163" t="s">
        <v>848</v>
      </c>
      <c r="C126" s="164">
        <v>0</v>
      </c>
      <c r="D126" s="164">
        <v>1</v>
      </c>
      <c r="E126" s="164">
        <v>1</v>
      </c>
      <c r="F126" s="164"/>
      <c r="G126" s="164"/>
      <c r="H126" s="164"/>
      <c r="I126" s="164">
        <v>0</v>
      </c>
      <c r="J126" s="164">
        <v>2</v>
      </c>
      <c r="K126" s="164">
        <v>2</v>
      </c>
      <c r="L126" s="164">
        <v>0</v>
      </c>
      <c r="M126" s="164">
        <v>1</v>
      </c>
      <c r="N126" s="164">
        <v>1</v>
      </c>
      <c r="O126" s="164"/>
      <c r="P126" s="164"/>
      <c r="Q126" s="164"/>
      <c r="R126" s="164"/>
      <c r="S126" s="164"/>
      <c r="T126" s="164"/>
      <c r="U126" s="164"/>
      <c r="V126" s="164"/>
      <c r="W126" s="164"/>
      <c r="X126" s="164"/>
      <c r="Y126" s="164"/>
      <c r="Z126" s="164"/>
      <c r="AA126" s="164">
        <v>0</v>
      </c>
      <c r="AB126" s="164">
        <v>4</v>
      </c>
      <c r="AC126" s="165">
        <v>4</v>
      </c>
    </row>
    <row r="127" spans="1:29">
      <c r="A127" s="162">
        <v>123</v>
      </c>
      <c r="B127" s="163" t="s">
        <v>827</v>
      </c>
      <c r="C127" s="164"/>
      <c r="D127" s="164"/>
      <c r="E127" s="164"/>
      <c r="F127" s="164"/>
      <c r="G127" s="164"/>
      <c r="H127" s="164"/>
      <c r="I127" s="164">
        <v>2</v>
      </c>
      <c r="J127" s="164">
        <v>0</v>
      </c>
      <c r="K127" s="164">
        <v>2</v>
      </c>
      <c r="L127" s="164">
        <v>1</v>
      </c>
      <c r="M127" s="164">
        <v>1</v>
      </c>
      <c r="N127" s="164">
        <v>2</v>
      </c>
      <c r="O127" s="164"/>
      <c r="P127" s="164"/>
      <c r="Q127" s="164"/>
      <c r="R127" s="164"/>
      <c r="S127" s="164"/>
      <c r="T127" s="164"/>
      <c r="U127" s="164"/>
      <c r="V127" s="164"/>
      <c r="W127" s="164"/>
      <c r="X127" s="164"/>
      <c r="Y127" s="164"/>
      <c r="Z127" s="164"/>
      <c r="AA127" s="164">
        <v>3</v>
      </c>
      <c r="AB127" s="164">
        <v>1</v>
      </c>
      <c r="AC127" s="165">
        <v>4</v>
      </c>
    </row>
    <row r="128" spans="1:29">
      <c r="A128" s="162">
        <v>124</v>
      </c>
      <c r="B128" s="163" t="s">
        <v>847</v>
      </c>
      <c r="C128" s="164"/>
      <c r="D128" s="164"/>
      <c r="E128" s="164"/>
      <c r="F128" s="164"/>
      <c r="G128" s="164"/>
      <c r="H128" s="164"/>
      <c r="I128" s="164">
        <v>0</v>
      </c>
      <c r="J128" s="164">
        <v>3</v>
      </c>
      <c r="K128" s="164">
        <v>3</v>
      </c>
      <c r="L128" s="164">
        <v>1</v>
      </c>
      <c r="M128" s="164">
        <v>0</v>
      </c>
      <c r="N128" s="164">
        <v>1</v>
      </c>
      <c r="O128" s="164"/>
      <c r="P128" s="164"/>
      <c r="Q128" s="164"/>
      <c r="R128" s="164"/>
      <c r="S128" s="164"/>
      <c r="T128" s="164"/>
      <c r="U128" s="164"/>
      <c r="V128" s="164"/>
      <c r="W128" s="164"/>
      <c r="X128" s="164"/>
      <c r="Y128" s="164"/>
      <c r="Z128" s="164"/>
      <c r="AA128" s="164">
        <v>1</v>
      </c>
      <c r="AB128" s="164">
        <v>3</v>
      </c>
      <c r="AC128" s="165">
        <v>4</v>
      </c>
    </row>
    <row r="129" spans="1:29">
      <c r="A129" s="162">
        <v>125</v>
      </c>
      <c r="B129" s="163" t="s">
        <v>843</v>
      </c>
      <c r="C129" s="164"/>
      <c r="D129" s="164"/>
      <c r="E129" s="164"/>
      <c r="F129" s="164"/>
      <c r="G129" s="164"/>
      <c r="H129" s="164"/>
      <c r="I129" s="164">
        <v>1</v>
      </c>
      <c r="J129" s="164">
        <v>0</v>
      </c>
      <c r="K129" s="164">
        <v>1</v>
      </c>
      <c r="L129" s="164">
        <v>3</v>
      </c>
      <c r="M129" s="164">
        <v>0</v>
      </c>
      <c r="N129" s="164">
        <v>3</v>
      </c>
      <c r="O129" s="164"/>
      <c r="P129" s="164"/>
      <c r="Q129" s="164"/>
      <c r="R129" s="164"/>
      <c r="S129" s="164"/>
      <c r="T129" s="164"/>
      <c r="U129" s="164"/>
      <c r="V129" s="164"/>
      <c r="W129" s="164"/>
      <c r="X129" s="164"/>
      <c r="Y129" s="164"/>
      <c r="Z129" s="164"/>
      <c r="AA129" s="164">
        <v>4</v>
      </c>
      <c r="AB129" s="164">
        <v>0</v>
      </c>
      <c r="AC129" s="165">
        <v>4</v>
      </c>
    </row>
    <row r="130" spans="1:29">
      <c r="A130" s="162">
        <v>126</v>
      </c>
      <c r="B130" s="163" t="s">
        <v>856</v>
      </c>
      <c r="C130" s="164"/>
      <c r="D130" s="164"/>
      <c r="E130" s="164"/>
      <c r="F130" s="164"/>
      <c r="G130" s="164"/>
      <c r="H130" s="164"/>
      <c r="I130" s="164"/>
      <c r="J130" s="164"/>
      <c r="K130" s="164"/>
      <c r="L130" s="164">
        <v>3</v>
      </c>
      <c r="M130" s="164">
        <v>0</v>
      </c>
      <c r="N130" s="164">
        <v>3</v>
      </c>
      <c r="O130" s="164"/>
      <c r="P130" s="164"/>
      <c r="Q130" s="164"/>
      <c r="R130" s="164"/>
      <c r="S130" s="164"/>
      <c r="T130" s="164"/>
      <c r="U130" s="164"/>
      <c r="V130" s="164"/>
      <c r="W130" s="164"/>
      <c r="X130" s="164"/>
      <c r="Y130" s="164"/>
      <c r="Z130" s="164"/>
      <c r="AA130" s="164">
        <v>3</v>
      </c>
      <c r="AB130" s="164">
        <v>0</v>
      </c>
      <c r="AC130" s="165">
        <v>3</v>
      </c>
    </row>
    <row r="131" spans="1:29">
      <c r="A131" s="162">
        <v>127</v>
      </c>
      <c r="B131" s="163" t="s">
        <v>839</v>
      </c>
      <c r="C131" s="164"/>
      <c r="D131" s="164"/>
      <c r="E131" s="164"/>
      <c r="F131" s="164"/>
      <c r="G131" s="164"/>
      <c r="H131" s="164"/>
      <c r="I131" s="164"/>
      <c r="J131" s="164"/>
      <c r="K131" s="164"/>
      <c r="L131" s="164">
        <v>1</v>
      </c>
      <c r="M131" s="164">
        <v>2</v>
      </c>
      <c r="N131" s="164">
        <v>3</v>
      </c>
      <c r="O131" s="164"/>
      <c r="P131" s="164"/>
      <c r="Q131" s="164"/>
      <c r="R131" s="164"/>
      <c r="S131" s="164"/>
      <c r="T131" s="164"/>
      <c r="U131" s="164"/>
      <c r="V131" s="164"/>
      <c r="W131" s="164"/>
      <c r="X131" s="164"/>
      <c r="Y131" s="164"/>
      <c r="Z131" s="164"/>
      <c r="AA131" s="164">
        <v>1</v>
      </c>
      <c r="AB131" s="164">
        <v>2</v>
      </c>
      <c r="AC131" s="165">
        <v>3</v>
      </c>
    </row>
    <row r="132" spans="1:29">
      <c r="A132" s="162">
        <v>128</v>
      </c>
      <c r="B132" s="163" t="s">
        <v>786</v>
      </c>
      <c r="C132" s="164"/>
      <c r="D132" s="164"/>
      <c r="E132" s="164"/>
      <c r="F132" s="164"/>
      <c r="G132" s="164"/>
      <c r="H132" s="164"/>
      <c r="I132" s="164">
        <v>0</v>
      </c>
      <c r="J132" s="164">
        <v>1</v>
      </c>
      <c r="K132" s="164">
        <v>1</v>
      </c>
      <c r="L132" s="164">
        <v>2</v>
      </c>
      <c r="M132" s="164">
        <v>0</v>
      </c>
      <c r="N132" s="164">
        <v>2</v>
      </c>
      <c r="O132" s="164"/>
      <c r="P132" s="164"/>
      <c r="Q132" s="164"/>
      <c r="R132" s="164"/>
      <c r="S132" s="164"/>
      <c r="T132" s="164"/>
      <c r="U132" s="164"/>
      <c r="V132" s="164"/>
      <c r="W132" s="164"/>
      <c r="X132" s="164"/>
      <c r="Y132" s="164"/>
      <c r="Z132" s="164"/>
      <c r="AA132" s="164">
        <v>2</v>
      </c>
      <c r="AB132" s="164">
        <v>1</v>
      </c>
      <c r="AC132" s="165">
        <v>3</v>
      </c>
    </row>
    <row r="133" spans="1:29">
      <c r="A133" s="162">
        <v>129</v>
      </c>
      <c r="B133" s="163" t="s">
        <v>846</v>
      </c>
      <c r="C133" s="164"/>
      <c r="D133" s="164"/>
      <c r="E133" s="164"/>
      <c r="F133" s="164"/>
      <c r="G133" s="164"/>
      <c r="H133" s="164"/>
      <c r="I133" s="164"/>
      <c r="J133" s="164"/>
      <c r="K133" s="164"/>
      <c r="L133" s="164">
        <v>1</v>
      </c>
      <c r="M133" s="164">
        <v>2</v>
      </c>
      <c r="N133" s="164">
        <v>3</v>
      </c>
      <c r="O133" s="164"/>
      <c r="P133" s="164"/>
      <c r="Q133" s="164"/>
      <c r="R133" s="164"/>
      <c r="S133" s="164"/>
      <c r="T133" s="164"/>
      <c r="U133" s="164"/>
      <c r="V133" s="164"/>
      <c r="W133" s="164"/>
      <c r="X133" s="164"/>
      <c r="Y133" s="164"/>
      <c r="Z133" s="164"/>
      <c r="AA133" s="164">
        <v>1</v>
      </c>
      <c r="AB133" s="164">
        <v>2</v>
      </c>
      <c r="AC133" s="165">
        <v>3</v>
      </c>
    </row>
    <row r="134" spans="1:29" ht="28">
      <c r="A134" s="162">
        <v>130</v>
      </c>
      <c r="B134" s="163" t="s">
        <v>982</v>
      </c>
      <c r="C134" s="164"/>
      <c r="D134" s="164"/>
      <c r="E134" s="164"/>
      <c r="F134" s="164"/>
      <c r="G134" s="164"/>
      <c r="H134" s="164"/>
      <c r="I134" s="164"/>
      <c r="J134" s="164"/>
      <c r="K134" s="164"/>
      <c r="L134" s="164">
        <v>1</v>
      </c>
      <c r="M134" s="164">
        <v>1</v>
      </c>
      <c r="N134" s="164">
        <v>2</v>
      </c>
      <c r="O134" s="164"/>
      <c r="P134" s="164"/>
      <c r="Q134" s="164"/>
      <c r="R134" s="164"/>
      <c r="S134" s="164"/>
      <c r="T134" s="164"/>
      <c r="U134" s="164"/>
      <c r="V134" s="164"/>
      <c r="W134" s="164"/>
      <c r="X134" s="164"/>
      <c r="Y134" s="164"/>
      <c r="Z134" s="164"/>
      <c r="AA134" s="164">
        <v>1</v>
      </c>
      <c r="AB134" s="164">
        <v>1</v>
      </c>
      <c r="AC134" s="165">
        <v>2</v>
      </c>
    </row>
    <row r="135" spans="1:29">
      <c r="A135" s="162">
        <v>131</v>
      </c>
      <c r="B135" s="163" t="s">
        <v>826</v>
      </c>
      <c r="C135" s="164"/>
      <c r="D135" s="164"/>
      <c r="E135" s="164"/>
      <c r="F135" s="164"/>
      <c r="G135" s="164"/>
      <c r="H135" s="164"/>
      <c r="I135" s="164"/>
      <c r="J135" s="164"/>
      <c r="K135" s="164"/>
      <c r="L135" s="164">
        <v>2</v>
      </c>
      <c r="M135" s="164">
        <v>0</v>
      </c>
      <c r="N135" s="164">
        <v>2</v>
      </c>
      <c r="O135" s="164"/>
      <c r="P135" s="164"/>
      <c r="Q135" s="164"/>
      <c r="R135" s="164"/>
      <c r="S135" s="164"/>
      <c r="T135" s="164"/>
      <c r="U135" s="164"/>
      <c r="V135" s="164"/>
      <c r="W135" s="164"/>
      <c r="X135" s="164"/>
      <c r="Y135" s="164"/>
      <c r="Z135" s="164"/>
      <c r="AA135" s="164">
        <v>2</v>
      </c>
      <c r="AB135" s="164">
        <v>0</v>
      </c>
      <c r="AC135" s="165">
        <v>2</v>
      </c>
    </row>
    <row r="136" spans="1:29">
      <c r="A136" s="162">
        <v>132</v>
      </c>
      <c r="B136" s="163" t="s">
        <v>866</v>
      </c>
      <c r="C136" s="164"/>
      <c r="D136" s="164"/>
      <c r="E136" s="164"/>
      <c r="F136" s="164"/>
      <c r="G136" s="164"/>
      <c r="H136" s="164"/>
      <c r="I136" s="164">
        <v>1</v>
      </c>
      <c r="J136" s="164">
        <v>1</v>
      </c>
      <c r="K136" s="164">
        <v>2</v>
      </c>
      <c r="L136" s="164"/>
      <c r="M136" s="164"/>
      <c r="N136" s="164"/>
      <c r="O136" s="164"/>
      <c r="P136" s="164"/>
      <c r="Q136" s="164"/>
      <c r="R136" s="164"/>
      <c r="S136" s="164"/>
      <c r="T136" s="164"/>
      <c r="U136" s="164"/>
      <c r="V136" s="164"/>
      <c r="W136" s="164"/>
      <c r="X136" s="164"/>
      <c r="Y136" s="164"/>
      <c r="Z136" s="164"/>
      <c r="AA136" s="164">
        <v>1</v>
      </c>
      <c r="AB136" s="164">
        <v>1</v>
      </c>
      <c r="AC136" s="165">
        <v>2</v>
      </c>
    </row>
    <row r="137" spans="1:29">
      <c r="A137" s="162">
        <v>133</v>
      </c>
      <c r="B137" s="163" t="s">
        <v>840</v>
      </c>
      <c r="C137" s="164"/>
      <c r="D137" s="164"/>
      <c r="E137" s="164"/>
      <c r="F137" s="164"/>
      <c r="G137" s="164"/>
      <c r="H137" s="164"/>
      <c r="I137" s="164"/>
      <c r="J137" s="164"/>
      <c r="K137" s="164"/>
      <c r="L137" s="164">
        <v>0</v>
      </c>
      <c r="M137" s="164">
        <v>2</v>
      </c>
      <c r="N137" s="164">
        <v>2</v>
      </c>
      <c r="O137" s="164"/>
      <c r="P137" s="164"/>
      <c r="Q137" s="164"/>
      <c r="R137" s="164"/>
      <c r="S137" s="164"/>
      <c r="T137" s="164"/>
      <c r="U137" s="164"/>
      <c r="V137" s="164"/>
      <c r="W137" s="164"/>
      <c r="X137" s="164"/>
      <c r="Y137" s="164"/>
      <c r="Z137" s="164"/>
      <c r="AA137" s="164">
        <v>0</v>
      </c>
      <c r="AB137" s="164">
        <v>2</v>
      </c>
      <c r="AC137" s="165">
        <v>2</v>
      </c>
    </row>
    <row r="138" spans="1:29">
      <c r="A138" s="162">
        <v>134</v>
      </c>
      <c r="B138" s="163" t="s">
        <v>859</v>
      </c>
      <c r="C138" s="164"/>
      <c r="D138" s="164"/>
      <c r="E138" s="164"/>
      <c r="F138" s="164"/>
      <c r="G138" s="164"/>
      <c r="H138" s="164"/>
      <c r="I138" s="164"/>
      <c r="J138" s="164"/>
      <c r="K138" s="164"/>
      <c r="L138" s="164">
        <v>2</v>
      </c>
      <c r="M138" s="164">
        <v>0</v>
      </c>
      <c r="N138" s="164">
        <v>2</v>
      </c>
      <c r="O138" s="164"/>
      <c r="P138" s="164"/>
      <c r="Q138" s="164"/>
      <c r="R138" s="164"/>
      <c r="S138" s="164"/>
      <c r="T138" s="164"/>
      <c r="U138" s="164"/>
      <c r="V138" s="164"/>
      <c r="W138" s="164"/>
      <c r="X138" s="164"/>
      <c r="Y138" s="164"/>
      <c r="Z138" s="164"/>
      <c r="AA138" s="164">
        <v>2</v>
      </c>
      <c r="AB138" s="164">
        <v>0</v>
      </c>
      <c r="AC138" s="165">
        <v>2</v>
      </c>
    </row>
    <row r="139" spans="1:29" ht="28">
      <c r="A139" s="162">
        <v>135</v>
      </c>
      <c r="B139" s="163" t="s">
        <v>983</v>
      </c>
      <c r="C139" s="164"/>
      <c r="D139" s="164"/>
      <c r="E139" s="164"/>
      <c r="F139" s="164"/>
      <c r="G139" s="164"/>
      <c r="H139" s="164"/>
      <c r="I139" s="164"/>
      <c r="J139" s="164"/>
      <c r="K139" s="164"/>
      <c r="L139" s="164">
        <v>1</v>
      </c>
      <c r="M139" s="164">
        <v>0</v>
      </c>
      <c r="N139" s="164">
        <v>1</v>
      </c>
      <c r="O139" s="164"/>
      <c r="P139" s="164"/>
      <c r="Q139" s="164"/>
      <c r="R139" s="164">
        <v>0</v>
      </c>
      <c r="S139" s="164">
        <v>1</v>
      </c>
      <c r="T139" s="164">
        <v>1</v>
      </c>
      <c r="U139" s="164"/>
      <c r="V139" s="164"/>
      <c r="W139" s="164"/>
      <c r="X139" s="164"/>
      <c r="Y139" s="164"/>
      <c r="Z139" s="164"/>
      <c r="AA139" s="164">
        <v>1</v>
      </c>
      <c r="AB139" s="164">
        <v>1</v>
      </c>
      <c r="AC139" s="165">
        <v>2</v>
      </c>
    </row>
    <row r="140" spans="1:29">
      <c r="A140" s="162">
        <v>136</v>
      </c>
      <c r="B140" s="163" t="s">
        <v>852</v>
      </c>
      <c r="C140" s="164"/>
      <c r="D140" s="164"/>
      <c r="E140" s="164"/>
      <c r="F140" s="164"/>
      <c r="G140" s="164"/>
      <c r="H140" s="164"/>
      <c r="I140" s="164"/>
      <c r="J140" s="164"/>
      <c r="K140" s="164"/>
      <c r="L140" s="164">
        <v>0</v>
      </c>
      <c r="M140" s="164">
        <v>2</v>
      </c>
      <c r="N140" s="164">
        <v>2</v>
      </c>
      <c r="O140" s="164"/>
      <c r="P140" s="164"/>
      <c r="Q140" s="164"/>
      <c r="R140" s="164"/>
      <c r="S140" s="164"/>
      <c r="T140" s="164"/>
      <c r="U140" s="164"/>
      <c r="V140" s="164"/>
      <c r="W140" s="164"/>
      <c r="X140" s="164"/>
      <c r="Y140" s="164"/>
      <c r="Z140" s="164"/>
      <c r="AA140" s="164">
        <v>0</v>
      </c>
      <c r="AB140" s="164">
        <v>2</v>
      </c>
      <c r="AC140" s="165">
        <v>2</v>
      </c>
    </row>
    <row r="141" spans="1:29">
      <c r="A141" s="162">
        <v>137</v>
      </c>
      <c r="B141" s="163" t="s">
        <v>838</v>
      </c>
      <c r="C141" s="164"/>
      <c r="D141" s="164"/>
      <c r="E141" s="164"/>
      <c r="F141" s="164"/>
      <c r="G141" s="164"/>
      <c r="H141" s="164"/>
      <c r="I141" s="164">
        <v>1</v>
      </c>
      <c r="J141" s="164">
        <v>0</v>
      </c>
      <c r="K141" s="164">
        <v>1</v>
      </c>
      <c r="L141" s="164">
        <v>0</v>
      </c>
      <c r="M141" s="164">
        <v>1</v>
      </c>
      <c r="N141" s="164">
        <v>1</v>
      </c>
      <c r="O141" s="164"/>
      <c r="P141" s="164"/>
      <c r="Q141" s="164"/>
      <c r="R141" s="164"/>
      <c r="S141" s="164"/>
      <c r="T141" s="164"/>
      <c r="U141" s="164"/>
      <c r="V141" s="164"/>
      <c r="W141" s="164"/>
      <c r="X141" s="164"/>
      <c r="Y141" s="164"/>
      <c r="Z141" s="164"/>
      <c r="AA141" s="164">
        <v>1</v>
      </c>
      <c r="AB141" s="164">
        <v>1</v>
      </c>
      <c r="AC141" s="165">
        <v>2</v>
      </c>
    </row>
    <row r="142" spans="1:29">
      <c r="A142" s="162">
        <v>138</v>
      </c>
      <c r="B142" s="163" t="s">
        <v>842</v>
      </c>
      <c r="C142" s="164"/>
      <c r="D142" s="164"/>
      <c r="E142" s="164"/>
      <c r="F142" s="164"/>
      <c r="G142" s="164"/>
      <c r="H142" s="164"/>
      <c r="I142" s="164">
        <v>0</v>
      </c>
      <c r="J142" s="164">
        <v>2</v>
      </c>
      <c r="K142" s="164">
        <v>2</v>
      </c>
      <c r="L142" s="164"/>
      <c r="M142" s="164"/>
      <c r="N142" s="164"/>
      <c r="O142" s="164"/>
      <c r="P142" s="164"/>
      <c r="Q142" s="164"/>
      <c r="R142" s="164"/>
      <c r="S142" s="164"/>
      <c r="T142" s="164"/>
      <c r="U142" s="164"/>
      <c r="V142" s="164"/>
      <c r="W142" s="164"/>
      <c r="X142" s="164"/>
      <c r="Y142" s="164"/>
      <c r="Z142" s="164"/>
      <c r="AA142" s="164">
        <v>0</v>
      </c>
      <c r="AB142" s="164">
        <v>2</v>
      </c>
      <c r="AC142" s="165">
        <v>2</v>
      </c>
    </row>
    <row r="143" spans="1:29">
      <c r="A143" s="162">
        <v>139</v>
      </c>
      <c r="B143" s="163" t="s">
        <v>984</v>
      </c>
      <c r="C143" s="164"/>
      <c r="D143" s="164"/>
      <c r="E143" s="164"/>
      <c r="F143" s="164"/>
      <c r="G143" s="164"/>
      <c r="H143" s="164"/>
      <c r="I143" s="164"/>
      <c r="J143" s="164"/>
      <c r="K143" s="164"/>
      <c r="L143" s="164">
        <v>1</v>
      </c>
      <c r="M143" s="164">
        <v>1</v>
      </c>
      <c r="N143" s="164">
        <v>2</v>
      </c>
      <c r="O143" s="164"/>
      <c r="P143" s="164"/>
      <c r="Q143" s="164"/>
      <c r="R143" s="164"/>
      <c r="S143" s="164"/>
      <c r="T143" s="164"/>
      <c r="U143" s="164"/>
      <c r="V143" s="164"/>
      <c r="W143" s="164"/>
      <c r="X143" s="164"/>
      <c r="Y143" s="164"/>
      <c r="Z143" s="164"/>
      <c r="AA143" s="164">
        <v>1</v>
      </c>
      <c r="AB143" s="164">
        <v>1</v>
      </c>
      <c r="AC143" s="165">
        <v>2</v>
      </c>
    </row>
    <row r="144" spans="1:29">
      <c r="A144" s="162">
        <v>140</v>
      </c>
      <c r="B144" s="163" t="s">
        <v>850</v>
      </c>
      <c r="C144" s="164"/>
      <c r="D144" s="164"/>
      <c r="E144" s="164"/>
      <c r="F144" s="164"/>
      <c r="G144" s="164"/>
      <c r="H144" s="164"/>
      <c r="I144" s="164">
        <v>2</v>
      </c>
      <c r="J144" s="164">
        <v>0</v>
      </c>
      <c r="K144" s="164">
        <v>2</v>
      </c>
      <c r="L144" s="164"/>
      <c r="M144" s="164"/>
      <c r="N144" s="164"/>
      <c r="O144" s="164"/>
      <c r="P144" s="164"/>
      <c r="Q144" s="164"/>
      <c r="R144" s="164"/>
      <c r="S144" s="164"/>
      <c r="T144" s="164"/>
      <c r="U144" s="164"/>
      <c r="V144" s="164"/>
      <c r="W144" s="164"/>
      <c r="X144" s="164"/>
      <c r="Y144" s="164"/>
      <c r="Z144" s="164"/>
      <c r="AA144" s="164">
        <v>2</v>
      </c>
      <c r="AB144" s="164">
        <v>0</v>
      </c>
      <c r="AC144" s="165">
        <v>2</v>
      </c>
    </row>
    <row r="145" spans="1:29">
      <c r="A145" s="162">
        <v>141</v>
      </c>
      <c r="B145" s="163" t="s">
        <v>865</v>
      </c>
      <c r="C145" s="164"/>
      <c r="D145" s="164"/>
      <c r="E145" s="164"/>
      <c r="F145" s="164"/>
      <c r="G145" s="164"/>
      <c r="H145" s="164"/>
      <c r="I145" s="164"/>
      <c r="J145" s="164"/>
      <c r="K145" s="164"/>
      <c r="L145" s="164">
        <v>2</v>
      </c>
      <c r="M145" s="164">
        <v>0</v>
      </c>
      <c r="N145" s="164">
        <v>2</v>
      </c>
      <c r="O145" s="164"/>
      <c r="P145" s="164"/>
      <c r="Q145" s="164"/>
      <c r="R145" s="164"/>
      <c r="S145" s="164"/>
      <c r="T145" s="164"/>
      <c r="U145" s="164"/>
      <c r="V145" s="164"/>
      <c r="W145" s="164"/>
      <c r="X145" s="164"/>
      <c r="Y145" s="164"/>
      <c r="Z145" s="164"/>
      <c r="AA145" s="164">
        <v>2</v>
      </c>
      <c r="AB145" s="164">
        <v>0</v>
      </c>
      <c r="AC145" s="165">
        <v>2</v>
      </c>
    </row>
    <row r="146" spans="1:29">
      <c r="A146" s="162">
        <v>142</v>
      </c>
      <c r="B146" s="163" t="s">
        <v>844</v>
      </c>
      <c r="C146" s="164"/>
      <c r="D146" s="164"/>
      <c r="E146" s="164"/>
      <c r="F146" s="164"/>
      <c r="G146" s="164"/>
      <c r="H146" s="164"/>
      <c r="I146" s="164">
        <v>0</v>
      </c>
      <c r="J146" s="164">
        <v>1</v>
      </c>
      <c r="K146" s="164">
        <v>1</v>
      </c>
      <c r="L146" s="164">
        <v>0</v>
      </c>
      <c r="M146" s="164">
        <v>1</v>
      </c>
      <c r="N146" s="164">
        <v>1</v>
      </c>
      <c r="O146" s="164"/>
      <c r="P146" s="164"/>
      <c r="Q146" s="164"/>
      <c r="R146" s="164"/>
      <c r="S146" s="164"/>
      <c r="T146" s="164"/>
      <c r="U146" s="164"/>
      <c r="V146" s="164"/>
      <c r="W146" s="164"/>
      <c r="X146" s="164"/>
      <c r="Y146" s="164"/>
      <c r="Z146" s="164"/>
      <c r="AA146" s="164">
        <v>0</v>
      </c>
      <c r="AB146" s="164">
        <v>2</v>
      </c>
      <c r="AC146" s="165">
        <v>2</v>
      </c>
    </row>
    <row r="147" spans="1:29">
      <c r="A147" s="162">
        <v>143</v>
      </c>
      <c r="B147" s="163" t="s">
        <v>868</v>
      </c>
      <c r="C147" s="164"/>
      <c r="D147" s="164"/>
      <c r="E147" s="164"/>
      <c r="F147" s="164"/>
      <c r="G147" s="164"/>
      <c r="H147" s="164"/>
      <c r="I147" s="164"/>
      <c r="J147" s="164"/>
      <c r="K147" s="164"/>
      <c r="L147" s="164">
        <v>2</v>
      </c>
      <c r="M147" s="164">
        <v>0</v>
      </c>
      <c r="N147" s="164">
        <v>2</v>
      </c>
      <c r="O147" s="164"/>
      <c r="P147" s="164"/>
      <c r="Q147" s="164"/>
      <c r="R147" s="164"/>
      <c r="S147" s="164"/>
      <c r="T147" s="164"/>
      <c r="U147" s="164"/>
      <c r="V147" s="164"/>
      <c r="W147" s="164"/>
      <c r="X147" s="164"/>
      <c r="Y147" s="164"/>
      <c r="Z147" s="164"/>
      <c r="AA147" s="164">
        <v>2</v>
      </c>
      <c r="AB147" s="164">
        <v>0</v>
      </c>
      <c r="AC147" s="165">
        <v>2</v>
      </c>
    </row>
    <row r="148" spans="1:29">
      <c r="A148" s="162">
        <v>144</v>
      </c>
      <c r="B148" s="163" t="s">
        <v>854</v>
      </c>
      <c r="C148" s="164"/>
      <c r="D148" s="164"/>
      <c r="E148" s="164"/>
      <c r="F148" s="164"/>
      <c r="G148" s="164"/>
      <c r="H148" s="164"/>
      <c r="I148" s="164"/>
      <c r="J148" s="164"/>
      <c r="K148" s="164"/>
      <c r="L148" s="164">
        <v>2</v>
      </c>
      <c r="M148" s="164">
        <v>0</v>
      </c>
      <c r="N148" s="164">
        <v>2</v>
      </c>
      <c r="O148" s="164"/>
      <c r="P148" s="164"/>
      <c r="Q148" s="164"/>
      <c r="R148" s="164"/>
      <c r="S148" s="164"/>
      <c r="T148" s="164"/>
      <c r="U148" s="164"/>
      <c r="V148" s="164"/>
      <c r="W148" s="164"/>
      <c r="X148" s="164"/>
      <c r="Y148" s="164"/>
      <c r="Z148" s="164"/>
      <c r="AA148" s="164">
        <v>2</v>
      </c>
      <c r="AB148" s="164">
        <v>0</v>
      </c>
      <c r="AC148" s="165">
        <v>2</v>
      </c>
    </row>
    <row r="149" spans="1:29">
      <c r="A149" s="162">
        <v>145</v>
      </c>
      <c r="B149" s="163" t="s">
        <v>864</v>
      </c>
      <c r="C149" s="164"/>
      <c r="D149" s="164"/>
      <c r="E149" s="164"/>
      <c r="F149" s="164"/>
      <c r="G149" s="164"/>
      <c r="H149" s="164"/>
      <c r="I149" s="164"/>
      <c r="J149" s="164"/>
      <c r="K149" s="164"/>
      <c r="L149" s="164">
        <v>1</v>
      </c>
      <c r="M149" s="164">
        <v>1</v>
      </c>
      <c r="N149" s="164">
        <v>2</v>
      </c>
      <c r="O149" s="164"/>
      <c r="P149" s="164"/>
      <c r="Q149" s="164"/>
      <c r="R149" s="164"/>
      <c r="S149" s="164"/>
      <c r="T149" s="164"/>
      <c r="U149" s="164"/>
      <c r="V149" s="164"/>
      <c r="W149" s="164"/>
      <c r="X149" s="164"/>
      <c r="Y149" s="164"/>
      <c r="Z149" s="164"/>
      <c r="AA149" s="164">
        <v>1</v>
      </c>
      <c r="AB149" s="164">
        <v>1</v>
      </c>
      <c r="AC149" s="165">
        <v>2</v>
      </c>
    </row>
    <row r="150" spans="1:29">
      <c r="A150" s="162">
        <v>146</v>
      </c>
      <c r="B150" s="163" t="s">
        <v>985</v>
      </c>
      <c r="C150" s="164"/>
      <c r="D150" s="164"/>
      <c r="E150" s="164"/>
      <c r="F150" s="164"/>
      <c r="G150" s="164"/>
      <c r="H150" s="164"/>
      <c r="I150" s="164"/>
      <c r="J150" s="164"/>
      <c r="K150" s="164"/>
      <c r="L150" s="164">
        <v>2</v>
      </c>
      <c r="M150" s="164">
        <v>0</v>
      </c>
      <c r="N150" s="164">
        <v>2</v>
      </c>
      <c r="O150" s="164"/>
      <c r="P150" s="164"/>
      <c r="Q150" s="164"/>
      <c r="R150" s="164"/>
      <c r="S150" s="164"/>
      <c r="T150" s="164"/>
      <c r="U150" s="164"/>
      <c r="V150" s="164"/>
      <c r="W150" s="164"/>
      <c r="X150" s="164"/>
      <c r="Y150" s="164"/>
      <c r="Z150" s="164"/>
      <c r="AA150" s="164">
        <v>2</v>
      </c>
      <c r="AB150" s="164">
        <v>0</v>
      </c>
      <c r="AC150" s="165">
        <v>2</v>
      </c>
    </row>
    <row r="151" spans="1:29">
      <c r="A151" s="162">
        <v>147</v>
      </c>
      <c r="B151" s="163" t="s">
        <v>986</v>
      </c>
      <c r="C151" s="164"/>
      <c r="D151" s="164"/>
      <c r="E151" s="164"/>
      <c r="F151" s="164"/>
      <c r="G151" s="164"/>
      <c r="H151" s="164"/>
      <c r="I151" s="164">
        <v>1</v>
      </c>
      <c r="J151" s="164">
        <v>0</v>
      </c>
      <c r="K151" s="164">
        <v>1</v>
      </c>
      <c r="L151" s="164">
        <v>1</v>
      </c>
      <c r="M151" s="164">
        <v>0</v>
      </c>
      <c r="N151" s="164">
        <v>1</v>
      </c>
      <c r="O151" s="164"/>
      <c r="P151" s="164"/>
      <c r="Q151" s="164"/>
      <c r="R151" s="164"/>
      <c r="S151" s="164"/>
      <c r="T151" s="164"/>
      <c r="U151" s="164"/>
      <c r="V151" s="164"/>
      <c r="W151" s="164"/>
      <c r="X151" s="164"/>
      <c r="Y151" s="164"/>
      <c r="Z151" s="164"/>
      <c r="AA151" s="164">
        <v>2</v>
      </c>
      <c r="AB151" s="164">
        <v>0</v>
      </c>
      <c r="AC151" s="165">
        <v>2</v>
      </c>
    </row>
    <row r="152" spans="1:29">
      <c r="A152" s="162">
        <v>148</v>
      </c>
      <c r="B152" s="163" t="s">
        <v>867</v>
      </c>
      <c r="C152" s="164"/>
      <c r="D152" s="164"/>
      <c r="E152" s="164"/>
      <c r="F152" s="164"/>
      <c r="G152" s="164"/>
      <c r="H152" s="164"/>
      <c r="I152" s="164">
        <v>1</v>
      </c>
      <c r="J152" s="164">
        <v>0</v>
      </c>
      <c r="K152" s="164">
        <v>1</v>
      </c>
      <c r="L152" s="164"/>
      <c r="M152" s="164"/>
      <c r="N152" s="164"/>
      <c r="O152" s="164"/>
      <c r="P152" s="164"/>
      <c r="Q152" s="164"/>
      <c r="R152" s="164"/>
      <c r="S152" s="164"/>
      <c r="T152" s="164"/>
      <c r="U152" s="164"/>
      <c r="V152" s="164"/>
      <c r="W152" s="164"/>
      <c r="X152" s="164"/>
      <c r="Y152" s="164"/>
      <c r="Z152" s="164"/>
      <c r="AA152" s="164">
        <v>1</v>
      </c>
      <c r="AB152" s="164">
        <v>0</v>
      </c>
      <c r="AC152" s="165">
        <v>1</v>
      </c>
    </row>
    <row r="153" spans="1:29">
      <c r="A153" s="162">
        <v>149</v>
      </c>
      <c r="B153" s="163" t="s">
        <v>862</v>
      </c>
      <c r="C153" s="164"/>
      <c r="D153" s="164"/>
      <c r="E153" s="164"/>
      <c r="F153" s="164"/>
      <c r="G153" s="164"/>
      <c r="H153" s="164"/>
      <c r="I153" s="164"/>
      <c r="J153" s="164"/>
      <c r="K153" s="164"/>
      <c r="L153" s="164">
        <v>1</v>
      </c>
      <c r="M153" s="164">
        <v>0</v>
      </c>
      <c r="N153" s="164">
        <v>1</v>
      </c>
      <c r="O153" s="164"/>
      <c r="P153" s="164"/>
      <c r="Q153" s="164"/>
      <c r="R153" s="164"/>
      <c r="S153" s="164"/>
      <c r="T153" s="164"/>
      <c r="U153" s="164"/>
      <c r="V153" s="164"/>
      <c r="W153" s="164"/>
      <c r="X153" s="164"/>
      <c r="Y153" s="164"/>
      <c r="Z153" s="164"/>
      <c r="AA153" s="164">
        <v>1</v>
      </c>
      <c r="AB153" s="164">
        <v>0</v>
      </c>
      <c r="AC153" s="165">
        <v>1</v>
      </c>
    </row>
    <row r="154" spans="1:29">
      <c r="A154" s="162">
        <v>150</v>
      </c>
      <c r="B154" s="163" t="s">
        <v>849</v>
      </c>
      <c r="C154" s="164"/>
      <c r="D154" s="164"/>
      <c r="E154" s="164"/>
      <c r="F154" s="164"/>
      <c r="G154" s="164"/>
      <c r="H154" s="164"/>
      <c r="I154" s="164"/>
      <c r="J154" s="164"/>
      <c r="K154" s="164"/>
      <c r="L154" s="164">
        <v>0</v>
      </c>
      <c r="M154" s="164">
        <v>1</v>
      </c>
      <c r="N154" s="164">
        <v>1</v>
      </c>
      <c r="O154" s="164"/>
      <c r="P154" s="164"/>
      <c r="Q154" s="164"/>
      <c r="R154" s="164"/>
      <c r="S154" s="164"/>
      <c r="T154" s="164"/>
      <c r="U154" s="164"/>
      <c r="V154" s="164"/>
      <c r="W154" s="164"/>
      <c r="X154" s="164"/>
      <c r="Y154" s="164"/>
      <c r="Z154" s="164"/>
      <c r="AA154" s="164">
        <v>0</v>
      </c>
      <c r="AB154" s="164">
        <v>1</v>
      </c>
      <c r="AC154" s="165">
        <v>1</v>
      </c>
    </row>
    <row r="155" spans="1:29">
      <c r="A155" s="162">
        <v>151</v>
      </c>
      <c r="B155" s="163" t="s">
        <v>861</v>
      </c>
      <c r="C155" s="164"/>
      <c r="D155" s="164"/>
      <c r="E155" s="164"/>
      <c r="F155" s="164"/>
      <c r="G155" s="164"/>
      <c r="H155" s="164"/>
      <c r="I155" s="164"/>
      <c r="J155" s="164"/>
      <c r="K155" s="164"/>
      <c r="L155" s="164">
        <v>1</v>
      </c>
      <c r="M155" s="164">
        <v>0</v>
      </c>
      <c r="N155" s="164">
        <v>1</v>
      </c>
      <c r="O155" s="164"/>
      <c r="P155" s="164"/>
      <c r="Q155" s="164"/>
      <c r="R155" s="164"/>
      <c r="S155" s="164"/>
      <c r="T155" s="164"/>
      <c r="U155" s="164"/>
      <c r="V155" s="164"/>
      <c r="W155" s="164"/>
      <c r="X155" s="164"/>
      <c r="Y155" s="164"/>
      <c r="Z155" s="164"/>
      <c r="AA155" s="164">
        <v>1</v>
      </c>
      <c r="AB155" s="164">
        <v>0</v>
      </c>
      <c r="AC155" s="165">
        <v>1</v>
      </c>
    </row>
    <row r="156" spans="1:29">
      <c r="A156" s="162">
        <v>152</v>
      </c>
      <c r="B156" s="163" t="s">
        <v>853</v>
      </c>
      <c r="C156" s="164"/>
      <c r="D156" s="164"/>
      <c r="E156" s="164"/>
      <c r="F156" s="164"/>
      <c r="G156" s="164"/>
      <c r="H156" s="164"/>
      <c r="I156" s="164"/>
      <c r="J156" s="164"/>
      <c r="K156" s="164"/>
      <c r="L156" s="164">
        <v>0</v>
      </c>
      <c r="M156" s="164">
        <v>1</v>
      </c>
      <c r="N156" s="164">
        <v>1</v>
      </c>
      <c r="O156" s="164"/>
      <c r="P156" s="164"/>
      <c r="Q156" s="164"/>
      <c r="R156" s="164"/>
      <c r="S156" s="164"/>
      <c r="T156" s="164"/>
      <c r="U156" s="164"/>
      <c r="V156" s="164"/>
      <c r="W156" s="164"/>
      <c r="X156" s="164"/>
      <c r="Y156" s="164"/>
      <c r="Z156" s="164"/>
      <c r="AA156" s="164">
        <v>0</v>
      </c>
      <c r="AB156" s="164">
        <v>1</v>
      </c>
      <c r="AC156" s="165">
        <v>1</v>
      </c>
    </row>
    <row r="157" spans="1:29">
      <c r="A157" s="162">
        <v>153</v>
      </c>
      <c r="B157" s="163" t="s">
        <v>855</v>
      </c>
      <c r="C157" s="164"/>
      <c r="D157" s="164"/>
      <c r="E157" s="164"/>
      <c r="F157" s="164"/>
      <c r="G157" s="164"/>
      <c r="H157" s="164"/>
      <c r="I157" s="164"/>
      <c r="J157" s="164"/>
      <c r="K157" s="164"/>
      <c r="L157" s="164">
        <v>1</v>
      </c>
      <c r="M157" s="164">
        <v>0</v>
      </c>
      <c r="N157" s="164">
        <v>1</v>
      </c>
      <c r="O157" s="164"/>
      <c r="P157" s="164"/>
      <c r="Q157" s="164"/>
      <c r="R157" s="164"/>
      <c r="S157" s="164"/>
      <c r="T157" s="164"/>
      <c r="U157" s="164"/>
      <c r="V157" s="164"/>
      <c r="W157" s="164"/>
      <c r="X157" s="164"/>
      <c r="Y157" s="164"/>
      <c r="Z157" s="164"/>
      <c r="AA157" s="164">
        <v>1</v>
      </c>
      <c r="AB157" s="164">
        <v>0</v>
      </c>
      <c r="AC157" s="165">
        <v>1</v>
      </c>
    </row>
    <row r="158" spans="1:29">
      <c r="A158" s="162">
        <v>154</v>
      </c>
      <c r="B158" s="163" t="s">
        <v>841</v>
      </c>
      <c r="C158" s="164"/>
      <c r="D158" s="164"/>
      <c r="E158" s="164"/>
      <c r="F158" s="164"/>
      <c r="G158" s="164"/>
      <c r="H158" s="164"/>
      <c r="I158" s="164">
        <v>1</v>
      </c>
      <c r="J158" s="164">
        <v>0</v>
      </c>
      <c r="K158" s="164">
        <v>1</v>
      </c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>
        <v>1</v>
      </c>
      <c r="AB158" s="164">
        <v>0</v>
      </c>
      <c r="AC158" s="165">
        <v>1</v>
      </c>
    </row>
    <row r="159" spans="1:29">
      <c r="A159" s="162">
        <v>155</v>
      </c>
      <c r="B159" s="163" t="s">
        <v>987</v>
      </c>
      <c r="C159" s="164"/>
      <c r="D159" s="164"/>
      <c r="E159" s="164"/>
      <c r="F159" s="164"/>
      <c r="G159" s="164"/>
      <c r="H159" s="164"/>
      <c r="I159" s="164"/>
      <c r="J159" s="164"/>
      <c r="K159" s="164"/>
      <c r="L159" s="164">
        <v>0</v>
      </c>
      <c r="M159" s="164">
        <v>1</v>
      </c>
      <c r="N159" s="164">
        <v>1</v>
      </c>
      <c r="O159" s="164"/>
      <c r="P159" s="164"/>
      <c r="Q159" s="164"/>
      <c r="R159" s="164"/>
      <c r="S159" s="164"/>
      <c r="T159" s="164"/>
      <c r="U159" s="164"/>
      <c r="V159" s="164"/>
      <c r="W159" s="164"/>
      <c r="X159" s="164"/>
      <c r="Y159" s="164"/>
      <c r="Z159" s="164"/>
      <c r="AA159" s="164">
        <v>0</v>
      </c>
      <c r="AB159" s="164">
        <v>1</v>
      </c>
      <c r="AC159" s="165">
        <v>1</v>
      </c>
    </row>
    <row r="160" spans="1:29">
      <c r="A160" s="162">
        <v>156</v>
      </c>
      <c r="B160" s="163" t="s">
        <v>789</v>
      </c>
      <c r="C160" s="164"/>
      <c r="D160" s="164"/>
      <c r="E160" s="164"/>
      <c r="F160" s="164"/>
      <c r="G160" s="164"/>
      <c r="H160" s="164"/>
      <c r="I160" s="164"/>
      <c r="J160" s="164"/>
      <c r="K160" s="164"/>
      <c r="L160" s="164">
        <v>1</v>
      </c>
      <c r="M160" s="164">
        <v>0</v>
      </c>
      <c r="N160" s="164">
        <v>1</v>
      </c>
      <c r="O160" s="164"/>
      <c r="P160" s="164"/>
      <c r="Q160" s="164"/>
      <c r="R160" s="164"/>
      <c r="S160" s="164"/>
      <c r="T160" s="164"/>
      <c r="U160" s="164"/>
      <c r="V160" s="164"/>
      <c r="W160" s="164"/>
      <c r="X160" s="164"/>
      <c r="Y160" s="164"/>
      <c r="Z160" s="164"/>
      <c r="AA160" s="164">
        <v>1</v>
      </c>
      <c r="AB160" s="164">
        <v>0</v>
      </c>
      <c r="AC160" s="165">
        <v>1</v>
      </c>
    </row>
    <row r="161" spans="1:29">
      <c r="A161" s="162">
        <v>157</v>
      </c>
      <c r="B161" s="163" t="s">
        <v>988</v>
      </c>
      <c r="C161" s="164"/>
      <c r="D161" s="164"/>
      <c r="E161" s="164"/>
      <c r="F161" s="164"/>
      <c r="G161" s="164"/>
      <c r="H161" s="164"/>
      <c r="I161" s="164"/>
      <c r="J161" s="164"/>
      <c r="K161" s="164"/>
      <c r="L161" s="164">
        <v>1</v>
      </c>
      <c r="M161" s="164">
        <v>0</v>
      </c>
      <c r="N161" s="164">
        <v>1</v>
      </c>
      <c r="O161" s="164"/>
      <c r="P161" s="164"/>
      <c r="Q161" s="164"/>
      <c r="R161" s="164"/>
      <c r="S161" s="164"/>
      <c r="T161" s="164"/>
      <c r="U161" s="164"/>
      <c r="V161" s="164"/>
      <c r="W161" s="164"/>
      <c r="X161" s="164"/>
      <c r="Y161" s="164"/>
      <c r="Z161" s="164"/>
      <c r="AA161" s="164">
        <v>1</v>
      </c>
      <c r="AB161" s="164">
        <v>0</v>
      </c>
      <c r="AC161" s="165">
        <v>1</v>
      </c>
    </row>
    <row r="162" spans="1:29">
      <c r="A162" s="162">
        <v>158</v>
      </c>
      <c r="B162" s="163" t="s">
        <v>851</v>
      </c>
      <c r="C162" s="164">
        <v>1</v>
      </c>
      <c r="D162" s="164">
        <v>0</v>
      </c>
      <c r="E162" s="164">
        <v>1</v>
      </c>
      <c r="F162" s="164"/>
      <c r="G162" s="164"/>
      <c r="H162" s="164"/>
      <c r="I162" s="164"/>
      <c r="J162" s="164"/>
      <c r="K162" s="164"/>
      <c r="L162" s="164"/>
      <c r="M162" s="164"/>
      <c r="N162" s="164"/>
      <c r="O162" s="164"/>
      <c r="P162" s="164"/>
      <c r="Q162" s="164"/>
      <c r="R162" s="164"/>
      <c r="S162" s="164"/>
      <c r="T162" s="164"/>
      <c r="U162" s="164"/>
      <c r="V162" s="164"/>
      <c r="W162" s="164"/>
      <c r="X162" s="164"/>
      <c r="Y162" s="164"/>
      <c r="Z162" s="164"/>
      <c r="AA162" s="164">
        <v>1</v>
      </c>
      <c r="AB162" s="164">
        <v>0</v>
      </c>
      <c r="AC162" s="165">
        <v>1</v>
      </c>
    </row>
    <row r="163" spans="1:29">
      <c r="A163" s="162">
        <v>159</v>
      </c>
      <c r="B163" s="163" t="s">
        <v>845</v>
      </c>
      <c r="C163" s="164">
        <v>1</v>
      </c>
      <c r="D163" s="164">
        <v>0</v>
      </c>
      <c r="E163" s="164">
        <v>1</v>
      </c>
      <c r="F163" s="164"/>
      <c r="G163" s="164"/>
      <c r="H163" s="164"/>
      <c r="I163" s="164"/>
      <c r="J163" s="164"/>
      <c r="K163" s="164"/>
      <c r="L163" s="164"/>
      <c r="M163" s="164"/>
      <c r="N163" s="164"/>
      <c r="O163" s="164"/>
      <c r="P163" s="164"/>
      <c r="Q163" s="164"/>
      <c r="R163" s="164"/>
      <c r="S163" s="164"/>
      <c r="T163" s="164"/>
      <c r="U163" s="164"/>
      <c r="V163" s="164"/>
      <c r="W163" s="164"/>
      <c r="X163" s="164"/>
      <c r="Y163" s="164"/>
      <c r="Z163" s="164"/>
      <c r="AA163" s="164">
        <v>1</v>
      </c>
      <c r="AB163" s="164">
        <v>0</v>
      </c>
      <c r="AC163" s="165">
        <v>1</v>
      </c>
    </row>
    <row r="164" spans="1:29">
      <c r="A164" s="162">
        <v>160</v>
      </c>
      <c r="B164" s="163" t="s">
        <v>863</v>
      </c>
      <c r="C164" s="164"/>
      <c r="D164" s="164"/>
      <c r="E164" s="164"/>
      <c r="F164" s="164"/>
      <c r="G164" s="164"/>
      <c r="H164" s="164"/>
      <c r="I164" s="164">
        <v>0</v>
      </c>
      <c r="J164" s="164">
        <v>1</v>
      </c>
      <c r="K164" s="164">
        <v>1</v>
      </c>
      <c r="L164" s="164"/>
      <c r="M164" s="164"/>
      <c r="N164" s="164"/>
      <c r="O164" s="164"/>
      <c r="P164" s="164"/>
      <c r="Q164" s="164"/>
      <c r="R164" s="164"/>
      <c r="S164" s="164"/>
      <c r="T164" s="164"/>
      <c r="U164" s="164"/>
      <c r="V164" s="164"/>
      <c r="W164" s="164"/>
      <c r="X164" s="164"/>
      <c r="Y164" s="164"/>
      <c r="Z164" s="164"/>
      <c r="AA164" s="164">
        <v>0</v>
      </c>
      <c r="AB164" s="164">
        <v>1</v>
      </c>
      <c r="AC164" s="165">
        <v>1</v>
      </c>
    </row>
    <row r="165" spans="1:29">
      <c r="A165" s="162">
        <v>161</v>
      </c>
      <c r="B165" s="163" t="s">
        <v>837</v>
      </c>
      <c r="C165" s="164"/>
      <c r="D165" s="164"/>
      <c r="E165" s="164"/>
      <c r="F165" s="164"/>
      <c r="G165" s="164"/>
      <c r="H165" s="164"/>
      <c r="I165" s="164"/>
      <c r="J165" s="164"/>
      <c r="K165" s="164"/>
      <c r="L165" s="164">
        <v>1</v>
      </c>
      <c r="M165" s="164">
        <v>0</v>
      </c>
      <c r="N165" s="164">
        <v>1</v>
      </c>
      <c r="O165" s="164"/>
      <c r="P165" s="164"/>
      <c r="Q165" s="164"/>
      <c r="R165" s="164"/>
      <c r="S165" s="164"/>
      <c r="T165" s="164"/>
      <c r="U165" s="164"/>
      <c r="V165" s="164"/>
      <c r="W165" s="164"/>
      <c r="X165" s="164"/>
      <c r="Y165" s="164"/>
      <c r="Z165" s="164"/>
      <c r="AA165" s="164">
        <v>1</v>
      </c>
      <c r="AB165" s="164">
        <v>0</v>
      </c>
      <c r="AC165" s="165">
        <v>1</v>
      </c>
    </row>
    <row r="166" spans="1:29">
      <c r="A166" s="162">
        <v>162</v>
      </c>
      <c r="B166" s="163" t="s">
        <v>989</v>
      </c>
      <c r="C166" s="164"/>
      <c r="D166" s="164"/>
      <c r="E166" s="164"/>
      <c r="F166" s="164"/>
      <c r="G166" s="164"/>
      <c r="H166" s="164"/>
      <c r="I166" s="164"/>
      <c r="J166" s="164"/>
      <c r="K166" s="164"/>
      <c r="L166" s="164">
        <v>0</v>
      </c>
      <c r="M166" s="164">
        <v>1</v>
      </c>
      <c r="N166" s="164">
        <v>1</v>
      </c>
      <c r="O166" s="164"/>
      <c r="P166" s="164"/>
      <c r="Q166" s="164"/>
      <c r="R166" s="164"/>
      <c r="S166" s="164"/>
      <c r="T166" s="164"/>
      <c r="U166" s="164"/>
      <c r="V166" s="164"/>
      <c r="W166" s="164"/>
      <c r="X166" s="164"/>
      <c r="Y166" s="164"/>
      <c r="Z166" s="164"/>
      <c r="AA166" s="164">
        <v>0</v>
      </c>
      <c r="AB166" s="164">
        <v>1</v>
      </c>
      <c r="AC166" s="165">
        <v>1</v>
      </c>
    </row>
    <row r="167" spans="1:29" ht="33" customHeight="1">
      <c r="A167" s="162">
        <v>163</v>
      </c>
      <c r="B167" s="163" t="s">
        <v>990</v>
      </c>
      <c r="C167" s="164"/>
      <c r="D167" s="164"/>
      <c r="E167" s="164"/>
      <c r="F167" s="164"/>
      <c r="G167" s="164"/>
      <c r="H167" s="164"/>
      <c r="I167" s="164"/>
      <c r="J167" s="164"/>
      <c r="K167" s="164"/>
      <c r="L167" s="164">
        <v>0</v>
      </c>
      <c r="M167" s="164">
        <v>1</v>
      </c>
      <c r="N167" s="164">
        <v>1</v>
      </c>
      <c r="O167" s="164"/>
      <c r="P167" s="164"/>
      <c r="Q167" s="164"/>
      <c r="R167" s="164"/>
      <c r="S167" s="164"/>
      <c r="T167" s="164"/>
      <c r="U167" s="164"/>
      <c r="V167" s="164"/>
      <c r="W167" s="164"/>
      <c r="X167" s="164"/>
      <c r="Y167" s="164"/>
      <c r="Z167" s="164"/>
      <c r="AA167" s="164">
        <v>0</v>
      </c>
      <c r="AB167" s="164">
        <v>1</v>
      </c>
      <c r="AC167" s="165">
        <v>1</v>
      </c>
    </row>
    <row r="168" spans="1:29" ht="15" customHeight="1">
      <c r="A168" s="1029" t="s">
        <v>60</v>
      </c>
      <c r="B168" s="1029"/>
      <c r="C168" s="166">
        <v>1124</v>
      </c>
      <c r="D168" s="166">
        <v>330</v>
      </c>
      <c r="E168" s="166">
        <v>1454</v>
      </c>
      <c r="F168" s="166">
        <v>17</v>
      </c>
      <c r="G168" s="166">
        <v>15</v>
      </c>
      <c r="H168" s="166">
        <v>32</v>
      </c>
      <c r="I168" s="166">
        <v>5355</v>
      </c>
      <c r="J168" s="166">
        <v>2428</v>
      </c>
      <c r="K168" s="166">
        <v>7783</v>
      </c>
      <c r="L168" s="166">
        <v>24712</v>
      </c>
      <c r="M168" s="166">
        <v>11750</v>
      </c>
      <c r="N168" s="166">
        <v>36462</v>
      </c>
      <c r="O168" s="166">
        <v>43</v>
      </c>
      <c r="P168" s="166">
        <v>30</v>
      </c>
      <c r="Q168" s="166">
        <v>73</v>
      </c>
      <c r="R168" s="166">
        <v>986</v>
      </c>
      <c r="S168" s="166">
        <v>555</v>
      </c>
      <c r="T168" s="166">
        <v>1541</v>
      </c>
      <c r="U168" s="166">
        <v>13</v>
      </c>
      <c r="V168" s="166">
        <v>21</v>
      </c>
      <c r="W168" s="166">
        <v>34</v>
      </c>
      <c r="X168" s="166">
        <v>353</v>
      </c>
      <c r="Y168" s="166">
        <v>303</v>
      </c>
      <c r="Z168" s="166">
        <v>656</v>
      </c>
      <c r="AA168" s="166">
        <v>32603</v>
      </c>
      <c r="AB168" s="166">
        <v>15432</v>
      </c>
      <c r="AC168" s="166">
        <v>48035</v>
      </c>
    </row>
  </sheetData>
  <mergeCells count="15">
    <mergeCell ref="A168:B168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51181102362204722" right="0.39370078740157483" top="0.55118110236220474" bottom="0.39370078740157483" header="0.35433070866141736" footer="0.23622047244094491"/>
  <pageSetup paperSize="9" scale="77" firstPageNumber="51" pageOrder="overThenDown" orientation="portrait" useFirstPageNumber="1" r:id="rId1"/>
  <headerFooter>
    <oddFooter>&amp;LAISHE 2020-21&amp;CT-16</oddFooter>
  </headerFooter>
  <colBreaks count="2" manualBreakCount="2">
    <brk id="11" max="173" man="1"/>
    <brk id="20" max="173" man="1"/>
  </colBreak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00B050"/>
  </sheetPr>
  <dimension ref="A1:AC39"/>
  <sheetViews>
    <sheetView showZeros="0" view="pageBreakPreview" zoomScaleSheetLayoutView="100" workbookViewId="0">
      <pane xSplit="2" ySplit="4" topLeftCell="U44" activePane="bottomRight" state="frozen"/>
      <selection activeCell="H31" sqref="H31"/>
      <selection pane="topRight" activeCell="H31" sqref="H31"/>
      <selection pane="bottomLeft" activeCell="H31" sqref="H31"/>
      <selection pane="bottomRight" activeCell="AA39" sqref="AA39"/>
    </sheetView>
  </sheetViews>
  <sheetFormatPr defaultColWidth="9.1796875" defaultRowHeight="14"/>
  <cols>
    <col min="1" max="1" width="6.453125" style="169" bestFit="1" customWidth="1"/>
    <col min="2" max="2" width="24.453125" style="173" customWidth="1"/>
    <col min="3" max="29" width="9.26953125" style="169" customWidth="1"/>
    <col min="30" max="16384" width="9.1796875" style="169"/>
  </cols>
  <sheetData>
    <row r="1" spans="1:29" s="157" customFormat="1" ht="36" customHeight="1">
      <c r="B1" s="158" t="s">
        <v>869</v>
      </c>
      <c r="C1" s="1035" t="s">
        <v>1027</v>
      </c>
      <c r="D1" s="1036"/>
      <c r="E1" s="1036"/>
      <c r="F1" s="1036"/>
      <c r="G1" s="1036"/>
      <c r="H1" s="1036"/>
      <c r="I1" s="1036"/>
      <c r="J1" s="1036"/>
      <c r="K1" s="1036"/>
      <c r="L1" s="1035" t="str">
        <f>C1</f>
        <v>State-wise &amp; Level-wise Foreign Students
(Based on Actual Response)</v>
      </c>
      <c r="M1" s="1036"/>
      <c r="N1" s="1036"/>
      <c r="O1" s="1036"/>
      <c r="P1" s="1036"/>
      <c r="Q1" s="1036"/>
      <c r="R1" s="1036"/>
      <c r="S1" s="1036"/>
      <c r="T1" s="1036"/>
      <c r="U1" s="1035" t="str">
        <f>L1</f>
        <v>State-wise &amp; Level-wise Foreign Students
(Based on Actual Response)</v>
      </c>
      <c r="V1" s="1036"/>
      <c r="W1" s="1036"/>
      <c r="X1" s="1036"/>
      <c r="Y1" s="1036"/>
      <c r="Z1" s="1036"/>
      <c r="AA1" s="1036"/>
      <c r="AB1" s="1036"/>
      <c r="AC1" s="1036"/>
    </row>
    <row r="2" spans="1:29" s="168" customFormat="1" ht="18.649999999999999" customHeight="1">
      <c r="A2" s="1037" t="s">
        <v>235</v>
      </c>
      <c r="B2" s="1037" t="s">
        <v>236</v>
      </c>
      <c r="C2" s="1039" t="s">
        <v>89</v>
      </c>
      <c r="D2" s="1039"/>
      <c r="E2" s="1039"/>
      <c r="F2" s="1039" t="s">
        <v>90</v>
      </c>
      <c r="G2" s="1039"/>
      <c r="H2" s="1039"/>
      <c r="I2" s="1039" t="s">
        <v>85</v>
      </c>
      <c r="J2" s="1039"/>
      <c r="K2" s="1039"/>
      <c r="L2" s="1039" t="s">
        <v>86</v>
      </c>
      <c r="M2" s="1039"/>
      <c r="N2" s="1039"/>
      <c r="O2" s="1039" t="s">
        <v>91</v>
      </c>
      <c r="P2" s="1039"/>
      <c r="Q2" s="1039"/>
      <c r="R2" s="1039" t="s">
        <v>92</v>
      </c>
      <c r="S2" s="1039"/>
      <c r="T2" s="1039"/>
      <c r="U2" s="1039" t="s">
        <v>93</v>
      </c>
      <c r="V2" s="1039"/>
      <c r="W2" s="1039"/>
      <c r="X2" s="1039" t="s">
        <v>94</v>
      </c>
      <c r="Y2" s="1039"/>
      <c r="Z2" s="1039"/>
      <c r="AA2" s="1039" t="s">
        <v>12</v>
      </c>
      <c r="AB2" s="1039"/>
      <c r="AC2" s="1039"/>
    </row>
    <row r="3" spans="1:29" ht="18.649999999999999" customHeight="1">
      <c r="A3" s="1038"/>
      <c r="B3" s="1038"/>
      <c r="C3" s="580" t="s">
        <v>87</v>
      </c>
      <c r="D3" s="580" t="s">
        <v>88</v>
      </c>
      <c r="E3" s="580" t="s">
        <v>12</v>
      </c>
      <c r="F3" s="580" t="s">
        <v>87</v>
      </c>
      <c r="G3" s="580" t="s">
        <v>88</v>
      </c>
      <c r="H3" s="580" t="s">
        <v>12</v>
      </c>
      <c r="I3" s="580" t="s">
        <v>87</v>
      </c>
      <c r="J3" s="580" t="s">
        <v>88</v>
      </c>
      <c r="K3" s="580" t="s">
        <v>12</v>
      </c>
      <c r="L3" s="580" t="s">
        <v>87</v>
      </c>
      <c r="M3" s="580" t="s">
        <v>88</v>
      </c>
      <c r="N3" s="580" t="s">
        <v>12</v>
      </c>
      <c r="O3" s="580" t="s">
        <v>87</v>
      </c>
      <c r="P3" s="580" t="s">
        <v>88</v>
      </c>
      <c r="Q3" s="580" t="s">
        <v>12</v>
      </c>
      <c r="R3" s="580" t="s">
        <v>87</v>
      </c>
      <c r="S3" s="580" t="s">
        <v>88</v>
      </c>
      <c r="T3" s="580" t="s">
        <v>12</v>
      </c>
      <c r="U3" s="580" t="s">
        <v>87</v>
      </c>
      <c r="V3" s="580" t="s">
        <v>88</v>
      </c>
      <c r="W3" s="580" t="s">
        <v>12</v>
      </c>
      <c r="X3" s="580" t="s">
        <v>87</v>
      </c>
      <c r="Y3" s="580" t="s">
        <v>88</v>
      </c>
      <c r="Z3" s="580" t="s">
        <v>12</v>
      </c>
      <c r="AA3" s="580" t="s">
        <v>87</v>
      </c>
      <c r="AB3" s="580" t="s">
        <v>88</v>
      </c>
      <c r="AC3" s="580" t="s">
        <v>12</v>
      </c>
    </row>
    <row r="4" spans="1:29" s="171" customFormat="1" ht="13">
      <c r="A4" s="170">
        <v>1</v>
      </c>
      <c r="B4" s="170">
        <v>2</v>
      </c>
      <c r="C4" s="170">
        <v>3</v>
      </c>
      <c r="D4" s="170">
        <v>4</v>
      </c>
      <c r="E4" s="170">
        <v>5</v>
      </c>
      <c r="F4" s="170">
        <v>6</v>
      </c>
      <c r="G4" s="170">
        <v>7</v>
      </c>
      <c r="H4" s="170">
        <v>8</v>
      </c>
      <c r="I4" s="170">
        <v>9</v>
      </c>
      <c r="J4" s="170">
        <v>10</v>
      </c>
      <c r="K4" s="170">
        <v>11</v>
      </c>
      <c r="L4" s="170">
        <v>12</v>
      </c>
      <c r="M4" s="170">
        <v>13</v>
      </c>
      <c r="N4" s="170">
        <v>14</v>
      </c>
      <c r="O4" s="170">
        <v>15</v>
      </c>
      <c r="P4" s="170">
        <v>16</v>
      </c>
      <c r="Q4" s="170">
        <v>17</v>
      </c>
      <c r="R4" s="170">
        <v>18</v>
      </c>
      <c r="S4" s="170">
        <v>19</v>
      </c>
      <c r="T4" s="170">
        <v>20</v>
      </c>
      <c r="U4" s="170">
        <v>21</v>
      </c>
      <c r="V4" s="170">
        <v>22</v>
      </c>
      <c r="W4" s="170">
        <v>23</v>
      </c>
      <c r="X4" s="170">
        <v>24</v>
      </c>
      <c r="Y4" s="170">
        <v>25</v>
      </c>
      <c r="Z4" s="170">
        <v>26</v>
      </c>
      <c r="AA4" s="170">
        <v>27</v>
      </c>
      <c r="AB4" s="170">
        <v>28</v>
      </c>
      <c r="AC4" s="170">
        <v>29</v>
      </c>
    </row>
    <row r="5" spans="1:29" ht="24" customHeight="1">
      <c r="A5" s="162">
        <v>1</v>
      </c>
      <c r="B5" s="163" t="s">
        <v>15</v>
      </c>
      <c r="C5" s="164">
        <v>15</v>
      </c>
      <c r="D5" s="164">
        <v>11</v>
      </c>
      <c r="E5" s="164">
        <v>26</v>
      </c>
      <c r="F5" s="164"/>
      <c r="G5" s="164"/>
      <c r="H5" s="164"/>
      <c r="I5" s="164">
        <v>372</v>
      </c>
      <c r="J5" s="164">
        <v>106</v>
      </c>
      <c r="K5" s="164">
        <v>478</v>
      </c>
      <c r="L5" s="164">
        <v>1191</v>
      </c>
      <c r="M5" s="164">
        <v>339</v>
      </c>
      <c r="N5" s="164">
        <v>1530</v>
      </c>
      <c r="O5" s="164"/>
      <c r="P5" s="164"/>
      <c r="Q5" s="164"/>
      <c r="R5" s="164">
        <v>0</v>
      </c>
      <c r="S5" s="164">
        <v>313</v>
      </c>
      <c r="T5" s="164">
        <v>313</v>
      </c>
      <c r="U5" s="164"/>
      <c r="V5" s="164"/>
      <c r="W5" s="164"/>
      <c r="X5" s="164">
        <v>5</v>
      </c>
      <c r="Y5" s="164">
        <v>6</v>
      </c>
      <c r="Z5" s="164">
        <v>11</v>
      </c>
      <c r="AA5" s="164">
        <v>1583</v>
      </c>
      <c r="AB5" s="164">
        <v>775</v>
      </c>
      <c r="AC5" s="165">
        <v>2358</v>
      </c>
    </row>
    <row r="6" spans="1:29" ht="24" customHeight="1">
      <c r="A6" s="162">
        <v>2</v>
      </c>
      <c r="B6" s="163" t="s">
        <v>16</v>
      </c>
      <c r="C6" s="164"/>
      <c r="D6" s="164"/>
      <c r="E6" s="164"/>
      <c r="F6" s="164"/>
      <c r="G6" s="164"/>
      <c r="H6" s="164"/>
      <c r="I6" s="164">
        <v>1</v>
      </c>
      <c r="J6" s="164">
        <v>0</v>
      </c>
      <c r="K6" s="164">
        <v>1</v>
      </c>
      <c r="L6" s="164"/>
      <c r="M6" s="164"/>
      <c r="N6" s="164"/>
      <c r="O6" s="164"/>
      <c r="P6" s="164"/>
      <c r="Q6" s="164"/>
      <c r="R6" s="164"/>
      <c r="S6" s="164"/>
      <c r="T6" s="164"/>
      <c r="U6" s="164"/>
      <c r="V6" s="164"/>
      <c r="W6" s="164"/>
      <c r="X6" s="164"/>
      <c r="Y6" s="164"/>
      <c r="Z6" s="164"/>
      <c r="AA6" s="164">
        <v>1</v>
      </c>
      <c r="AB6" s="164">
        <v>0</v>
      </c>
      <c r="AC6" s="165">
        <v>1</v>
      </c>
    </row>
    <row r="7" spans="1:29" ht="24" customHeight="1">
      <c r="A7" s="162">
        <v>3</v>
      </c>
      <c r="B7" s="163" t="s">
        <v>17</v>
      </c>
      <c r="C7" s="164">
        <v>17</v>
      </c>
      <c r="D7" s="164">
        <v>4</v>
      </c>
      <c r="E7" s="164">
        <v>21</v>
      </c>
      <c r="F7" s="164"/>
      <c r="G7" s="164"/>
      <c r="H7" s="164"/>
      <c r="I7" s="164">
        <v>84</v>
      </c>
      <c r="J7" s="164">
        <v>37</v>
      </c>
      <c r="K7" s="164">
        <v>121</v>
      </c>
      <c r="L7" s="164">
        <v>39</v>
      </c>
      <c r="M7" s="164">
        <v>17</v>
      </c>
      <c r="N7" s="164">
        <v>56</v>
      </c>
      <c r="O7" s="164"/>
      <c r="P7" s="164"/>
      <c r="Q7" s="164"/>
      <c r="R7" s="164">
        <v>1</v>
      </c>
      <c r="S7" s="164">
        <v>2</v>
      </c>
      <c r="T7" s="164">
        <v>3</v>
      </c>
      <c r="U7" s="164"/>
      <c r="V7" s="164"/>
      <c r="W7" s="164"/>
      <c r="X7" s="164"/>
      <c r="Y7" s="164"/>
      <c r="Z7" s="164"/>
      <c r="AA7" s="164">
        <v>141</v>
      </c>
      <c r="AB7" s="164">
        <v>60</v>
      </c>
      <c r="AC7" s="165">
        <v>201</v>
      </c>
    </row>
    <row r="8" spans="1:29" ht="24" customHeight="1">
      <c r="A8" s="162">
        <v>4</v>
      </c>
      <c r="B8" s="163" t="s">
        <v>18</v>
      </c>
      <c r="C8" s="164">
        <v>2</v>
      </c>
      <c r="D8" s="164">
        <v>1</v>
      </c>
      <c r="E8" s="164">
        <v>3</v>
      </c>
      <c r="F8" s="164"/>
      <c r="G8" s="164"/>
      <c r="H8" s="164"/>
      <c r="I8" s="164">
        <v>53</v>
      </c>
      <c r="J8" s="164">
        <v>26</v>
      </c>
      <c r="K8" s="164">
        <v>79</v>
      </c>
      <c r="L8" s="164">
        <v>10</v>
      </c>
      <c r="M8" s="164">
        <v>11</v>
      </c>
      <c r="N8" s="164">
        <v>21</v>
      </c>
      <c r="O8" s="164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>
        <v>65</v>
      </c>
      <c r="AB8" s="164">
        <v>38</v>
      </c>
      <c r="AC8" s="165">
        <v>103</v>
      </c>
    </row>
    <row r="9" spans="1:29" ht="24" customHeight="1">
      <c r="A9" s="162">
        <v>5</v>
      </c>
      <c r="B9" s="163" t="s">
        <v>19</v>
      </c>
      <c r="C9" s="164">
        <v>21</v>
      </c>
      <c r="D9" s="164">
        <v>10</v>
      </c>
      <c r="E9" s="164">
        <v>31</v>
      </c>
      <c r="F9" s="164"/>
      <c r="G9" s="164"/>
      <c r="H9" s="164"/>
      <c r="I9" s="164">
        <v>67</v>
      </c>
      <c r="J9" s="164">
        <v>39</v>
      </c>
      <c r="K9" s="164">
        <v>106</v>
      </c>
      <c r="L9" s="164">
        <v>140</v>
      </c>
      <c r="M9" s="164">
        <v>45</v>
      </c>
      <c r="N9" s="164">
        <v>185</v>
      </c>
      <c r="O9" s="164"/>
      <c r="P9" s="164"/>
      <c r="Q9" s="164"/>
      <c r="R9" s="164"/>
      <c r="S9" s="164"/>
      <c r="T9" s="164"/>
      <c r="U9" s="164"/>
      <c r="V9" s="164"/>
      <c r="W9" s="164"/>
      <c r="X9" s="164">
        <v>35</v>
      </c>
      <c r="Y9" s="164">
        <v>7</v>
      </c>
      <c r="Z9" s="164">
        <v>42</v>
      </c>
      <c r="AA9" s="164">
        <v>263</v>
      </c>
      <c r="AB9" s="164">
        <v>101</v>
      </c>
      <c r="AC9" s="165">
        <v>364</v>
      </c>
    </row>
    <row r="10" spans="1:29" ht="24" customHeight="1">
      <c r="A10" s="162">
        <v>6</v>
      </c>
      <c r="B10" s="163" t="s">
        <v>20</v>
      </c>
      <c r="C10" s="164">
        <v>5</v>
      </c>
      <c r="D10" s="164">
        <v>0</v>
      </c>
      <c r="E10" s="164">
        <v>5</v>
      </c>
      <c r="F10" s="164"/>
      <c r="G10" s="164"/>
      <c r="H10" s="164"/>
      <c r="I10" s="164">
        <v>31</v>
      </c>
      <c r="J10" s="164">
        <v>8</v>
      </c>
      <c r="K10" s="164">
        <v>39</v>
      </c>
      <c r="L10" s="164">
        <v>213</v>
      </c>
      <c r="M10" s="164">
        <v>59</v>
      </c>
      <c r="N10" s="164">
        <v>272</v>
      </c>
      <c r="O10" s="164"/>
      <c r="P10" s="164"/>
      <c r="Q10" s="164"/>
      <c r="R10" s="164"/>
      <c r="S10" s="164"/>
      <c r="T10" s="164"/>
      <c r="U10" s="164"/>
      <c r="V10" s="164"/>
      <c r="W10" s="164"/>
      <c r="X10" s="164">
        <v>6</v>
      </c>
      <c r="Y10" s="164">
        <v>0</v>
      </c>
      <c r="Z10" s="164">
        <v>6</v>
      </c>
      <c r="AA10" s="164">
        <v>255</v>
      </c>
      <c r="AB10" s="164">
        <v>67</v>
      </c>
      <c r="AC10" s="165">
        <v>322</v>
      </c>
    </row>
    <row r="11" spans="1:29" ht="24" customHeight="1">
      <c r="A11" s="162">
        <v>7</v>
      </c>
      <c r="B11" s="163" t="s">
        <v>23</v>
      </c>
      <c r="C11" s="164">
        <v>131</v>
      </c>
      <c r="D11" s="164">
        <v>86</v>
      </c>
      <c r="E11" s="164">
        <v>217</v>
      </c>
      <c r="F11" s="164">
        <v>9</v>
      </c>
      <c r="G11" s="164">
        <v>12</v>
      </c>
      <c r="H11" s="164">
        <v>21</v>
      </c>
      <c r="I11" s="164">
        <v>408</v>
      </c>
      <c r="J11" s="164">
        <v>231</v>
      </c>
      <c r="K11" s="164">
        <v>639</v>
      </c>
      <c r="L11" s="164">
        <v>1221</v>
      </c>
      <c r="M11" s="164">
        <v>687</v>
      </c>
      <c r="N11" s="164">
        <v>1908</v>
      </c>
      <c r="O11" s="164">
        <v>0</v>
      </c>
      <c r="P11" s="164">
        <v>3</v>
      </c>
      <c r="Q11" s="164">
        <v>3</v>
      </c>
      <c r="R11" s="164">
        <v>0</v>
      </c>
      <c r="S11" s="164">
        <v>4</v>
      </c>
      <c r="T11" s="164">
        <v>4</v>
      </c>
      <c r="U11" s="164">
        <v>1</v>
      </c>
      <c r="V11" s="164">
        <v>7</v>
      </c>
      <c r="W11" s="164">
        <v>8</v>
      </c>
      <c r="X11" s="164">
        <v>6</v>
      </c>
      <c r="Y11" s="164">
        <v>3</v>
      </c>
      <c r="Z11" s="164">
        <v>9</v>
      </c>
      <c r="AA11" s="164">
        <v>1776</v>
      </c>
      <c r="AB11" s="164">
        <v>1033</v>
      </c>
      <c r="AC11" s="165">
        <v>2809</v>
      </c>
    </row>
    <row r="12" spans="1:29" ht="24" customHeight="1">
      <c r="A12" s="162">
        <v>8</v>
      </c>
      <c r="B12" s="163" t="s">
        <v>24</v>
      </c>
      <c r="C12" s="164">
        <v>0</v>
      </c>
      <c r="D12" s="164">
        <v>1</v>
      </c>
      <c r="E12" s="164">
        <v>1</v>
      </c>
      <c r="F12" s="164"/>
      <c r="G12" s="164"/>
      <c r="H12" s="164"/>
      <c r="I12" s="164">
        <v>38</v>
      </c>
      <c r="J12" s="164">
        <v>17</v>
      </c>
      <c r="K12" s="164">
        <v>55</v>
      </c>
      <c r="L12" s="164">
        <v>159</v>
      </c>
      <c r="M12" s="164">
        <v>55</v>
      </c>
      <c r="N12" s="164">
        <v>214</v>
      </c>
      <c r="O12" s="164">
        <v>1</v>
      </c>
      <c r="P12" s="164">
        <v>0</v>
      </c>
      <c r="Q12" s="164">
        <v>1</v>
      </c>
      <c r="R12" s="164"/>
      <c r="S12" s="164"/>
      <c r="T12" s="164"/>
      <c r="U12" s="164"/>
      <c r="V12" s="164"/>
      <c r="W12" s="164"/>
      <c r="X12" s="164">
        <v>4</v>
      </c>
      <c r="Y12" s="164">
        <v>3</v>
      </c>
      <c r="Z12" s="164">
        <v>7</v>
      </c>
      <c r="AA12" s="164">
        <v>202</v>
      </c>
      <c r="AB12" s="164">
        <v>76</v>
      </c>
      <c r="AC12" s="165">
        <v>278</v>
      </c>
    </row>
    <row r="13" spans="1:29" ht="24" customHeight="1">
      <c r="A13" s="162">
        <v>9</v>
      </c>
      <c r="B13" s="163" t="s">
        <v>25</v>
      </c>
      <c r="C13" s="164">
        <v>42</v>
      </c>
      <c r="D13" s="164">
        <v>8</v>
      </c>
      <c r="E13" s="164">
        <v>50</v>
      </c>
      <c r="F13" s="164"/>
      <c r="G13" s="164"/>
      <c r="H13" s="164"/>
      <c r="I13" s="164">
        <v>298</v>
      </c>
      <c r="J13" s="164">
        <v>96</v>
      </c>
      <c r="K13" s="164">
        <v>394</v>
      </c>
      <c r="L13" s="164">
        <v>1580</v>
      </c>
      <c r="M13" s="164">
        <v>535</v>
      </c>
      <c r="N13" s="164">
        <v>2115</v>
      </c>
      <c r="O13" s="164">
        <v>6</v>
      </c>
      <c r="P13" s="164">
        <v>0</v>
      </c>
      <c r="Q13" s="164">
        <v>6</v>
      </c>
      <c r="R13" s="164">
        <v>38</v>
      </c>
      <c r="S13" s="164">
        <v>13</v>
      </c>
      <c r="T13" s="164">
        <v>51</v>
      </c>
      <c r="U13" s="164">
        <v>1</v>
      </c>
      <c r="V13" s="164">
        <v>0</v>
      </c>
      <c r="W13" s="164">
        <v>1</v>
      </c>
      <c r="X13" s="164">
        <v>10</v>
      </c>
      <c r="Y13" s="164">
        <v>19</v>
      </c>
      <c r="Z13" s="164">
        <v>29</v>
      </c>
      <c r="AA13" s="164">
        <v>1975</v>
      </c>
      <c r="AB13" s="164">
        <v>671</v>
      </c>
      <c r="AC13" s="165">
        <v>2646</v>
      </c>
    </row>
    <row r="14" spans="1:29" ht="24" customHeight="1">
      <c r="A14" s="162">
        <v>10</v>
      </c>
      <c r="B14" s="163" t="s">
        <v>26</v>
      </c>
      <c r="C14" s="164">
        <v>61</v>
      </c>
      <c r="D14" s="164">
        <v>5</v>
      </c>
      <c r="E14" s="164">
        <v>66</v>
      </c>
      <c r="F14" s="164"/>
      <c r="G14" s="164"/>
      <c r="H14" s="164"/>
      <c r="I14" s="164">
        <v>115</v>
      </c>
      <c r="J14" s="164">
        <v>46</v>
      </c>
      <c r="K14" s="164">
        <v>161</v>
      </c>
      <c r="L14" s="164">
        <v>890</v>
      </c>
      <c r="M14" s="164">
        <v>409</v>
      </c>
      <c r="N14" s="164">
        <v>1299</v>
      </c>
      <c r="O14" s="164">
        <v>11</v>
      </c>
      <c r="P14" s="164">
        <v>15</v>
      </c>
      <c r="Q14" s="164">
        <v>26</v>
      </c>
      <c r="R14" s="164">
        <v>238</v>
      </c>
      <c r="S14" s="164">
        <v>34</v>
      </c>
      <c r="T14" s="164">
        <v>272</v>
      </c>
      <c r="U14" s="164"/>
      <c r="V14" s="164"/>
      <c r="W14" s="164"/>
      <c r="X14" s="164">
        <v>12</v>
      </c>
      <c r="Y14" s="164">
        <v>3</v>
      </c>
      <c r="Z14" s="164">
        <v>15</v>
      </c>
      <c r="AA14" s="164">
        <v>1327</v>
      </c>
      <c r="AB14" s="164">
        <v>512</v>
      </c>
      <c r="AC14" s="165">
        <v>1839</v>
      </c>
    </row>
    <row r="15" spans="1:29" ht="24" customHeight="1">
      <c r="A15" s="162">
        <v>11</v>
      </c>
      <c r="B15" s="163" t="s">
        <v>27</v>
      </c>
      <c r="C15" s="164">
        <v>31</v>
      </c>
      <c r="D15" s="164">
        <v>4</v>
      </c>
      <c r="E15" s="164">
        <v>35</v>
      </c>
      <c r="F15" s="164"/>
      <c r="G15" s="164"/>
      <c r="H15" s="164"/>
      <c r="I15" s="164">
        <v>46</v>
      </c>
      <c r="J15" s="164">
        <v>7</v>
      </c>
      <c r="K15" s="164">
        <v>53</v>
      </c>
      <c r="L15" s="164">
        <v>299</v>
      </c>
      <c r="M15" s="164">
        <v>84</v>
      </c>
      <c r="N15" s="164">
        <v>383</v>
      </c>
      <c r="O15" s="164"/>
      <c r="P15" s="164"/>
      <c r="Q15" s="164"/>
      <c r="R15" s="164">
        <v>1</v>
      </c>
      <c r="S15" s="164">
        <v>0</v>
      </c>
      <c r="T15" s="164">
        <v>1</v>
      </c>
      <c r="U15" s="164"/>
      <c r="V15" s="164"/>
      <c r="W15" s="164"/>
      <c r="X15" s="164">
        <v>20</v>
      </c>
      <c r="Y15" s="164">
        <v>10</v>
      </c>
      <c r="Z15" s="164">
        <v>30</v>
      </c>
      <c r="AA15" s="164">
        <v>397</v>
      </c>
      <c r="AB15" s="164">
        <v>105</v>
      </c>
      <c r="AC15" s="165">
        <v>502</v>
      </c>
    </row>
    <row r="16" spans="1:29" ht="24" customHeight="1">
      <c r="A16" s="162">
        <v>12</v>
      </c>
      <c r="B16" s="163" t="s">
        <v>57</v>
      </c>
      <c r="C16" s="164">
        <v>4</v>
      </c>
      <c r="D16" s="164">
        <v>1</v>
      </c>
      <c r="E16" s="164">
        <v>5</v>
      </c>
      <c r="F16" s="164"/>
      <c r="G16" s="164"/>
      <c r="H16" s="164"/>
      <c r="I16" s="164">
        <v>1</v>
      </c>
      <c r="J16" s="164">
        <v>2</v>
      </c>
      <c r="K16" s="164">
        <v>3</v>
      </c>
      <c r="L16" s="164">
        <v>0</v>
      </c>
      <c r="M16" s="164">
        <v>2</v>
      </c>
      <c r="N16" s="164">
        <v>2</v>
      </c>
      <c r="O16" s="164"/>
      <c r="P16" s="164"/>
      <c r="Q16" s="164"/>
      <c r="R16" s="164"/>
      <c r="S16" s="164"/>
      <c r="T16" s="164"/>
      <c r="U16" s="164"/>
      <c r="V16" s="164"/>
      <c r="W16" s="164"/>
      <c r="X16" s="164"/>
      <c r="Y16" s="164"/>
      <c r="Z16" s="164"/>
      <c r="AA16" s="164">
        <v>5</v>
      </c>
      <c r="AB16" s="164">
        <v>5</v>
      </c>
      <c r="AC16" s="165">
        <v>10</v>
      </c>
    </row>
    <row r="17" spans="1:29" ht="24" customHeight="1">
      <c r="A17" s="162">
        <v>13</v>
      </c>
      <c r="B17" s="163" t="s">
        <v>29</v>
      </c>
      <c r="C17" s="164">
        <v>2</v>
      </c>
      <c r="D17" s="164">
        <v>0</v>
      </c>
      <c r="E17" s="164">
        <v>2</v>
      </c>
      <c r="F17" s="164"/>
      <c r="G17" s="164"/>
      <c r="H17" s="164"/>
      <c r="I17" s="164">
        <v>15</v>
      </c>
      <c r="J17" s="164">
        <v>1</v>
      </c>
      <c r="K17" s="164">
        <v>16</v>
      </c>
      <c r="L17" s="164">
        <v>37</v>
      </c>
      <c r="M17" s="164">
        <v>0</v>
      </c>
      <c r="N17" s="164">
        <v>37</v>
      </c>
      <c r="O17" s="164"/>
      <c r="P17" s="164"/>
      <c r="Q17" s="164"/>
      <c r="R17" s="164"/>
      <c r="S17" s="164"/>
      <c r="T17" s="164"/>
      <c r="U17" s="164"/>
      <c r="V17" s="164"/>
      <c r="W17" s="164"/>
      <c r="X17" s="164"/>
      <c r="Y17" s="164"/>
      <c r="Z17" s="164"/>
      <c r="AA17" s="164">
        <v>54</v>
      </c>
      <c r="AB17" s="164">
        <v>1</v>
      </c>
      <c r="AC17" s="165">
        <v>55</v>
      </c>
    </row>
    <row r="18" spans="1:29" ht="24" customHeight="1">
      <c r="A18" s="162">
        <v>14</v>
      </c>
      <c r="B18" s="163" t="s">
        <v>30</v>
      </c>
      <c r="C18" s="164">
        <v>93</v>
      </c>
      <c r="D18" s="164">
        <v>28</v>
      </c>
      <c r="E18" s="164">
        <v>121</v>
      </c>
      <c r="F18" s="164"/>
      <c r="G18" s="164"/>
      <c r="H18" s="164"/>
      <c r="I18" s="164">
        <v>686</v>
      </c>
      <c r="J18" s="164">
        <v>423</v>
      </c>
      <c r="K18" s="164">
        <v>1109</v>
      </c>
      <c r="L18" s="164">
        <v>4189</v>
      </c>
      <c r="M18" s="164">
        <v>2479</v>
      </c>
      <c r="N18" s="164">
        <v>6668</v>
      </c>
      <c r="O18" s="164">
        <v>3</v>
      </c>
      <c r="P18" s="164">
        <v>4</v>
      </c>
      <c r="Q18" s="164">
        <v>7</v>
      </c>
      <c r="R18" s="164">
        <v>75</v>
      </c>
      <c r="S18" s="164">
        <v>114</v>
      </c>
      <c r="T18" s="164">
        <v>189</v>
      </c>
      <c r="U18" s="164"/>
      <c r="V18" s="164"/>
      <c r="W18" s="164"/>
      <c r="X18" s="164">
        <v>12</v>
      </c>
      <c r="Y18" s="164">
        <v>31</v>
      </c>
      <c r="Z18" s="164">
        <v>43</v>
      </c>
      <c r="AA18" s="164">
        <v>5058</v>
      </c>
      <c r="AB18" s="164">
        <v>3079</v>
      </c>
      <c r="AC18" s="165">
        <v>8137</v>
      </c>
    </row>
    <row r="19" spans="1:29" ht="24" customHeight="1">
      <c r="A19" s="162">
        <v>15</v>
      </c>
      <c r="B19" s="163" t="s">
        <v>31</v>
      </c>
      <c r="C19" s="164">
        <v>22</v>
      </c>
      <c r="D19" s="164">
        <v>7</v>
      </c>
      <c r="E19" s="164">
        <v>29</v>
      </c>
      <c r="F19" s="164"/>
      <c r="G19" s="164"/>
      <c r="H19" s="164"/>
      <c r="I19" s="164">
        <v>52</v>
      </c>
      <c r="J19" s="164">
        <v>36</v>
      </c>
      <c r="K19" s="164">
        <v>88</v>
      </c>
      <c r="L19" s="164">
        <v>78</v>
      </c>
      <c r="M19" s="164">
        <v>69</v>
      </c>
      <c r="N19" s="164">
        <v>147</v>
      </c>
      <c r="O19" s="164"/>
      <c r="P19" s="164"/>
      <c r="Q19" s="164"/>
      <c r="R19" s="164"/>
      <c r="S19" s="164"/>
      <c r="T19" s="164"/>
      <c r="U19" s="164"/>
      <c r="V19" s="164"/>
      <c r="W19" s="164"/>
      <c r="X19" s="164">
        <v>2</v>
      </c>
      <c r="Y19" s="164">
        <v>0</v>
      </c>
      <c r="Z19" s="164">
        <v>2</v>
      </c>
      <c r="AA19" s="164">
        <v>154</v>
      </c>
      <c r="AB19" s="164">
        <v>112</v>
      </c>
      <c r="AC19" s="165">
        <v>266</v>
      </c>
    </row>
    <row r="20" spans="1:29" ht="24" customHeight="1">
      <c r="A20" s="162">
        <v>16</v>
      </c>
      <c r="B20" s="163" t="s">
        <v>172</v>
      </c>
      <c r="C20" s="164"/>
      <c r="D20" s="164"/>
      <c r="E20" s="164"/>
      <c r="F20" s="164"/>
      <c r="G20" s="164"/>
      <c r="H20" s="164"/>
      <c r="I20" s="164"/>
      <c r="J20" s="164"/>
      <c r="K20" s="164"/>
      <c r="L20" s="164">
        <v>1</v>
      </c>
      <c r="M20" s="164">
        <v>6</v>
      </c>
      <c r="N20" s="164">
        <v>7</v>
      </c>
      <c r="O20" s="164"/>
      <c r="P20" s="164"/>
      <c r="Q20" s="164"/>
      <c r="R20" s="164"/>
      <c r="S20" s="164"/>
      <c r="T20" s="164"/>
      <c r="U20" s="164"/>
      <c r="V20" s="164"/>
      <c r="W20" s="164"/>
      <c r="X20" s="164"/>
      <c r="Y20" s="164"/>
      <c r="Z20" s="164"/>
      <c r="AA20" s="164">
        <v>1</v>
      </c>
      <c r="AB20" s="164">
        <v>6</v>
      </c>
      <c r="AC20" s="165">
        <v>7</v>
      </c>
    </row>
    <row r="21" spans="1:29" ht="24" customHeight="1">
      <c r="A21" s="162">
        <v>17</v>
      </c>
      <c r="B21" s="163" t="s">
        <v>33</v>
      </c>
      <c r="C21" s="164">
        <v>1</v>
      </c>
      <c r="D21" s="164">
        <v>1</v>
      </c>
      <c r="E21" s="164">
        <v>2</v>
      </c>
      <c r="F21" s="164"/>
      <c r="G21" s="164"/>
      <c r="H21" s="164"/>
      <c r="I21" s="164">
        <v>35</v>
      </c>
      <c r="J21" s="164">
        <v>8</v>
      </c>
      <c r="K21" s="164">
        <v>43</v>
      </c>
      <c r="L21" s="164">
        <v>331</v>
      </c>
      <c r="M21" s="164">
        <v>142</v>
      </c>
      <c r="N21" s="164">
        <v>473</v>
      </c>
      <c r="O21" s="164">
        <v>1</v>
      </c>
      <c r="P21" s="164">
        <v>0</v>
      </c>
      <c r="Q21" s="164">
        <v>1</v>
      </c>
      <c r="R21" s="164">
        <v>18</v>
      </c>
      <c r="S21" s="164">
        <v>0</v>
      </c>
      <c r="T21" s="164">
        <v>18</v>
      </c>
      <c r="U21" s="164"/>
      <c r="V21" s="164"/>
      <c r="W21" s="164"/>
      <c r="X21" s="164">
        <v>1</v>
      </c>
      <c r="Y21" s="164">
        <v>0</v>
      </c>
      <c r="Z21" s="164">
        <v>1</v>
      </c>
      <c r="AA21" s="164">
        <v>387</v>
      </c>
      <c r="AB21" s="164">
        <v>151</v>
      </c>
      <c r="AC21" s="165">
        <v>538</v>
      </c>
    </row>
    <row r="22" spans="1:29" ht="24" customHeight="1">
      <c r="A22" s="162">
        <v>18</v>
      </c>
      <c r="B22" s="163" t="s">
        <v>34</v>
      </c>
      <c r="C22" s="164">
        <v>80</v>
      </c>
      <c r="D22" s="164">
        <v>29</v>
      </c>
      <c r="E22" s="164">
        <v>109</v>
      </c>
      <c r="F22" s="164"/>
      <c r="G22" s="164"/>
      <c r="H22" s="164"/>
      <c r="I22" s="164">
        <v>534</v>
      </c>
      <c r="J22" s="164">
        <v>384</v>
      </c>
      <c r="K22" s="164">
        <v>918</v>
      </c>
      <c r="L22" s="164">
        <v>2099</v>
      </c>
      <c r="M22" s="164">
        <v>1726</v>
      </c>
      <c r="N22" s="164">
        <v>3825</v>
      </c>
      <c r="O22" s="164">
        <v>7</v>
      </c>
      <c r="P22" s="164">
        <v>1</v>
      </c>
      <c r="Q22" s="164">
        <v>8</v>
      </c>
      <c r="R22" s="164">
        <v>8</v>
      </c>
      <c r="S22" s="164">
        <v>24</v>
      </c>
      <c r="T22" s="164">
        <v>32</v>
      </c>
      <c r="U22" s="164">
        <v>6</v>
      </c>
      <c r="V22" s="164">
        <v>7</v>
      </c>
      <c r="W22" s="164">
        <v>13</v>
      </c>
      <c r="X22" s="164">
        <v>2</v>
      </c>
      <c r="Y22" s="164">
        <v>5</v>
      </c>
      <c r="Z22" s="164">
        <v>7</v>
      </c>
      <c r="AA22" s="164">
        <v>2736</v>
      </c>
      <c r="AB22" s="164">
        <v>2176</v>
      </c>
      <c r="AC22" s="165">
        <v>4912</v>
      </c>
    </row>
    <row r="23" spans="1:29" ht="24" customHeight="1">
      <c r="A23" s="162">
        <v>19</v>
      </c>
      <c r="B23" s="163" t="s">
        <v>35</v>
      </c>
      <c r="C23" s="164">
        <v>10</v>
      </c>
      <c r="D23" s="164">
        <v>1</v>
      </c>
      <c r="E23" s="164">
        <v>11</v>
      </c>
      <c r="F23" s="164"/>
      <c r="G23" s="164"/>
      <c r="H23" s="164"/>
      <c r="I23" s="164">
        <v>8</v>
      </c>
      <c r="J23" s="164">
        <v>1</v>
      </c>
      <c r="K23" s="164">
        <v>9</v>
      </c>
      <c r="L23" s="164">
        <v>0</v>
      </c>
      <c r="M23" s="164">
        <v>1</v>
      </c>
      <c r="N23" s="164">
        <v>1</v>
      </c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>
        <v>18</v>
      </c>
      <c r="AB23" s="164">
        <v>3</v>
      </c>
      <c r="AC23" s="165">
        <v>21</v>
      </c>
    </row>
    <row r="24" spans="1:29" ht="24" customHeight="1">
      <c r="A24" s="162">
        <v>20</v>
      </c>
      <c r="B24" s="163" t="s">
        <v>36</v>
      </c>
      <c r="C24" s="164">
        <v>6</v>
      </c>
      <c r="D24" s="164">
        <v>2</v>
      </c>
      <c r="E24" s="164">
        <v>8</v>
      </c>
      <c r="F24" s="164"/>
      <c r="G24" s="164"/>
      <c r="H24" s="164"/>
      <c r="I24" s="164">
        <v>6</v>
      </c>
      <c r="J24" s="164">
        <v>5</v>
      </c>
      <c r="K24" s="164">
        <v>11</v>
      </c>
      <c r="L24" s="164">
        <v>43</v>
      </c>
      <c r="M24" s="164">
        <v>15</v>
      </c>
      <c r="N24" s="164">
        <v>58</v>
      </c>
      <c r="O24" s="164"/>
      <c r="P24" s="164"/>
      <c r="Q24" s="164"/>
      <c r="R24" s="164"/>
      <c r="S24" s="164"/>
      <c r="T24" s="164"/>
      <c r="U24" s="164"/>
      <c r="V24" s="164"/>
      <c r="W24" s="164"/>
      <c r="X24" s="164"/>
      <c r="Y24" s="164"/>
      <c r="Z24" s="164"/>
      <c r="AA24" s="164">
        <v>55</v>
      </c>
      <c r="AB24" s="164">
        <v>22</v>
      </c>
      <c r="AC24" s="165">
        <v>77</v>
      </c>
    </row>
    <row r="25" spans="1:29" ht="24" customHeight="1">
      <c r="A25" s="162">
        <v>21</v>
      </c>
      <c r="B25" s="163" t="s">
        <v>37</v>
      </c>
      <c r="C25" s="164">
        <v>1</v>
      </c>
      <c r="D25" s="164">
        <v>0</v>
      </c>
      <c r="E25" s="164">
        <v>1</v>
      </c>
      <c r="F25" s="164"/>
      <c r="G25" s="164"/>
      <c r="H25" s="164"/>
      <c r="I25" s="164"/>
      <c r="J25" s="164"/>
      <c r="K25" s="164"/>
      <c r="L25" s="164"/>
      <c r="M25" s="164"/>
      <c r="N25" s="164"/>
      <c r="O25" s="164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>
        <v>1</v>
      </c>
      <c r="AB25" s="164">
        <v>0</v>
      </c>
      <c r="AC25" s="165">
        <v>1</v>
      </c>
    </row>
    <row r="26" spans="1:29" ht="24" customHeight="1">
      <c r="A26" s="162">
        <v>22</v>
      </c>
      <c r="B26" s="163" t="s">
        <v>38</v>
      </c>
      <c r="C26" s="164"/>
      <c r="D26" s="164"/>
      <c r="E26" s="164"/>
      <c r="F26" s="164"/>
      <c r="G26" s="164"/>
      <c r="H26" s="164"/>
      <c r="I26" s="164"/>
      <c r="J26" s="164"/>
      <c r="K26" s="164"/>
      <c r="L26" s="164">
        <v>0</v>
      </c>
      <c r="M26" s="164">
        <v>2</v>
      </c>
      <c r="N26" s="164">
        <v>2</v>
      </c>
      <c r="O26" s="164"/>
      <c r="P26" s="164"/>
      <c r="Q26" s="164"/>
      <c r="R26" s="164"/>
      <c r="S26" s="164"/>
      <c r="T26" s="164"/>
      <c r="U26" s="164"/>
      <c r="V26" s="164"/>
      <c r="W26" s="164"/>
      <c r="X26" s="164"/>
      <c r="Y26" s="164"/>
      <c r="Z26" s="164"/>
      <c r="AA26" s="164">
        <v>0</v>
      </c>
      <c r="AB26" s="164">
        <v>2</v>
      </c>
      <c r="AC26" s="165">
        <v>2</v>
      </c>
    </row>
    <row r="27" spans="1:29" ht="24" customHeight="1">
      <c r="A27" s="162">
        <v>23</v>
      </c>
      <c r="B27" s="163" t="s">
        <v>39</v>
      </c>
      <c r="C27" s="164">
        <v>8</v>
      </c>
      <c r="D27" s="164">
        <v>2</v>
      </c>
      <c r="E27" s="164">
        <v>10</v>
      </c>
      <c r="F27" s="164"/>
      <c r="G27" s="164"/>
      <c r="H27" s="164"/>
      <c r="I27" s="164">
        <v>153</v>
      </c>
      <c r="J27" s="164">
        <v>26</v>
      </c>
      <c r="K27" s="164">
        <v>179</v>
      </c>
      <c r="L27" s="164">
        <v>1455</v>
      </c>
      <c r="M27" s="164">
        <v>492</v>
      </c>
      <c r="N27" s="164">
        <v>1947</v>
      </c>
      <c r="O27" s="164"/>
      <c r="P27" s="164"/>
      <c r="Q27" s="164"/>
      <c r="R27" s="164"/>
      <c r="S27" s="164"/>
      <c r="T27" s="164"/>
      <c r="U27" s="164"/>
      <c r="V27" s="164"/>
      <c r="W27" s="164"/>
      <c r="X27" s="164">
        <v>32</v>
      </c>
      <c r="Y27" s="164">
        <v>12</v>
      </c>
      <c r="Z27" s="164">
        <v>44</v>
      </c>
      <c r="AA27" s="164">
        <v>1648</v>
      </c>
      <c r="AB27" s="164">
        <v>532</v>
      </c>
      <c r="AC27" s="165">
        <v>2180</v>
      </c>
    </row>
    <row r="28" spans="1:29" ht="24" customHeight="1">
      <c r="A28" s="162">
        <v>24</v>
      </c>
      <c r="B28" s="163" t="s">
        <v>40</v>
      </c>
      <c r="C28" s="164">
        <v>2</v>
      </c>
      <c r="D28" s="164">
        <v>2</v>
      </c>
      <c r="E28" s="164">
        <v>4</v>
      </c>
      <c r="F28" s="164"/>
      <c r="G28" s="164"/>
      <c r="H28" s="164"/>
      <c r="I28" s="164">
        <v>59</v>
      </c>
      <c r="J28" s="164">
        <v>51</v>
      </c>
      <c r="K28" s="164">
        <v>110</v>
      </c>
      <c r="L28" s="164">
        <v>86</v>
      </c>
      <c r="M28" s="164">
        <v>57</v>
      </c>
      <c r="N28" s="164">
        <v>143</v>
      </c>
      <c r="O28" s="164"/>
      <c r="P28" s="164"/>
      <c r="Q28" s="164"/>
      <c r="R28" s="164">
        <v>1</v>
      </c>
      <c r="S28" s="164">
        <v>0</v>
      </c>
      <c r="T28" s="164">
        <v>1</v>
      </c>
      <c r="U28" s="164"/>
      <c r="V28" s="164"/>
      <c r="W28" s="164"/>
      <c r="X28" s="164"/>
      <c r="Y28" s="164"/>
      <c r="Z28" s="164"/>
      <c r="AA28" s="164">
        <v>148</v>
      </c>
      <c r="AB28" s="164">
        <v>110</v>
      </c>
      <c r="AC28" s="165">
        <v>258</v>
      </c>
    </row>
    <row r="29" spans="1:29" ht="24" customHeight="1">
      <c r="A29" s="162">
        <v>25</v>
      </c>
      <c r="B29" s="163" t="s">
        <v>41</v>
      </c>
      <c r="C29" s="164">
        <v>167</v>
      </c>
      <c r="D29" s="164">
        <v>19</v>
      </c>
      <c r="E29" s="164">
        <v>186</v>
      </c>
      <c r="F29" s="164"/>
      <c r="G29" s="164"/>
      <c r="H29" s="164"/>
      <c r="I29" s="164">
        <v>782</v>
      </c>
      <c r="J29" s="164">
        <v>201</v>
      </c>
      <c r="K29" s="164">
        <v>983</v>
      </c>
      <c r="L29" s="164">
        <v>3551</v>
      </c>
      <c r="M29" s="164">
        <v>1376</v>
      </c>
      <c r="N29" s="164">
        <v>4927</v>
      </c>
      <c r="O29" s="164"/>
      <c r="P29" s="164"/>
      <c r="Q29" s="164"/>
      <c r="R29" s="164">
        <v>303</v>
      </c>
      <c r="S29" s="164">
        <v>20</v>
      </c>
      <c r="T29" s="164">
        <v>323</v>
      </c>
      <c r="U29" s="164">
        <v>1</v>
      </c>
      <c r="V29" s="164">
        <v>0</v>
      </c>
      <c r="W29" s="164">
        <v>1</v>
      </c>
      <c r="X29" s="164">
        <v>64</v>
      </c>
      <c r="Y29" s="164">
        <v>73</v>
      </c>
      <c r="Z29" s="164">
        <v>137</v>
      </c>
      <c r="AA29" s="164">
        <v>4868</v>
      </c>
      <c r="AB29" s="164">
        <v>1689</v>
      </c>
      <c r="AC29" s="165">
        <v>6557</v>
      </c>
    </row>
    <row r="30" spans="1:29" ht="24" customHeight="1">
      <c r="A30" s="162">
        <v>26</v>
      </c>
      <c r="B30" s="163" t="s">
        <v>42</v>
      </c>
      <c r="C30" s="164">
        <v>24</v>
      </c>
      <c r="D30" s="164">
        <v>1</v>
      </c>
      <c r="E30" s="164">
        <v>25</v>
      </c>
      <c r="F30" s="164"/>
      <c r="G30" s="164"/>
      <c r="H30" s="164"/>
      <c r="I30" s="164">
        <v>118</v>
      </c>
      <c r="J30" s="164">
        <v>40</v>
      </c>
      <c r="K30" s="164">
        <v>158</v>
      </c>
      <c r="L30" s="164">
        <v>815</v>
      </c>
      <c r="M30" s="164">
        <v>268</v>
      </c>
      <c r="N30" s="164">
        <v>1083</v>
      </c>
      <c r="O30" s="164">
        <v>0</v>
      </c>
      <c r="P30" s="164">
        <v>1</v>
      </c>
      <c r="Q30" s="164">
        <v>1</v>
      </c>
      <c r="R30" s="164">
        <v>111</v>
      </c>
      <c r="S30" s="164">
        <v>3</v>
      </c>
      <c r="T30" s="164">
        <v>114</v>
      </c>
      <c r="U30" s="164">
        <v>0</v>
      </c>
      <c r="V30" s="164">
        <v>1</v>
      </c>
      <c r="W30" s="164">
        <v>1</v>
      </c>
      <c r="X30" s="164">
        <v>35</v>
      </c>
      <c r="Y30" s="164">
        <v>21</v>
      </c>
      <c r="Z30" s="164">
        <v>56</v>
      </c>
      <c r="AA30" s="164">
        <v>1103</v>
      </c>
      <c r="AB30" s="164">
        <v>335</v>
      </c>
      <c r="AC30" s="165">
        <v>1438</v>
      </c>
    </row>
    <row r="31" spans="1:29" ht="24" customHeight="1">
      <c r="A31" s="162">
        <v>27</v>
      </c>
      <c r="B31" s="163" t="s">
        <v>43</v>
      </c>
      <c r="C31" s="164"/>
      <c r="D31" s="164"/>
      <c r="E31" s="164"/>
      <c r="F31" s="164"/>
      <c r="G31" s="164"/>
      <c r="H31" s="164"/>
      <c r="I31" s="164">
        <v>12</v>
      </c>
      <c r="J31" s="164">
        <v>22</v>
      </c>
      <c r="K31" s="164">
        <v>34</v>
      </c>
      <c r="L31" s="164">
        <v>81</v>
      </c>
      <c r="M31" s="164">
        <v>107</v>
      </c>
      <c r="N31" s="164">
        <v>188</v>
      </c>
      <c r="O31" s="164"/>
      <c r="P31" s="164"/>
      <c r="Q31" s="164"/>
      <c r="R31" s="164">
        <v>1</v>
      </c>
      <c r="S31" s="164">
        <v>2</v>
      </c>
      <c r="T31" s="164">
        <v>3</v>
      </c>
      <c r="U31" s="164"/>
      <c r="V31" s="164"/>
      <c r="W31" s="164"/>
      <c r="X31" s="164">
        <v>0</v>
      </c>
      <c r="Y31" s="164">
        <v>2</v>
      </c>
      <c r="Z31" s="164">
        <v>2</v>
      </c>
      <c r="AA31" s="164">
        <v>94</v>
      </c>
      <c r="AB31" s="164">
        <v>133</v>
      </c>
      <c r="AC31" s="165">
        <v>227</v>
      </c>
    </row>
    <row r="32" spans="1:29" ht="24" customHeight="1">
      <c r="A32" s="162">
        <v>28</v>
      </c>
      <c r="B32" s="163" t="s">
        <v>44</v>
      </c>
      <c r="C32" s="164">
        <v>100</v>
      </c>
      <c r="D32" s="164">
        <v>25</v>
      </c>
      <c r="E32" s="164">
        <v>125</v>
      </c>
      <c r="F32" s="164">
        <v>1</v>
      </c>
      <c r="G32" s="164">
        <v>1</v>
      </c>
      <c r="H32" s="164">
        <v>2</v>
      </c>
      <c r="I32" s="164">
        <v>366</v>
      </c>
      <c r="J32" s="164">
        <v>195</v>
      </c>
      <c r="K32" s="164">
        <v>561</v>
      </c>
      <c r="L32" s="164">
        <v>1939</v>
      </c>
      <c r="M32" s="164">
        <v>1013</v>
      </c>
      <c r="N32" s="164">
        <v>2952</v>
      </c>
      <c r="O32" s="164">
        <v>2</v>
      </c>
      <c r="P32" s="164">
        <v>0</v>
      </c>
      <c r="Q32" s="164">
        <v>2</v>
      </c>
      <c r="R32" s="164">
        <v>30</v>
      </c>
      <c r="S32" s="164">
        <v>0</v>
      </c>
      <c r="T32" s="164">
        <v>30</v>
      </c>
      <c r="U32" s="164"/>
      <c r="V32" s="164"/>
      <c r="W32" s="164"/>
      <c r="X32" s="164">
        <v>6</v>
      </c>
      <c r="Y32" s="164">
        <v>7</v>
      </c>
      <c r="Z32" s="164">
        <v>13</v>
      </c>
      <c r="AA32" s="164">
        <v>2444</v>
      </c>
      <c r="AB32" s="164">
        <v>1241</v>
      </c>
      <c r="AC32" s="165">
        <v>3685</v>
      </c>
    </row>
    <row r="33" spans="1:29" ht="24" customHeight="1">
      <c r="A33" s="162">
        <v>29</v>
      </c>
      <c r="B33" s="163" t="s">
        <v>142</v>
      </c>
      <c r="C33" s="164">
        <v>37</v>
      </c>
      <c r="D33" s="164">
        <v>5</v>
      </c>
      <c r="E33" s="164">
        <v>42</v>
      </c>
      <c r="F33" s="164"/>
      <c r="G33" s="164"/>
      <c r="H33" s="164"/>
      <c r="I33" s="164">
        <v>146</v>
      </c>
      <c r="J33" s="164">
        <v>69</v>
      </c>
      <c r="K33" s="164">
        <v>215</v>
      </c>
      <c r="L33" s="164">
        <v>762</v>
      </c>
      <c r="M33" s="164">
        <v>241</v>
      </c>
      <c r="N33" s="164">
        <v>1003</v>
      </c>
      <c r="O33" s="164">
        <v>5</v>
      </c>
      <c r="P33" s="164">
        <v>5</v>
      </c>
      <c r="Q33" s="164">
        <v>10</v>
      </c>
      <c r="R33" s="164">
        <v>15</v>
      </c>
      <c r="S33" s="164">
        <v>0</v>
      </c>
      <c r="T33" s="164">
        <v>15</v>
      </c>
      <c r="U33" s="164"/>
      <c r="V33" s="164"/>
      <c r="W33" s="164"/>
      <c r="X33" s="164">
        <v>51</v>
      </c>
      <c r="Y33" s="164">
        <v>53</v>
      </c>
      <c r="Z33" s="164">
        <v>104</v>
      </c>
      <c r="AA33" s="164">
        <v>1016</v>
      </c>
      <c r="AB33" s="164">
        <v>373</v>
      </c>
      <c r="AC33" s="165">
        <v>1389</v>
      </c>
    </row>
    <row r="34" spans="1:29" ht="47.25" customHeight="1">
      <c r="A34" s="162">
        <v>30</v>
      </c>
      <c r="B34" s="163" t="s">
        <v>173</v>
      </c>
      <c r="C34" s="164"/>
      <c r="D34" s="164"/>
      <c r="E34" s="164"/>
      <c r="F34" s="164"/>
      <c r="G34" s="164"/>
      <c r="H34" s="164"/>
      <c r="I34" s="164"/>
      <c r="J34" s="164"/>
      <c r="K34" s="164"/>
      <c r="L34" s="164">
        <v>1</v>
      </c>
      <c r="M34" s="164">
        <v>0</v>
      </c>
      <c r="N34" s="164">
        <v>1</v>
      </c>
      <c r="O34" s="164"/>
      <c r="P34" s="164"/>
      <c r="Q34" s="164"/>
      <c r="R34" s="164"/>
      <c r="S34" s="164"/>
      <c r="T34" s="164"/>
      <c r="U34" s="164"/>
      <c r="V34" s="164"/>
      <c r="W34" s="164"/>
      <c r="X34" s="164"/>
      <c r="Y34" s="164"/>
      <c r="Z34" s="164"/>
      <c r="AA34" s="164">
        <v>1</v>
      </c>
      <c r="AB34" s="164">
        <v>0</v>
      </c>
      <c r="AC34" s="165">
        <v>1</v>
      </c>
    </row>
    <row r="35" spans="1:29" ht="24" customHeight="1">
      <c r="A35" s="162">
        <v>31</v>
      </c>
      <c r="B35" s="163" t="s">
        <v>45</v>
      </c>
      <c r="C35" s="164"/>
      <c r="D35" s="164"/>
      <c r="E35" s="164"/>
      <c r="F35" s="164"/>
      <c r="G35" s="164"/>
      <c r="H35" s="164"/>
      <c r="I35" s="164">
        <v>1</v>
      </c>
      <c r="J35" s="164">
        <v>6</v>
      </c>
      <c r="K35" s="164">
        <v>7</v>
      </c>
      <c r="L35" s="164">
        <v>0</v>
      </c>
      <c r="M35" s="164">
        <v>3</v>
      </c>
      <c r="N35" s="164">
        <v>3</v>
      </c>
      <c r="O35" s="164"/>
      <c r="P35" s="164"/>
      <c r="Q35" s="164"/>
      <c r="R35" s="164"/>
      <c r="S35" s="164"/>
      <c r="T35" s="164"/>
      <c r="U35" s="164"/>
      <c r="V35" s="164"/>
      <c r="W35" s="164"/>
      <c r="X35" s="164"/>
      <c r="Y35" s="164"/>
      <c r="Z35" s="164"/>
      <c r="AA35" s="164">
        <v>1</v>
      </c>
      <c r="AB35" s="164">
        <v>9</v>
      </c>
      <c r="AC35" s="165">
        <v>10</v>
      </c>
    </row>
    <row r="36" spans="1:29" ht="24" customHeight="1">
      <c r="A36" s="162">
        <v>32</v>
      </c>
      <c r="B36" s="163" t="s">
        <v>47</v>
      </c>
      <c r="C36" s="164">
        <v>208</v>
      </c>
      <c r="D36" s="164">
        <v>65</v>
      </c>
      <c r="E36" s="164">
        <v>273</v>
      </c>
      <c r="F36" s="164">
        <v>6</v>
      </c>
      <c r="G36" s="164">
        <v>2</v>
      </c>
      <c r="H36" s="164">
        <v>8</v>
      </c>
      <c r="I36" s="164">
        <v>591</v>
      </c>
      <c r="J36" s="164">
        <v>279</v>
      </c>
      <c r="K36" s="164">
        <v>870</v>
      </c>
      <c r="L36" s="164">
        <v>2254</v>
      </c>
      <c r="M36" s="164">
        <v>1062</v>
      </c>
      <c r="N36" s="164">
        <v>3316</v>
      </c>
      <c r="O36" s="164">
        <v>4</v>
      </c>
      <c r="P36" s="164">
        <v>1</v>
      </c>
      <c r="Q36" s="164">
        <v>5</v>
      </c>
      <c r="R36" s="164">
        <v>76</v>
      </c>
      <c r="S36" s="164">
        <v>18</v>
      </c>
      <c r="T36" s="164">
        <v>94</v>
      </c>
      <c r="U36" s="164"/>
      <c r="V36" s="164"/>
      <c r="W36" s="164"/>
      <c r="X36" s="164">
        <v>43</v>
      </c>
      <c r="Y36" s="164">
        <v>45</v>
      </c>
      <c r="Z36" s="164">
        <v>88</v>
      </c>
      <c r="AA36" s="164">
        <v>3182</v>
      </c>
      <c r="AB36" s="164">
        <v>1472</v>
      </c>
      <c r="AC36" s="165">
        <v>4654</v>
      </c>
    </row>
    <row r="37" spans="1:29" ht="24" customHeight="1">
      <c r="A37" s="162">
        <v>33</v>
      </c>
      <c r="B37" s="163" t="s">
        <v>46</v>
      </c>
      <c r="C37" s="164">
        <v>14</v>
      </c>
      <c r="D37" s="164">
        <v>6</v>
      </c>
      <c r="E37" s="164">
        <v>20</v>
      </c>
      <c r="F37" s="164"/>
      <c r="G37" s="164"/>
      <c r="H37" s="164"/>
      <c r="I37" s="164">
        <v>155</v>
      </c>
      <c r="J37" s="164">
        <v>36</v>
      </c>
      <c r="K37" s="164">
        <v>191</v>
      </c>
      <c r="L37" s="164">
        <v>763</v>
      </c>
      <c r="M37" s="164">
        <v>253</v>
      </c>
      <c r="N37" s="164">
        <v>1016</v>
      </c>
      <c r="O37" s="164"/>
      <c r="P37" s="164"/>
      <c r="Q37" s="164"/>
      <c r="R37" s="164">
        <v>54</v>
      </c>
      <c r="S37" s="164">
        <v>2</v>
      </c>
      <c r="T37" s="164">
        <v>56</v>
      </c>
      <c r="U37" s="164">
        <v>0</v>
      </c>
      <c r="V37" s="164">
        <v>2</v>
      </c>
      <c r="W37" s="164">
        <v>2</v>
      </c>
      <c r="X37" s="164"/>
      <c r="Y37" s="164"/>
      <c r="Z37" s="164"/>
      <c r="AA37" s="164">
        <v>986</v>
      </c>
      <c r="AB37" s="164">
        <v>299</v>
      </c>
      <c r="AC37" s="165">
        <v>1285</v>
      </c>
    </row>
    <row r="38" spans="1:29" ht="24" customHeight="1">
      <c r="A38" s="162">
        <v>34</v>
      </c>
      <c r="B38" s="163" t="s">
        <v>48</v>
      </c>
      <c r="C38" s="164">
        <v>20</v>
      </c>
      <c r="D38" s="164">
        <v>6</v>
      </c>
      <c r="E38" s="164">
        <v>26</v>
      </c>
      <c r="F38" s="164">
        <v>1</v>
      </c>
      <c r="G38" s="164">
        <v>0</v>
      </c>
      <c r="H38" s="164">
        <v>1</v>
      </c>
      <c r="I38" s="164">
        <v>122</v>
      </c>
      <c r="J38" s="164">
        <v>30</v>
      </c>
      <c r="K38" s="164">
        <v>152</v>
      </c>
      <c r="L38" s="164">
        <v>485</v>
      </c>
      <c r="M38" s="164">
        <v>195</v>
      </c>
      <c r="N38" s="164">
        <v>680</v>
      </c>
      <c r="O38" s="164">
        <v>3</v>
      </c>
      <c r="P38" s="164">
        <v>0</v>
      </c>
      <c r="Q38" s="164">
        <v>3</v>
      </c>
      <c r="R38" s="164">
        <v>16</v>
      </c>
      <c r="S38" s="164">
        <v>6</v>
      </c>
      <c r="T38" s="164">
        <v>22</v>
      </c>
      <c r="U38" s="164">
        <v>4</v>
      </c>
      <c r="V38" s="164">
        <v>4</v>
      </c>
      <c r="W38" s="164">
        <v>8</v>
      </c>
      <c r="X38" s="164">
        <v>7</v>
      </c>
      <c r="Y38" s="164">
        <v>3</v>
      </c>
      <c r="Z38" s="164">
        <v>10</v>
      </c>
      <c r="AA38" s="164">
        <v>658</v>
      </c>
      <c r="AB38" s="164">
        <v>244</v>
      </c>
      <c r="AC38" s="165">
        <v>902</v>
      </c>
    </row>
    <row r="39" spans="1:29" ht="22.9" customHeight="1">
      <c r="A39" s="1033" t="s">
        <v>49</v>
      </c>
      <c r="B39" s="1034"/>
      <c r="C39" s="172">
        <v>1124</v>
      </c>
      <c r="D39" s="172">
        <v>330</v>
      </c>
      <c r="E39" s="172">
        <v>1454</v>
      </c>
      <c r="F39" s="172">
        <v>17</v>
      </c>
      <c r="G39" s="172">
        <v>15</v>
      </c>
      <c r="H39" s="172">
        <v>32</v>
      </c>
      <c r="I39" s="172">
        <v>5355</v>
      </c>
      <c r="J39" s="172">
        <v>2428</v>
      </c>
      <c r="K39" s="172">
        <v>7783</v>
      </c>
      <c r="L39" s="172">
        <v>24712</v>
      </c>
      <c r="M39" s="172">
        <v>11750</v>
      </c>
      <c r="N39" s="172">
        <v>36462</v>
      </c>
      <c r="O39" s="172">
        <v>43</v>
      </c>
      <c r="P39" s="172">
        <v>30</v>
      </c>
      <c r="Q39" s="172">
        <v>73</v>
      </c>
      <c r="R39" s="172">
        <v>986</v>
      </c>
      <c r="S39" s="172">
        <v>555</v>
      </c>
      <c r="T39" s="172">
        <v>1541</v>
      </c>
      <c r="U39" s="172">
        <v>13</v>
      </c>
      <c r="V39" s="172">
        <v>21</v>
      </c>
      <c r="W39" s="172">
        <v>34</v>
      </c>
      <c r="X39" s="172">
        <v>353</v>
      </c>
      <c r="Y39" s="172">
        <v>303</v>
      </c>
      <c r="Z39" s="172">
        <v>656</v>
      </c>
      <c r="AA39" s="172">
        <v>32603</v>
      </c>
      <c r="AB39" s="172">
        <v>15432</v>
      </c>
      <c r="AC39" s="172">
        <v>48035</v>
      </c>
    </row>
  </sheetData>
  <mergeCells count="15">
    <mergeCell ref="A39:B39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ageMargins left="0.70866141732283472" right="0.39370078740157483" top="0.51181102362204722" bottom="0.51181102362204722" header="0.31496062992125984" footer="0.31496062992125984"/>
  <pageSetup paperSize="9" scale="81" firstPageNumber="60" orientation="portrait" useFirstPageNumber="1" r:id="rId1"/>
  <headerFooter>
    <oddFooter>&amp;LAISHE 2020-21&amp;CT-17</oddFooter>
  </headerFooter>
  <colBreaks count="2" manualBreakCount="2">
    <brk id="11" max="1048575" man="1"/>
    <brk id="20" max="1048575" man="1"/>
  </colBreak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B050"/>
  </sheetPr>
  <dimension ref="A1:E151"/>
  <sheetViews>
    <sheetView view="pageBreakPreview" topLeftCell="A135" zoomScale="85" zoomScaleSheetLayoutView="85" workbookViewId="0">
      <selection activeCell="C151" sqref="C151"/>
    </sheetView>
  </sheetViews>
  <sheetFormatPr defaultColWidth="9.1796875" defaultRowHeight="14"/>
  <cols>
    <col min="1" max="1" width="7.1796875" style="138" bestFit="1" customWidth="1"/>
    <col min="2" max="2" width="74.453125" style="142" customWidth="1"/>
    <col min="3" max="5" width="17.54296875" style="138" customWidth="1"/>
    <col min="6" max="16384" width="9.1796875" style="138"/>
  </cols>
  <sheetData>
    <row r="1" spans="1:5" s="174" customFormat="1" ht="36.75" customHeight="1">
      <c r="A1" s="593" t="s">
        <v>143</v>
      </c>
      <c r="B1" s="993" t="s">
        <v>1028</v>
      </c>
      <c r="C1" s="993"/>
      <c r="D1" s="993"/>
      <c r="E1" s="993"/>
    </row>
    <row r="2" spans="1:5" ht="27.75" customHeight="1">
      <c r="A2" s="579" t="s">
        <v>235</v>
      </c>
      <c r="B2" s="579" t="s">
        <v>347</v>
      </c>
      <c r="C2" s="583" t="s">
        <v>870</v>
      </c>
      <c r="D2" s="583" t="s">
        <v>871</v>
      </c>
      <c r="E2" s="583" t="s">
        <v>12</v>
      </c>
    </row>
    <row r="3" spans="1:5">
      <c r="A3" s="160">
        <v>1</v>
      </c>
      <c r="B3" s="160">
        <v>2</v>
      </c>
      <c r="C3" s="160">
        <v>3</v>
      </c>
      <c r="D3" s="160">
        <v>4</v>
      </c>
      <c r="E3" s="160">
        <v>5</v>
      </c>
    </row>
    <row r="4" spans="1:5" ht="19.5" customHeight="1">
      <c r="A4" s="251">
        <v>1</v>
      </c>
      <c r="B4" s="136" t="s">
        <v>430</v>
      </c>
      <c r="C4" s="137">
        <v>9152</v>
      </c>
      <c r="D4" s="137">
        <v>2093</v>
      </c>
      <c r="E4" s="137">
        <v>11245</v>
      </c>
    </row>
    <row r="5" spans="1:5" ht="19.5" customHeight="1">
      <c r="A5" s="251">
        <v>2</v>
      </c>
      <c r="B5" s="136" t="s">
        <v>428</v>
      </c>
      <c r="C5" s="137">
        <v>2081</v>
      </c>
      <c r="D5" s="137">
        <v>1358</v>
      </c>
      <c r="E5" s="137">
        <v>3439</v>
      </c>
    </row>
    <row r="6" spans="1:5" ht="19.5" customHeight="1">
      <c r="A6" s="251">
        <v>3</v>
      </c>
      <c r="B6" s="136" t="s">
        <v>435</v>
      </c>
      <c r="C6" s="137">
        <v>2274</v>
      </c>
      <c r="D6" s="137">
        <v>1040</v>
      </c>
      <c r="E6" s="137">
        <v>3314</v>
      </c>
    </row>
    <row r="7" spans="1:5" ht="19.5" customHeight="1">
      <c r="A7" s="251">
        <v>4</v>
      </c>
      <c r="B7" s="136" t="s">
        <v>429</v>
      </c>
      <c r="C7" s="137">
        <v>1637</v>
      </c>
      <c r="D7" s="137">
        <v>968</v>
      </c>
      <c r="E7" s="137">
        <v>2605</v>
      </c>
    </row>
    <row r="8" spans="1:5" ht="19.5" customHeight="1">
      <c r="A8" s="251">
        <v>5</v>
      </c>
      <c r="B8" s="136" t="s">
        <v>432</v>
      </c>
      <c r="C8" s="137">
        <v>2153</v>
      </c>
      <c r="D8" s="137">
        <v>388</v>
      </c>
      <c r="E8" s="137">
        <v>2541</v>
      </c>
    </row>
    <row r="9" spans="1:5" ht="19.5" customHeight="1">
      <c r="A9" s="251">
        <v>6</v>
      </c>
      <c r="B9" s="136" t="s">
        <v>359</v>
      </c>
      <c r="C9" s="137">
        <v>1448</v>
      </c>
      <c r="D9" s="137">
        <v>651</v>
      </c>
      <c r="E9" s="137">
        <v>2099</v>
      </c>
    </row>
    <row r="10" spans="1:5" ht="19.5" customHeight="1">
      <c r="A10" s="251">
        <v>7</v>
      </c>
      <c r="B10" s="136" t="s">
        <v>438</v>
      </c>
      <c r="C10" s="137">
        <v>1435</v>
      </c>
      <c r="D10" s="137">
        <v>586</v>
      </c>
      <c r="E10" s="137">
        <v>2021</v>
      </c>
    </row>
    <row r="11" spans="1:5" ht="19.5" customHeight="1">
      <c r="A11" s="251">
        <v>8</v>
      </c>
      <c r="B11" s="136" t="s">
        <v>436</v>
      </c>
      <c r="C11" s="137">
        <v>1682</v>
      </c>
      <c r="D11" s="137">
        <v>236</v>
      </c>
      <c r="E11" s="137">
        <v>1918</v>
      </c>
    </row>
    <row r="12" spans="1:5" ht="19.5" customHeight="1">
      <c r="A12" s="251">
        <v>9</v>
      </c>
      <c r="B12" s="136" t="s">
        <v>427</v>
      </c>
      <c r="C12" s="137">
        <v>880</v>
      </c>
      <c r="D12" s="137">
        <v>937</v>
      </c>
      <c r="E12" s="137">
        <v>1817</v>
      </c>
    </row>
    <row r="13" spans="1:5" ht="19.5" customHeight="1">
      <c r="A13" s="251">
        <v>10</v>
      </c>
      <c r="B13" s="136" t="s">
        <v>510</v>
      </c>
      <c r="C13" s="137">
        <v>966</v>
      </c>
      <c r="D13" s="137">
        <v>482</v>
      </c>
      <c r="E13" s="137">
        <v>1448</v>
      </c>
    </row>
    <row r="14" spans="1:5" ht="19.5" customHeight="1">
      <c r="A14" s="251">
        <v>11</v>
      </c>
      <c r="B14" s="136" t="s">
        <v>348</v>
      </c>
      <c r="C14" s="137">
        <v>1118</v>
      </c>
      <c r="D14" s="137">
        <v>326</v>
      </c>
      <c r="E14" s="137">
        <v>1444</v>
      </c>
    </row>
    <row r="15" spans="1:5" ht="19.5" customHeight="1">
      <c r="A15" s="251">
        <v>12</v>
      </c>
      <c r="B15" s="136" t="s">
        <v>358</v>
      </c>
      <c r="C15" s="137">
        <v>981</v>
      </c>
      <c r="D15" s="137">
        <v>403</v>
      </c>
      <c r="E15" s="137">
        <v>1384</v>
      </c>
    </row>
    <row r="16" spans="1:5" ht="19.5" customHeight="1">
      <c r="A16" s="251">
        <v>13</v>
      </c>
      <c r="B16" s="136" t="s">
        <v>357</v>
      </c>
      <c r="C16" s="137">
        <v>759</v>
      </c>
      <c r="D16" s="137">
        <v>438</v>
      </c>
      <c r="E16" s="137">
        <v>1197</v>
      </c>
    </row>
    <row r="17" spans="1:5" ht="19.5" customHeight="1">
      <c r="A17" s="251">
        <v>14</v>
      </c>
      <c r="B17" s="136" t="s">
        <v>440</v>
      </c>
      <c r="C17" s="137">
        <v>377</v>
      </c>
      <c r="D17" s="137">
        <v>567</v>
      </c>
      <c r="E17" s="137">
        <v>944</v>
      </c>
    </row>
    <row r="18" spans="1:5" ht="19.5" customHeight="1">
      <c r="A18" s="251">
        <v>15</v>
      </c>
      <c r="B18" s="136" t="s">
        <v>362</v>
      </c>
      <c r="C18" s="137">
        <v>793</v>
      </c>
      <c r="D18" s="137">
        <v>128</v>
      </c>
      <c r="E18" s="137">
        <v>921</v>
      </c>
    </row>
    <row r="19" spans="1:5" ht="19.5" customHeight="1">
      <c r="A19" s="251">
        <v>16</v>
      </c>
      <c r="B19" s="136" t="s">
        <v>439</v>
      </c>
      <c r="C19" s="137">
        <v>133</v>
      </c>
      <c r="D19" s="137">
        <v>724</v>
      </c>
      <c r="E19" s="137">
        <v>857</v>
      </c>
    </row>
    <row r="20" spans="1:5" ht="19.5" customHeight="1">
      <c r="A20" s="251">
        <v>17</v>
      </c>
      <c r="B20" s="136" t="s">
        <v>431</v>
      </c>
      <c r="C20" s="137">
        <v>319</v>
      </c>
      <c r="D20" s="137">
        <v>376</v>
      </c>
      <c r="E20" s="137">
        <v>695</v>
      </c>
    </row>
    <row r="21" spans="1:5" ht="19.5" customHeight="1">
      <c r="A21" s="251">
        <v>18</v>
      </c>
      <c r="B21" s="136" t="s">
        <v>444</v>
      </c>
      <c r="C21" s="137">
        <v>237</v>
      </c>
      <c r="D21" s="137">
        <v>372</v>
      </c>
      <c r="E21" s="137">
        <v>609</v>
      </c>
    </row>
    <row r="22" spans="1:5" ht="19.5" customHeight="1">
      <c r="A22" s="251">
        <v>19</v>
      </c>
      <c r="B22" s="136" t="s">
        <v>434</v>
      </c>
      <c r="C22" s="137">
        <v>345</v>
      </c>
      <c r="D22" s="137">
        <v>245</v>
      </c>
      <c r="E22" s="137">
        <v>590</v>
      </c>
    </row>
    <row r="23" spans="1:5" ht="19.5" customHeight="1">
      <c r="A23" s="251">
        <v>20</v>
      </c>
      <c r="B23" s="136" t="s">
        <v>441</v>
      </c>
      <c r="C23" s="137">
        <v>381</v>
      </c>
      <c r="D23" s="137">
        <v>135</v>
      </c>
      <c r="E23" s="137">
        <v>516</v>
      </c>
    </row>
    <row r="24" spans="1:5" ht="19.5" customHeight="1">
      <c r="A24" s="251">
        <v>21</v>
      </c>
      <c r="B24" s="136" t="s">
        <v>437</v>
      </c>
      <c r="C24" s="137">
        <v>195</v>
      </c>
      <c r="D24" s="137">
        <v>270</v>
      </c>
      <c r="E24" s="137">
        <v>465</v>
      </c>
    </row>
    <row r="25" spans="1:5" ht="19.5" customHeight="1">
      <c r="A25" s="251">
        <v>22</v>
      </c>
      <c r="B25" s="136" t="s">
        <v>368</v>
      </c>
      <c r="C25" s="137">
        <v>239</v>
      </c>
      <c r="D25" s="137">
        <v>205</v>
      </c>
      <c r="E25" s="137">
        <v>444</v>
      </c>
    </row>
    <row r="26" spans="1:5" ht="19.5" customHeight="1">
      <c r="A26" s="251">
        <v>23</v>
      </c>
      <c r="B26" s="136" t="s">
        <v>455</v>
      </c>
      <c r="C26" s="137">
        <v>110</v>
      </c>
      <c r="D26" s="137">
        <v>288</v>
      </c>
      <c r="E26" s="137">
        <v>398</v>
      </c>
    </row>
    <row r="27" spans="1:5" ht="19.5" customHeight="1">
      <c r="A27" s="251">
        <v>24</v>
      </c>
      <c r="B27" s="136" t="s">
        <v>467</v>
      </c>
      <c r="C27" s="137">
        <v>158</v>
      </c>
      <c r="D27" s="137">
        <v>214</v>
      </c>
      <c r="E27" s="137">
        <v>372</v>
      </c>
    </row>
    <row r="28" spans="1:5" ht="19.5" customHeight="1">
      <c r="A28" s="251">
        <v>25</v>
      </c>
      <c r="B28" s="136" t="s">
        <v>517</v>
      </c>
      <c r="C28" s="137">
        <v>175</v>
      </c>
      <c r="D28" s="137">
        <v>162</v>
      </c>
      <c r="E28" s="137">
        <v>337</v>
      </c>
    </row>
    <row r="29" spans="1:5" ht="19.5" customHeight="1">
      <c r="A29" s="251">
        <v>26</v>
      </c>
      <c r="B29" s="136" t="s">
        <v>442</v>
      </c>
      <c r="C29" s="137">
        <v>118</v>
      </c>
      <c r="D29" s="137">
        <v>207</v>
      </c>
      <c r="E29" s="137">
        <v>325</v>
      </c>
    </row>
    <row r="30" spans="1:5" ht="19.5" customHeight="1">
      <c r="A30" s="251">
        <v>27</v>
      </c>
      <c r="B30" s="136" t="s">
        <v>453</v>
      </c>
      <c r="C30" s="137">
        <v>175</v>
      </c>
      <c r="D30" s="137">
        <v>127</v>
      </c>
      <c r="E30" s="137">
        <v>302</v>
      </c>
    </row>
    <row r="31" spans="1:5" ht="19.5" customHeight="1">
      <c r="A31" s="251">
        <v>28</v>
      </c>
      <c r="B31" s="136" t="s">
        <v>360</v>
      </c>
      <c r="C31" s="137">
        <v>165</v>
      </c>
      <c r="D31" s="137">
        <v>65</v>
      </c>
      <c r="E31" s="137">
        <v>230</v>
      </c>
    </row>
    <row r="32" spans="1:5" ht="19.5" customHeight="1">
      <c r="A32" s="251">
        <v>29</v>
      </c>
      <c r="B32" s="136" t="s">
        <v>361</v>
      </c>
      <c r="C32" s="137">
        <v>187</v>
      </c>
      <c r="D32" s="252">
        <v>37</v>
      </c>
      <c r="E32" s="137">
        <v>224</v>
      </c>
    </row>
    <row r="33" spans="1:5" ht="19.5" customHeight="1">
      <c r="A33" s="251">
        <v>30</v>
      </c>
      <c r="B33" s="136" t="s">
        <v>366</v>
      </c>
      <c r="C33" s="137">
        <v>149</v>
      </c>
      <c r="D33" s="137">
        <v>38</v>
      </c>
      <c r="E33" s="137">
        <v>187</v>
      </c>
    </row>
    <row r="34" spans="1:5" ht="19.5" customHeight="1">
      <c r="A34" s="251">
        <v>31</v>
      </c>
      <c r="B34" s="136" t="s">
        <v>449</v>
      </c>
      <c r="C34" s="137">
        <v>117</v>
      </c>
      <c r="D34" s="137">
        <v>65</v>
      </c>
      <c r="E34" s="137">
        <v>182</v>
      </c>
    </row>
    <row r="35" spans="1:5" ht="19.5" customHeight="1">
      <c r="A35" s="251">
        <v>32</v>
      </c>
      <c r="B35" s="136" t="s">
        <v>454</v>
      </c>
      <c r="C35" s="137">
        <v>150</v>
      </c>
      <c r="D35" s="137">
        <v>27</v>
      </c>
      <c r="E35" s="137">
        <v>177</v>
      </c>
    </row>
    <row r="36" spans="1:5" ht="19.5" customHeight="1">
      <c r="A36" s="251">
        <v>33</v>
      </c>
      <c r="B36" s="136" t="s">
        <v>363</v>
      </c>
      <c r="C36" s="137">
        <v>74</v>
      </c>
      <c r="D36" s="137">
        <v>92</v>
      </c>
      <c r="E36" s="137">
        <v>166</v>
      </c>
    </row>
    <row r="37" spans="1:5" ht="19.5" customHeight="1">
      <c r="A37" s="251">
        <v>34</v>
      </c>
      <c r="B37" s="136" t="s">
        <v>367</v>
      </c>
      <c r="C37" s="137">
        <v>130</v>
      </c>
      <c r="D37" s="137">
        <v>8</v>
      </c>
      <c r="E37" s="137">
        <v>138</v>
      </c>
    </row>
    <row r="38" spans="1:5" ht="19.5" customHeight="1">
      <c r="A38" s="251">
        <v>35</v>
      </c>
      <c r="B38" s="136" t="s">
        <v>443</v>
      </c>
      <c r="C38" s="137">
        <v>74</v>
      </c>
      <c r="D38" s="137">
        <v>63</v>
      </c>
      <c r="E38" s="137">
        <v>137</v>
      </c>
    </row>
    <row r="39" spans="1:5">
      <c r="A39" s="251">
        <v>36</v>
      </c>
      <c r="B39" s="136" t="s">
        <v>521</v>
      </c>
      <c r="C39" s="137">
        <v>66</v>
      </c>
      <c r="D39" s="137">
        <v>67</v>
      </c>
      <c r="E39" s="137">
        <v>133</v>
      </c>
    </row>
    <row r="40" spans="1:5" ht="19.5" customHeight="1">
      <c r="A40" s="251">
        <v>37</v>
      </c>
      <c r="B40" s="136" t="s">
        <v>433</v>
      </c>
      <c r="C40" s="137">
        <v>64</v>
      </c>
      <c r="D40" s="137">
        <v>64</v>
      </c>
      <c r="E40" s="137">
        <v>128</v>
      </c>
    </row>
    <row r="41" spans="1:5" ht="19.5" customHeight="1">
      <c r="A41" s="251">
        <v>38</v>
      </c>
      <c r="B41" s="136" t="s">
        <v>463</v>
      </c>
      <c r="C41" s="137">
        <v>52</v>
      </c>
      <c r="D41" s="137">
        <v>57</v>
      </c>
      <c r="E41" s="137">
        <v>109</v>
      </c>
    </row>
    <row r="42" spans="1:5" ht="19.5" customHeight="1">
      <c r="A42" s="251">
        <v>39</v>
      </c>
      <c r="B42" s="136" t="s">
        <v>369</v>
      </c>
      <c r="C42" s="137">
        <v>65</v>
      </c>
      <c r="D42" s="137">
        <v>26</v>
      </c>
      <c r="E42" s="137">
        <v>91</v>
      </c>
    </row>
    <row r="43" spans="1:5" ht="19.5" customHeight="1">
      <c r="A43" s="251">
        <v>40</v>
      </c>
      <c r="B43" s="136" t="s">
        <v>390</v>
      </c>
      <c r="C43" s="137">
        <v>45</v>
      </c>
      <c r="D43" s="137">
        <v>44</v>
      </c>
      <c r="E43" s="137">
        <v>89</v>
      </c>
    </row>
    <row r="44" spans="1:5" ht="19.5" customHeight="1">
      <c r="A44" s="251">
        <v>41</v>
      </c>
      <c r="B44" s="136" t="s">
        <v>459</v>
      </c>
      <c r="C44" s="137">
        <v>52</v>
      </c>
      <c r="D44" s="137">
        <v>36</v>
      </c>
      <c r="E44" s="137">
        <v>88</v>
      </c>
    </row>
    <row r="45" spans="1:5" ht="19.5" customHeight="1">
      <c r="A45" s="251">
        <v>42</v>
      </c>
      <c r="B45" s="136" t="s">
        <v>448</v>
      </c>
      <c r="C45" s="137">
        <v>67</v>
      </c>
      <c r="D45" s="137">
        <v>15</v>
      </c>
      <c r="E45" s="137">
        <v>82</v>
      </c>
    </row>
    <row r="46" spans="1:5" ht="19.5" customHeight="1">
      <c r="A46" s="251">
        <v>43</v>
      </c>
      <c r="B46" s="136" t="s">
        <v>374</v>
      </c>
      <c r="C46" s="137">
        <v>2</v>
      </c>
      <c r="D46" s="137">
        <v>74</v>
      </c>
      <c r="E46" s="137">
        <v>76</v>
      </c>
    </row>
    <row r="47" spans="1:5" ht="19.5" customHeight="1">
      <c r="A47" s="251">
        <v>44</v>
      </c>
      <c r="B47" s="136" t="s">
        <v>460</v>
      </c>
      <c r="C47" s="137">
        <v>56</v>
      </c>
      <c r="D47" s="137">
        <v>18</v>
      </c>
      <c r="E47" s="137">
        <v>74</v>
      </c>
    </row>
    <row r="48" spans="1:5" ht="19.5" customHeight="1">
      <c r="A48" s="251">
        <v>45</v>
      </c>
      <c r="B48" s="136" t="s">
        <v>370</v>
      </c>
      <c r="C48" s="137">
        <v>37</v>
      </c>
      <c r="D48" s="137">
        <v>37</v>
      </c>
      <c r="E48" s="137">
        <v>74</v>
      </c>
    </row>
    <row r="49" spans="1:5" ht="19.5" customHeight="1">
      <c r="A49" s="251">
        <v>46</v>
      </c>
      <c r="B49" s="136" t="s">
        <v>509</v>
      </c>
      <c r="C49" s="137">
        <v>43</v>
      </c>
      <c r="D49" s="137">
        <v>30</v>
      </c>
      <c r="E49" s="137">
        <v>73</v>
      </c>
    </row>
    <row r="50" spans="1:5" ht="19.5" customHeight="1">
      <c r="A50" s="251">
        <v>47</v>
      </c>
      <c r="B50" s="136" t="s">
        <v>376</v>
      </c>
      <c r="C50" s="137">
        <v>46</v>
      </c>
      <c r="D50" s="137">
        <v>18</v>
      </c>
      <c r="E50" s="137">
        <v>64</v>
      </c>
    </row>
    <row r="51" spans="1:5" ht="19.5" customHeight="1">
      <c r="A51" s="251">
        <v>48</v>
      </c>
      <c r="B51" s="136" t="s">
        <v>512</v>
      </c>
      <c r="C51" s="137">
        <v>4</v>
      </c>
      <c r="D51" s="137">
        <v>60</v>
      </c>
      <c r="E51" s="137">
        <v>64</v>
      </c>
    </row>
    <row r="52" spans="1:5" ht="19.5" customHeight="1">
      <c r="A52" s="251">
        <v>49</v>
      </c>
      <c r="B52" s="136" t="s">
        <v>520</v>
      </c>
      <c r="C52" s="137">
        <v>33</v>
      </c>
      <c r="D52" s="137">
        <v>26</v>
      </c>
      <c r="E52" s="137">
        <v>59</v>
      </c>
    </row>
    <row r="53" spans="1:5" ht="19.5" customHeight="1">
      <c r="A53" s="251">
        <v>50</v>
      </c>
      <c r="B53" s="136" t="s">
        <v>381</v>
      </c>
      <c r="C53" s="137">
        <v>42</v>
      </c>
      <c r="D53" s="137">
        <v>10</v>
      </c>
      <c r="E53" s="137">
        <v>52</v>
      </c>
    </row>
    <row r="54" spans="1:5" ht="19.5" customHeight="1">
      <c r="A54" s="251">
        <v>51</v>
      </c>
      <c r="B54" s="136" t="s">
        <v>364</v>
      </c>
      <c r="C54" s="137">
        <v>25</v>
      </c>
      <c r="D54" s="137">
        <v>26</v>
      </c>
      <c r="E54" s="137">
        <v>51</v>
      </c>
    </row>
    <row r="55" spans="1:5" ht="19.5" customHeight="1">
      <c r="A55" s="251">
        <v>52</v>
      </c>
      <c r="B55" s="136" t="s">
        <v>379</v>
      </c>
      <c r="C55" s="137">
        <v>19</v>
      </c>
      <c r="D55" s="137">
        <v>32</v>
      </c>
      <c r="E55" s="137">
        <v>51</v>
      </c>
    </row>
    <row r="56" spans="1:5" ht="19.5" customHeight="1">
      <c r="A56" s="251">
        <v>53</v>
      </c>
      <c r="B56" s="136" t="s">
        <v>445</v>
      </c>
      <c r="C56" s="137">
        <v>16</v>
      </c>
      <c r="D56" s="137">
        <v>30</v>
      </c>
      <c r="E56" s="137">
        <v>46</v>
      </c>
    </row>
    <row r="57" spans="1:5" ht="19.5" customHeight="1">
      <c r="A57" s="251">
        <v>54</v>
      </c>
      <c r="B57" s="136" t="s">
        <v>522</v>
      </c>
      <c r="C57" s="137">
        <v>28</v>
      </c>
      <c r="D57" s="137">
        <v>13</v>
      </c>
      <c r="E57" s="137">
        <v>41</v>
      </c>
    </row>
    <row r="58" spans="1:5" ht="19.5" customHeight="1">
      <c r="A58" s="251">
        <v>55</v>
      </c>
      <c r="B58" s="136" t="s">
        <v>446</v>
      </c>
      <c r="C58" s="137">
        <v>15</v>
      </c>
      <c r="D58" s="137">
        <v>26</v>
      </c>
      <c r="E58" s="137">
        <v>41</v>
      </c>
    </row>
    <row r="59" spans="1:5" ht="19.5" customHeight="1">
      <c r="A59" s="251">
        <v>56</v>
      </c>
      <c r="B59" s="136" t="s">
        <v>470</v>
      </c>
      <c r="C59" s="137">
        <v>20</v>
      </c>
      <c r="D59" s="137">
        <v>17</v>
      </c>
      <c r="E59" s="137">
        <v>37</v>
      </c>
    </row>
    <row r="60" spans="1:5" ht="19.5" customHeight="1">
      <c r="A60" s="251">
        <v>57</v>
      </c>
      <c r="B60" s="136" t="s">
        <v>477</v>
      </c>
      <c r="C60" s="137">
        <v>3</v>
      </c>
      <c r="D60" s="137">
        <v>32</v>
      </c>
      <c r="E60" s="137">
        <v>35</v>
      </c>
    </row>
    <row r="61" spans="1:5" ht="19.5" customHeight="1">
      <c r="A61" s="251">
        <v>58</v>
      </c>
      <c r="B61" s="136" t="s">
        <v>524</v>
      </c>
      <c r="C61" s="137">
        <v>23</v>
      </c>
      <c r="D61" s="137">
        <v>11</v>
      </c>
      <c r="E61" s="137">
        <v>34</v>
      </c>
    </row>
    <row r="62" spans="1:5" ht="19.5" customHeight="1">
      <c r="A62" s="251">
        <v>59</v>
      </c>
      <c r="B62" s="136" t="s">
        <v>516</v>
      </c>
      <c r="C62" s="137">
        <v>13</v>
      </c>
      <c r="D62" s="137">
        <v>21</v>
      </c>
      <c r="E62" s="137">
        <v>34</v>
      </c>
    </row>
    <row r="63" spans="1:5" ht="19.5" customHeight="1">
      <c r="A63" s="251">
        <v>60</v>
      </c>
      <c r="B63" s="136" t="s">
        <v>447</v>
      </c>
      <c r="C63" s="137">
        <v>13</v>
      </c>
      <c r="D63" s="137">
        <v>20</v>
      </c>
      <c r="E63" s="137">
        <v>33</v>
      </c>
    </row>
    <row r="64" spans="1:5" ht="19.5" customHeight="1">
      <c r="A64" s="251">
        <v>61</v>
      </c>
      <c r="B64" s="136" t="s">
        <v>356</v>
      </c>
      <c r="C64" s="137">
        <v>17</v>
      </c>
      <c r="D64" s="137">
        <v>15</v>
      </c>
      <c r="E64" s="137">
        <v>32</v>
      </c>
    </row>
    <row r="65" spans="1:5" ht="19.5" customHeight="1">
      <c r="A65" s="251">
        <v>62</v>
      </c>
      <c r="B65" s="136" t="s">
        <v>462</v>
      </c>
      <c r="C65" s="137">
        <v>22</v>
      </c>
      <c r="D65" s="137">
        <v>10</v>
      </c>
      <c r="E65" s="137">
        <v>32</v>
      </c>
    </row>
    <row r="66" spans="1:5" ht="19.5" customHeight="1">
      <c r="A66" s="251">
        <v>63</v>
      </c>
      <c r="B66" s="136" t="s">
        <v>471</v>
      </c>
      <c r="C66" s="137">
        <v>10</v>
      </c>
      <c r="D66" s="137">
        <v>18</v>
      </c>
      <c r="E66" s="137">
        <v>28</v>
      </c>
    </row>
    <row r="67" spans="1:5" ht="19.5" customHeight="1">
      <c r="A67" s="251">
        <v>64</v>
      </c>
      <c r="B67" s="136" t="s">
        <v>513</v>
      </c>
      <c r="C67" s="137">
        <v>15</v>
      </c>
      <c r="D67" s="137">
        <v>12</v>
      </c>
      <c r="E67" s="137">
        <v>27</v>
      </c>
    </row>
    <row r="68" spans="1:5" ht="19.5" customHeight="1">
      <c r="A68" s="251">
        <v>65</v>
      </c>
      <c r="B68" s="136" t="s">
        <v>380</v>
      </c>
      <c r="C68" s="137">
        <v>14</v>
      </c>
      <c r="D68" s="137">
        <v>10</v>
      </c>
      <c r="E68" s="137">
        <v>24</v>
      </c>
    </row>
    <row r="69" spans="1:5" ht="19.5" customHeight="1">
      <c r="A69" s="251">
        <v>66</v>
      </c>
      <c r="B69" s="136" t="s">
        <v>899</v>
      </c>
      <c r="C69" s="137">
        <v>18</v>
      </c>
      <c r="D69" s="137">
        <v>5</v>
      </c>
      <c r="E69" s="137">
        <v>23</v>
      </c>
    </row>
    <row r="70" spans="1:5" ht="19.5" customHeight="1">
      <c r="A70" s="251">
        <v>67</v>
      </c>
      <c r="B70" s="136" t="s">
        <v>523</v>
      </c>
      <c r="C70" s="137">
        <v>15</v>
      </c>
      <c r="D70" s="137">
        <v>8</v>
      </c>
      <c r="E70" s="137">
        <v>23</v>
      </c>
    </row>
    <row r="71" spans="1:5" ht="19.5" customHeight="1">
      <c r="A71" s="251">
        <v>68</v>
      </c>
      <c r="B71" s="136" t="s">
        <v>474</v>
      </c>
      <c r="C71" s="137">
        <v>10</v>
      </c>
      <c r="D71" s="137">
        <v>12</v>
      </c>
      <c r="E71" s="137">
        <v>22</v>
      </c>
    </row>
    <row r="72" spans="1:5" ht="19.5" customHeight="1">
      <c r="A72" s="251">
        <v>69</v>
      </c>
      <c r="B72" s="136" t="s">
        <v>472</v>
      </c>
      <c r="C72" s="137">
        <v>5</v>
      </c>
      <c r="D72" s="137">
        <v>15</v>
      </c>
      <c r="E72" s="137">
        <v>20</v>
      </c>
    </row>
    <row r="73" spans="1:5" ht="19.5" customHeight="1">
      <c r="A73" s="251">
        <v>70</v>
      </c>
      <c r="B73" s="136" t="s">
        <v>365</v>
      </c>
      <c r="C73" s="137">
        <v>12</v>
      </c>
      <c r="D73" s="137">
        <v>7</v>
      </c>
      <c r="E73" s="137">
        <v>19</v>
      </c>
    </row>
    <row r="74" spans="1:5" ht="19.5" customHeight="1">
      <c r="A74" s="251">
        <v>71</v>
      </c>
      <c r="B74" s="136" t="s">
        <v>457</v>
      </c>
      <c r="C74" s="137">
        <v>7</v>
      </c>
      <c r="D74" s="137">
        <v>11</v>
      </c>
      <c r="E74" s="137">
        <v>18</v>
      </c>
    </row>
    <row r="75" spans="1:5" ht="19.5" customHeight="1">
      <c r="A75" s="251">
        <v>72</v>
      </c>
      <c r="B75" s="136" t="s">
        <v>371</v>
      </c>
      <c r="C75" s="137">
        <v>15</v>
      </c>
      <c r="D75" s="137">
        <v>3</v>
      </c>
      <c r="E75" s="137">
        <v>18</v>
      </c>
    </row>
    <row r="76" spans="1:5" ht="19.5" customHeight="1">
      <c r="A76" s="251">
        <v>73</v>
      </c>
      <c r="B76" s="136" t="s">
        <v>456</v>
      </c>
      <c r="C76" s="137">
        <v>2</v>
      </c>
      <c r="D76" s="137">
        <v>16</v>
      </c>
      <c r="E76" s="137">
        <v>18</v>
      </c>
    </row>
    <row r="77" spans="1:5" ht="19.5" customHeight="1">
      <c r="A77" s="251">
        <v>74</v>
      </c>
      <c r="B77" s="136" t="s">
        <v>386</v>
      </c>
      <c r="C77" s="137">
        <v>10</v>
      </c>
      <c r="D77" s="137">
        <v>7</v>
      </c>
      <c r="E77" s="137">
        <v>17</v>
      </c>
    </row>
    <row r="78" spans="1:5" ht="19.5" customHeight="1">
      <c r="A78" s="251">
        <v>75</v>
      </c>
      <c r="B78" s="136" t="s">
        <v>491</v>
      </c>
      <c r="C78" s="137">
        <v>15</v>
      </c>
      <c r="D78" s="137">
        <v>2</v>
      </c>
      <c r="E78" s="137">
        <v>17</v>
      </c>
    </row>
    <row r="79" spans="1:5" ht="19.5" customHeight="1">
      <c r="A79" s="251">
        <v>76</v>
      </c>
      <c r="B79" s="136" t="s">
        <v>388</v>
      </c>
      <c r="C79" s="137">
        <v>8</v>
      </c>
      <c r="D79" s="137">
        <v>7</v>
      </c>
      <c r="E79" s="137">
        <v>15</v>
      </c>
    </row>
    <row r="80" spans="1:5" ht="19.5" customHeight="1">
      <c r="A80" s="251">
        <v>77</v>
      </c>
      <c r="B80" s="136" t="s">
        <v>452</v>
      </c>
      <c r="C80" s="137">
        <v>11</v>
      </c>
      <c r="D80" s="137">
        <v>4</v>
      </c>
      <c r="E80" s="137">
        <v>15</v>
      </c>
    </row>
    <row r="81" spans="1:5" ht="19.5" customHeight="1">
      <c r="A81" s="251">
        <v>78</v>
      </c>
      <c r="B81" s="136" t="s">
        <v>404</v>
      </c>
      <c r="C81" s="137">
        <v>3</v>
      </c>
      <c r="D81" s="137">
        <v>12</v>
      </c>
      <c r="E81" s="137">
        <v>15</v>
      </c>
    </row>
    <row r="82" spans="1:5" ht="19.5" customHeight="1">
      <c r="A82" s="251">
        <v>79</v>
      </c>
      <c r="B82" s="136" t="s">
        <v>482</v>
      </c>
      <c r="C82" s="137">
        <v>5</v>
      </c>
      <c r="D82" s="137">
        <v>8</v>
      </c>
      <c r="E82" s="137">
        <v>13</v>
      </c>
    </row>
    <row r="83" spans="1:5" ht="19.5" customHeight="1">
      <c r="A83" s="251">
        <v>80</v>
      </c>
      <c r="B83" s="136" t="s">
        <v>412</v>
      </c>
      <c r="C83" s="137">
        <v>7</v>
      </c>
      <c r="D83" s="137">
        <v>6</v>
      </c>
      <c r="E83" s="137">
        <v>13</v>
      </c>
    </row>
    <row r="84" spans="1:5" ht="19.5" customHeight="1">
      <c r="A84" s="251">
        <v>81</v>
      </c>
      <c r="B84" s="136" t="s">
        <v>484</v>
      </c>
      <c r="C84" s="137">
        <v>9</v>
      </c>
      <c r="D84" s="137">
        <v>3</v>
      </c>
      <c r="E84" s="137">
        <v>12</v>
      </c>
    </row>
    <row r="85" spans="1:5" ht="19.5" customHeight="1">
      <c r="A85" s="251">
        <v>82</v>
      </c>
      <c r="B85" s="136" t="s">
        <v>450</v>
      </c>
      <c r="C85" s="137">
        <v>11</v>
      </c>
      <c r="D85" s="137">
        <v>1</v>
      </c>
      <c r="E85" s="137">
        <v>12</v>
      </c>
    </row>
    <row r="86" spans="1:5" ht="19.5" customHeight="1">
      <c r="A86" s="251">
        <v>83</v>
      </c>
      <c r="B86" s="136" t="s">
        <v>498</v>
      </c>
      <c r="C86" s="137">
        <v>10</v>
      </c>
      <c r="D86" s="137">
        <v>2</v>
      </c>
      <c r="E86" s="137">
        <v>12</v>
      </c>
    </row>
    <row r="87" spans="1:5" ht="19.5" customHeight="1">
      <c r="A87" s="251">
        <v>84</v>
      </c>
      <c r="B87" s="136" t="s">
        <v>399</v>
      </c>
      <c r="C87" s="137">
        <v>7</v>
      </c>
      <c r="D87" s="137">
        <v>4</v>
      </c>
      <c r="E87" s="137">
        <v>11</v>
      </c>
    </row>
    <row r="88" spans="1:5" ht="19.5" customHeight="1">
      <c r="A88" s="251">
        <v>85</v>
      </c>
      <c r="B88" s="136" t="s">
        <v>480</v>
      </c>
      <c r="C88" s="137">
        <v>4</v>
      </c>
      <c r="D88" s="137">
        <v>7</v>
      </c>
      <c r="E88" s="137">
        <v>11</v>
      </c>
    </row>
    <row r="89" spans="1:5">
      <c r="A89" s="251">
        <v>86</v>
      </c>
      <c r="B89" s="136" t="s">
        <v>407</v>
      </c>
      <c r="C89" s="137">
        <v>7</v>
      </c>
      <c r="D89" s="137">
        <v>3</v>
      </c>
      <c r="E89" s="137">
        <v>10</v>
      </c>
    </row>
    <row r="90" spans="1:5" ht="19.5" customHeight="1">
      <c r="A90" s="251">
        <v>87</v>
      </c>
      <c r="B90" s="136" t="s">
        <v>387</v>
      </c>
      <c r="C90" s="137">
        <v>5</v>
      </c>
      <c r="D90" s="137">
        <v>4</v>
      </c>
      <c r="E90" s="137">
        <v>9</v>
      </c>
    </row>
    <row r="91" spans="1:5" ht="19.5" customHeight="1">
      <c r="A91" s="251">
        <v>88</v>
      </c>
      <c r="B91" s="136" t="s">
        <v>384</v>
      </c>
      <c r="C91" s="137">
        <v>5</v>
      </c>
      <c r="D91" s="137">
        <v>4</v>
      </c>
      <c r="E91" s="137">
        <v>9</v>
      </c>
    </row>
    <row r="92" spans="1:5" ht="19.5" customHeight="1">
      <c r="A92" s="251">
        <v>89</v>
      </c>
      <c r="B92" s="136" t="s">
        <v>385</v>
      </c>
      <c r="C92" s="137">
        <v>8</v>
      </c>
      <c r="D92" s="137">
        <v>0</v>
      </c>
      <c r="E92" s="137">
        <v>8</v>
      </c>
    </row>
    <row r="93" spans="1:5" ht="28">
      <c r="A93" s="251">
        <v>90</v>
      </c>
      <c r="B93" s="136" t="s">
        <v>476</v>
      </c>
      <c r="C93" s="137">
        <v>0</v>
      </c>
      <c r="D93" s="137">
        <v>7</v>
      </c>
      <c r="E93" s="137">
        <v>7</v>
      </c>
    </row>
    <row r="94" spans="1:5" ht="19.5" customHeight="1">
      <c r="A94" s="251">
        <v>91</v>
      </c>
      <c r="B94" s="136" t="s">
        <v>383</v>
      </c>
      <c r="C94" s="137">
        <v>7</v>
      </c>
      <c r="D94" s="137">
        <v>0</v>
      </c>
      <c r="E94" s="137">
        <v>7</v>
      </c>
    </row>
    <row r="95" spans="1:5" ht="19.5" customHeight="1">
      <c r="A95" s="251">
        <v>92</v>
      </c>
      <c r="B95" s="136" t="s">
        <v>518</v>
      </c>
      <c r="C95" s="137">
        <v>0</v>
      </c>
      <c r="D95" s="137">
        <v>7</v>
      </c>
      <c r="E95" s="137">
        <v>7</v>
      </c>
    </row>
    <row r="96" spans="1:5" ht="19.5" customHeight="1">
      <c r="A96" s="251">
        <v>93</v>
      </c>
      <c r="B96" s="136" t="s">
        <v>525</v>
      </c>
      <c r="C96" s="137">
        <v>4</v>
      </c>
      <c r="D96" s="137">
        <v>3</v>
      </c>
      <c r="E96" s="137">
        <v>7</v>
      </c>
    </row>
    <row r="97" spans="1:5" ht="19.5" customHeight="1">
      <c r="A97" s="251">
        <v>94</v>
      </c>
      <c r="B97" s="136" t="s">
        <v>398</v>
      </c>
      <c r="C97" s="137">
        <v>5</v>
      </c>
      <c r="D97" s="137">
        <v>2</v>
      </c>
      <c r="E97" s="137">
        <v>7</v>
      </c>
    </row>
    <row r="98" spans="1:5" ht="19.5" customHeight="1">
      <c r="A98" s="251">
        <v>95</v>
      </c>
      <c r="B98" s="136" t="s">
        <v>395</v>
      </c>
      <c r="C98" s="137">
        <v>3</v>
      </c>
      <c r="D98" s="137">
        <v>4</v>
      </c>
      <c r="E98" s="137">
        <v>7</v>
      </c>
    </row>
    <row r="99" spans="1:5" ht="19.5" customHeight="1">
      <c r="A99" s="251">
        <v>96</v>
      </c>
      <c r="B99" s="136" t="s">
        <v>488</v>
      </c>
      <c r="C99" s="137">
        <v>5</v>
      </c>
      <c r="D99" s="137">
        <v>2</v>
      </c>
      <c r="E99" s="137">
        <v>7</v>
      </c>
    </row>
    <row r="100" spans="1:5" ht="19.5" customHeight="1">
      <c r="A100" s="251">
        <v>97</v>
      </c>
      <c r="B100" s="136" t="s">
        <v>466</v>
      </c>
      <c r="C100" s="137">
        <v>0</v>
      </c>
      <c r="D100" s="137">
        <v>7</v>
      </c>
      <c r="E100" s="137">
        <v>7</v>
      </c>
    </row>
    <row r="101" spans="1:5" ht="19.5" customHeight="1">
      <c r="A101" s="251">
        <v>98</v>
      </c>
      <c r="B101" s="136" t="s">
        <v>451</v>
      </c>
      <c r="C101" s="137">
        <v>4</v>
      </c>
      <c r="D101" s="137">
        <v>2</v>
      </c>
      <c r="E101" s="137">
        <v>6</v>
      </c>
    </row>
    <row r="102" spans="1:5">
      <c r="A102" s="251">
        <v>99</v>
      </c>
      <c r="B102" s="136" t="s">
        <v>411</v>
      </c>
      <c r="C102" s="137">
        <v>6</v>
      </c>
      <c r="D102" s="137">
        <v>0</v>
      </c>
      <c r="E102" s="137">
        <v>6</v>
      </c>
    </row>
    <row r="103" spans="1:5" ht="19.5" customHeight="1">
      <c r="A103" s="251">
        <v>100</v>
      </c>
      <c r="B103" s="136" t="s">
        <v>373</v>
      </c>
      <c r="C103" s="137">
        <v>2</v>
      </c>
      <c r="D103" s="137">
        <v>3</v>
      </c>
      <c r="E103" s="137">
        <v>5</v>
      </c>
    </row>
    <row r="104" spans="1:5" ht="19.5" customHeight="1">
      <c r="A104" s="251">
        <v>101</v>
      </c>
      <c r="B104" s="136" t="s">
        <v>526</v>
      </c>
      <c r="C104" s="137">
        <v>2</v>
      </c>
      <c r="D104" s="137">
        <v>3</v>
      </c>
      <c r="E104" s="137">
        <v>5</v>
      </c>
    </row>
    <row r="105" spans="1:5" ht="19.5" customHeight="1">
      <c r="A105" s="251">
        <v>102</v>
      </c>
      <c r="B105" s="136" t="s">
        <v>391</v>
      </c>
      <c r="C105" s="137">
        <v>3</v>
      </c>
      <c r="D105" s="137">
        <v>2</v>
      </c>
      <c r="E105" s="137">
        <v>5</v>
      </c>
    </row>
    <row r="106" spans="1:5" ht="19.5" customHeight="1">
      <c r="A106" s="251">
        <v>103</v>
      </c>
      <c r="B106" s="136" t="s">
        <v>397</v>
      </c>
      <c r="C106" s="137">
        <v>1</v>
      </c>
      <c r="D106" s="137">
        <v>4</v>
      </c>
      <c r="E106" s="137">
        <v>5</v>
      </c>
    </row>
    <row r="107" spans="1:5" ht="19.5" customHeight="1">
      <c r="A107" s="251">
        <v>104</v>
      </c>
      <c r="B107" s="136" t="s">
        <v>461</v>
      </c>
      <c r="C107" s="137">
        <v>4</v>
      </c>
      <c r="D107" s="137">
        <v>0</v>
      </c>
      <c r="E107" s="137">
        <v>4</v>
      </c>
    </row>
    <row r="108" spans="1:5" ht="19.5" customHeight="1">
      <c r="A108" s="251">
        <v>105</v>
      </c>
      <c r="B108" s="136" t="s">
        <v>901</v>
      </c>
      <c r="C108" s="137">
        <v>1</v>
      </c>
      <c r="D108" s="137">
        <v>3</v>
      </c>
      <c r="E108" s="137">
        <v>4</v>
      </c>
    </row>
    <row r="109" spans="1:5" ht="19.5" customHeight="1">
      <c r="A109" s="251">
        <v>106</v>
      </c>
      <c r="B109" s="136" t="s">
        <v>396</v>
      </c>
      <c r="C109" s="137">
        <v>2</v>
      </c>
      <c r="D109" s="137">
        <v>2</v>
      </c>
      <c r="E109" s="137">
        <v>4</v>
      </c>
    </row>
    <row r="110" spans="1:5" ht="19.5" customHeight="1">
      <c r="A110" s="251">
        <v>107</v>
      </c>
      <c r="B110" s="136" t="s">
        <v>403</v>
      </c>
      <c r="C110" s="137">
        <v>0</v>
      </c>
      <c r="D110" s="137">
        <v>4</v>
      </c>
      <c r="E110" s="137">
        <v>4</v>
      </c>
    </row>
    <row r="111" spans="1:5" ht="19.5" customHeight="1">
      <c r="A111" s="251">
        <v>108</v>
      </c>
      <c r="B111" s="136" t="s">
        <v>490</v>
      </c>
      <c r="C111" s="137">
        <v>4</v>
      </c>
      <c r="D111" s="137">
        <v>0</v>
      </c>
      <c r="E111" s="137">
        <v>4</v>
      </c>
    </row>
    <row r="112" spans="1:5" ht="19.5" customHeight="1">
      <c r="A112" s="251">
        <v>109</v>
      </c>
      <c r="B112" s="136" t="s">
        <v>465</v>
      </c>
      <c r="C112" s="137">
        <v>0</v>
      </c>
      <c r="D112" s="137">
        <v>4</v>
      </c>
      <c r="E112" s="137">
        <v>4</v>
      </c>
    </row>
    <row r="113" spans="1:5" ht="19.5" customHeight="1">
      <c r="A113" s="251">
        <v>110</v>
      </c>
      <c r="B113" s="136" t="s">
        <v>355</v>
      </c>
      <c r="C113" s="137">
        <v>2</v>
      </c>
      <c r="D113" s="137">
        <v>2</v>
      </c>
      <c r="E113" s="137">
        <v>4</v>
      </c>
    </row>
    <row r="114" spans="1:5" ht="19.5" customHeight="1">
      <c r="A114" s="251">
        <v>111</v>
      </c>
      <c r="B114" s="136" t="s">
        <v>905</v>
      </c>
      <c r="C114" s="137">
        <v>1</v>
      </c>
      <c r="D114" s="137">
        <v>2</v>
      </c>
      <c r="E114" s="137">
        <v>3</v>
      </c>
    </row>
    <row r="115" spans="1:5" ht="19.5" customHeight="1">
      <c r="A115" s="251">
        <v>112</v>
      </c>
      <c r="B115" s="136" t="s">
        <v>378</v>
      </c>
      <c r="C115" s="137">
        <v>3</v>
      </c>
      <c r="D115" s="137">
        <v>0</v>
      </c>
      <c r="E115" s="137">
        <v>3</v>
      </c>
    </row>
    <row r="116" spans="1:5" ht="19.5" customHeight="1">
      <c r="A116" s="251">
        <v>113</v>
      </c>
      <c r="B116" s="136" t="s">
        <v>417</v>
      </c>
      <c r="C116" s="137">
        <v>3</v>
      </c>
      <c r="D116" s="137">
        <v>0</v>
      </c>
      <c r="E116" s="137">
        <v>3</v>
      </c>
    </row>
    <row r="117" spans="1:5" ht="19.5" customHeight="1">
      <c r="A117" s="251">
        <v>114</v>
      </c>
      <c r="B117" s="136" t="s">
        <v>382</v>
      </c>
      <c r="C117" s="137">
        <v>2</v>
      </c>
      <c r="D117" s="137">
        <v>1</v>
      </c>
      <c r="E117" s="137">
        <v>3</v>
      </c>
    </row>
    <row r="118" spans="1:5" ht="19.5" customHeight="1">
      <c r="A118" s="251">
        <v>115</v>
      </c>
      <c r="B118" s="136" t="s">
        <v>527</v>
      </c>
      <c r="C118" s="137">
        <v>3</v>
      </c>
      <c r="D118" s="137">
        <v>0</v>
      </c>
      <c r="E118" s="137">
        <v>3</v>
      </c>
    </row>
    <row r="119" spans="1:5" ht="19.5" customHeight="1">
      <c r="A119" s="251">
        <v>116</v>
      </c>
      <c r="B119" s="136" t="s">
        <v>375</v>
      </c>
      <c r="C119" s="137">
        <v>2</v>
      </c>
      <c r="D119" s="137">
        <v>1</v>
      </c>
      <c r="E119" s="137">
        <v>3</v>
      </c>
    </row>
    <row r="120" spans="1:5" ht="19.5" customHeight="1">
      <c r="A120" s="251">
        <v>117</v>
      </c>
      <c r="B120" s="136" t="s">
        <v>519</v>
      </c>
      <c r="C120" s="137">
        <v>0</v>
      </c>
      <c r="D120" s="137">
        <v>3</v>
      </c>
      <c r="E120" s="137">
        <v>3</v>
      </c>
    </row>
    <row r="121" spans="1:5" ht="19.5" customHeight="1">
      <c r="A121" s="251">
        <v>118</v>
      </c>
      <c r="B121" s="136" t="s">
        <v>487</v>
      </c>
      <c r="C121" s="137">
        <v>3</v>
      </c>
      <c r="D121" s="137">
        <v>0</v>
      </c>
      <c r="E121" s="137">
        <v>3</v>
      </c>
    </row>
    <row r="122" spans="1:5" ht="19.5" customHeight="1">
      <c r="A122" s="251">
        <v>119</v>
      </c>
      <c r="B122" s="136" t="s">
        <v>389</v>
      </c>
      <c r="C122" s="137">
        <v>2</v>
      </c>
      <c r="D122" s="137">
        <v>1</v>
      </c>
      <c r="E122" s="137">
        <v>3</v>
      </c>
    </row>
    <row r="123" spans="1:5" ht="19.5" customHeight="1">
      <c r="A123" s="251">
        <v>120</v>
      </c>
      <c r="B123" s="136" t="s">
        <v>421</v>
      </c>
      <c r="C123" s="137">
        <v>0</v>
      </c>
      <c r="D123" s="137">
        <v>3</v>
      </c>
      <c r="E123" s="137">
        <v>3</v>
      </c>
    </row>
    <row r="124" spans="1:5" ht="19.5" customHeight="1">
      <c r="A124" s="251">
        <v>121</v>
      </c>
      <c r="B124" s="136" t="s">
        <v>486</v>
      </c>
      <c r="C124" s="137">
        <v>2</v>
      </c>
      <c r="D124" s="137">
        <v>0</v>
      </c>
      <c r="E124" s="137">
        <v>2</v>
      </c>
    </row>
    <row r="125" spans="1:5" ht="19.5" customHeight="1">
      <c r="A125" s="251">
        <v>122</v>
      </c>
      <c r="B125" s="136" t="s">
        <v>912</v>
      </c>
      <c r="C125" s="137">
        <v>2</v>
      </c>
      <c r="D125" s="137">
        <v>0</v>
      </c>
      <c r="E125" s="137">
        <v>2</v>
      </c>
    </row>
    <row r="126" spans="1:5" ht="19.5" customHeight="1">
      <c r="A126" s="251">
        <v>123</v>
      </c>
      <c r="B126" s="136" t="s">
        <v>904</v>
      </c>
      <c r="C126" s="137">
        <v>1</v>
      </c>
      <c r="D126" s="137">
        <v>1</v>
      </c>
      <c r="E126" s="137">
        <v>2</v>
      </c>
    </row>
    <row r="127" spans="1:5" ht="19.5" customHeight="1">
      <c r="A127" s="251">
        <v>124</v>
      </c>
      <c r="B127" s="136" t="s">
        <v>409</v>
      </c>
      <c r="C127" s="137">
        <v>2</v>
      </c>
      <c r="D127" s="137">
        <v>0</v>
      </c>
      <c r="E127" s="137">
        <v>2</v>
      </c>
    </row>
    <row r="128" spans="1:5" ht="19.5" customHeight="1">
      <c r="A128" s="251">
        <v>125</v>
      </c>
      <c r="B128" s="136" t="s">
        <v>900</v>
      </c>
      <c r="C128" s="137">
        <v>1</v>
      </c>
      <c r="D128" s="137">
        <v>1</v>
      </c>
      <c r="E128" s="137">
        <v>2</v>
      </c>
    </row>
    <row r="129" spans="1:5" ht="19.5" customHeight="1">
      <c r="A129" s="251">
        <v>126</v>
      </c>
      <c r="B129" s="136" t="s">
        <v>351</v>
      </c>
      <c r="C129" s="137">
        <v>1</v>
      </c>
      <c r="D129" s="137">
        <v>1</v>
      </c>
      <c r="E129" s="137">
        <v>2</v>
      </c>
    </row>
    <row r="130" spans="1:5" ht="19.5" customHeight="1">
      <c r="A130" s="251">
        <v>127</v>
      </c>
      <c r="B130" s="136" t="s">
        <v>483</v>
      </c>
      <c r="C130" s="137">
        <v>2</v>
      </c>
      <c r="D130" s="137">
        <v>0</v>
      </c>
      <c r="E130" s="137">
        <v>2</v>
      </c>
    </row>
    <row r="131" spans="1:5" ht="19.5" customHeight="1">
      <c r="A131" s="251">
        <v>128</v>
      </c>
      <c r="B131" s="136" t="s">
        <v>508</v>
      </c>
      <c r="C131" s="137">
        <v>0</v>
      </c>
      <c r="D131" s="137">
        <v>2</v>
      </c>
      <c r="E131" s="137">
        <v>2</v>
      </c>
    </row>
    <row r="132" spans="1:5" ht="19.5" customHeight="1">
      <c r="A132" s="251">
        <v>129</v>
      </c>
      <c r="B132" s="136" t="s">
        <v>350</v>
      </c>
      <c r="C132" s="137">
        <v>2</v>
      </c>
      <c r="D132" s="137">
        <v>0</v>
      </c>
      <c r="E132" s="137">
        <v>2</v>
      </c>
    </row>
    <row r="133" spans="1:5" ht="19.5" customHeight="1">
      <c r="A133" s="251">
        <v>130</v>
      </c>
      <c r="B133" s="136" t="s">
        <v>528</v>
      </c>
      <c r="C133" s="137">
        <v>2</v>
      </c>
      <c r="D133" s="137">
        <v>0</v>
      </c>
      <c r="E133" s="137">
        <v>2</v>
      </c>
    </row>
    <row r="134" spans="1:5" ht="19.5" customHeight="1">
      <c r="A134" s="251">
        <v>131</v>
      </c>
      <c r="B134" s="136" t="s">
        <v>485</v>
      </c>
      <c r="C134" s="252">
        <v>1</v>
      </c>
      <c r="D134" s="252">
        <v>1</v>
      </c>
      <c r="E134" s="252">
        <v>2</v>
      </c>
    </row>
    <row r="135" spans="1:5" ht="19.5" customHeight="1">
      <c r="A135" s="251">
        <v>132</v>
      </c>
      <c r="B135" s="136" t="s">
        <v>478</v>
      </c>
      <c r="C135" s="137">
        <v>1</v>
      </c>
      <c r="D135" s="137">
        <v>1</v>
      </c>
      <c r="E135" s="137">
        <v>2</v>
      </c>
    </row>
    <row r="136" spans="1:5" ht="19.5" customHeight="1">
      <c r="A136" s="251">
        <v>133</v>
      </c>
      <c r="B136" s="136" t="s">
        <v>410</v>
      </c>
      <c r="C136" s="137">
        <v>1</v>
      </c>
      <c r="D136" s="137">
        <v>0</v>
      </c>
      <c r="E136" s="137">
        <v>1</v>
      </c>
    </row>
    <row r="137" spans="1:5">
      <c r="A137" s="251">
        <v>134</v>
      </c>
      <c r="B137" s="136" t="s">
        <v>489</v>
      </c>
      <c r="C137" s="137">
        <v>1</v>
      </c>
      <c r="D137" s="137">
        <v>0</v>
      </c>
      <c r="E137" s="137">
        <v>1</v>
      </c>
    </row>
    <row r="138" spans="1:5" ht="19.5" customHeight="1">
      <c r="A138" s="251">
        <v>135</v>
      </c>
      <c r="B138" s="136" t="s">
        <v>353</v>
      </c>
      <c r="C138" s="137">
        <v>0</v>
      </c>
      <c r="D138" s="137">
        <v>1</v>
      </c>
      <c r="E138" s="137">
        <v>1</v>
      </c>
    </row>
    <row r="139" spans="1:5" ht="19.5" customHeight="1">
      <c r="A139" s="251">
        <v>136</v>
      </c>
      <c r="B139" s="136" t="s">
        <v>415</v>
      </c>
      <c r="C139" s="137">
        <v>0</v>
      </c>
      <c r="D139" s="137">
        <v>1</v>
      </c>
      <c r="E139" s="137">
        <v>1</v>
      </c>
    </row>
    <row r="140" spans="1:5" ht="19.5" customHeight="1">
      <c r="A140" s="251">
        <v>137</v>
      </c>
      <c r="B140" s="136" t="s">
        <v>898</v>
      </c>
      <c r="C140" s="137">
        <v>0</v>
      </c>
      <c r="D140" s="137">
        <v>1</v>
      </c>
      <c r="E140" s="137">
        <v>1</v>
      </c>
    </row>
    <row r="141" spans="1:5" ht="19.5" customHeight="1">
      <c r="A141" s="251">
        <v>138</v>
      </c>
      <c r="B141" s="136" t="s">
        <v>514</v>
      </c>
      <c r="C141" s="137">
        <v>0</v>
      </c>
      <c r="D141" s="137">
        <v>1</v>
      </c>
      <c r="E141" s="137">
        <v>1</v>
      </c>
    </row>
    <row r="142" spans="1:5" ht="19.5" customHeight="1">
      <c r="A142" s="251">
        <v>139</v>
      </c>
      <c r="B142" s="136" t="s">
        <v>393</v>
      </c>
      <c r="C142" s="347">
        <v>1</v>
      </c>
      <c r="D142" s="347">
        <v>0</v>
      </c>
      <c r="E142" s="347">
        <v>1</v>
      </c>
    </row>
    <row r="143" spans="1:5" ht="19.5" customHeight="1">
      <c r="A143" s="251">
        <v>140</v>
      </c>
      <c r="B143" s="136" t="s">
        <v>473</v>
      </c>
      <c r="C143" s="137">
        <v>1</v>
      </c>
      <c r="D143" s="137">
        <v>0</v>
      </c>
      <c r="E143" s="137">
        <v>1</v>
      </c>
    </row>
    <row r="144" spans="1:5" ht="19.5" customHeight="1">
      <c r="A144" s="251">
        <v>141</v>
      </c>
      <c r="B144" s="136" t="s">
        <v>511</v>
      </c>
      <c r="C144" s="137">
        <v>1</v>
      </c>
      <c r="D144" s="137">
        <v>0</v>
      </c>
      <c r="E144" s="137">
        <v>1</v>
      </c>
    </row>
    <row r="145" spans="1:5" ht="19.5" customHeight="1">
      <c r="A145" s="251">
        <v>142</v>
      </c>
      <c r="B145" s="136" t="s">
        <v>479</v>
      </c>
      <c r="C145" s="137">
        <v>0</v>
      </c>
      <c r="D145" s="137">
        <v>1</v>
      </c>
      <c r="E145" s="137">
        <v>1</v>
      </c>
    </row>
    <row r="146" spans="1:5">
      <c r="A146" s="251">
        <v>143</v>
      </c>
      <c r="B146" s="136" t="s">
        <v>426</v>
      </c>
      <c r="C146" s="137">
        <v>1</v>
      </c>
      <c r="D146" s="137">
        <v>0</v>
      </c>
      <c r="E146" s="137">
        <v>1</v>
      </c>
    </row>
    <row r="147" spans="1:5" ht="19.5" customHeight="1">
      <c r="A147" s="251">
        <v>144</v>
      </c>
      <c r="B147" s="136" t="s">
        <v>506</v>
      </c>
      <c r="C147" s="137">
        <v>0</v>
      </c>
      <c r="D147" s="137">
        <v>1</v>
      </c>
      <c r="E147" s="137">
        <v>1</v>
      </c>
    </row>
    <row r="148" spans="1:5" ht="19.5" customHeight="1">
      <c r="A148" s="251">
        <v>145</v>
      </c>
      <c r="B148" s="136" t="s">
        <v>349</v>
      </c>
      <c r="C148" s="137">
        <v>1</v>
      </c>
      <c r="D148" s="137">
        <v>0</v>
      </c>
      <c r="E148" s="137">
        <v>1</v>
      </c>
    </row>
    <row r="149" spans="1:5" ht="19.5" customHeight="1">
      <c r="A149" s="251">
        <v>146</v>
      </c>
      <c r="B149" s="136" t="s">
        <v>372</v>
      </c>
      <c r="C149" s="137">
        <v>1</v>
      </c>
      <c r="D149" s="137">
        <v>0</v>
      </c>
      <c r="E149" s="137">
        <v>1</v>
      </c>
    </row>
    <row r="150" spans="1:5" ht="19.5" customHeight="1">
      <c r="A150" s="251">
        <v>147</v>
      </c>
      <c r="B150" s="136" t="s">
        <v>392</v>
      </c>
      <c r="C150" s="137">
        <v>1</v>
      </c>
      <c r="D150" s="137">
        <v>0</v>
      </c>
      <c r="E150" s="137">
        <v>1</v>
      </c>
    </row>
    <row r="151" spans="1:5" ht="19.5" customHeight="1">
      <c r="A151" s="1040" t="s">
        <v>60</v>
      </c>
      <c r="B151" s="1040"/>
      <c r="C151" s="141">
        <v>32603</v>
      </c>
      <c r="D151" s="141">
        <v>15432</v>
      </c>
      <c r="E151" s="141">
        <v>48035</v>
      </c>
    </row>
  </sheetData>
  <mergeCells count="2">
    <mergeCell ref="B1:E1"/>
    <mergeCell ref="A151:B151"/>
  </mergeCells>
  <pageMargins left="0.51181102362204722" right="0.51181102362204722" top="0.51181102362204722" bottom="0.51181102362204722" header="0.31496062992125984" footer="0.31496062992125984"/>
  <pageSetup paperSize="9" scale="70" firstPageNumber="63" orientation="portrait" useFirstPageNumber="1" r:id="rId1"/>
  <headerFooter>
    <oddFooter>&amp;LAISHE 2020-21&amp;CT-18</oddFooter>
  </headerFooter>
  <rowBreaks count="2" manualBreakCount="2">
    <brk id="56" max="4" man="1"/>
    <brk id="109" max="4" man="1"/>
  </row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M42"/>
  <sheetViews>
    <sheetView view="pageBreakPreview" topLeftCell="A22" zoomScaleSheetLayoutView="100" workbookViewId="0">
      <selection activeCell="G32" sqref="G32"/>
    </sheetView>
  </sheetViews>
  <sheetFormatPr defaultColWidth="9.1796875" defaultRowHeight="14"/>
  <cols>
    <col min="1" max="1" width="26.54296875" style="26" customWidth="1"/>
    <col min="2" max="2" width="13.453125" style="26" customWidth="1"/>
    <col min="3" max="4" width="11.26953125" style="26" customWidth="1"/>
    <col min="5" max="6" width="13.453125" style="26" customWidth="1"/>
    <col min="7" max="9" width="11.81640625" style="26" customWidth="1"/>
    <col min="10" max="10" width="14.453125" style="26" customWidth="1"/>
    <col min="11" max="11" width="11.81640625" style="26" customWidth="1"/>
    <col min="12" max="16384" width="9.1796875" style="26"/>
  </cols>
  <sheetData>
    <row r="1" spans="1:13" s="6" customFormat="1" ht="27" customHeight="1">
      <c r="A1" s="52" t="s">
        <v>53</v>
      </c>
      <c r="B1" s="53" t="s">
        <v>79</v>
      </c>
      <c r="G1" s="53" t="s">
        <v>67</v>
      </c>
    </row>
    <row r="2" spans="1:13" s="31" customFormat="1" ht="36" customHeight="1">
      <c r="A2" s="40" t="s">
        <v>2</v>
      </c>
      <c r="B2" s="30" t="s">
        <v>61</v>
      </c>
      <c r="C2" s="30" t="s">
        <v>62</v>
      </c>
      <c r="D2" s="30" t="s">
        <v>63</v>
      </c>
      <c r="E2" s="30" t="s">
        <v>64</v>
      </c>
      <c r="F2" s="30" t="s">
        <v>12</v>
      </c>
      <c r="G2" s="30" t="s">
        <v>61</v>
      </c>
      <c r="H2" s="30" t="s">
        <v>62</v>
      </c>
      <c r="I2" s="30" t="s">
        <v>63</v>
      </c>
      <c r="J2" s="30" t="s">
        <v>64</v>
      </c>
      <c r="K2" s="30" t="s">
        <v>12</v>
      </c>
    </row>
    <row r="3" spans="1:13" s="27" customFormat="1" ht="18" customHeight="1">
      <c r="A3" s="32" t="s">
        <v>55</v>
      </c>
      <c r="B3" s="33">
        <v>0</v>
      </c>
      <c r="C3" s="33">
        <v>0</v>
      </c>
      <c r="D3" s="33">
        <f>B3+C3</f>
        <v>0</v>
      </c>
      <c r="E3" s="33">
        <v>5</v>
      </c>
      <c r="F3" s="28">
        <f>D3+E3</f>
        <v>5</v>
      </c>
      <c r="G3" s="33">
        <v>0</v>
      </c>
      <c r="H3" s="33">
        <v>0</v>
      </c>
      <c r="I3" s="33">
        <f>G3+H3</f>
        <v>0</v>
      </c>
      <c r="J3" s="33">
        <v>2458</v>
      </c>
      <c r="K3" s="28">
        <f>I3+J3</f>
        <v>2458</v>
      </c>
      <c r="M3" s="41">
        <f>B3/F3%</f>
        <v>0</v>
      </c>
    </row>
    <row r="4" spans="1:13" s="27" customFormat="1" ht="18" customHeight="1">
      <c r="A4" s="28" t="s">
        <v>15</v>
      </c>
      <c r="B4" s="33">
        <v>2916</v>
      </c>
      <c r="C4" s="33">
        <v>261</v>
      </c>
      <c r="D4" s="33">
        <f t="shared" ref="D4:D36" si="0">B4+C4</f>
        <v>3177</v>
      </c>
      <c r="E4" s="33">
        <v>434</v>
      </c>
      <c r="F4" s="28">
        <f t="shared" ref="F4:F36" si="1">D4+E4</f>
        <v>3611</v>
      </c>
      <c r="G4" s="33">
        <v>1348119</v>
      </c>
      <c r="H4" s="33">
        <v>186649</v>
      </c>
      <c r="I4" s="33">
        <f t="shared" ref="I4:I36" si="2">G4+H4</f>
        <v>1534768</v>
      </c>
      <c r="J4" s="33">
        <v>245824</v>
      </c>
      <c r="K4" s="28">
        <f t="shared" ref="K4:K36" si="3">I4+J4</f>
        <v>1780592</v>
      </c>
      <c r="M4" s="41">
        <f t="shared" ref="M4:M37" si="4">B4/F4%</f>
        <v>80.753253946275265</v>
      </c>
    </row>
    <row r="5" spans="1:13" s="27" customFormat="1" ht="18" customHeight="1">
      <c r="A5" s="32" t="s">
        <v>16</v>
      </c>
      <c r="B5" s="33">
        <v>3</v>
      </c>
      <c r="C5" s="33">
        <v>0</v>
      </c>
      <c r="D5" s="33">
        <f t="shared" si="0"/>
        <v>3</v>
      </c>
      <c r="E5" s="33">
        <v>6</v>
      </c>
      <c r="F5" s="28">
        <f t="shared" si="1"/>
        <v>9</v>
      </c>
      <c r="G5" s="33">
        <v>1722</v>
      </c>
      <c r="H5" s="33">
        <v>0</v>
      </c>
      <c r="I5" s="33">
        <f t="shared" si="2"/>
        <v>1722</v>
      </c>
      <c r="J5" s="33">
        <v>15762</v>
      </c>
      <c r="K5" s="28">
        <f t="shared" si="3"/>
        <v>17484</v>
      </c>
      <c r="M5" s="41">
        <f t="shared" si="4"/>
        <v>33.333333333333336</v>
      </c>
    </row>
    <row r="6" spans="1:13" s="27" customFormat="1" ht="18" customHeight="1">
      <c r="A6" s="28" t="s">
        <v>17</v>
      </c>
      <c r="B6" s="33">
        <v>21</v>
      </c>
      <c r="C6" s="33">
        <v>9</v>
      </c>
      <c r="D6" s="33">
        <f t="shared" si="0"/>
        <v>30</v>
      </c>
      <c r="E6" s="33">
        <v>142</v>
      </c>
      <c r="F6" s="28">
        <f t="shared" si="1"/>
        <v>172</v>
      </c>
      <c r="G6" s="33">
        <v>5011</v>
      </c>
      <c r="H6" s="33">
        <v>3590</v>
      </c>
      <c r="I6" s="33">
        <f t="shared" si="2"/>
        <v>8601</v>
      </c>
      <c r="J6" s="33">
        <v>164997</v>
      </c>
      <c r="K6" s="28">
        <f t="shared" si="3"/>
        <v>173598</v>
      </c>
      <c r="M6" s="41">
        <f t="shared" si="4"/>
        <v>12.209302325581396</v>
      </c>
    </row>
    <row r="7" spans="1:13" s="27" customFormat="1" ht="18" customHeight="1">
      <c r="A7" s="28" t="s">
        <v>18</v>
      </c>
      <c r="B7" s="33">
        <v>27</v>
      </c>
      <c r="C7" s="33">
        <v>38</v>
      </c>
      <c r="D7" s="33">
        <f t="shared" si="0"/>
        <v>65</v>
      </c>
      <c r="E7" s="33">
        <v>459</v>
      </c>
      <c r="F7" s="28">
        <f t="shared" si="1"/>
        <v>524</v>
      </c>
      <c r="G7" s="33">
        <v>30625</v>
      </c>
      <c r="H7" s="33">
        <v>111021</v>
      </c>
      <c r="I7" s="33">
        <f t="shared" si="2"/>
        <v>141646</v>
      </c>
      <c r="J7" s="33">
        <v>798597</v>
      </c>
      <c r="K7" s="28">
        <f t="shared" si="3"/>
        <v>940243</v>
      </c>
      <c r="M7" s="41">
        <f t="shared" si="4"/>
        <v>5.1526717557251906</v>
      </c>
    </row>
    <row r="8" spans="1:13" s="27" customFormat="1" ht="18" customHeight="1">
      <c r="A8" s="28" t="s">
        <v>19</v>
      </c>
      <c r="B8" s="33">
        <v>1</v>
      </c>
      <c r="C8" s="33">
        <v>3</v>
      </c>
      <c r="D8" s="33">
        <f t="shared" si="0"/>
        <v>4</v>
      </c>
      <c r="E8" s="33">
        <v>9</v>
      </c>
      <c r="F8" s="28">
        <f t="shared" si="1"/>
        <v>13</v>
      </c>
      <c r="G8" s="33">
        <v>18</v>
      </c>
      <c r="H8" s="33">
        <v>2468</v>
      </c>
      <c r="I8" s="33">
        <f t="shared" si="2"/>
        <v>2486</v>
      </c>
      <c r="J8" s="33">
        <v>7985</v>
      </c>
      <c r="K8" s="28">
        <f t="shared" si="3"/>
        <v>10471</v>
      </c>
      <c r="M8" s="41">
        <f t="shared" si="4"/>
        <v>7.6923076923076916</v>
      </c>
    </row>
    <row r="9" spans="1:13" s="27" customFormat="1" ht="18" customHeight="1">
      <c r="A9" s="28" t="s">
        <v>56</v>
      </c>
      <c r="B9" s="33">
        <v>161</v>
      </c>
      <c r="C9" s="33">
        <v>47</v>
      </c>
      <c r="D9" s="33">
        <f t="shared" si="0"/>
        <v>208</v>
      </c>
      <c r="E9" s="33">
        <v>200</v>
      </c>
      <c r="F9" s="28">
        <f t="shared" si="1"/>
        <v>408</v>
      </c>
      <c r="G9" s="33">
        <v>78702</v>
      </c>
      <c r="H9" s="33">
        <v>35478</v>
      </c>
      <c r="I9" s="33">
        <f t="shared" si="2"/>
        <v>114180</v>
      </c>
      <c r="J9" s="33">
        <v>149298</v>
      </c>
      <c r="K9" s="28">
        <f t="shared" si="3"/>
        <v>263478</v>
      </c>
      <c r="M9" s="41">
        <f t="shared" si="4"/>
        <v>39.46078431372549</v>
      </c>
    </row>
    <row r="10" spans="1:13" s="27" customFormat="1" ht="18" customHeight="1">
      <c r="A10" s="32" t="s">
        <v>21</v>
      </c>
      <c r="B10" s="33">
        <v>1</v>
      </c>
      <c r="C10" s="33">
        <v>0</v>
      </c>
      <c r="D10" s="33">
        <f t="shared" si="0"/>
        <v>1</v>
      </c>
      <c r="E10" s="33">
        <v>0</v>
      </c>
      <c r="F10" s="28">
        <f t="shared" si="1"/>
        <v>1</v>
      </c>
      <c r="G10" s="33">
        <v>223</v>
      </c>
      <c r="H10" s="33">
        <v>0</v>
      </c>
      <c r="I10" s="33">
        <f t="shared" si="2"/>
        <v>223</v>
      </c>
      <c r="J10" s="33">
        <v>0</v>
      </c>
      <c r="K10" s="28">
        <f t="shared" si="3"/>
        <v>223</v>
      </c>
      <c r="M10" s="41">
        <f t="shared" si="4"/>
        <v>100</v>
      </c>
    </row>
    <row r="11" spans="1:13" s="27" customFormat="1" ht="18" customHeight="1">
      <c r="A11" s="28" t="s">
        <v>22</v>
      </c>
      <c r="B11" s="33">
        <v>1</v>
      </c>
      <c r="C11" s="33">
        <v>1</v>
      </c>
      <c r="D11" s="33">
        <f t="shared" si="0"/>
        <v>2</v>
      </c>
      <c r="E11" s="33">
        <v>1</v>
      </c>
      <c r="F11" s="28">
        <f t="shared" si="1"/>
        <v>3</v>
      </c>
      <c r="G11" s="33">
        <v>172</v>
      </c>
      <c r="H11" s="33">
        <v>59</v>
      </c>
      <c r="I11" s="33">
        <f t="shared" si="2"/>
        <v>231</v>
      </c>
      <c r="J11" s="33">
        <v>581</v>
      </c>
      <c r="K11" s="28">
        <f t="shared" si="3"/>
        <v>812</v>
      </c>
      <c r="M11" s="41">
        <f t="shared" si="4"/>
        <v>33.333333333333336</v>
      </c>
    </row>
    <row r="12" spans="1:13" s="27" customFormat="1" ht="18" customHeight="1">
      <c r="A12" s="28" t="s">
        <v>23</v>
      </c>
      <c r="B12" s="33">
        <v>59</v>
      </c>
      <c r="C12" s="33">
        <v>11</v>
      </c>
      <c r="D12" s="33">
        <f t="shared" si="0"/>
        <v>70</v>
      </c>
      <c r="E12" s="33">
        <v>69</v>
      </c>
      <c r="F12" s="28">
        <f t="shared" si="1"/>
        <v>139</v>
      </c>
      <c r="G12" s="33">
        <v>33406</v>
      </c>
      <c r="H12" s="33">
        <v>16576</v>
      </c>
      <c r="I12" s="33">
        <f t="shared" si="2"/>
        <v>49982</v>
      </c>
      <c r="J12" s="33">
        <v>100341</v>
      </c>
      <c r="K12" s="28">
        <f t="shared" si="3"/>
        <v>150323</v>
      </c>
      <c r="M12" s="41">
        <f t="shared" si="4"/>
        <v>42.446043165467628</v>
      </c>
    </row>
    <row r="13" spans="1:13" s="27" customFormat="1" ht="18" customHeight="1">
      <c r="A13" s="28" t="s">
        <v>24</v>
      </c>
      <c r="B13" s="33">
        <v>5</v>
      </c>
      <c r="C13" s="33">
        <v>14</v>
      </c>
      <c r="D13" s="33">
        <f t="shared" si="0"/>
        <v>19</v>
      </c>
      <c r="E13" s="33">
        <v>14</v>
      </c>
      <c r="F13" s="28">
        <f t="shared" si="1"/>
        <v>33</v>
      </c>
      <c r="G13" s="33">
        <v>1851</v>
      </c>
      <c r="H13" s="33">
        <v>12391</v>
      </c>
      <c r="I13" s="33">
        <f t="shared" si="2"/>
        <v>14242</v>
      </c>
      <c r="J13" s="33">
        <v>9016</v>
      </c>
      <c r="K13" s="28">
        <f t="shared" si="3"/>
        <v>23258</v>
      </c>
      <c r="M13" s="41">
        <f t="shared" si="4"/>
        <v>15.15151515151515</v>
      </c>
    </row>
    <row r="14" spans="1:13" s="27" customFormat="1" ht="18" customHeight="1">
      <c r="A14" s="28" t="s">
        <v>25</v>
      </c>
      <c r="B14" s="33">
        <v>623</v>
      </c>
      <c r="C14" s="33">
        <v>372</v>
      </c>
      <c r="D14" s="33">
        <f t="shared" si="0"/>
        <v>995</v>
      </c>
      <c r="E14" s="33">
        <v>562</v>
      </c>
      <c r="F14" s="28">
        <f t="shared" si="1"/>
        <v>1557</v>
      </c>
      <c r="G14" s="33">
        <v>236280</v>
      </c>
      <c r="H14" s="33">
        <v>288224</v>
      </c>
      <c r="I14" s="33">
        <f t="shared" si="2"/>
        <v>524504</v>
      </c>
      <c r="J14" s="33">
        <v>446937</v>
      </c>
      <c r="K14" s="28">
        <f t="shared" si="3"/>
        <v>971441</v>
      </c>
      <c r="M14" s="41">
        <f t="shared" si="4"/>
        <v>40.012845215157355</v>
      </c>
    </row>
    <row r="15" spans="1:13" s="27" customFormat="1" ht="18" customHeight="1">
      <c r="A15" s="28" t="s">
        <v>26</v>
      </c>
      <c r="B15" s="33">
        <v>160</v>
      </c>
      <c r="C15" s="33">
        <v>45</v>
      </c>
      <c r="D15" s="33">
        <f t="shared" si="0"/>
        <v>205</v>
      </c>
      <c r="E15" s="33">
        <v>61</v>
      </c>
      <c r="F15" s="28">
        <f t="shared" si="1"/>
        <v>266</v>
      </c>
      <c r="G15" s="33">
        <v>62144</v>
      </c>
      <c r="H15" s="33">
        <v>83273</v>
      </c>
      <c r="I15" s="33">
        <f t="shared" si="2"/>
        <v>145417</v>
      </c>
      <c r="J15" s="33">
        <v>58417</v>
      </c>
      <c r="K15" s="28">
        <f t="shared" si="3"/>
        <v>203834</v>
      </c>
      <c r="M15" s="41">
        <f t="shared" si="4"/>
        <v>60.150375939849624</v>
      </c>
    </row>
    <row r="16" spans="1:13" s="27" customFormat="1" ht="18" customHeight="1">
      <c r="A16" s="28" t="s">
        <v>27</v>
      </c>
      <c r="B16" s="33">
        <v>107</v>
      </c>
      <c r="C16" s="33">
        <v>17</v>
      </c>
      <c r="D16" s="33">
        <f t="shared" si="0"/>
        <v>124</v>
      </c>
      <c r="E16" s="33">
        <v>110</v>
      </c>
      <c r="F16" s="28">
        <f t="shared" si="1"/>
        <v>234</v>
      </c>
      <c r="G16" s="33">
        <v>20103</v>
      </c>
      <c r="H16" s="33">
        <v>7483</v>
      </c>
      <c r="I16" s="33">
        <f t="shared" si="2"/>
        <v>27586</v>
      </c>
      <c r="J16" s="33">
        <v>97600</v>
      </c>
      <c r="K16" s="28">
        <f t="shared" si="3"/>
        <v>125186</v>
      </c>
      <c r="M16" s="41">
        <f t="shared" si="4"/>
        <v>45.726495726495727</v>
      </c>
    </row>
    <row r="17" spans="1:13" s="27" customFormat="1" ht="18" customHeight="1">
      <c r="A17" s="32" t="s">
        <v>57</v>
      </c>
      <c r="B17" s="33">
        <v>44</v>
      </c>
      <c r="C17" s="33">
        <v>4</v>
      </c>
      <c r="D17" s="33">
        <f t="shared" si="0"/>
        <v>48</v>
      </c>
      <c r="E17" s="33">
        <v>70</v>
      </c>
      <c r="F17" s="28">
        <f t="shared" si="1"/>
        <v>118</v>
      </c>
      <c r="G17" s="33">
        <v>20897</v>
      </c>
      <c r="H17" s="33">
        <v>1306</v>
      </c>
      <c r="I17" s="33">
        <f t="shared" si="2"/>
        <v>22203</v>
      </c>
      <c r="J17" s="33">
        <v>142073</v>
      </c>
      <c r="K17" s="28">
        <f t="shared" si="3"/>
        <v>164276</v>
      </c>
      <c r="M17" s="41">
        <f t="shared" si="4"/>
        <v>37.288135593220339</v>
      </c>
    </row>
    <row r="18" spans="1:13" s="27" customFormat="1" ht="18" customHeight="1">
      <c r="A18" s="28" t="s">
        <v>29</v>
      </c>
      <c r="B18" s="33">
        <v>5</v>
      </c>
      <c r="C18" s="33">
        <v>6</v>
      </c>
      <c r="D18" s="33">
        <f t="shared" si="0"/>
        <v>11</v>
      </c>
      <c r="E18" s="33">
        <v>26</v>
      </c>
      <c r="F18" s="28">
        <f t="shared" si="1"/>
        <v>37</v>
      </c>
      <c r="G18" s="33">
        <v>3585</v>
      </c>
      <c r="H18" s="33">
        <v>12643</v>
      </c>
      <c r="I18" s="33">
        <f t="shared" si="2"/>
        <v>16228</v>
      </c>
      <c r="J18" s="33">
        <v>71698</v>
      </c>
      <c r="K18" s="28">
        <f t="shared" si="3"/>
        <v>87926</v>
      </c>
      <c r="M18" s="41">
        <f t="shared" si="4"/>
        <v>13.513513513513514</v>
      </c>
    </row>
    <row r="19" spans="1:13" s="27" customFormat="1" ht="18" customHeight="1">
      <c r="A19" s="28" t="s">
        <v>30</v>
      </c>
      <c r="B19" s="33">
        <v>1886</v>
      </c>
      <c r="C19" s="33">
        <v>384</v>
      </c>
      <c r="D19" s="33">
        <f t="shared" si="0"/>
        <v>2270</v>
      </c>
      <c r="E19" s="33">
        <v>574</v>
      </c>
      <c r="F19" s="28">
        <f t="shared" si="1"/>
        <v>2844</v>
      </c>
      <c r="G19" s="33">
        <v>546886</v>
      </c>
      <c r="H19" s="33">
        <v>295778</v>
      </c>
      <c r="I19" s="33">
        <f t="shared" si="2"/>
        <v>842664</v>
      </c>
      <c r="J19" s="33">
        <v>335489</v>
      </c>
      <c r="K19" s="28">
        <f t="shared" si="3"/>
        <v>1178153</v>
      </c>
      <c r="M19" s="41">
        <f t="shared" si="4"/>
        <v>66.31504922644163</v>
      </c>
    </row>
    <row r="20" spans="1:13" s="27" customFormat="1" ht="18" customHeight="1">
      <c r="A20" s="28" t="s">
        <v>31</v>
      </c>
      <c r="B20" s="33">
        <v>298</v>
      </c>
      <c r="C20" s="33">
        <v>133</v>
      </c>
      <c r="D20" s="33">
        <f t="shared" si="0"/>
        <v>431</v>
      </c>
      <c r="E20" s="33">
        <v>125</v>
      </c>
      <c r="F20" s="28">
        <f t="shared" si="1"/>
        <v>556</v>
      </c>
      <c r="G20" s="33">
        <v>115737</v>
      </c>
      <c r="H20" s="33">
        <v>134459</v>
      </c>
      <c r="I20" s="33">
        <f t="shared" si="2"/>
        <v>250196</v>
      </c>
      <c r="J20" s="33">
        <v>59638</v>
      </c>
      <c r="K20" s="28">
        <f t="shared" si="3"/>
        <v>309834</v>
      </c>
      <c r="M20" s="41">
        <f t="shared" si="4"/>
        <v>53.597122302158276</v>
      </c>
    </row>
    <row r="21" spans="1:13" s="27" customFormat="1" ht="18" customHeight="1">
      <c r="A21" s="28" t="s">
        <v>33</v>
      </c>
      <c r="B21" s="33">
        <v>234</v>
      </c>
      <c r="C21" s="33">
        <v>31</v>
      </c>
      <c r="D21" s="33">
        <f t="shared" si="0"/>
        <v>265</v>
      </c>
      <c r="E21" s="33">
        <v>131</v>
      </c>
      <c r="F21" s="28">
        <f t="shared" si="1"/>
        <v>396</v>
      </c>
      <c r="G21" s="33">
        <v>61264</v>
      </c>
      <c r="H21" s="33">
        <v>19798</v>
      </c>
      <c r="I21" s="33">
        <f t="shared" si="2"/>
        <v>81062</v>
      </c>
      <c r="J21" s="33">
        <v>160956</v>
      </c>
      <c r="K21" s="28">
        <f t="shared" si="3"/>
        <v>242018</v>
      </c>
      <c r="M21" s="41">
        <f t="shared" si="4"/>
        <v>59.090909090909093</v>
      </c>
    </row>
    <row r="22" spans="1:13" s="27" customFormat="1" ht="18" customHeight="1">
      <c r="A22" s="28" t="s">
        <v>34</v>
      </c>
      <c r="B22" s="33">
        <v>688</v>
      </c>
      <c r="C22" s="33">
        <v>407</v>
      </c>
      <c r="D22" s="33">
        <f t="shared" si="0"/>
        <v>1095</v>
      </c>
      <c r="E22" s="33">
        <v>429</v>
      </c>
      <c r="F22" s="28">
        <f t="shared" si="1"/>
        <v>1524</v>
      </c>
      <c r="G22" s="33">
        <v>278442</v>
      </c>
      <c r="H22" s="33">
        <v>527178</v>
      </c>
      <c r="I22" s="33">
        <f t="shared" si="2"/>
        <v>805620</v>
      </c>
      <c r="J22" s="33">
        <v>346119</v>
      </c>
      <c r="K22" s="28">
        <f t="shared" si="3"/>
        <v>1151739</v>
      </c>
      <c r="M22" s="41">
        <f t="shared" si="4"/>
        <v>45.14435695538058</v>
      </c>
    </row>
    <row r="23" spans="1:13" s="27" customFormat="1" ht="18" customHeight="1">
      <c r="A23" s="28" t="s">
        <v>35</v>
      </c>
      <c r="B23" s="33">
        <v>2</v>
      </c>
      <c r="C23" s="33">
        <v>5</v>
      </c>
      <c r="D23" s="33">
        <f t="shared" si="0"/>
        <v>7</v>
      </c>
      <c r="E23" s="33">
        <v>12</v>
      </c>
      <c r="F23" s="28">
        <f t="shared" si="1"/>
        <v>19</v>
      </c>
      <c r="G23" s="33">
        <v>1956</v>
      </c>
      <c r="H23" s="33">
        <v>6080</v>
      </c>
      <c r="I23" s="33">
        <f t="shared" si="2"/>
        <v>8036</v>
      </c>
      <c r="J23" s="33">
        <v>26079</v>
      </c>
      <c r="K23" s="28">
        <f t="shared" si="3"/>
        <v>34115</v>
      </c>
      <c r="M23" s="41">
        <f t="shared" si="4"/>
        <v>10.526315789473685</v>
      </c>
    </row>
    <row r="24" spans="1:13" s="27" customFormat="1" ht="18" customHeight="1">
      <c r="A24" s="28" t="s">
        <v>36</v>
      </c>
      <c r="B24" s="33">
        <v>6</v>
      </c>
      <c r="C24" s="33">
        <v>11</v>
      </c>
      <c r="D24" s="33">
        <f t="shared" si="0"/>
        <v>17</v>
      </c>
      <c r="E24" s="33">
        <v>7</v>
      </c>
      <c r="F24" s="28">
        <f t="shared" si="1"/>
        <v>24</v>
      </c>
      <c r="G24" s="33">
        <v>3689</v>
      </c>
      <c r="H24" s="33">
        <v>18666</v>
      </c>
      <c r="I24" s="33">
        <f t="shared" si="2"/>
        <v>22355</v>
      </c>
      <c r="J24" s="33">
        <v>4207</v>
      </c>
      <c r="K24" s="28">
        <f t="shared" si="3"/>
        <v>26562</v>
      </c>
      <c r="M24" s="41">
        <f t="shared" si="4"/>
        <v>25</v>
      </c>
    </row>
    <row r="25" spans="1:13" s="27" customFormat="1" ht="18" customHeight="1">
      <c r="A25" s="28" t="s">
        <v>37</v>
      </c>
      <c r="B25" s="33">
        <v>1</v>
      </c>
      <c r="C25" s="33">
        <v>1</v>
      </c>
      <c r="D25" s="33">
        <f t="shared" si="0"/>
        <v>2</v>
      </c>
      <c r="E25" s="33">
        <v>26</v>
      </c>
      <c r="F25" s="28">
        <f t="shared" si="1"/>
        <v>28</v>
      </c>
      <c r="G25" s="33">
        <v>54</v>
      </c>
      <c r="H25" s="33">
        <v>254</v>
      </c>
      <c r="I25" s="33">
        <f t="shared" si="2"/>
        <v>308</v>
      </c>
      <c r="J25" s="33">
        <v>19239</v>
      </c>
      <c r="K25" s="28">
        <f t="shared" si="3"/>
        <v>19547</v>
      </c>
      <c r="M25" s="41">
        <f t="shared" si="4"/>
        <v>3.5714285714285712</v>
      </c>
    </row>
    <row r="26" spans="1:13" s="27" customFormat="1" ht="18" customHeight="1">
      <c r="A26" s="28" t="s">
        <v>38</v>
      </c>
      <c r="B26" s="33">
        <v>13</v>
      </c>
      <c r="C26" s="33">
        <v>19</v>
      </c>
      <c r="D26" s="33">
        <f t="shared" si="0"/>
        <v>32</v>
      </c>
      <c r="E26" s="33">
        <v>20</v>
      </c>
      <c r="F26" s="28">
        <f t="shared" si="1"/>
        <v>52</v>
      </c>
      <c r="G26" s="33">
        <v>10532</v>
      </c>
      <c r="H26" s="33">
        <v>15003</v>
      </c>
      <c r="I26" s="33">
        <f t="shared" si="2"/>
        <v>25535</v>
      </c>
      <c r="J26" s="33">
        <v>14276</v>
      </c>
      <c r="K26" s="28">
        <f t="shared" si="3"/>
        <v>39811</v>
      </c>
      <c r="M26" s="41">
        <f t="shared" si="4"/>
        <v>25</v>
      </c>
    </row>
    <row r="27" spans="1:13" s="27" customFormat="1" ht="18" customHeight="1">
      <c r="A27" s="28" t="s">
        <v>39</v>
      </c>
      <c r="B27" s="33">
        <v>122</v>
      </c>
      <c r="C27" s="33">
        <v>128</v>
      </c>
      <c r="D27" s="33">
        <f t="shared" si="0"/>
        <v>250</v>
      </c>
      <c r="E27" s="33">
        <v>140</v>
      </c>
      <c r="F27" s="28">
        <f t="shared" si="1"/>
        <v>390</v>
      </c>
      <c r="G27" s="33">
        <v>63072</v>
      </c>
      <c r="H27" s="33">
        <v>85537</v>
      </c>
      <c r="I27" s="33">
        <f t="shared" si="2"/>
        <v>148609</v>
      </c>
      <c r="J27" s="33">
        <v>85392</v>
      </c>
      <c r="K27" s="28">
        <f t="shared" si="3"/>
        <v>234001</v>
      </c>
      <c r="M27" s="41">
        <f t="shared" si="4"/>
        <v>31.282051282051281</v>
      </c>
    </row>
    <row r="28" spans="1:13" s="27" customFormat="1" ht="18" customHeight="1">
      <c r="A28" s="28" t="s">
        <v>40</v>
      </c>
      <c r="B28" s="33">
        <v>48</v>
      </c>
      <c r="C28" s="33">
        <v>2</v>
      </c>
      <c r="D28" s="33">
        <f t="shared" si="0"/>
        <v>50</v>
      </c>
      <c r="E28" s="33">
        <v>21</v>
      </c>
      <c r="F28" s="28">
        <f t="shared" si="1"/>
        <v>71</v>
      </c>
      <c r="G28" s="33">
        <v>18674</v>
      </c>
      <c r="H28" s="33">
        <v>1712</v>
      </c>
      <c r="I28" s="33">
        <f t="shared" si="2"/>
        <v>20386</v>
      </c>
      <c r="J28" s="33">
        <v>13881</v>
      </c>
      <c r="K28" s="28">
        <f t="shared" si="3"/>
        <v>34267</v>
      </c>
      <c r="M28" s="41">
        <f t="shared" si="4"/>
        <v>67.605633802816911</v>
      </c>
    </row>
    <row r="29" spans="1:13" s="27" customFormat="1" ht="18" customHeight="1">
      <c r="A29" s="28" t="s">
        <v>41</v>
      </c>
      <c r="B29" s="33">
        <v>169</v>
      </c>
      <c r="C29" s="33">
        <v>16</v>
      </c>
      <c r="D29" s="33">
        <f t="shared" si="0"/>
        <v>185</v>
      </c>
      <c r="E29" s="33">
        <v>47</v>
      </c>
      <c r="F29" s="28">
        <f t="shared" si="1"/>
        <v>232</v>
      </c>
      <c r="G29" s="33">
        <v>83079</v>
      </c>
      <c r="H29" s="33">
        <v>17599</v>
      </c>
      <c r="I29" s="33">
        <f t="shared" si="2"/>
        <v>100678</v>
      </c>
      <c r="J29" s="33">
        <v>67193</v>
      </c>
      <c r="K29" s="28">
        <f t="shared" si="3"/>
        <v>167871</v>
      </c>
      <c r="M29" s="41">
        <f t="shared" si="4"/>
        <v>72.844827586206904</v>
      </c>
    </row>
    <row r="30" spans="1:13" s="27" customFormat="1" ht="18" customHeight="1">
      <c r="A30" s="28" t="s">
        <v>42</v>
      </c>
      <c r="B30" s="33">
        <v>503</v>
      </c>
      <c r="C30" s="33">
        <v>38</v>
      </c>
      <c r="D30" s="33">
        <f t="shared" si="0"/>
        <v>541</v>
      </c>
      <c r="E30" s="33">
        <v>172</v>
      </c>
      <c r="F30" s="28">
        <f t="shared" si="1"/>
        <v>713</v>
      </c>
      <c r="G30" s="33">
        <v>171766</v>
      </c>
      <c r="H30" s="33">
        <v>37032</v>
      </c>
      <c r="I30" s="33">
        <f t="shared" si="2"/>
        <v>208798</v>
      </c>
      <c r="J30" s="33">
        <v>308043</v>
      </c>
      <c r="K30" s="28">
        <f t="shared" si="3"/>
        <v>516841</v>
      </c>
      <c r="M30" s="41">
        <f t="shared" si="4"/>
        <v>70.546984572230016</v>
      </c>
    </row>
    <row r="31" spans="1:13" s="27" customFormat="1" ht="18" customHeight="1">
      <c r="A31" s="28" t="s">
        <v>43</v>
      </c>
      <c r="B31" s="33">
        <v>4</v>
      </c>
      <c r="C31" s="33">
        <v>0</v>
      </c>
      <c r="D31" s="33">
        <f t="shared" si="0"/>
        <v>4</v>
      </c>
      <c r="E31" s="33">
        <v>5</v>
      </c>
      <c r="F31" s="28">
        <f t="shared" si="1"/>
        <v>9</v>
      </c>
      <c r="G31" s="33">
        <v>682</v>
      </c>
      <c r="H31" s="33">
        <v>0</v>
      </c>
      <c r="I31" s="33">
        <f t="shared" si="2"/>
        <v>682</v>
      </c>
      <c r="J31" s="33">
        <v>6643</v>
      </c>
      <c r="K31" s="28">
        <f t="shared" si="3"/>
        <v>7325</v>
      </c>
      <c r="M31" s="41">
        <f t="shared" si="4"/>
        <v>44.444444444444443</v>
      </c>
    </row>
    <row r="32" spans="1:13" s="27" customFormat="1" ht="18" customHeight="1">
      <c r="A32" s="28" t="s">
        <v>44</v>
      </c>
      <c r="B32" s="33">
        <v>912</v>
      </c>
      <c r="C32" s="33">
        <v>58</v>
      </c>
      <c r="D32" s="33">
        <f t="shared" si="0"/>
        <v>970</v>
      </c>
      <c r="E32" s="33">
        <v>60</v>
      </c>
      <c r="F32" s="28">
        <f t="shared" si="1"/>
        <v>1030</v>
      </c>
      <c r="G32" s="33">
        <v>465980</v>
      </c>
      <c r="H32" s="33">
        <v>67877</v>
      </c>
      <c r="I32" s="33">
        <f t="shared" si="2"/>
        <v>533857</v>
      </c>
      <c r="J32" s="33">
        <v>57245</v>
      </c>
      <c r="K32" s="28">
        <f t="shared" si="3"/>
        <v>591102</v>
      </c>
      <c r="M32" s="41">
        <f t="shared" si="4"/>
        <v>88.543689320388339</v>
      </c>
    </row>
    <row r="33" spans="1:13" s="27" customFormat="1" ht="18" customHeight="1">
      <c r="A33" s="28" t="s">
        <v>45</v>
      </c>
      <c r="B33" s="33">
        <v>4</v>
      </c>
      <c r="C33" s="33">
        <v>1</v>
      </c>
      <c r="D33" s="33">
        <f t="shared" si="0"/>
        <v>5</v>
      </c>
      <c r="E33" s="33">
        <v>30</v>
      </c>
      <c r="F33" s="28">
        <f t="shared" si="1"/>
        <v>35</v>
      </c>
      <c r="G33" s="33">
        <v>1131</v>
      </c>
      <c r="H33" s="33">
        <v>497</v>
      </c>
      <c r="I33" s="33">
        <f t="shared" si="2"/>
        <v>1628</v>
      </c>
      <c r="J33" s="33">
        <v>36366</v>
      </c>
      <c r="K33" s="28">
        <f t="shared" si="3"/>
        <v>37994</v>
      </c>
      <c r="M33" s="41">
        <f t="shared" si="4"/>
        <v>11.428571428571429</v>
      </c>
    </row>
    <row r="34" spans="1:13" s="27" customFormat="1" ht="18" customHeight="1">
      <c r="A34" s="28" t="s">
        <v>47</v>
      </c>
      <c r="B34" s="33">
        <v>506</v>
      </c>
      <c r="C34" s="33">
        <v>184</v>
      </c>
      <c r="D34" s="33">
        <f t="shared" si="0"/>
        <v>690</v>
      </c>
      <c r="E34" s="33">
        <v>223</v>
      </c>
      <c r="F34" s="28">
        <f t="shared" si="1"/>
        <v>913</v>
      </c>
      <c r="G34" s="33">
        <v>502837</v>
      </c>
      <c r="H34" s="33">
        <v>494157</v>
      </c>
      <c r="I34" s="33">
        <f t="shared" si="2"/>
        <v>996994</v>
      </c>
      <c r="J34" s="33">
        <v>236652</v>
      </c>
      <c r="K34" s="28">
        <f t="shared" si="3"/>
        <v>1233646</v>
      </c>
      <c r="M34" s="41">
        <f t="shared" si="4"/>
        <v>55.421686746987945</v>
      </c>
    </row>
    <row r="35" spans="1:13" s="27" customFormat="1" ht="18" customHeight="1">
      <c r="A35" s="28" t="s">
        <v>58</v>
      </c>
      <c r="B35" s="33">
        <v>71</v>
      </c>
      <c r="C35" s="33">
        <v>12</v>
      </c>
      <c r="D35" s="33">
        <f t="shared" si="0"/>
        <v>83</v>
      </c>
      <c r="E35" s="33">
        <v>82</v>
      </c>
      <c r="F35" s="28">
        <f t="shared" si="1"/>
        <v>165</v>
      </c>
      <c r="G35" s="33">
        <v>32058</v>
      </c>
      <c r="H35" s="33">
        <v>52516</v>
      </c>
      <c r="I35" s="33">
        <f t="shared" si="2"/>
        <v>84574</v>
      </c>
      <c r="J35" s="33">
        <v>117373</v>
      </c>
      <c r="K35" s="28">
        <f t="shared" si="3"/>
        <v>201947</v>
      </c>
      <c r="M35" s="41">
        <f t="shared" si="4"/>
        <v>43.030303030303031</v>
      </c>
    </row>
    <row r="36" spans="1:13" s="27" customFormat="1" ht="18" customHeight="1">
      <c r="A36" s="28" t="s">
        <v>48</v>
      </c>
      <c r="B36" s="33">
        <v>134</v>
      </c>
      <c r="C36" s="33">
        <v>86</v>
      </c>
      <c r="D36" s="33">
        <f t="shared" si="0"/>
        <v>220</v>
      </c>
      <c r="E36" s="33">
        <v>148</v>
      </c>
      <c r="F36" s="28">
        <f t="shared" si="1"/>
        <v>368</v>
      </c>
      <c r="G36" s="33">
        <v>75757</v>
      </c>
      <c r="H36" s="33">
        <v>211790</v>
      </c>
      <c r="I36" s="33">
        <f t="shared" si="2"/>
        <v>287547</v>
      </c>
      <c r="J36" s="33">
        <v>321593</v>
      </c>
      <c r="K36" s="28">
        <f t="shared" si="3"/>
        <v>609140</v>
      </c>
      <c r="M36" s="41">
        <f t="shared" si="4"/>
        <v>36.413043478260867</v>
      </c>
    </row>
    <row r="37" spans="1:13" s="29" customFormat="1" ht="18" customHeight="1">
      <c r="A37" s="34" t="s">
        <v>49</v>
      </c>
      <c r="B37" s="35">
        <f>SUM(B3:B36)</f>
        <v>9735</v>
      </c>
      <c r="C37" s="35">
        <f t="shared" ref="C37:K37" si="5">SUM(C3:C36)</f>
        <v>2344</v>
      </c>
      <c r="D37" s="35">
        <f t="shared" si="5"/>
        <v>12079</v>
      </c>
      <c r="E37" s="35">
        <f t="shared" si="5"/>
        <v>4420</v>
      </c>
      <c r="F37" s="35">
        <f t="shared" si="5"/>
        <v>16499</v>
      </c>
      <c r="G37" s="35">
        <f t="shared" si="5"/>
        <v>4276454</v>
      </c>
      <c r="H37" s="35">
        <f t="shared" si="5"/>
        <v>2747094</v>
      </c>
      <c r="I37" s="35">
        <f t="shared" si="5"/>
        <v>7023548</v>
      </c>
      <c r="J37" s="35">
        <f t="shared" si="5"/>
        <v>4527968</v>
      </c>
      <c r="K37" s="35">
        <f t="shared" si="5"/>
        <v>11551516</v>
      </c>
      <c r="M37" s="41">
        <f t="shared" si="4"/>
        <v>59.003575974301469</v>
      </c>
    </row>
    <row r="38" spans="1:13" s="36" customFormat="1"/>
    <row r="40" spans="1:13" ht="28">
      <c r="B40" s="37" t="str">
        <f>B2</f>
        <v>Private Un-Aided</v>
      </c>
      <c r="C40" s="37" t="str">
        <f>C2</f>
        <v>Private Aided</v>
      </c>
      <c r="D40" s="37" t="str">
        <f>E2</f>
        <v>Government</v>
      </c>
      <c r="E40" s="38"/>
      <c r="F40" s="38"/>
      <c r="G40" s="38"/>
    </row>
    <row r="41" spans="1:13">
      <c r="A41" s="26" t="s">
        <v>65</v>
      </c>
      <c r="B41" s="39">
        <f>B37/$F$37%</f>
        <v>59.003575974301469</v>
      </c>
      <c r="C41" s="39">
        <f>C37/$F$37%</f>
        <v>14.206921631614037</v>
      </c>
      <c r="D41" s="39">
        <f>E37/$F$37%</f>
        <v>26.78950239408449</v>
      </c>
    </row>
    <row r="42" spans="1:13">
      <c r="A42" s="26" t="s">
        <v>66</v>
      </c>
      <c r="B42" s="39">
        <f>G37/$K$37%</f>
        <v>37.020716588195</v>
      </c>
      <c r="C42" s="39">
        <f>H37/$K$37%</f>
        <v>23.781242219635931</v>
      </c>
      <c r="D42" s="39">
        <f>J37/$K$37%</f>
        <v>39.198041192169065</v>
      </c>
    </row>
  </sheetData>
  <conditionalFormatting sqref="M3:M37">
    <cfRule type="top10" dxfId="0" priority="1" rank="5"/>
  </conditionalFormatting>
  <pageMargins left="0.7" right="0.33" top="0.75" bottom="0.75" header="0.3" footer="0.3"/>
  <pageSetup paperSize="9" pageOrder="overThenDown" orientation="portrait" r:id="rId1"/>
  <rowBreaks count="1" manualBreakCount="1">
    <brk id="37" max="10" man="1"/>
  </rowBreaks>
  <colBreaks count="1" manualBreakCount="1">
    <brk id="6" max="58" man="1"/>
  </colBreaks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L38"/>
  <sheetViews>
    <sheetView showZeros="0" view="pageBreakPreview" zoomScaleSheetLayoutView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 activeCell="J3" sqref="J3"/>
    </sheetView>
  </sheetViews>
  <sheetFormatPr defaultColWidth="9.1796875" defaultRowHeight="15"/>
  <cols>
    <col min="1" max="1" width="22.81640625" style="6" customWidth="1"/>
    <col min="2" max="9" width="8.54296875" style="6" customWidth="1"/>
    <col min="10" max="12" width="16.26953125" style="6" customWidth="1"/>
    <col min="13" max="13" width="6.81640625" style="6" customWidth="1"/>
    <col min="14" max="16384" width="9.1796875" style="6"/>
  </cols>
  <sheetData>
    <row r="1" spans="1:12" ht="24" customHeight="1">
      <c r="A1" s="22" t="s">
        <v>53</v>
      </c>
      <c r="B1" s="11" t="s">
        <v>54</v>
      </c>
      <c r="C1" s="9"/>
      <c r="D1" s="9"/>
      <c r="E1" s="9"/>
      <c r="F1" s="9"/>
      <c r="G1" s="9"/>
      <c r="H1" s="9"/>
      <c r="I1" s="9"/>
      <c r="J1" s="13" t="s">
        <v>50</v>
      </c>
      <c r="K1" s="12"/>
      <c r="L1" s="5"/>
    </row>
    <row r="2" spans="1:12" ht="72.75" customHeight="1">
      <c r="A2" s="10" t="s">
        <v>2</v>
      </c>
      <c r="B2" s="14" t="s">
        <v>5</v>
      </c>
      <c r="C2" s="14" t="s">
        <v>6</v>
      </c>
      <c r="D2" s="14" t="s">
        <v>7</v>
      </c>
      <c r="E2" s="14" t="s">
        <v>8</v>
      </c>
      <c r="F2" s="14" t="s">
        <v>9</v>
      </c>
      <c r="G2" s="14" t="s">
        <v>10</v>
      </c>
      <c r="H2" s="14" t="s">
        <v>11</v>
      </c>
      <c r="I2" s="14" t="s">
        <v>12</v>
      </c>
      <c r="J2" s="7" t="s">
        <v>12</v>
      </c>
      <c r="K2" s="7" t="s">
        <v>52</v>
      </c>
      <c r="L2" s="7" t="s">
        <v>51</v>
      </c>
    </row>
    <row r="3" spans="1:12" ht="18.75" customHeight="1">
      <c r="A3" s="8" t="s">
        <v>14</v>
      </c>
      <c r="B3" s="15">
        <f>Paste!C5</f>
        <v>0</v>
      </c>
      <c r="C3" s="15">
        <f>Paste!D5</f>
        <v>0</v>
      </c>
      <c r="D3" s="15">
        <f>Paste!E5</f>
        <v>0</v>
      </c>
      <c r="E3" s="15">
        <f>Paste!F5</f>
        <v>0</v>
      </c>
      <c r="F3" s="15">
        <f>Paste!G5</f>
        <v>0</v>
      </c>
      <c r="G3" s="15">
        <f>Paste!H5</f>
        <v>0</v>
      </c>
      <c r="H3" s="15">
        <f>Paste!I5</f>
        <v>0</v>
      </c>
      <c r="I3" s="16">
        <f>SUM(B3:H3)</f>
        <v>0</v>
      </c>
      <c r="J3" s="17">
        <f>Paste!S5</f>
        <v>5</v>
      </c>
      <c r="K3" s="17">
        <f>Paste!T5</f>
        <v>0</v>
      </c>
      <c r="L3" s="18">
        <f>IF(J3=0,0,K3/J3%)</f>
        <v>0</v>
      </c>
    </row>
    <row r="4" spans="1:12" ht="18.75" customHeight="1">
      <c r="A4" s="8" t="s">
        <v>15</v>
      </c>
      <c r="B4" s="15">
        <f>Paste!C6</f>
        <v>26</v>
      </c>
      <c r="C4" s="15">
        <f>Paste!D6</f>
        <v>2</v>
      </c>
      <c r="D4" s="15">
        <f>Paste!E6</f>
        <v>2</v>
      </c>
      <c r="E4" s="15">
        <f>Paste!F6</f>
        <v>2</v>
      </c>
      <c r="F4" s="15">
        <f>Paste!G6</f>
        <v>6</v>
      </c>
      <c r="G4" s="15">
        <f>Paste!H6</f>
        <v>1</v>
      </c>
      <c r="H4" s="15">
        <f>Paste!I6</f>
        <v>6</v>
      </c>
      <c r="I4" s="16">
        <f>SUM(B4:H4)</f>
        <v>45</v>
      </c>
      <c r="J4" s="17">
        <f>Paste!S6</f>
        <v>3618</v>
      </c>
      <c r="K4" s="17">
        <f>Paste!T6</f>
        <v>332</v>
      </c>
      <c r="L4" s="18">
        <f t="shared" ref="L4:L38" si="0">IF(J4=0,0,K4/J4%)</f>
        <v>9.1763405196241017</v>
      </c>
    </row>
    <row r="5" spans="1:12" ht="18.75" customHeight="1">
      <c r="A5" s="8" t="s">
        <v>16</v>
      </c>
      <c r="B5" s="15">
        <f>Paste!C7</f>
        <v>3</v>
      </c>
      <c r="C5" s="15">
        <f>Paste!D7</f>
        <v>0</v>
      </c>
      <c r="D5" s="15">
        <f>Paste!E7</f>
        <v>0</v>
      </c>
      <c r="E5" s="15">
        <f>Paste!F7</f>
        <v>0</v>
      </c>
      <c r="F5" s="15">
        <f>Paste!G7</f>
        <v>0</v>
      </c>
      <c r="G5" s="15">
        <f>Paste!H7</f>
        <v>0</v>
      </c>
      <c r="H5" s="15">
        <f>Paste!I7</f>
        <v>0</v>
      </c>
      <c r="I5" s="16">
        <f t="shared" ref="I5:I37" si="1">SUM(B5:H5)</f>
        <v>3</v>
      </c>
      <c r="J5" s="17">
        <f>Paste!S7</f>
        <v>9</v>
      </c>
      <c r="K5" s="17">
        <f>Paste!T7</f>
        <v>0</v>
      </c>
      <c r="L5" s="18">
        <f t="shared" si="0"/>
        <v>0</v>
      </c>
    </row>
    <row r="6" spans="1:12" ht="18.75" customHeight="1">
      <c r="A6" s="8" t="s">
        <v>17</v>
      </c>
      <c r="B6" s="15">
        <f>Paste!C8</f>
        <v>6</v>
      </c>
      <c r="C6" s="15">
        <f>Paste!D8</f>
        <v>1</v>
      </c>
      <c r="D6" s="15">
        <f>Paste!E8</f>
        <v>0</v>
      </c>
      <c r="E6" s="15">
        <f>Paste!F8</f>
        <v>0</v>
      </c>
      <c r="F6" s="15">
        <f>Paste!G8</f>
        <v>2</v>
      </c>
      <c r="G6" s="15">
        <f>Paste!H8</f>
        <v>0</v>
      </c>
      <c r="H6" s="15">
        <f>Paste!I8</f>
        <v>0</v>
      </c>
      <c r="I6" s="16">
        <f t="shared" si="1"/>
        <v>9</v>
      </c>
      <c r="J6" s="17">
        <f>Paste!S8</f>
        <v>174</v>
      </c>
      <c r="K6" s="17">
        <f>Paste!T8</f>
        <v>10</v>
      </c>
      <c r="L6" s="19">
        <f t="shared" si="0"/>
        <v>5.7471264367816088</v>
      </c>
    </row>
    <row r="7" spans="1:12" ht="18.75" customHeight="1">
      <c r="A7" s="8" t="s">
        <v>18</v>
      </c>
      <c r="B7" s="15">
        <f>Paste!C9</f>
        <v>12</v>
      </c>
      <c r="C7" s="15">
        <f>Paste!D9</f>
        <v>2</v>
      </c>
      <c r="D7" s="15">
        <f>Paste!E9</f>
        <v>1</v>
      </c>
      <c r="E7" s="15">
        <f>Paste!F9</f>
        <v>1</v>
      </c>
      <c r="F7" s="15">
        <f>Paste!G9</f>
        <v>1</v>
      </c>
      <c r="G7" s="15">
        <f>Paste!H9</f>
        <v>0</v>
      </c>
      <c r="H7" s="15">
        <f>Paste!I9</f>
        <v>3</v>
      </c>
      <c r="I7" s="16">
        <f t="shared" si="1"/>
        <v>20</v>
      </c>
      <c r="J7" s="17">
        <f>Paste!S9</f>
        <v>531</v>
      </c>
      <c r="K7" s="17">
        <f>Paste!T9</f>
        <v>43</v>
      </c>
      <c r="L7" s="19">
        <f t="shared" si="0"/>
        <v>8.0979284369114879</v>
      </c>
    </row>
    <row r="8" spans="1:12" ht="18.75" customHeight="1">
      <c r="A8" s="8" t="s">
        <v>19</v>
      </c>
      <c r="B8" s="15">
        <f>Paste!C10</f>
        <v>1</v>
      </c>
      <c r="C8" s="15">
        <f>Paste!D10</f>
        <v>0</v>
      </c>
      <c r="D8" s="15">
        <f>Paste!E10</f>
        <v>0</v>
      </c>
      <c r="E8" s="15">
        <f>Paste!F10</f>
        <v>0</v>
      </c>
      <c r="F8" s="15">
        <f>Paste!G10</f>
        <v>1</v>
      </c>
      <c r="G8" s="15">
        <f>Paste!H10</f>
        <v>0</v>
      </c>
      <c r="H8" s="15">
        <f>Paste!I10</f>
        <v>0</v>
      </c>
      <c r="I8" s="16">
        <f t="shared" si="1"/>
        <v>2</v>
      </c>
      <c r="J8" s="17">
        <f>Paste!S10</f>
        <v>13</v>
      </c>
      <c r="K8" s="17">
        <f>Paste!T10</f>
        <v>5</v>
      </c>
      <c r="L8" s="19">
        <f t="shared" si="0"/>
        <v>38.46153846153846</v>
      </c>
    </row>
    <row r="9" spans="1:12" ht="18.75" customHeight="1">
      <c r="A9" s="8" t="s">
        <v>20</v>
      </c>
      <c r="B9" s="15">
        <f>Paste!C11</f>
        <v>7</v>
      </c>
      <c r="C9" s="15">
        <f>Paste!D11</f>
        <v>1</v>
      </c>
      <c r="D9" s="15">
        <f>Paste!E11</f>
        <v>1</v>
      </c>
      <c r="E9" s="15">
        <f>Paste!F11</f>
        <v>1</v>
      </c>
      <c r="F9" s="15">
        <f>Paste!G11</f>
        <v>2</v>
      </c>
      <c r="G9" s="15">
        <f>Paste!H11</f>
        <v>0</v>
      </c>
      <c r="H9" s="15">
        <f>Paste!I11</f>
        <v>3</v>
      </c>
      <c r="I9" s="16">
        <f t="shared" si="1"/>
        <v>15</v>
      </c>
      <c r="J9" s="17">
        <f>Paste!S11</f>
        <v>430</v>
      </c>
      <c r="K9" s="17">
        <f>Paste!T11</f>
        <v>34</v>
      </c>
      <c r="L9" s="19">
        <f t="shared" si="0"/>
        <v>7.9069767441860472</v>
      </c>
    </row>
    <row r="10" spans="1:12" ht="18.75" customHeight="1">
      <c r="A10" s="8" t="s">
        <v>21</v>
      </c>
      <c r="B10" s="15">
        <f>Paste!C12</f>
        <v>0</v>
      </c>
      <c r="C10" s="15">
        <f>Paste!D12</f>
        <v>0</v>
      </c>
      <c r="D10" s="15">
        <f>Paste!E12</f>
        <v>0</v>
      </c>
      <c r="E10" s="15">
        <f>Paste!F12</f>
        <v>0</v>
      </c>
      <c r="F10" s="15">
        <f>Paste!G12</f>
        <v>0</v>
      </c>
      <c r="G10" s="15">
        <f>Paste!H12</f>
        <v>0</v>
      </c>
      <c r="H10" s="15">
        <f>Paste!I12</f>
        <v>0</v>
      </c>
      <c r="I10" s="16">
        <f t="shared" si="1"/>
        <v>0</v>
      </c>
      <c r="J10" s="17">
        <f>Paste!S12</f>
        <v>2</v>
      </c>
      <c r="K10" s="17">
        <f>Paste!T12</f>
        <v>0</v>
      </c>
      <c r="L10" s="19">
        <f t="shared" si="0"/>
        <v>0</v>
      </c>
    </row>
    <row r="11" spans="1:12" ht="18.75" customHeight="1">
      <c r="A11" s="8" t="s">
        <v>22</v>
      </c>
      <c r="B11" s="15">
        <f>Paste!C13</f>
        <v>0</v>
      </c>
      <c r="C11" s="15">
        <f>Paste!D13</f>
        <v>0</v>
      </c>
      <c r="D11" s="15">
        <f>Paste!E13</f>
        <v>0</v>
      </c>
      <c r="E11" s="15">
        <f>Paste!F13</f>
        <v>0</v>
      </c>
      <c r="F11" s="15">
        <f>Paste!G13</f>
        <v>0</v>
      </c>
      <c r="G11" s="15">
        <f>Paste!H13</f>
        <v>0</v>
      </c>
      <c r="H11" s="15">
        <f>Paste!I13</f>
        <v>0</v>
      </c>
      <c r="I11" s="16">
        <f t="shared" si="1"/>
        <v>0</v>
      </c>
      <c r="J11" s="17">
        <f>Paste!S13</f>
        <v>3</v>
      </c>
      <c r="K11" s="17">
        <f>Paste!T13</f>
        <v>0</v>
      </c>
      <c r="L11" s="19">
        <f t="shared" si="0"/>
        <v>0</v>
      </c>
    </row>
    <row r="12" spans="1:12" ht="18.75" customHeight="1">
      <c r="A12" s="8" t="s">
        <v>23</v>
      </c>
      <c r="B12" s="15">
        <f>Paste!C14</f>
        <v>9</v>
      </c>
      <c r="C12" s="15">
        <f>Paste!D14</f>
        <v>1</v>
      </c>
      <c r="D12" s="15">
        <f>Paste!E14</f>
        <v>1</v>
      </c>
      <c r="E12" s="15">
        <f>Paste!F14</f>
        <v>2</v>
      </c>
      <c r="F12" s="15">
        <f>Paste!G14</f>
        <v>3</v>
      </c>
      <c r="G12" s="15">
        <f>Paste!H14</f>
        <v>0</v>
      </c>
      <c r="H12" s="15">
        <f>Paste!I14</f>
        <v>5</v>
      </c>
      <c r="I12" s="16">
        <f t="shared" si="1"/>
        <v>21</v>
      </c>
      <c r="J12" s="17">
        <f>Paste!S14</f>
        <v>142</v>
      </c>
      <c r="K12" s="17">
        <f>Paste!T14</f>
        <v>22</v>
      </c>
      <c r="L12" s="19">
        <f t="shared" si="0"/>
        <v>15.492957746478874</v>
      </c>
    </row>
    <row r="13" spans="1:12" ht="18.75" customHeight="1">
      <c r="A13" s="8" t="s">
        <v>24</v>
      </c>
      <c r="B13" s="15">
        <f>Paste!C15</f>
        <v>1</v>
      </c>
      <c r="C13" s="15">
        <f>Paste!D15</f>
        <v>0</v>
      </c>
      <c r="D13" s="15">
        <f>Paste!E15</f>
        <v>0</v>
      </c>
      <c r="E13" s="15">
        <f>Paste!F15</f>
        <v>0</v>
      </c>
      <c r="F13" s="15">
        <f>Paste!G15</f>
        <v>1</v>
      </c>
      <c r="G13" s="15">
        <f>Paste!H15</f>
        <v>0</v>
      </c>
      <c r="H13" s="15">
        <f>Paste!I15</f>
        <v>0</v>
      </c>
      <c r="I13" s="16">
        <f t="shared" si="1"/>
        <v>2</v>
      </c>
      <c r="J13" s="17">
        <f>Paste!S15</f>
        <v>33</v>
      </c>
      <c r="K13" s="17">
        <f>Paste!T15</f>
        <v>1</v>
      </c>
      <c r="L13" s="19">
        <f t="shared" si="0"/>
        <v>3.0303030303030303</v>
      </c>
    </row>
    <row r="14" spans="1:12" ht="18.75" customHeight="1">
      <c r="A14" s="8" t="s">
        <v>25</v>
      </c>
      <c r="B14" s="15">
        <f>Paste!C16</f>
        <v>22</v>
      </c>
      <c r="C14" s="15">
        <f>Paste!D16</f>
        <v>3</v>
      </c>
      <c r="D14" s="15">
        <f>Paste!E16</f>
        <v>1</v>
      </c>
      <c r="E14" s="15">
        <f>Paste!F16</f>
        <v>1</v>
      </c>
      <c r="F14" s="15">
        <f>Paste!G16</f>
        <v>3</v>
      </c>
      <c r="G14" s="15">
        <f>Paste!H16</f>
        <v>0</v>
      </c>
      <c r="H14" s="15">
        <f>Paste!I16</f>
        <v>6</v>
      </c>
      <c r="I14" s="16">
        <f t="shared" si="1"/>
        <v>36</v>
      </c>
      <c r="J14" s="17">
        <f>Paste!S16</f>
        <v>1623</v>
      </c>
      <c r="K14" s="17">
        <f>Paste!T16</f>
        <v>138</v>
      </c>
      <c r="L14" s="19">
        <f t="shared" si="0"/>
        <v>8.502772643253234</v>
      </c>
    </row>
    <row r="15" spans="1:12" ht="18.75" customHeight="1">
      <c r="A15" s="8" t="s">
        <v>26</v>
      </c>
      <c r="B15" s="15">
        <f>Paste!C17</f>
        <v>11</v>
      </c>
      <c r="C15" s="15">
        <f>Paste!D17</f>
        <v>2</v>
      </c>
      <c r="D15" s="15">
        <f>Paste!E17</f>
        <v>1</v>
      </c>
      <c r="E15" s="15">
        <f>Paste!F17</f>
        <v>0</v>
      </c>
      <c r="F15" s="15">
        <f>Paste!G17</f>
        <v>4</v>
      </c>
      <c r="G15" s="15">
        <f>Paste!H17</f>
        <v>1</v>
      </c>
      <c r="H15" s="15">
        <f>Paste!I17</f>
        <v>2</v>
      </c>
      <c r="I15" s="16">
        <f t="shared" si="1"/>
        <v>21</v>
      </c>
      <c r="J15" s="17">
        <f>Paste!S17</f>
        <v>266</v>
      </c>
      <c r="K15" s="17">
        <f>Paste!T17</f>
        <v>38</v>
      </c>
      <c r="L15" s="19">
        <f t="shared" si="0"/>
        <v>14.285714285714285</v>
      </c>
    </row>
    <row r="16" spans="1:12" ht="18.75" customHeight="1">
      <c r="A16" s="8" t="s">
        <v>27</v>
      </c>
      <c r="B16" s="15">
        <f>Paste!C18</f>
        <v>11</v>
      </c>
      <c r="C16" s="15">
        <f>Paste!D18</f>
        <v>2</v>
      </c>
      <c r="D16" s="15">
        <f>Paste!E18</f>
        <v>0</v>
      </c>
      <c r="E16" s="15">
        <f>Paste!F18</f>
        <v>0</v>
      </c>
      <c r="F16" s="15">
        <f>Paste!G18</f>
        <v>3</v>
      </c>
      <c r="G16" s="15">
        <f>Paste!H18</f>
        <v>0</v>
      </c>
      <c r="H16" s="15">
        <f>Paste!I18</f>
        <v>1</v>
      </c>
      <c r="I16" s="16">
        <f t="shared" si="1"/>
        <v>17</v>
      </c>
      <c r="J16" s="17">
        <f>Paste!S18</f>
        <v>236</v>
      </c>
      <c r="K16" s="17">
        <f>Paste!T18</f>
        <v>14</v>
      </c>
      <c r="L16" s="19">
        <f t="shared" si="0"/>
        <v>5.9322033898305087</v>
      </c>
    </row>
    <row r="17" spans="1:12" ht="18.75" customHeight="1">
      <c r="A17" s="8" t="s">
        <v>28</v>
      </c>
      <c r="B17" s="15">
        <f>Paste!C19</f>
        <v>5</v>
      </c>
      <c r="C17" s="15">
        <f>Paste!D19</f>
        <v>1</v>
      </c>
      <c r="D17" s="15">
        <f>Paste!E19</f>
        <v>0</v>
      </c>
      <c r="E17" s="15">
        <f>Paste!F19</f>
        <v>0</v>
      </c>
      <c r="F17" s="15">
        <f>Paste!G19</f>
        <v>2</v>
      </c>
      <c r="G17" s="15">
        <f>Paste!H19</f>
        <v>0</v>
      </c>
      <c r="H17" s="15">
        <f>Paste!I19</f>
        <v>0</v>
      </c>
      <c r="I17" s="16">
        <f t="shared" si="1"/>
        <v>8</v>
      </c>
      <c r="J17" s="17">
        <f>Paste!S19</f>
        <v>119</v>
      </c>
      <c r="K17" s="17">
        <f>Paste!T19</f>
        <v>10</v>
      </c>
      <c r="L17" s="19">
        <f t="shared" si="0"/>
        <v>8.4033613445378155</v>
      </c>
    </row>
    <row r="18" spans="1:12" ht="18.75" customHeight="1">
      <c r="A18" s="8" t="s">
        <v>29</v>
      </c>
      <c r="B18" s="15">
        <f>Paste!C20</f>
        <v>5</v>
      </c>
      <c r="C18" s="15">
        <f>Paste!D20</f>
        <v>0</v>
      </c>
      <c r="D18" s="15">
        <f>Paste!E20</f>
        <v>0</v>
      </c>
      <c r="E18" s="15">
        <f>Paste!F20</f>
        <v>1</v>
      </c>
      <c r="F18" s="15">
        <f>Paste!G20</f>
        <v>3</v>
      </c>
      <c r="G18" s="15">
        <f>Paste!H20</f>
        <v>0</v>
      </c>
      <c r="H18" s="15">
        <f>Paste!I20</f>
        <v>0</v>
      </c>
      <c r="I18" s="16">
        <f t="shared" si="1"/>
        <v>9</v>
      </c>
      <c r="J18" s="17">
        <f>Paste!S20</f>
        <v>38</v>
      </c>
      <c r="K18" s="17">
        <f>Paste!T20</f>
        <v>3</v>
      </c>
      <c r="L18" s="19">
        <f t="shared" si="0"/>
        <v>7.8947368421052628</v>
      </c>
    </row>
    <row r="19" spans="1:12" ht="18.75" customHeight="1">
      <c r="A19" s="8" t="s">
        <v>30</v>
      </c>
      <c r="B19" s="15">
        <f>Paste!C21</f>
        <v>21</v>
      </c>
      <c r="C19" s="15">
        <f>Paste!D21</f>
        <v>3</v>
      </c>
      <c r="D19" s="15">
        <f>Paste!E21</f>
        <v>6</v>
      </c>
      <c r="E19" s="15">
        <f>Paste!F21</f>
        <v>2</v>
      </c>
      <c r="F19" s="15">
        <f>Paste!G21</f>
        <v>3</v>
      </c>
      <c r="G19" s="15">
        <f>Paste!H21</f>
        <v>1</v>
      </c>
      <c r="H19" s="15">
        <f>Paste!I21</f>
        <v>7</v>
      </c>
      <c r="I19" s="16">
        <f t="shared" si="1"/>
        <v>43</v>
      </c>
      <c r="J19" s="17">
        <f>Paste!S21</f>
        <v>3004</v>
      </c>
      <c r="K19" s="17">
        <f>Paste!T21</f>
        <v>190</v>
      </c>
      <c r="L19" s="19">
        <f t="shared" si="0"/>
        <v>6.3249001331557926</v>
      </c>
    </row>
    <row r="20" spans="1:12" ht="18.75" customHeight="1">
      <c r="A20" s="8" t="s">
        <v>31</v>
      </c>
      <c r="B20" s="15">
        <f>Paste!C22</f>
        <v>6</v>
      </c>
      <c r="C20" s="15">
        <f>Paste!D22</f>
        <v>1</v>
      </c>
      <c r="D20" s="15">
        <f>Paste!E22</f>
        <v>0</v>
      </c>
      <c r="E20" s="15">
        <f>Paste!F22</f>
        <v>1</v>
      </c>
      <c r="F20" s="15">
        <f>Paste!G22</f>
        <v>1</v>
      </c>
      <c r="G20" s="15">
        <f>Paste!H22</f>
        <v>1</v>
      </c>
      <c r="H20" s="15">
        <f>Paste!I22</f>
        <v>6</v>
      </c>
      <c r="I20" s="16">
        <f t="shared" si="1"/>
        <v>16</v>
      </c>
      <c r="J20" s="17">
        <f>Paste!S22</f>
        <v>580</v>
      </c>
      <c r="K20" s="17">
        <f>Paste!T22</f>
        <v>41</v>
      </c>
      <c r="L20" s="19">
        <f t="shared" si="0"/>
        <v>7.0689655172413799</v>
      </c>
    </row>
    <row r="21" spans="1:12" ht="18.75" customHeight="1">
      <c r="A21" s="8" t="s">
        <v>32</v>
      </c>
      <c r="B21" s="15">
        <f>Paste!C23</f>
        <v>0</v>
      </c>
      <c r="C21" s="15">
        <f>Paste!D23</f>
        <v>0</v>
      </c>
      <c r="D21" s="15">
        <f>Paste!E23</f>
        <v>0</v>
      </c>
      <c r="E21" s="15">
        <f>Paste!F23</f>
        <v>0</v>
      </c>
      <c r="F21" s="15">
        <f>Paste!G23</f>
        <v>0</v>
      </c>
      <c r="G21" s="15">
        <f>Paste!H23</f>
        <v>0</v>
      </c>
      <c r="H21" s="15">
        <f>Paste!I23</f>
        <v>0</v>
      </c>
      <c r="I21" s="16">
        <f t="shared" si="1"/>
        <v>0</v>
      </c>
      <c r="J21" s="17">
        <f>Paste!S23</f>
        <v>0</v>
      </c>
      <c r="K21" s="17">
        <f>Paste!T23</f>
        <v>0</v>
      </c>
      <c r="L21" s="19">
        <f t="shared" si="0"/>
        <v>0</v>
      </c>
    </row>
    <row r="22" spans="1:12" ht="18.75" customHeight="1">
      <c r="A22" s="8" t="s">
        <v>33</v>
      </c>
      <c r="B22" s="15">
        <f>Paste!C24</f>
        <v>8</v>
      </c>
      <c r="C22" s="15">
        <f>Paste!D24</f>
        <v>1</v>
      </c>
      <c r="D22" s="15">
        <f>Paste!E24</f>
        <v>0</v>
      </c>
      <c r="E22" s="15">
        <f>Paste!F24</f>
        <v>1</v>
      </c>
      <c r="F22" s="15">
        <f>Paste!G24</f>
        <v>6</v>
      </c>
      <c r="G22" s="15">
        <f>Paste!H24</f>
        <v>0</v>
      </c>
      <c r="H22" s="15">
        <f>Paste!I24</f>
        <v>9</v>
      </c>
      <c r="I22" s="16">
        <f t="shared" si="1"/>
        <v>25</v>
      </c>
      <c r="J22" s="17">
        <f>Paste!S24</f>
        <v>400</v>
      </c>
      <c r="K22" s="17">
        <f>Paste!T24</f>
        <v>28</v>
      </c>
      <c r="L22" s="19">
        <f t="shared" si="0"/>
        <v>7</v>
      </c>
    </row>
    <row r="23" spans="1:12" ht="18.75" customHeight="1">
      <c r="A23" s="8" t="s">
        <v>34</v>
      </c>
      <c r="B23" s="15">
        <f>Paste!C25</f>
        <v>19</v>
      </c>
      <c r="C23" s="15">
        <f>Paste!D25</f>
        <v>4</v>
      </c>
      <c r="D23" s="15">
        <f>Paste!E25</f>
        <v>6</v>
      </c>
      <c r="E23" s="15">
        <f>Paste!F25</f>
        <v>0</v>
      </c>
      <c r="F23" s="15">
        <f>Paste!G25</f>
        <v>4</v>
      </c>
      <c r="G23" s="15">
        <f>Paste!H25</f>
        <v>0</v>
      </c>
      <c r="H23" s="15">
        <f>Paste!I25</f>
        <v>11</v>
      </c>
      <c r="I23" s="16">
        <f t="shared" si="1"/>
        <v>44</v>
      </c>
      <c r="J23" s="17">
        <f>Paste!S25</f>
        <v>1705</v>
      </c>
      <c r="K23" s="17">
        <f>Paste!T25</f>
        <v>99</v>
      </c>
      <c r="L23" s="19">
        <f t="shared" si="0"/>
        <v>5.806451612903226</v>
      </c>
    </row>
    <row r="24" spans="1:12" ht="18.75" customHeight="1">
      <c r="A24" s="8" t="s">
        <v>35</v>
      </c>
      <c r="B24" s="15">
        <f>Paste!C26</f>
        <v>1</v>
      </c>
      <c r="C24" s="15">
        <f>Paste!D26</f>
        <v>1</v>
      </c>
      <c r="D24" s="15">
        <f>Paste!E26</f>
        <v>0</v>
      </c>
      <c r="E24" s="15">
        <f>Paste!F26</f>
        <v>0</v>
      </c>
      <c r="F24" s="15">
        <f>Paste!G26</f>
        <v>1</v>
      </c>
      <c r="G24" s="15">
        <f>Paste!H26</f>
        <v>0</v>
      </c>
      <c r="H24" s="15">
        <f>Paste!I26</f>
        <v>0</v>
      </c>
      <c r="I24" s="16">
        <f t="shared" si="1"/>
        <v>3</v>
      </c>
      <c r="J24" s="17">
        <f>Paste!S26</f>
        <v>20</v>
      </c>
      <c r="K24" s="17">
        <f>Paste!T26</f>
        <v>1</v>
      </c>
      <c r="L24" s="19">
        <f t="shared" si="0"/>
        <v>5</v>
      </c>
    </row>
    <row r="25" spans="1:12" ht="18.75" customHeight="1">
      <c r="A25" s="8" t="s">
        <v>36</v>
      </c>
      <c r="B25" s="15">
        <f>Paste!C27</f>
        <v>3</v>
      </c>
      <c r="C25" s="15">
        <f>Paste!D27</f>
        <v>0</v>
      </c>
      <c r="D25" s="15">
        <f>Paste!E27</f>
        <v>0</v>
      </c>
      <c r="E25" s="15">
        <f>Paste!F27</f>
        <v>0</v>
      </c>
      <c r="F25" s="15">
        <f>Paste!G27</f>
        <v>2</v>
      </c>
      <c r="G25" s="15">
        <f>Paste!H27</f>
        <v>0</v>
      </c>
      <c r="H25" s="15">
        <f>Paste!I27</f>
        <v>0</v>
      </c>
      <c r="I25" s="16">
        <f t="shared" si="1"/>
        <v>5</v>
      </c>
      <c r="J25" s="17">
        <f>Paste!S27</f>
        <v>25</v>
      </c>
      <c r="K25" s="17">
        <f>Paste!T27</f>
        <v>4</v>
      </c>
      <c r="L25" s="19">
        <f t="shared" si="0"/>
        <v>16</v>
      </c>
    </row>
    <row r="26" spans="1:12" ht="18.75" customHeight="1">
      <c r="A26" s="8" t="s">
        <v>37</v>
      </c>
      <c r="B26" s="15">
        <f>Paste!C28</f>
        <v>3</v>
      </c>
      <c r="C26" s="15">
        <f>Paste!D28</f>
        <v>0</v>
      </c>
      <c r="D26" s="15">
        <f>Paste!E28</f>
        <v>0</v>
      </c>
      <c r="E26" s="15">
        <f>Paste!F28</f>
        <v>0</v>
      </c>
      <c r="F26" s="15">
        <f>Paste!G28</f>
        <v>0</v>
      </c>
      <c r="G26" s="15">
        <f>Paste!H28</f>
        <v>0</v>
      </c>
      <c r="H26" s="15">
        <f>Paste!I28</f>
        <v>0</v>
      </c>
      <c r="I26" s="16">
        <f t="shared" si="1"/>
        <v>3</v>
      </c>
      <c r="J26" s="17">
        <f>Paste!S28</f>
        <v>28</v>
      </c>
      <c r="K26" s="17">
        <f>Paste!T28</f>
        <v>0</v>
      </c>
      <c r="L26" s="19">
        <f t="shared" si="0"/>
        <v>0</v>
      </c>
    </row>
    <row r="27" spans="1:12" ht="18.75" customHeight="1">
      <c r="A27" s="8" t="s">
        <v>38</v>
      </c>
      <c r="B27" s="15">
        <f>Paste!C29</f>
        <v>3</v>
      </c>
      <c r="C27" s="15">
        <f>Paste!D29</f>
        <v>0</v>
      </c>
      <c r="D27" s="15">
        <f>Paste!E29</f>
        <v>0</v>
      </c>
      <c r="E27" s="15">
        <f>Paste!F29</f>
        <v>0</v>
      </c>
      <c r="F27" s="15">
        <f>Paste!G29</f>
        <v>1</v>
      </c>
      <c r="G27" s="15">
        <f>Paste!H29</f>
        <v>0</v>
      </c>
      <c r="H27" s="15">
        <f>Paste!I29</f>
        <v>0</v>
      </c>
      <c r="I27" s="16">
        <f t="shared" si="1"/>
        <v>4</v>
      </c>
      <c r="J27" s="17">
        <f>Paste!S29</f>
        <v>55</v>
      </c>
      <c r="K27" s="17">
        <f>Paste!T29</f>
        <v>2</v>
      </c>
      <c r="L27" s="19">
        <f t="shared" si="0"/>
        <v>3.6363636363636362</v>
      </c>
    </row>
    <row r="28" spans="1:12" ht="18.75" customHeight="1">
      <c r="A28" s="8" t="s">
        <v>39</v>
      </c>
      <c r="B28" s="15">
        <f>Paste!C30</f>
        <v>10</v>
      </c>
      <c r="C28" s="15">
        <f>Paste!D30</f>
        <v>1</v>
      </c>
      <c r="D28" s="15">
        <f>Paste!E30</f>
        <v>0</v>
      </c>
      <c r="E28" s="15">
        <f>Paste!F30</f>
        <v>1</v>
      </c>
      <c r="F28" s="15">
        <f>Paste!G30</f>
        <v>3</v>
      </c>
      <c r="G28" s="15">
        <f>Paste!H30</f>
        <v>0</v>
      </c>
      <c r="H28" s="15">
        <f>Paste!I30</f>
        <v>3</v>
      </c>
      <c r="I28" s="16">
        <f t="shared" si="1"/>
        <v>18</v>
      </c>
      <c r="J28" s="17">
        <f>Paste!S30</f>
        <v>391</v>
      </c>
      <c r="K28" s="17">
        <f>Paste!T30</f>
        <v>30</v>
      </c>
      <c r="L28" s="19">
        <f t="shared" si="0"/>
        <v>7.6726342710997439</v>
      </c>
    </row>
    <row r="29" spans="1:12" ht="18.75" customHeight="1">
      <c r="A29" s="8" t="s">
        <v>40</v>
      </c>
      <c r="B29" s="15">
        <f>Paste!C31</f>
        <v>1</v>
      </c>
      <c r="C29" s="15">
        <f>Paste!D31</f>
        <v>0</v>
      </c>
      <c r="D29" s="15">
        <f>Paste!E31</f>
        <v>0</v>
      </c>
      <c r="E29" s="15">
        <f>Paste!F31</f>
        <v>0</v>
      </c>
      <c r="F29" s="15">
        <f>Paste!G31</f>
        <v>1</v>
      </c>
      <c r="G29" s="15">
        <f>Paste!H31</f>
        <v>0</v>
      </c>
      <c r="H29" s="15">
        <f>Paste!I31</f>
        <v>0</v>
      </c>
      <c r="I29" s="16">
        <f t="shared" si="1"/>
        <v>2</v>
      </c>
      <c r="J29" s="17">
        <f>Paste!S31</f>
        <v>72</v>
      </c>
      <c r="K29" s="17">
        <f>Paste!T31</f>
        <v>8</v>
      </c>
      <c r="L29" s="19">
        <f t="shared" si="0"/>
        <v>11.111111111111111</v>
      </c>
    </row>
    <row r="30" spans="1:12" ht="18.75" customHeight="1">
      <c r="A30" s="8" t="s">
        <v>41</v>
      </c>
      <c r="B30" s="15">
        <f>Paste!C32</f>
        <v>5</v>
      </c>
      <c r="C30" s="15">
        <f>Paste!D32</f>
        <v>1</v>
      </c>
      <c r="D30" s="15">
        <f>Paste!E32</f>
        <v>1</v>
      </c>
      <c r="E30" s="15">
        <f>Paste!F32</f>
        <v>1</v>
      </c>
      <c r="F30" s="15">
        <f>Paste!G32</f>
        <v>5</v>
      </c>
      <c r="G30" s="15">
        <f>Paste!H32</f>
        <v>1</v>
      </c>
      <c r="H30" s="15">
        <f>Paste!I32</f>
        <v>2</v>
      </c>
      <c r="I30" s="16">
        <f t="shared" si="1"/>
        <v>16</v>
      </c>
      <c r="J30" s="17">
        <f>Paste!S32</f>
        <v>232</v>
      </c>
      <c r="K30" s="17">
        <f>Paste!T32</f>
        <v>20</v>
      </c>
      <c r="L30" s="19">
        <f t="shared" si="0"/>
        <v>8.6206896551724146</v>
      </c>
    </row>
    <row r="31" spans="1:12" ht="18.75" customHeight="1">
      <c r="A31" s="8" t="s">
        <v>42</v>
      </c>
      <c r="B31" s="15">
        <f>Paste!C33</f>
        <v>19</v>
      </c>
      <c r="C31" s="15">
        <f>Paste!D33</f>
        <v>0</v>
      </c>
      <c r="D31" s="15">
        <f>Paste!E33</f>
        <v>2</v>
      </c>
      <c r="E31" s="15">
        <f>Paste!F33</f>
        <v>0</v>
      </c>
      <c r="F31" s="15">
        <f>Paste!G33</f>
        <v>5</v>
      </c>
      <c r="G31" s="15">
        <f>Paste!H33</f>
        <v>1</v>
      </c>
      <c r="H31" s="15">
        <f>Paste!I33</f>
        <v>1</v>
      </c>
      <c r="I31" s="16">
        <f t="shared" si="1"/>
        <v>28</v>
      </c>
      <c r="J31" s="17">
        <f>Paste!S33</f>
        <v>715</v>
      </c>
      <c r="K31" s="17">
        <f>Paste!T33</f>
        <v>173</v>
      </c>
      <c r="L31" s="19">
        <f t="shared" si="0"/>
        <v>24.195804195804193</v>
      </c>
    </row>
    <row r="32" spans="1:12" ht="18.75" customHeight="1">
      <c r="A32" s="8" t="s">
        <v>43</v>
      </c>
      <c r="B32" s="15">
        <f>Paste!C34</f>
        <v>2</v>
      </c>
      <c r="C32" s="15">
        <f>Paste!D34</f>
        <v>0</v>
      </c>
      <c r="D32" s="15">
        <f>Paste!E34</f>
        <v>0</v>
      </c>
      <c r="E32" s="15">
        <f>Paste!F34</f>
        <v>0</v>
      </c>
      <c r="F32" s="15">
        <f>Paste!G34</f>
        <v>1</v>
      </c>
      <c r="G32" s="15">
        <f>Paste!H34</f>
        <v>0</v>
      </c>
      <c r="H32" s="15">
        <f>Paste!I34</f>
        <v>1</v>
      </c>
      <c r="I32" s="16">
        <f t="shared" si="1"/>
        <v>4</v>
      </c>
      <c r="J32" s="17">
        <f>Paste!S34</f>
        <v>13</v>
      </c>
      <c r="K32" s="17">
        <f>Paste!T34</f>
        <v>1</v>
      </c>
      <c r="L32" s="19">
        <f t="shared" si="0"/>
        <v>7.6923076923076916</v>
      </c>
    </row>
    <row r="33" spans="1:12" ht="18.75" customHeight="1">
      <c r="A33" s="8" t="s">
        <v>44</v>
      </c>
      <c r="B33" s="15">
        <f>Paste!C35</f>
        <v>29</v>
      </c>
      <c r="C33" s="15">
        <f>Paste!D35</f>
        <v>1</v>
      </c>
      <c r="D33" s="15">
        <f>Paste!E35</f>
        <v>1</v>
      </c>
      <c r="E33" s="15">
        <f>Paste!F35</f>
        <v>1</v>
      </c>
      <c r="F33" s="15">
        <f>Paste!G35</f>
        <v>14</v>
      </c>
      <c r="G33" s="15">
        <f>Paste!H35</f>
        <v>1</v>
      </c>
      <c r="H33" s="15">
        <f>Paste!I35</f>
        <v>8</v>
      </c>
      <c r="I33" s="16">
        <f t="shared" si="1"/>
        <v>55</v>
      </c>
      <c r="J33" s="17">
        <f>Paste!S35</f>
        <v>1050</v>
      </c>
      <c r="K33" s="17">
        <f>Paste!T35</f>
        <v>140</v>
      </c>
      <c r="L33" s="19">
        <f t="shared" si="0"/>
        <v>13.333333333333334</v>
      </c>
    </row>
    <row r="34" spans="1:12" ht="18.75" customHeight="1">
      <c r="A34" s="8" t="s">
        <v>45</v>
      </c>
      <c r="B34" s="15">
        <f>Paste!C36</f>
        <v>2</v>
      </c>
      <c r="C34" s="15">
        <f>Paste!D36</f>
        <v>0</v>
      </c>
      <c r="D34" s="15">
        <f>Paste!E36</f>
        <v>0</v>
      </c>
      <c r="E34" s="15">
        <f>Paste!F36</f>
        <v>0</v>
      </c>
      <c r="F34" s="15">
        <f>Paste!G36</f>
        <v>1</v>
      </c>
      <c r="G34" s="15">
        <f>Paste!H36</f>
        <v>0</v>
      </c>
      <c r="H34" s="15">
        <f>Paste!I36</f>
        <v>0</v>
      </c>
      <c r="I34" s="16">
        <f t="shared" si="1"/>
        <v>3</v>
      </c>
      <c r="J34" s="17">
        <f>Paste!S36</f>
        <v>35</v>
      </c>
      <c r="K34" s="17">
        <f>Paste!T36</f>
        <v>2</v>
      </c>
      <c r="L34" s="19">
        <f t="shared" si="0"/>
        <v>5.7142857142857144</v>
      </c>
    </row>
    <row r="35" spans="1:12" ht="18.75" customHeight="1">
      <c r="A35" s="8" t="s">
        <v>46</v>
      </c>
      <c r="B35" s="15">
        <f>Paste!C37</f>
        <v>27</v>
      </c>
      <c r="C35" s="15">
        <f>Paste!D37</f>
        <v>3</v>
      </c>
      <c r="D35" s="15">
        <f>Paste!E37</f>
        <v>0</v>
      </c>
      <c r="E35" s="15">
        <f>Paste!F37</f>
        <v>1</v>
      </c>
      <c r="F35" s="15">
        <f>Paste!G37</f>
        <v>5</v>
      </c>
      <c r="G35" s="15">
        <f>Paste!H37</f>
        <v>2</v>
      </c>
      <c r="H35" s="15">
        <f>Paste!I37</f>
        <v>3</v>
      </c>
      <c r="I35" s="16">
        <f t="shared" si="1"/>
        <v>41</v>
      </c>
      <c r="J35" s="17">
        <f>Paste!S37</f>
        <v>919</v>
      </c>
      <c r="K35" s="17">
        <f>Paste!T37</f>
        <v>106</v>
      </c>
      <c r="L35" s="19">
        <f t="shared" si="0"/>
        <v>11.534276387377584</v>
      </c>
    </row>
    <row r="36" spans="1:12" ht="18.75" customHeight="1">
      <c r="A36" s="8" t="s">
        <v>47</v>
      </c>
      <c r="B36" s="15">
        <f>Paste!C38</f>
        <v>9</v>
      </c>
      <c r="C36" s="15">
        <f>Paste!D38</f>
        <v>1</v>
      </c>
      <c r="D36" s="15">
        <f>Paste!E38</f>
        <v>1</v>
      </c>
      <c r="E36" s="15">
        <f>Paste!F38</f>
        <v>0</v>
      </c>
      <c r="F36" s="15">
        <f>Paste!G38</f>
        <v>2</v>
      </c>
      <c r="G36" s="15">
        <f>Paste!H38</f>
        <v>0</v>
      </c>
      <c r="H36" s="15">
        <f>Paste!I38</f>
        <v>1</v>
      </c>
      <c r="I36" s="16">
        <f t="shared" si="1"/>
        <v>14</v>
      </c>
      <c r="J36" s="17">
        <f>Paste!S38</f>
        <v>165</v>
      </c>
      <c r="K36" s="17">
        <f>Paste!T38</f>
        <v>12</v>
      </c>
      <c r="L36" s="19">
        <f t="shared" si="0"/>
        <v>7.2727272727272734</v>
      </c>
    </row>
    <row r="37" spans="1:12" ht="18.75" customHeight="1">
      <c r="A37" s="8" t="s">
        <v>48</v>
      </c>
      <c r="B37" s="15">
        <f>Paste!C39</f>
        <v>13</v>
      </c>
      <c r="C37" s="15">
        <f>Paste!D39</f>
        <v>2</v>
      </c>
      <c r="D37" s="15">
        <f>Paste!E39</f>
        <v>1</v>
      </c>
      <c r="E37" s="15">
        <f>Paste!F39</f>
        <v>1</v>
      </c>
      <c r="F37" s="15">
        <f>Paste!G39</f>
        <v>3</v>
      </c>
      <c r="G37" s="15">
        <f>Paste!H39</f>
        <v>0</v>
      </c>
      <c r="H37" s="15">
        <f>Paste!I39</f>
        <v>2</v>
      </c>
      <c r="I37" s="16">
        <f t="shared" si="1"/>
        <v>22</v>
      </c>
      <c r="J37" s="17">
        <f>Paste!S39</f>
        <v>372</v>
      </c>
      <c r="K37" s="17">
        <f>Paste!T39</f>
        <v>43</v>
      </c>
      <c r="L37" s="19">
        <f t="shared" si="0"/>
        <v>11.559139784946236</v>
      </c>
    </row>
    <row r="38" spans="1:12" ht="18.75" customHeight="1">
      <c r="A38" s="7" t="s">
        <v>49</v>
      </c>
      <c r="B38" s="16">
        <f t="shared" ref="B38:H38" si="2">SUM(B3:B37)</f>
        <v>300</v>
      </c>
      <c r="C38" s="16">
        <f t="shared" si="2"/>
        <v>34</v>
      </c>
      <c r="D38" s="16">
        <f t="shared" si="2"/>
        <v>25</v>
      </c>
      <c r="E38" s="16">
        <f t="shared" si="2"/>
        <v>17</v>
      </c>
      <c r="F38" s="16">
        <f t="shared" si="2"/>
        <v>89</v>
      </c>
      <c r="G38" s="16">
        <f t="shared" si="2"/>
        <v>9</v>
      </c>
      <c r="H38" s="16">
        <f t="shared" si="2"/>
        <v>80</v>
      </c>
      <c r="I38" s="16">
        <f>SUM(I3:I37)</f>
        <v>554</v>
      </c>
      <c r="J38" s="20">
        <f>SUM(J3:J37)</f>
        <v>17023</v>
      </c>
      <c r="K38" s="20">
        <f>SUM(K3:K37)</f>
        <v>1550</v>
      </c>
      <c r="L38" s="21">
        <f t="shared" si="0"/>
        <v>9.1053280855313403</v>
      </c>
    </row>
  </sheetData>
  <printOptions horizontalCentered="1"/>
  <pageMargins left="0.5" right="0.27777777777777801" top="0.42" bottom="0.47" header="0.26" footer="0.25"/>
  <pageSetup paperSize="9" pageOrder="overThenDown" orientation="portrait" horizontalDpi="300" verticalDpi="3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00B050"/>
  </sheetPr>
  <dimension ref="A1:M48"/>
  <sheetViews>
    <sheetView view="pageBreakPreview" zoomScale="115" zoomScaleSheetLayoutView="115" workbookViewId="0">
      <pane ySplit="3" topLeftCell="A40" activePane="bottomLeft" state="frozen"/>
      <selection activeCell="H31" sqref="H31"/>
      <selection pane="bottomLeft" activeCell="C40" sqref="C40"/>
    </sheetView>
  </sheetViews>
  <sheetFormatPr defaultRowHeight="15.5"/>
  <cols>
    <col min="1" max="1" width="5.1796875" style="726" customWidth="1"/>
    <col min="2" max="2" width="23.453125" style="726" customWidth="1"/>
    <col min="3" max="3" width="6.81640625" style="726" customWidth="1"/>
    <col min="4" max="4" width="9.81640625" style="726" customWidth="1"/>
    <col min="5" max="6" width="8" style="726" customWidth="1"/>
    <col min="7" max="7" width="9.81640625" style="726" customWidth="1"/>
    <col min="8" max="9" width="8" style="726" customWidth="1"/>
    <col min="10" max="10" width="9.81640625" style="726" customWidth="1"/>
    <col min="11" max="11" width="8" style="726" customWidth="1"/>
    <col min="12" max="12" width="10.7265625" style="726" customWidth="1"/>
    <col min="13" max="13" width="44.26953125" style="726" customWidth="1"/>
    <col min="14" max="221" width="8.7265625" style="726"/>
    <col min="222" max="222" width="5.1796875" style="726" customWidth="1"/>
    <col min="223" max="223" width="20" style="726" customWidth="1"/>
    <col min="224" max="244" width="11.7265625" style="726" customWidth="1"/>
    <col min="245" max="477" width="8.7265625" style="726"/>
    <col min="478" max="478" width="5.1796875" style="726" customWidth="1"/>
    <col min="479" max="479" width="20" style="726" customWidth="1"/>
    <col min="480" max="500" width="11.7265625" style="726" customWidth="1"/>
    <col min="501" max="733" width="8.7265625" style="726"/>
    <col min="734" max="734" width="5.1796875" style="726" customWidth="1"/>
    <col min="735" max="735" width="20" style="726" customWidth="1"/>
    <col min="736" max="756" width="11.7265625" style="726" customWidth="1"/>
    <col min="757" max="989" width="8.7265625" style="726"/>
    <col min="990" max="990" width="5.1796875" style="726" customWidth="1"/>
    <col min="991" max="991" width="20" style="726" customWidth="1"/>
    <col min="992" max="1012" width="11.7265625" style="726" customWidth="1"/>
    <col min="1013" max="1245" width="8.7265625" style="726"/>
    <col min="1246" max="1246" width="5.1796875" style="726" customWidth="1"/>
    <col min="1247" max="1247" width="20" style="726" customWidth="1"/>
    <col min="1248" max="1268" width="11.7265625" style="726" customWidth="1"/>
    <col min="1269" max="1501" width="8.7265625" style="726"/>
    <col min="1502" max="1502" width="5.1796875" style="726" customWidth="1"/>
    <col min="1503" max="1503" width="20" style="726" customWidth="1"/>
    <col min="1504" max="1524" width="11.7265625" style="726" customWidth="1"/>
    <col min="1525" max="1757" width="8.7265625" style="726"/>
    <col min="1758" max="1758" width="5.1796875" style="726" customWidth="1"/>
    <col min="1759" max="1759" width="20" style="726" customWidth="1"/>
    <col min="1760" max="1780" width="11.7265625" style="726" customWidth="1"/>
    <col min="1781" max="2013" width="8.7265625" style="726"/>
    <col min="2014" max="2014" width="5.1796875" style="726" customWidth="1"/>
    <col min="2015" max="2015" width="20" style="726" customWidth="1"/>
    <col min="2016" max="2036" width="11.7265625" style="726" customWidth="1"/>
    <col min="2037" max="2269" width="8.7265625" style="726"/>
    <col min="2270" max="2270" width="5.1796875" style="726" customWidth="1"/>
    <col min="2271" max="2271" width="20" style="726" customWidth="1"/>
    <col min="2272" max="2292" width="11.7265625" style="726" customWidth="1"/>
    <col min="2293" max="2525" width="8.7265625" style="726"/>
    <col min="2526" max="2526" width="5.1796875" style="726" customWidth="1"/>
    <col min="2527" max="2527" width="20" style="726" customWidth="1"/>
    <col min="2528" max="2548" width="11.7265625" style="726" customWidth="1"/>
    <col min="2549" max="2781" width="8.7265625" style="726"/>
    <col min="2782" max="2782" width="5.1796875" style="726" customWidth="1"/>
    <col min="2783" max="2783" width="20" style="726" customWidth="1"/>
    <col min="2784" max="2804" width="11.7265625" style="726" customWidth="1"/>
    <col min="2805" max="3037" width="8.7265625" style="726"/>
    <col min="3038" max="3038" width="5.1796875" style="726" customWidth="1"/>
    <col min="3039" max="3039" width="20" style="726" customWidth="1"/>
    <col min="3040" max="3060" width="11.7265625" style="726" customWidth="1"/>
    <col min="3061" max="3293" width="8.7265625" style="726"/>
    <col min="3294" max="3294" width="5.1796875" style="726" customWidth="1"/>
    <col min="3295" max="3295" width="20" style="726" customWidth="1"/>
    <col min="3296" max="3316" width="11.7265625" style="726" customWidth="1"/>
    <col min="3317" max="3549" width="8.7265625" style="726"/>
    <col min="3550" max="3550" width="5.1796875" style="726" customWidth="1"/>
    <col min="3551" max="3551" width="20" style="726" customWidth="1"/>
    <col min="3552" max="3572" width="11.7265625" style="726" customWidth="1"/>
    <col min="3573" max="3805" width="8.7265625" style="726"/>
    <col min="3806" max="3806" width="5.1796875" style="726" customWidth="1"/>
    <col min="3807" max="3807" width="20" style="726" customWidth="1"/>
    <col min="3808" max="3828" width="11.7265625" style="726" customWidth="1"/>
    <col min="3829" max="4061" width="8.7265625" style="726"/>
    <col min="4062" max="4062" width="5.1796875" style="726" customWidth="1"/>
    <col min="4063" max="4063" width="20" style="726" customWidth="1"/>
    <col min="4064" max="4084" width="11.7265625" style="726" customWidth="1"/>
    <col min="4085" max="4317" width="8.7265625" style="726"/>
    <col min="4318" max="4318" width="5.1796875" style="726" customWidth="1"/>
    <col min="4319" max="4319" width="20" style="726" customWidth="1"/>
    <col min="4320" max="4340" width="11.7265625" style="726" customWidth="1"/>
    <col min="4341" max="4573" width="8.7265625" style="726"/>
    <col min="4574" max="4574" width="5.1796875" style="726" customWidth="1"/>
    <col min="4575" max="4575" width="20" style="726" customWidth="1"/>
    <col min="4576" max="4596" width="11.7265625" style="726" customWidth="1"/>
    <col min="4597" max="4829" width="8.7265625" style="726"/>
    <col min="4830" max="4830" width="5.1796875" style="726" customWidth="1"/>
    <col min="4831" max="4831" width="20" style="726" customWidth="1"/>
    <col min="4832" max="4852" width="11.7265625" style="726" customWidth="1"/>
    <col min="4853" max="5085" width="8.7265625" style="726"/>
    <col min="5086" max="5086" width="5.1796875" style="726" customWidth="1"/>
    <col min="5087" max="5087" width="20" style="726" customWidth="1"/>
    <col min="5088" max="5108" width="11.7265625" style="726" customWidth="1"/>
    <col min="5109" max="5341" width="8.7265625" style="726"/>
    <col min="5342" max="5342" width="5.1796875" style="726" customWidth="1"/>
    <col min="5343" max="5343" width="20" style="726" customWidth="1"/>
    <col min="5344" max="5364" width="11.7265625" style="726" customWidth="1"/>
    <col min="5365" max="5597" width="8.7265625" style="726"/>
    <col min="5598" max="5598" width="5.1796875" style="726" customWidth="1"/>
    <col min="5599" max="5599" width="20" style="726" customWidth="1"/>
    <col min="5600" max="5620" width="11.7265625" style="726" customWidth="1"/>
    <col min="5621" max="5853" width="8.7265625" style="726"/>
    <col min="5854" max="5854" width="5.1796875" style="726" customWidth="1"/>
    <col min="5855" max="5855" width="20" style="726" customWidth="1"/>
    <col min="5856" max="5876" width="11.7265625" style="726" customWidth="1"/>
    <col min="5877" max="6109" width="8.7265625" style="726"/>
    <col min="6110" max="6110" width="5.1796875" style="726" customWidth="1"/>
    <col min="6111" max="6111" width="20" style="726" customWidth="1"/>
    <col min="6112" max="6132" width="11.7265625" style="726" customWidth="1"/>
    <col min="6133" max="6365" width="8.7265625" style="726"/>
    <col min="6366" max="6366" width="5.1796875" style="726" customWidth="1"/>
    <col min="6367" max="6367" width="20" style="726" customWidth="1"/>
    <col min="6368" max="6388" width="11.7265625" style="726" customWidth="1"/>
    <col min="6389" max="6621" width="8.7265625" style="726"/>
    <col min="6622" max="6622" width="5.1796875" style="726" customWidth="1"/>
    <col min="6623" max="6623" width="20" style="726" customWidth="1"/>
    <col min="6624" max="6644" width="11.7265625" style="726" customWidth="1"/>
    <col min="6645" max="6877" width="8.7265625" style="726"/>
    <col min="6878" max="6878" width="5.1796875" style="726" customWidth="1"/>
    <col min="6879" max="6879" width="20" style="726" customWidth="1"/>
    <col min="6880" max="6900" width="11.7265625" style="726" customWidth="1"/>
    <col min="6901" max="7133" width="8.7265625" style="726"/>
    <col min="7134" max="7134" width="5.1796875" style="726" customWidth="1"/>
    <col min="7135" max="7135" width="20" style="726" customWidth="1"/>
    <col min="7136" max="7156" width="11.7265625" style="726" customWidth="1"/>
    <col min="7157" max="7389" width="8.7265625" style="726"/>
    <col min="7390" max="7390" width="5.1796875" style="726" customWidth="1"/>
    <col min="7391" max="7391" width="20" style="726" customWidth="1"/>
    <col min="7392" max="7412" width="11.7265625" style="726" customWidth="1"/>
    <col min="7413" max="7645" width="8.7265625" style="726"/>
    <col min="7646" max="7646" width="5.1796875" style="726" customWidth="1"/>
    <col min="7647" max="7647" width="20" style="726" customWidth="1"/>
    <col min="7648" max="7668" width="11.7265625" style="726" customWidth="1"/>
    <col min="7669" max="7901" width="8.7265625" style="726"/>
    <col min="7902" max="7902" width="5.1796875" style="726" customWidth="1"/>
    <col min="7903" max="7903" width="20" style="726" customWidth="1"/>
    <col min="7904" max="7924" width="11.7265625" style="726" customWidth="1"/>
    <col min="7925" max="8157" width="8.7265625" style="726"/>
    <col min="8158" max="8158" width="5.1796875" style="726" customWidth="1"/>
    <col min="8159" max="8159" width="20" style="726" customWidth="1"/>
    <col min="8160" max="8180" width="11.7265625" style="726" customWidth="1"/>
    <col min="8181" max="8413" width="8.7265625" style="726"/>
    <col min="8414" max="8414" width="5.1796875" style="726" customWidth="1"/>
    <col min="8415" max="8415" width="20" style="726" customWidth="1"/>
    <col min="8416" max="8436" width="11.7265625" style="726" customWidth="1"/>
    <col min="8437" max="8669" width="8.7265625" style="726"/>
    <col min="8670" max="8670" width="5.1796875" style="726" customWidth="1"/>
    <col min="8671" max="8671" width="20" style="726" customWidth="1"/>
    <col min="8672" max="8692" width="11.7265625" style="726" customWidth="1"/>
    <col min="8693" max="8925" width="8.7265625" style="726"/>
    <col min="8926" max="8926" width="5.1796875" style="726" customWidth="1"/>
    <col min="8927" max="8927" width="20" style="726" customWidth="1"/>
    <col min="8928" max="8948" width="11.7265625" style="726" customWidth="1"/>
    <col min="8949" max="9181" width="8.7265625" style="726"/>
    <col min="9182" max="9182" width="5.1796875" style="726" customWidth="1"/>
    <col min="9183" max="9183" width="20" style="726" customWidth="1"/>
    <col min="9184" max="9204" width="11.7265625" style="726" customWidth="1"/>
    <col min="9205" max="9437" width="8.7265625" style="726"/>
    <col min="9438" max="9438" width="5.1796875" style="726" customWidth="1"/>
    <col min="9439" max="9439" width="20" style="726" customWidth="1"/>
    <col min="9440" max="9460" width="11.7265625" style="726" customWidth="1"/>
    <col min="9461" max="9693" width="8.7265625" style="726"/>
    <col min="9694" max="9694" width="5.1796875" style="726" customWidth="1"/>
    <col min="9695" max="9695" width="20" style="726" customWidth="1"/>
    <col min="9696" max="9716" width="11.7265625" style="726" customWidth="1"/>
    <col min="9717" max="9949" width="8.7265625" style="726"/>
    <col min="9950" max="9950" width="5.1796875" style="726" customWidth="1"/>
    <col min="9951" max="9951" width="20" style="726" customWidth="1"/>
    <col min="9952" max="9972" width="11.7265625" style="726" customWidth="1"/>
    <col min="9973" max="10205" width="8.7265625" style="726"/>
    <col min="10206" max="10206" width="5.1796875" style="726" customWidth="1"/>
    <col min="10207" max="10207" width="20" style="726" customWidth="1"/>
    <col min="10208" max="10228" width="11.7265625" style="726" customWidth="1"/>
    <col min="10229" max="10461" width="8.7265625" style="726"/>
    <col min="10462" max="10462" width="5.1796875" style="726" customWidth="1"/>
    <col min="10463" max="10463" width="20" style="726" customWidth="1"/>
    <col min="10464" max="10484" width="11.7265625" style="726" customWidth="1"/>
    <col min="10485" max="10717" width="8.7265625" style="726"/>
    <col min="10718" max="10718" width="5.1796875" style="726" customWidth="1"/>
    <col min="10719" max="10719" width="20" style="726" customWidth="1"/>
    <col min="10720" max="10740" width="11.7265625" style="726" customWidth="1"/>
    <col min="10741" max="10973" width="8.7265625" style="726"/>
    <col min="10974" max="10974" width="5.1796875" style="726" customWidth="1"/>
    <col min="10975" max="10975" width="20" style="726" customWidth="1"/>
    <col min="10976" max="10996" width="11.7265625" style="726" customWidth="1"/>
    <col min="10997" max="11229" width="8.7265625" style="726"/>
    <col min="11230" max="11230" width="5.1796875" style="726" customWidth="1"/>
    <col min="11231" max="11231" width="20" style="726" customWidth="1"/>
    <col min="11232" max="11252" width="11.7265625" style="726" customWidth="1"/>
    <col min="11253" max="11485" width="8.7265625" style="726"/>
    <col min="11486" max="11486" width="5.1796875" style="726" customWidth="1"/>
    <col min="11487" max="11487" width="20" style="726" customWidth="1"/>
    <col min="11488" max="11508" width="11.7265625" style="726" customWidth="1"/>
    <col min="11509" max="11741" width="8.7265625" style="726"/>
    <col min="11742" max="11742" width="5.1796875" style="726" customWidth="1"/>
    <col min="11743" max="11743" width="20" style="726" customWidth="1"/>
    <col min="11744" max="11764" width="11.7265625" style="726" customWidth="1"/>
    <col min="11765" max="11997" width="8.7265625" style="726"/>
    <col min="11998" max="11998" width="5.1796875" style="726" customWidth="1"/>
    <col min="11999" max="11999" width="20" style="726" customWidth="1"/>
    <col min="12000" max="12020" width="11.7265625" style="726" customWidth="1"/>
    <col min="12021" max="12253" width="8.7265625" style="726"/>
    <col min="12254" max="12254" width="5.1796875" style="726" customWidth="1"/>
    <col min="12255" max="12255" width="20" style="726" customWidth="1"/>
    <col min="12256" max="12276" width="11.7265625" style="726" customWidth="1"/>
    <col min="12277" max="12509" width="8.7265625" style="726"/>
    <col min="12510" max="12510" width="5.1796875" style="726" customWidth="1"/>
    <col min="12511" max="12511" width="20" style="726" customWidth="1"/>
    <col min="12512" max="12532" width="11.7265625" style="726" customWidth="1"/>
    <col min="12533" max="12765" width="8.7265625" style="726"/>
    <col min="12766" max="12766" width="5.1796875" style="726" customWidth="1"/>
    <col min="12767" max="12767" width="20" style="726" customWidth="1"/>
    <col min="12768" max="12788" width="11.7265625" style="726" customWidth="1"/>
    <col min="12789" max="13021" width="8.7265625" style="726"/>
    <col min="13022" max="13022" width="5.1796875" style="726" customWidth="1"/>
    <col min="13023" max="13023" width="20" style="726" customWidth="1"/>
    <col min="13024" max="13044" width="11.7265625" style="726" customWidth="1"/>
    <col min="13045" max="13277" width="8.7265625" style="726"/>
    <col min="13278" max="13278" width="5.1796875" style="726" customWidth="1"/>
    <col min="13279" max="13279" width="20" style="726" customWidth="1"/>
    <col min="13280" max="13300" width="11.7265625" style="726" customWidth="1"/>
    <col min="13301" max="13533" width="8.7265625" style="726"/>
    <col min="13534" max="13534" width="5.1796875" style="726" customWidth="1"/>
    <col min="13535" max="13535" width="20" style="726" customWidth="1"/>
    <col min="13536" max="13556" width="11.7265625" style="726" customWidth="1"/>
    <col min="13557" max="13789" width="8.7265625" style="726"/>
    <col min="13790" max="13790" width="5.1796875" style="726" customWidth="1"/>
    <col min="13791" max="13791" width="20" style="726" customWidth="1"/>
    <col min="13792" max="13812" width="11.7265625" style="726" customWidth="1"/>
    <col min="13813" max="14045" width="8.7265625" style="726"/>
    <col min="14046" max="14046" width="5.1796875" style="726" customWidth="1"/>
    <col min="14047" max="14047" width="20" style="726" customWidth="1"/>
    <col min="14048" max="14068" width="11.7265625" style="726" customWidth="1"/>
    <col min="14069" max="14301" width="8.7265625" style="726"/>
    <col min="14302" max="14302" width="5.1796875" style="726" customWidth="1"/>
    <col min="14303" max="14303" width="20" style="726" customWidth="1"/>
    <col min="14304" max="14324" width="11.7265625" style="726" customWidth="1"/>
    <col min="14325" max="14557" width="8.7265625" style="726"/>
    <col min="14558" max="14558" width="5.1796875" style="726" customWidth="1"/>
    <col min="14559" max="14559" width="20" style="726" customWidth="1"/>
    <col min="14560" max="14580" width="11.7265625" style="726" customWidth="1"/>
    <col min="14581" max="14813" width="8.7265625" style="726"/>
    <col min="14814" max="14814" width="5.1796875" style="726" customWidth="1"/>
    <col min="14815" max="14815" width="20" style="726" customWidth="1"/>
    <col min="14816" max="14836" width="11.7265625" style="726" customWidth="1"/>
    <col min="14837" max="15069" width="8.7265625" style="726"/>
    <col min="15070" max="15070" width="5.1796875" style="726" customWidth="1"/>
    <col min="15071" max="15071" width="20" style="726" customWidth="1"/>
    <col min="15072" max="15092" width="11.7265625" style="726" customWidth="1"/>
    <col min="15093" max="15325" width="8.7265625" style="726"/>
    <col min="15326" max="15326" width="5.1796875" style="726" customWidth="1"/>
    <col min="15327" max="15327" width="20" style="726" customWidth="1"/>
    <col min="15328" max="15348" width="11.7265625" style="726" customWidth="1"/>
    <col min="15349" max="15581" width="8.7265625" style="726"/>
    <col min="15582" max="15582" width="5.1796875" style="726" customWidth="1"/>
    <col min="15583" max="15583" width="20" style="726" customWidth="1"/>
    <col min="15584" max="15604" width="11.7265625" style="726" customWidth="1"/>
    <col min="15605" max="15837" width="8.7265625" style="726"/>
    <col min="15838" max="15838" width="5.1796875" style="726" customWidth="1"/>
    <col min="15839" max="15839" width="20" style="726" customWidth="1"/>
    <col min="15840" max="15860" width="11.7265625" style="726" customWidth="1"/>
    <col min="15861" max="16093" width="8.7265625" style="726"/>
    <col min="16094" max="16094" width="5.1796875" style="726" customWidth="1"/>
    <col min="16095" max="16095" width="20" style="726" customWidth="1"/>
    <col min="16096" max="16116" width="11.7265625" style="726" customWidth="1"/>
    <col min="16117" max="16384" width="8.7265625" style="726"/>
  </cols>
  <sheetData>
    <row r="1" spans="1:13" ht="34.5" customHeight="1">
      <c r="A1" s="1043" t="s">
        <v>1070</v>
      </c>
      <c r="B1" s="1044"/>
      <c r="C1" s="1044"/>
      <c r="D1" s="1044"/>
      <c r="E1" s="1044"/>
      <c r="F1" s="1044"/>
      <c r="G1" s="1044"/>
      <c r="H1" s="1044"/>
      <c r="I1" s="1044"/>
      <c r="J1" s="1044"/>
      <c r="K1" s="1044"/>
    </row>
    <row r="2" spans="1:13" s="727" customFormat="1" ht="25.5" customHeight="1">
      <c r="A2" s="925" t="s">
        <v>80</v>
      </c>
      <c r="B2" s="925" t="s">
        <v>236</v>
      </c>
      <c r="C2" s="925" t="s">
        <v>152</v>
      </c>
      <c r="D2" s="925"/>
      <c r="E2" s="925"/>
      <c r="F2" s="925" t="s">
        <v>538</v>
      </c>
      <c r="G2" s="925"/>
      <c r="H2" s="925"/>
      <c r="I2" s="925" t="s">
        <v>315</v>
      </c>
      <c r="J2" s="925"/>
      <c r="K2" s="925"/>
    </row>
    <row r="3" spans="1:13" s="727" customFormat="1" ht="25.5" customHeight="1">
      <c r="A3" s="925"/>
      <c r="B3" s="925"/>
      <c r="C3" s="572" t="s">
        <v>87</v>
      </c>
      <c r="D3" s="572" t="s">
        <v>88</v>
      </c>
      <c r="E3" s="572" t="s">
        <v>12</v>
      </c>
      <c r="F3" s="572" t="s">
        <v>87</v>
      </c>
      <c r="G3" s="572" t="s">
        <v>88</v>
      </c>
      <c r="H3" s="572" t="s">
        <v>12</v>
      </c>
      <c r="I3" s="572" t="s">
        <v>87</v>
      </c>
      <c r="J3" s="572" t="s">
        <v>88</v>
      </c>
      <c r="K3" s="572" t="s">
        <v>12</v>
      </c>
      <c r="L3" s="727" t="s">
        <v>137</v>
      </c>
      <c r="M3" s="727" t="s">
        <v>138</v>
      </c>
    </row>
    <row r="4" spans="1:13" s="730" customFormat="1" ht="30" customHeight="1">
      <c r="A4" s="525">
        <v>1</v>
      </c>
      <c r="B4" s="517" t="s">
        <v>55</v>
      </c>
      <c r="C4" s="728">
        <f>'14-15TotalEnrCategory'!C5/'38Pop2020(2011)'!C5*100</f>
        <v>21.606215593643853</v>
      </c>
      <c r="D4" s="728">
        <f>'14-15TotalEnrCategory'!D5/'38Pop2020(2011)'!D5*100</f>
        <v>27.131586718980721</v>
      </c>
      <c r="E4" s="728">
        <f>'14-15TotalEnrCategory'!E5/'38Pop2020(2011)'!E5*100</f>
        <v>24.261902830724306</v>
      </c>
      <c r="F4" s="728"/>
      <c r="G4" s="728"/>
      <c r="H4" s="728"/>
      <c r="I4" s="728">
        <f>'14-15TotalEnrCategory'!I5/'38Pop2020(2011)'!I5*100</f>
        <v>10.344827586206897</v>
      </c>
      <c r="J4" s="728">
        <f>'14-15TotalEnrCategory'!J5/'38Pop2020(2011)'!J5*100</f>
        <v>15.990730011587488</v>
      </c>
      <c r="K4" s="728">
        <f>'14-15TotalEnrCategory'!K5/'38Pop2020(2011)'!K5*100</f>
        <v>13.110102156640183</v>
      </c>
      <c r="L4" s="729">
        <f>'6TotalEnr'!AC5/'38Pop2020(2011)'!L5*100</f>
        <v>29.831209952878407</v>
      </c>
      <c r="M4" s="730" t="s">
        <v>192</v>
      </c>
    </row>
    <row r="5" spans="1:13" s="730" customFormat="1" ht="20.149999999999999" customHeight="1">
      <c r="A5" s="525">
        <v>2</v>
      </c>
      <c r="B5" s="346" t="s">
        <v>15</v>
      </c>
      <c r="C5" s="728">
        <f>'14-15TotalEnrCategory'!C6/'38Pop2020(2011)'!C6*100</f>
        <v>38.290971718636698</v>
      </c>
      <c r="D5" s="728">
        <f>'14-15TotalEnrCategory'!D6/'38Pop2020(2011)'!D6*100</f>
        <v>36.03407860126876</v>
      </c>
      <c r="E5" s="728">
        <f>'14-15TotalEnrCategory'!E6/'38Pop2020(2011)'!E6*100</f>
        <v>37.199019314268604</v>
      </c>
      <c r="F5" s="728">
        <f>'14-15TotalEnrCategory'!F6/'38Pop2020(2011)'!F6*100</f>
        <v>33.990284195202229</v>
      </c>
      <c r="G5" s="728">
        <f>'14-15TotalEnrCategory'!G6/'38Pop2020(2011)'!G6*100</f>
        <v>33.196219638740629</v>
      </c>
      <c r="H5" s="728">
        <f>'14-15TotalEnrCategory'!H6/'38Pop2020(2011)'!H6*100</f>
        <v>33.602393413862494</v>
      </c>
      <c r="I5" s="728">
        <f>'14-15TotalEnrCategory'!I6/'38Pop2020(2011)'!I6*100</f>
        <v>34.134920076050982</v>
      </c>
      <c r="J5" s="728">
        <f>'14-15TotalEnrCategory'!J6/'38Pop2020(2011)'!J6*100</f>
        <v>29.596104459193544</v>
      </c>
      <c r="K5" s="728">
        <f>'14-15TotalEnrCategory'!K6/'38Pop2020(2011)'!K6*100</f>
        <v>31.804059261796695</v>
      </c>
      <c r="L5" s="729">
        <f>'6TotalEnr'!AC6/'38Pop2020(2011)'!L6*100</f>
        <v>44.897628190648291</v>
      </c>
      <c r="M5" s="730" t="s">
        <v>193</v>
      </c>
    </row>
    <row r="6" spans="1:13" s="730" customFormat="1" ht="20.149999999999999" customHeight="1">
      <c r="A6" s="525">
        <v>3</v>
      </c>
      <c r="B6" s="346" t="s">
        <v>16</v>
      </c>
      <c r="C6" s="728">
        <f>'14-15TotalEnrCategory'!C7/'38Pop2020(2011)'!C7*100</f>
        <v>34.685553657057817</v>
      </c>
      <c r="D6" s="728">
        <f>'14-15TotalEnrCategory'!D7/'38Pop2020(2011)'!D7*100</f>
        <v>32.753267216609508</v>
      </c>
      <c r="E6" s="728">
        <f>'14-15TotalEnrCategory'!E7/'38Pop2020(2011)'!E7*100</f>
        <v>33.743440266174083</v>
      </c>
      <c r="F6" s="728"/>
      <c r="G6" s="728"/>
      <c r="H6" s="728"/>
      <c r="I6" s="728">
        <f>'14-15TotalEnrCategory'!I7/'38Pop2020(2011)'!I7*100</f>
        <v>35.176257393920743</v>
      </c>
      <c r="J6" s="728">
        <f>'14-15TotalEnrCategory'!J7/'38Pop2020(2011)'!J7*100</f>
        <v>33.971407412177605</v>
      </c>
      <c r="K6" s="728">
        <f>'14-15TotalEnrCategory'!K7/'38Pop2020(2011)'!K7*100</f>
        <v>34.555750862297693</v>
      </c>
      <c r="L6" s="729">
        <f>'6TotalEnr'!AC7/'38Pop2020(2011)'!L7*100</f>
        <v>39.713459428913339</v>
      </c>
      <c r="M6" s="730" t="s">
        <v>194</v>
      </c>
    </row>
    <row r="7" spans="1:13" s="730" customFormat="1" ht="20.149999999999999" customHeight="1">
      <c r="A7" s="525">
        <v>4</v>
      </c>
      <c r="B7" s="517" t="s">
        <v>17</v>
      </c>
      <c r="C7" s="728">
        <f>'14-15TotalEnrCategory'!C8/'38Pop2020(2011)'!C8*100</f>
        <v>16.760684179572632</v>
      </c>
      <c r="D7" s="728">
        <f>'14-15TotalEnrCategory'!D8/'38Pop2020(2011)'!D8*100</f>
        <v>18.351834625322997</v>
      </c>
      <c r="E7" s="728">
        <f>'14-15TotalEnrCategory'!E8/'38Pop2020(2011)'!E8*100</f>
        <v>17.535166272576344</v>
      </c>
      <c r="F7" s="728">
        <f>'14-15TotalEnrCategory'!F8/'38Pop2020(2011)'!F8*100</f>
        <v>17.041863148389684</v>
      </c>
      <c r="G7" s="728">
        <f>'14-15TotalEnrCategory'!G8/'38Pop2020(2011)'!G8*100</f>
        <v>18.966225597143911</v>
      </c>
      <c r="H7" s="728">
        <f>'14-15TotalEnrCategory'!H8/'38Pop2020(2011)'!H8*100</f>
        <v>17.945477042615185</v>
      </c>
      <c r="I7" s="728">
        <f>'14-15TotalEnrCategory'!I8/'38Pop2020(2011)'!I8*100</f>
        <v>23.783384694401644</v>
      </c>
      <c r="J7" s="728">
        <f>'14-15TotalEnrCategory'!J8/'38Pop2020(2011)'!J8*100</f>
        <v>25.567509219391422</v>
      </c>
      <c r="K7" s="728">
        <f>'14-15TotalEnrCategory'!K8/'38Pop2020(2011)'!K8*100</f>
        <v>24.67542368970685</v>
      </c>
      <c r="L7" s="729">
        <f>'6TotalEnr'!AC8/'38Pop2020(2011)'!L8*100</f>
        <v>20.940012015620308</v>
      </c>
      <c r="M7" s="730" t="s">
        <v>195</v>
      </c>
    </row>
    <row r="8" spans="1:13" s="730" customFormat="1" ht="20.149999999999999" customHeight="1">
      <c r="A8" s="525">
        <v>5</v>
      </c>
      <c r="B8" s="517" t="s">
        <v>18</v>
      </c>
      <c r="C8" s="728">
        <f>'14-15TotalEnrCategory'!C9/'38Pop2020(2011)'!C9*100</f>
        <v>16.567159269193784</v>
      </c>
      <c r="D8" s="728">
        <f>'14-15TotalEnrCategory'!D9/'38Pop2020(2011)'!D9*100</f>
        <v>15.107450721222918</v>
      </c>
      <c r="E8" s="728">
        <f>'14-15TotalEnrCategory'!E9/'38Pop2020(2011)'!E9*100</f>
        <v>15.883618137782562</v>
      </c>
      <c r="F8" s="728">
        <f>'14-15TotalEnrCategory'!F9/'38Pop2020(2011)'!F9*100</f>
        <v>13.330785056015451</v>
      </c>
      <c r="G8" s="728">
        <f>'14-15TotalEnrCategory'!G9/'38Pop2020(2011)'!G9*100</f>
        <v>9.6545275012480545</v>
      </c>
      <c r="H8" s="728">
        <f>'14-15TotalEnrCategory'!H9/'38Pop2020(2011)'!H9*100</f>
        <v>11.536745975730781</v>
      </c>
      <c r="I8" s="728">
        <f>'14-15TotalEnrCategory'!I9/'38Pop2020(2011)'!I9*100</f>
        <v>21.977165194544426</v>
      </c>
      <c r="J8" s="728">
        <f>'14-15TotalEnrCategory'!J9/'38Pop2020(2011)'!J9*100</f>
        <v>17.370490104418938</v>
      </c>
      <c r="K8" s="728">
        <f>'14-15TotalEnrCategory'!K9/'38Pop2020(2011)'!K9*100</f>
        <v>19.735096433231362</v>
      </c>
      <c r="L8" s="729">
        <f>'6TotalEnr'!AC9/'38Pop2020(2011)'!L9*100</f>
        <v>18.754893393918209</v>
      </c>
      <c r="M8" s="730" t="s">
        <v>196</v>
      </c>
    </row>
    <row r="9" spans="1:13" s="730" customFormat="1" ht="20.149999999999999" customHeight="1">
      <c r="A9" s="525">
        <v>6</v>
      </c>
      <c r="B9" s="346" t="s">
        <v>19</v>
      </c>
      <c r="C9" s="728">
        <f>'14-15TotalEnrCategory'!C10/'38Pop2020(2011)'!C10*100</f>
        <v>57.815400843881861</v>
      </c>
      <c r="D9" s="728">
        <f>'14-15TotalEnrCategory'!D10/'38Pop2020(2011)'!D10*100</f>
        <v>76.952644313861043</v>
      </c>
      <c r="E9" s="728">
        <f>'14-15TotalEnrCategory'!E10/'38Pop2020(2011)'!E10*100</f>
        <v>66.097232610321612</v>
      </c>
      <c r="F9" s="728">
        <f>'14-15TotalEnrCategory'!F10/'38Pop2020(2011)'!F10*100</f>
        <v>53.251962638244223</v>
      </c>
      <c r="G9" s="728">
        <f>'14-15TotalEnrCategory'!G10/'38Pop2020(2011)'!G10*100</f>
        <v>50.427921904252472</v>
      </c>
      <c r="H9" s="728">
        <f>'14-15TotalEnrCategory'!H10/'38Pop2020(2011)'!H10*100</f>
        <v>51.948653068781439</v>
      </c>
      <c r="I9" s="728"/>
      <c r="J9" s="728"/>
      <c r="K9" s="728"/>
      <c r="L9" s="729">
        <f>'6TotalEnr'!AC10/'38Pop2020(2011)'!L10*100</f>
        <v>79.788079278862824</v>
      </c>
      <c r="M9" s="730" t="s">
        <v>197</v>
      </c>
    </row>
    <row r="10" spans="1:13" s="730" customFormat="1" ht="20.149999999999999" customHeight="1">
      <c r="A10" s="525">
        <v>7</v>
      </c>
      <c r="B10" s="346" t="s">
        <v>56</v>
      </c>
      <c r="C10" s="728">
        <f>'14-15TotalEnrCategory'!C11/'38Pop2020(2011)'!C11*100</f>
        <v>18.004756242568369</v>
      </c>
      <c r="D10" s="728">
        <f>'14-15TotalEnrCategory'!D11/'38Pop2020(2011)'!D11*100</f>
        <v>21.300583302952973</v>
      </c>
      <c r="E10" s="728">
        <f>'14-15TotalEnrCategory'!E11/'38Pop2020(2011)'!E11*100</f>
        <v>19.634743674499671</v>
      </c>
      <c r="F10" s="728">
        <f>'14-15TotalEnrCategory'!F11/'38Pop2020(2011)'!F11*100</f>
        <v>18.338804873948092</v>
      </c>
      <c r="G10" s="728">
        <f>'14-15TotalEnrCategory'!G11/'38Pop2020(2011)'!G11*100</f>
        <v>20.415792204929438</v>
      </c>
      <c r="H10" s="728">
        <f>'14-15TotalEnrCategory'!H11/'38Pop2020(2011)'!H11*100</f>
        <v>19.357957144563301</v>
      </c>
      <c r="I10" s="728">
        <f>'14-15TotalEnrCategory'!I11/'38Pop2020(2011)'!I11*100</f>
        <v>11.958366096925051</v>
      </c>
      <c r="J10" s="728">
        <f>'14-15TotalEnrCategory'!J11/'38Pop2020(2011)'!J11*100</f>
        <v>16.169724542611089</v>
      </c>
      <c r="K10" s="728">
        <f>'14-15TotalEnrCategory'!K11/'38Pop2020(2011)'!K11*100</f>
        <v>14.106000087206146</v>
      </c>
      <c r="L10" s="729">
        <f>'6TotalEnr'!AC11/'38Pop2020(2011)'!L11*100</f>
        <v>23.541036172359128</v>
      </c>
      <c r="M10" s="730" t="s">
        <v>198</v>
      </c>
    </row>
    <row r="11" spans="1:13" s="730" customFormat="1" ht="20.149999999999999" customHeight="1">
      <c r="A11" s="525">
        <v>8</v>
      </c>
      <c r="B11" s="346" t="s">
        <v>23</v>
      </c>
      <c r="C11" s="728">
        <f>'14-15TotalEnrCategory'!C12/'38Pop2020(2011)'!C12*100</f>
        <v>46.674020823004462</v>
      </c>
      <c r="D11" s="728">
        <f>'14-15TotalEnrCategory'!D12/'38Pop2020(2011)'!D12*100</f>
        <v>48.531911079239869</v>
      </c>
      <c r="E11" s="728">
        <f>'14-15TotalEnrCategory'!E12/'38Pop2020(2011)'!E12*100</f>
        <v>47.565181872903942</v>
      </c>
      <c r="F11" s="728">
        <f>'14-15TotalEnrCategory'!F12/'38Pop2020(2011)'!F12*100</f>
        <v>26.256958039749918</v>
      </c>
      <c r="G11" s="728">
        <f>'14-15TotalEnrCategory'!G12/'38Pop2020(2011)'!G12*100</f>
        <v>23.842120254198903</v>
      </c>
      <c r="H11" s="728">
        <f>'14-15TotalEnrCategory'!H12/'38Pop2020(2011)'!H12*100</f>
        <v>25.070379879270117</v>
      </c>
      <c r="I11" s="728"/>
      <c r="J11" s="728"/>
      <c r="K11" s="728"/>
      <c r="L11" s="729">
        <f>'6TotalEnr'!AC12/'38Pop2020(2011)'!L12*100</f>
        <v>57.750626435581545</v>
      </c>
      <c r="M11" s="730" t="s">
        <v>199</v>
      </c>
    </row>
    <row r="12" spans="1:13" s="730" customFormat="1" ht="20.149999999999999" customHeight="1">
      <c r="A12" s="525">
        <v>9</v>
      </c>
      <c r="B12" s="346" t="s">
        <v>24</v>
      </c>
      <c r="C12" s="728">
        <f>'14-15TotalEnrCategory'!C13/'38Pop2020(2011)'!C13*100</f>
        <v>30.756035312330027</v>
      </c>
      <c r="D12" s="728">
        <f>'14-15TotalEnrCategory'!D13/'38Pop2020(2011)'!D13*100</f>
        <v>37.307157958320744</v>
      </c>
      <c r="E12" s="728">
        <f>'14-15TotalEnrCategory'!E13/'38Pop2020(2011)'!E13*100</f>
        <v>33.79601858963219</v>
      </c>
      <c r="F12" s="728">
        <f>'14-15TotalEnrCategory'!F13/'38Pop2020(2011)'!F13*100</f>
        <v>51.050539466212378</v>
      </c>
      <c r="G12" s="728">
        <f>'14-15TotalEnrCategory'!G13/'38Pop2020(2011)'!G13*100</f>
        <v>38.959537572254341</v>
      </c>
      <c r="H12" s="728">
        <f>'14-15TotalEnrCategory'!H13/'38Pop2020(2011)'!H13*100</f>
        <v>45.058722429103412</v>
      </c>
      <c r="I12" s="728">
        <f>'14-15TotalEnrCategory'!I13/'38Pop2020(2011)'!I13*100</f>
        <v>24.183460736622656</v>
      </c>
      <c r="J12" s="728">
        <f>'14-15TotalEnrCategory'!J13/'38Pop2020(2011)'!J13*100</f>
        <v>31.92771084337349</v>
      </c>
      <c r="K12" s="728">
        <f>'14-15TotalEnrCategory'!K13/'38Pop2020(2011)'!K13*100</f>
        <v>28.055137263987028</v>
      </c>
      <c r="L12" s="729">
        <f>'6TotalEnr'!AC13/'38Pop2020(2011)'!L13*100</f>
        <v>40.859828793352357</v>
      </c>
      <c r="M12" s="730" t="s">
        <v>200</v>
      </c>
    </row>
    <row r="13" spans="1:13" s="730" customFormat="1" ht="20.149999999999999" customHeight="1">
      <c r="A13" s="525">
        <v>10</v>
      </c>
      <c r="B13" s="346" t="s">
        <v>25</v>
      </c>
      <c r="C13" s="728">
        <f>'14-15TotalEnrCategory'!C14/'38Pop2020(2011)'!C14*100</f>
        <v>23.55725190839695</v>
      </c>
      <c r="D13" s="728">
        <f>'14-15TotalEnrCategory'!D14/'38Pop2020(2011)'!D14*100</f>
        <v>20.605971525736351</v>
      </c>
      <c r="E13" s="728">
        <f>'14-15TotalEnrCategory'!E14/'38Pop2020(2011)'!E14*100</f>
        <v>22.183113711387243</v>
      </c>
      <c r="F13" s="728">
        <f>'14-15TotalEnrCategory'!F14/'38Pop2020(2011)'!F14*100</f>
        <v>30.08968546229876</v>
      </c>
      <c r="G13" s="728">
        <f>'14-15TotalEnrCategory'!G14/'38Pop2020(2011)'!G14*100</f>
        <v>26.707179323160634</v>
      </c>
      <c r="H13" s="728">
        <f>'14-15TotalEnrCategory'!H14/'38Pop2020(2011)'!H14*100</f>
        <v>28.509950366343656</v>
      </c>
      <c r="I13" s="728">
        <f>'14-15TotalEnrCategory'!I14/'38Pop2020(2011)'!I14*100</f>
        <v>17.700175991873664</v>
      </c>
      <c r="J13" s="728">
        <f>'14-15TotalEnrCategory'!J14/'38Pop2020(2011)'!J14*100</f>
        <v>17.884121206178786</v>
      </c>
      <c r="K13" s="728">
        <f>'14-15TotalEnrCategory'!K14/'38Pop2020(2011)'!K14*100</f>
        <v>17.790449152100603</v>
      </c>
      <c r="L13" s="729">
        <f>'6TotalEnr'!AC14/'38Pop2020(2011)'!L14*100</f>
        <v>26.684045712809919</v>
      </c>
      <c r="M13" s="730" t="s">
        <v>201</v>
      </c>
    </row>
    <row r="14" spans="1:13" s="730" customFormat="1" ht="20.149999999999999" customHeight="1">
      <c r="A14" s="525">
        <v>11</v>
      </c>
      <c r="B14" s="346" t="s">
        <v>26</v>
      </c>
      <c r="C14" s="728">
        <f>'14-15TotalEnrCategory'!C15/'38Pop2020(2011)'!C15*100</f>
        <v>28.908720410897722</v>
      </c>
      <c r="D14" s="728">
        <f>'14-15TotalEnrCategory'!D15/'38Pop2020(2011)'!D15*100</f>
        <v>33.658899420747765</v>
      </c>
      <c r="E14" s="728">
        <f>'14-15TotalEnrCategory'!E15/'38Pop2020(2011)'!E15*100</f>
        <v>31.088659980666989</v>
      </c>
      <c r="F14" s="728">
        <f>'14-15TotalEnrCategory'!F15/'38Pop2020(2011)'!F15*100</f>
        <v>20.502186441700569</v>
      </c>
      <c r="G14" s="728">
        <f>'14-15TotalEnrCategory'!G15/'38Pop2020(2011)'!G15*100</f>
        <v>23.783236642079906</v>
      </c>
      <c r="H14" s="728">
        <f>'14-15TotalEnrCategory'!H15/'38Pop2020(2011)'!H15*100</f>
        <v>21.999731927951359</v>
      </c>
      <c r="I14" s="728"/>
      <c r="J14" s="728"/>
      <c r="K14" s="728"/>
      <c r="L14" s="729">
        <f>'6TotalEnr'!AC15/'38Pop2020(2011)'!L15*100</f>
        <v>37.48393793706294</v>
      </c>
      <c r="M14" s="730" t="s">
        <v>202</v>
      </c>
    </row>
    <row r="15" spans="1:13" s="730" customFormat="1" ht="20.149999999999999" customHeight="1">
      <c r="A15" s="525">
        <v>12</v>
      </c>
      <c r="B15" s="346" t="s">
        <v>27</v>
      </c>
      <c r="C15" s="728">
        <f>'14-15TotalEnrCategory'!C16/'38Pop2020(2011)'!C16*100</f>
        <v>33.5</v>
      </c>
      <c r="D15" s="728">
        <f>'14-15TotalEnrCategory'!D16/'38Pop2020(2011)'!D16*100</f>
        <v>44.657053112507143</v>
      </c>
      <c r="E15" s="728">
        <f>'14-15TotalEnrCategory'!E16/'38Pop2020(2011)'!E16*100</f>
        <v>38.724926450922709</v>
      </c>
      <c r="F15" s="728">
        <f>'14-15TotalEnrCategory'!F16/'38Pop2020(2011)'!F16*100</f>
        <v>24.777430691136278</v>
      </c>
      <c r="G15" s="728">
        <f>'14-15TotalEnrCategory'!G16/'38Pop2020(2011)'!G16*100</f>
        <v>33.519734351508333</v>
      </c>
      <c r="H15" s="728">
        <f>'14-15TotalEnrCategory'!H16/'38Pop2020(2011)'!H16*100</f>
        <v>28.924589390075578</v>
      </c>
      <c r="I15" s="728">
        <f>'14-15TotalEnrCategory'!I16/'38Pop2020(2011)'!I16*100</f>
        <v>35.385298689762379</v>
      </c>
      <c r="J15" s="728">
        <f>'14-15TotalEnrCategory'!J16/'38Pop2020(2011)'!J16*100</f>
        <v>44.23058734512437</v>
      </c>
      <c r="K15" s="728">
        <f>'14-15TotalEnrCategory'!K16/'38Pop2020(2011)'!K16*100</f>
        <v>39.669270057946449</v>
      </c>
      <c r="L15" s="729">
        <f>'6TotalEnr'!AC16/'38Pop2020(2011)'!L16*100</f>
        <v>46.722329783801229</v>
      </c>
      <c r="M15" s="730" t="s">
        <v>203</v>
      </c>
    </row>
    <row r="16" spans="1:13" s="730" customFormat="1" ht="20.149999999999999" customHeight="1">
      <c r="A16" s="525">
        <v>13</v>
      </c>
      <c r="B16" s="346" t="s">
        <v>57</v>
      </c>
      <c r="C16" s="728">
        <f>'14-15TotalEnrCategory'!C17/'38Pop2020(2011)'!C17*100</f>
        <v>23.03834246249107</v>
      </c>
      <c r="D16" s="728">
        <f>'14-15TotalEnrCategory'!D17/'38Pop2020(2011)'!D17*100</f>
        <v>27.231238398302835</v>
      </c>
      <c r="E16" s="728">
        <f>'14-15TotalEnrCategory'!E17/'38Pop2020(2011)'!E17*100</f>
        <v>25.022208281053953</v>
      </c>
      <c r="F16" s="728">
        <f>'14-15TotalEnrCategory'!F17/'38Pop2020(2011)'!F17*100</f>
        <v>15.353826448927313</v>
      </c>
      <c r="G16" s="728">
        <f>'14-15TotalEnrCategory'!G17/'38Pop2020(2011)'!G17*100</f>
        <v>19.435501005115466</v>
      </c>
      <c r="H16" s="728">
        <f>'14-15TotalEnrCategory'!H17/'38Pop2020(2011)'!H17*100</f>
        <v>17.276527603489026</v>
      </c>
      <c r="I16" s="728">
        <f>'14-15TotalEnrCategory'!I17/'38Pop2020(2011)'!I17*100</f>
        <v>17.132316835173693</v>
      </c>
      <c r="J16" s="728">
        <f>'14-15TotalEnrCategory'!J17/'38Pop2020(2011)'!J17*100</f>
        <v>15.704707459947773</v>
      </c>
      <c r="K16" s="728">
        <f>'14-15TotalEnrCategory'!K17/'38Pop2020(2011)'!K17*100</f>
        <v>16.459259456437831</v>
      </c>
      <c r="L16" s="729">
        <f>'6TotalEnr'!AC17/'38Pop2020(2011)'!L17*100</f>
        <v>29.849872773536894</v>
      </c>
      <c r="M16" s="730" t="s">
        <v>204</v>
      </c>
    </row>
    <row r="17" spans="1:13" s="730" customFormat="1" ht="20.149999999999999" customHeight="1">
      <c r="A17" s="525">
        <v>14</v>
      </c>
      <c r="B17" s="346" t="s">
        <v>29</v>
      </c>
      <c r="C17" s="728">
        <f>'14-15TotalEnrCategory'!C18/'38Pop2020(2011)'!C18*100</f>
        <v>16.543951884253026</v>
      </c>
      <c r="D17" s="728">
        <f>'14-15TotalEnrCategory'!D18/'38Pop2020(2011)'!D18*100</f>
        <v>17.520623608017818</v>
      </c>
      <c r="E17" s="728">
        <f>'14-15TotalEnrCategory'!E18/'38Pop2020(2011)'!E18*100</f>
        <v>17.018279755981482</v>
      </c>
      <c r="F17" s="728">
        <f>'14-15TotalEnrCategory'!F18/'38Pop2020(2011)'!F18*100</f>
        <v>13.425943863084818</v>
      </c>
      <c r="G17" s="728">
        <f>'14-15TotalEnrCategory'!G18/'38Pop2020(2011)'!G18*100</f>
        <v>12.556644317079888</v>
      </c>
      <c r="H17" s="728">
        <f>'14-15TotalEnrCategory'!H18/'38Pop2020(2011)'!H18*100</f>
        <v>13.006244717129617</v>
      </c>
      <c r="I17" s="728">
        <f>'14-15TotalEnrCategory'!I18/'38Pop2020(2011)'!I18*100</f>
        <v>11.59320903956764</v>
      </c>
      <c r="J17" s="728">
        <f>'14-15TotalEnrCategory'!J18/'38Pop2020(2011)'!J18*100</f>
        <v>13.249771926255061</v>
      </c>
      <c r="K17" s="728">
        <f>'14-15TotalEnrCategory'!K18/'38Pop2020(2011)'!K18*100</f>
        <v>12.444862849897888</v>
      </c>
      <c r="L17" s="729">
        <f>'6TotalEnr'!AC18/'38Pop2020(2011)'!L18*100</f>
        <v>20.273348108442431</v>
      </c>
      <c r="M17" s="730" t="s">
        <v>205</v>
      </c>
    </row>
    <row r="18" spans="1:13" s="730" customFormat="1" ht="20.149999999999999" customHeight="1">
      <c r="A18" s="525">
        <v>15</v>
      </c>
      <c r="B18" s="346" t="s">
        <v>30</v>
      </c>
      <c r="C18" s="728">
        <f>'14-15TotalEnrCategory'!C19/'38Pop2020(2011)'!C19*100</f>
        <v>34.834623925297507</v>
      </c>
      <c r="D18" s="728">
        <f>'14-15TotalEnrCategory'!D19/'38Pop2020(2011)'!D19*100</f>
        <v>37.168916855030851</v>
      </c>
      <c r="E18" s="728">
        <f>'14-15TotalEnrCategory'!E19/'38Pop2020(2011)'!E19*100</f>
        <v>35.96070081339149</v>
      </c>
      <c r="F18" s="728">
        <f>'14-15TotalEnrCategory'!F19/'38Pop2020(2011)'!F19*100</f>
        <v>25.327307534176175</v>
      </c>
      <c r="G18" s="728">
        <f>'14-15TotalEnrCategory'!G19/'38Pop2020(2011)'!G19*100</f>
        <v>25.873407523037411</v>
      </c>
      <c r="H18" s="728">
        <f>'14-15TotalEnrCategory'!H19/'38Pop2020(2011)'!H19*100</f>
        <v>25.59433235994636</v>
      </c>
      <c r="I18" s="728">
        <f>'14-15TotalEnrCategory'!I19/'38Pop2020(2011)'!I19*100</f>
        <v>23.155650319829423</v>
      </c>
      <c r="J18" s="728">
        <f>'14-15TotalEnrCategory'!J19/'38Pop2020(2011)'!J19*100</f>
        <v>23.62630448642663</v>
      </c>
      <c r="K18" s="728">
        <f>'14-15TotalEnrCategory'!K19/'38Pop2020(2011)'!K19*100</f>
        <v>23.383868789508366</v>
      </c>
      <c r="L18" s="729">
        <f>'6TotalEnr'!AC19/'38Pop2020(2011)'!L19*100</f>
        <v>43.390174951994879</v>
      </c>
      <c r="M18" s="730" t="s">
        <v>206</v>
      </c>
    </row>
    <row r="19" spans="1:13" s="730" customFormat="1" ht="20.149999999999999" customHeight="1">
      <c r="A19" s="525">
        <v>16</v>
      </c>
      <c r="B19" s="346" t="s">
        <v>31</v>
      </c>
      <c r="C19" s="728">
        <f>'14-15TotalEnrCategory'!C20/'38Pop2020(2011)'!C20*100</f>
        <v>34.455424208841272</v>
      </c>
      <c r="D19" s="728">
        <f>'14-15TotalEnrCategory'!D20/'38Pop2020(2011)'!D20*100</f>
        <v>52.341721940434383</v>
      </c>
      <c r="E19" s="728">
        <f>'14-15TotalEnrCategory'!E20/'38Pop2020(2011)'!E20*100</f>
        <v>43.154206198608478</v>
      </c>
      <c r="F19" s="728">
        <f>'14-15TotalEnrCategory'!F20/'38Pop2020(2011)'!F20*100</f>
        <v>23.424573796101338</v>
      </c>
      <c r="G19" s="728">
        <f>'14-15TotalEnrCategory'!G20/'38Pop2020(2011)'!G20*100</f>
        <v>44.64732438105645</v>
      </c>
      <c r="H19" s="728">
        <f>'14-15TotalEnrCategory'!H20/'38Pop2020(2011)'!H20*100</f>
        <v>33.734956589764543</v>
      </c>
      <c r="I19" s="728">
        <f>'14-15TotalEnrCategory'!I20/'38Pop2020(2011)'!I20*100</f>
        <v>23.103727714748786</v>
      </c>
      <c r="J19" s="728">
        <f>'14-15TotalEnrCategory'!J20/'38Pop2020(2011)'!J20*100</f>
        <v>35.12903225806452</v>
      </c>
      <c r="K19" s="728">
        <f>'14-15TotalEnrCategory'!K20/'38Pop2020(2011)'!K20*100</f>
        <v>29.130962004850446</v>
      </c>
      <c r="L19" s="729">
        <f>'6TotalEnr'!AC20/'38Pop2020(2011)'!L20*100</f>
        <v>51.851953184374523</v>
      </c>
      <c r="M19" s="730" t="s">
        <v>207</v>
      </c>
    </row>
    <row r="20" spans="1:13" s="730" customFormat="1" ht="20.149999999999999" customHeight="1">
      <c r="A20" s="525">
        <v>17</v>
      </c>
      <c r="B20" s="68" t="s">
        <v>172</v>
      </c>
      <c r="C20" s="728">
        <f>'14-15TotalEnrCategory'!C21/'38Pop2020(2011)'!C21*100</f>
        <v>5.4183578659103135</v>
      </c>
      <c r="D20" s="728">
        <f>'14-15TotalEnrCategory'!D21/'38Pop2020(2011)'!D21*100</f>
        <v>11.928161928161927</v>
      </c>
      <c r="E20" s="728">
        <f>'14-15TotalEnrCategory'!E21/'38Pop2020(2011)'!E21*100</f>
        <v>8.3823881948698826</v>
      </c>
      <c r="F20" s="728">
        <f>'14-15TotalEnrCategory'!F21/'38Pop2020(2011)'!F21*100</f>
        <v>0</v>
      </c>
      <c r="G20" s="728">
        <f>'14-15TotalEnrCategory'!G21/'38Pop2020(2011)'!G21*100</f>
        <v>266.66666666666663</v>
      </c>
      <c r="H20" s="728">
        <f>'14-15TotalEnrCategory'!H21/'38Pop2020(2011)'!H21*100</f>
        <v>17.391304347826086</v>
      </c>
      <c r="I20" s="728">
        <f>'14-15TotalEnrCategory'!I21/'38Pop2020(2011)'!I21*100</f>
        <v>6.1368893727037692</v>
      </c>
      <c r="J20" s="728">
        <f>'14-15TotalEnrCategory'!J21/'38Pop2020(2011)'!J21*100</f>
        <v>12.354892205638475</v>
      </c>
      <c r="K20" s="728">
        <f>'14-15TotalEnrCategory'!K21/'38Pop2020(2011)'!K21*100</f>
        <v>9.3461943639715557</v>
      </c>
      <c r="L20" s="729">
        <f>'6TotalEnr'!AC21/'38Pop2020(2011)'!L21*100</f>
        <v>10.228824026522783</v>
      </c>
    </row>
    <row r="21" spans="1:13" s="730" customFormat="1" ht="20.149999999999999" customHeight="1">
      <c r="A21" s="525">
        <v>18</v>
      </c>
      <c r="B21" s="346" t="s">
        <v>32</v>
      </c>
      <c r="C21" s="728">
        <f>'14-15TotalEnrCategory'!C22/'38Pop2020(2011)'!C22*100</f>
        <v>3.2734432685207975</v>
      </c>
      <c r="D21" s="728">
        <f>'14-15TotalEnrCategory'!D22/'38Pop2020(2011)'!D22*100</f>
        <v>11.40491452991453</v>
      </c>
      <c r="E21" s="728">
        <f>'14-15TotalEnrCategory'!E22/'38Pop2020(2011)'!E22*100</f>
        <v>7.1730498270782634</v>
      </c>
      <c r="F21" s="728"/>
      <c r="G21" s="728"/>
      <c r="H21" s="728"/>
      <c r="I21" s="728">
        <f>'14-15TotalEnrCategory'!I22/'38Pop2020(2011)'!I22*100</f>
        <v>1.8959913326110509</v>
      </c>
      <c r="J21" s="728">
        <f>'14-15TotalEnrCategory'!J22/'38Pop2020(2011)'!J22*100</f>
        <v>6.9716775599128544</v>
      </c>
      <c r="K21" s="728">
        <f>'14-15TotalEnrCategory'!K22/'38Pop2020(2011)'!K22*100</f>
        <v>4.4269418794133628</v>
      </c>
      <c r="L21" s="729">
        <f>'6TotalEnr'!AC22/'38Pop2020(2011)'!L22*100</f>
        <v>8.7746787840802263</v>
      </c>
      <c r="M21" s="730" t="s">
        <v>208</v>
      </c>
    </row>
    <row r="22" spans="1:13" s="730" customFormat="1" ht="20.149999999999999" customHeight="1">
      <c r="A22" s="525">
        <v>19</v>
      </c>
      <c r="B22" s="346" t="s">
        <v>33</v>
      </c>
      <c r="C22" s="728">
        <f>'14-15TotalEnrCategory'!C23/'38Pop2020(2011)'!C23*100</f>
        <v>27.333121145812612</v>
      </c>
      <c r="D22" s="728">
        <f>'14-15TotalEnrCategory'!D23/'38Pop2020(2011)'!D23*100</f>
        <v>26.796030460851679</v>
      </c>
      <c r="E22" s="728">
        <f>'14-15TotalEnrCategory'!E23/'38Pop2020(2011)'!E23*100</f>
        <v>27.077369539846615</v>
      </c>
      <c r="F22" s="728">
        <f>'14-15TotalEnrCategory'!F23/'38Pop2020(2011)'!F23*100</f>
        <v>25.503974643823135</v>
      </c>
      <c r="G22" s="728">
        <f>'14-15TotalEnrCategory'!G23/'38Pop2020(2011)'!G23*100</f>
        <v>25.781039693930353</v>
      </c>
      <c r="H22" s="728">
        <f>'14-15TotalEnrCategory'!H23/'38Pop2020(2011)'!H23*100</f>
        <v>25.632876072313859</v>
      </c>
      <c r="I22" s="728">
        <f>'14-15TotalEnrCategory'!I23/'38Pop2020(2011)'!I23*100</f>
        <v>15.292030858387479</v>
      </c>
      <c r="J22" s="728">
        <f>'14-15TotalEnrCategory'!J23/'38Pop2020(2011)'!J23*100</f>
        <v>16.117247229833389</v>
      </c>
      <c r="K22" s="728">
        <f>'14-15TotalEnrCategory'!K23/'38Pop2020(2011)'!K23*100</f>
        <v>15.712031219228944</v>
      </c>
      <c r="L22" s="729">
        <f>'6TotalEnr'!AC23/'38Pop2020(2011)'!L23*100</f>
        <v>32.381629448709006</v>
      </c>
      <c r="M22" s="730" t="s">
        <v>209</v>
      </c>
    </row>
    <row r="23" spans="1:13" s="730" customFormat="1" ht="20.149999999999999" customHeight="1">
      <c r="A23" s="525">
        <v>20</v>
      </c>
      <c r="B23" s="346" t="s">
        <v>34</v>
      </c>
      <c r="C23" s="728">
        <f>'14-15TotalEnrCategory'!C24/'38Pop2020(2011)'!C24*100</f>
        <v>36.226804873084639</v>
      </c>
      <c r="D23" s="728">
        <f>'14-15TotalEnrCategory'!D24/'38Pop2020(2011)'!D24*100</f>
        <v>33.469955683003128</v>
      </c>
      <c r="E23" s="728">
        <f>'14-15TotalEnrCategory'!E24/'38Pop2020(2011)'!E24*100</f>
        <v>34.926852691261658</v>
      </c>
      <c r="F23" s="728">
        <f>'14-15TotalEnrCategory'!F24/'38Pop2020(2011)'!F24*100</f>
        <v>34.637798751894231</v>
      </c>
      <c r="G23" s="728">
        <f>'14-15TotalEnrCategory'!G24/'38Pop2020(2011)'!G24*100</f>
        <v>33.080887167952625</v>
      </c>
      <c r="H23" s="728">
        <f>'14-15TotalEnrCategory'!H24/'38Pop2020(2011)'!H24*100</f>
        <v>33.890932072491772</v>
      </c>
      <c r="I23" s="728">
        <f>'14-15TotalEnrCategory'!I24/'38Pop2020(2011)'!I24*100</f>
        <v>18.591942474356429</v>
      </c>
      <c r="J23" s="728">
        <f>'14-15TotalEnrCategory'!J24/'38Pop2020(2011)'!J24*100</f>
        <v>14.429389370184959</v>
      </c>
      <c r="K23" s="728">
        <f>'14-15TotalEnrCategory'!K24/'38Pop2020(2011)'!K24*100</f>
        <v>16.509280283303823</v>
      </c>
      <c r="L23" s="729">
        <f>'6TotalEnr'!AC24/'38Pop2020(2011)'!L24*100</f>
        <v>42.140014089468124</v>
      </c>
      <c r="M23" s="730" t="s">
        <v>210</v>
      </c>
    </row>
    <row r="24" spans="1:13" s="730" customFormat="1" ht="20.149999999999999" customHeight="1">
      <c r="A24" s="525">
        <v>21</v>
      </c>
      <c r="B24" s="346" t="s">
        <v>35</v>
      </c>
      <c r="C24" s="728">
        <f>'14-15TotalEnrCategory'!C25/'38Pop2020(2011)'!C25*100</f>
        <v>36.931684208269921</v>
      </c>
      <c r="D24" s="728">
        <f>'14-15TotalEnrCategory'!D25/'38Pop2020(2011)'!D25*100</f>
        <v>38.604034441436241</v>
      </c>
      <c r="E24" s="728">
        <f>'14-15TotalEnrCategory'!E25/'38Pop2020(2011)'!E25*100</f>
        <v>37.753371932005273</v>
      </c>
      <c r="F24" s="728">
        <f>'14-15TotalEnrCategory'!F25/'38Pop2020(2011)'!F25*100</f>
        <v>79.151177199504346</v>
      </c>
      <c r="G24" s="728">
        <f>'14-15TotalEnrCategory'!G25/'38Pop2020(2011)'!G25*100</f>
        <v>68.943593087707853</v>
      </c>
      <c r="H24" s="728">
        <f>'14-15TotalEnrCategory'!H25/'38Pop2020(2011)'!H25*100</f>
        <v>74.177918983320097</v>
      </c>
      <c r="I24" s="728">
        <f>'14-15TotalEnrCategory'!I25/'38Pop2020(2011)'!I25*100</f>
        <v>18.543556138913836</v>
      </c>
      <c r="J24" s="728">
        <f>'14-15TotalEnrCategory'!J25/'38Pop2020(2011)'!J25*100</f>
        <v>19.952391028353787</v>
      </c>
      <c r="K24" s="728">
        <f>'14-15TotalEnrCategory'!K25/'38Pop2020(2011)'!K25*100</f>
        <v>19.223483397923911</v>
      </c>
      <c r="L24" s="729">
        <f>'6TotalEnr'!AC25/'38Pop2020(2011)'!L25*100</f>
        <v>45.539108018886537</v>
      </c>
      <c r="M24" s="730" t="s">
        <v>211</v>
      </c>
    </row>
    <row r="25" spans="1:13" s="730" customFormat="1" ht="20.149999999999999" customHeight="1">
      <c r="A25" s="525">
        <v>22</v>
      </c>
      <c r="B25" s="346" t="s">
        <v>36</v>
      </c>
      <c r="C25" s="728">
        <f>'14-15TotalEnrCategory'!C26/'38Pop2020(2011)'!C26*100</f>
        <v>22.583619750188618</v>
      </c>
      <c r="D25" s="728">
        <f>'14-15TotalEnrCategory'!D26/'38Pop2020(2011)'!D26*100</f>
        <v>28.988591861059081</v>
      </c>
      <c r="E25" s="728">
        <f>'14-15TotalEnrCategory'!E26/'38Pop2020(2011)'!E26*100</f>
        <v>25.761351636747627</v>
      </c>
      <c r="F25" s="728">
        <f>'14-15TotalEnrCategory'!F26/'38Pop2020(2011)'!F26*100</f>
        <v>164.51361867704279</v>
      </c>
      <c r="G25" s="728">
        <f>'14-15TotalEnrCategory'!G26/'38Pop2020(2011)'!G26*100</f>
        <v>154.97716894977168</v>
      </c>
      <c r="H25" s="728">
        <f>'14-15TotalEnrCategory'!H26/'38Pop2020(2011)'!H26*100</f>
        <v>160.12605042016807</v>
      </c>
      <c r="I25" s="728">
        <f>'14-15TotalEnrCategory'!I26/'38Pop2020(2011)'!I26*100</f>
        <v>18.728376647088314</v>
      </c>
      <c r="J25" s="728">
        <f>'14-15TotalEnrCategory'!J26/'38Pop2020(2011)'!J26*100</f>
        <v>25.459777840235603</v>
      </c>
      <c r="K25" s="728">
        <f>'14-15TotalEnrCategory'!K26/'38Pop2020(2011)'!K26*100</f>
        <v>22.115736427673188</v>
      </c>
      <c r="L25" s="729">
        <f>'6TotalEnr'!AC26/'38Pop2020(2011)'!L26*100</f>
        <v>30.813145729658725</v>
      </c>
      <c r="M25" s="730" t="s">
        <v>212</v>
      </c>
    </row>
    <row r="26" spans="1:13" s="730" customFormat="1" ht="20.149999999999999" customHeight="1">
      <c r="A26" s="525">
        <v>23</v>
      </c>
      <c r="B26" s="346" t="s">
        <v>37</v>
      </c>
      <c r="C26" s="728">
        <f>'14-15TotalEnrCategory'!C27/'38Pop2020(2011)'!C27*100</f>
        <v>26.15833140334864</v>
      </c>
      <c r="D26" s="728">
        <f>'14-15TotalEnrCategory'!D27/'38Pop2020(2011)'!D27*100</f>
        <v>27.50884812250596</v>
      </c>
      <c r="E26" s="728">
        <f>'14-15TotalEnrCategory'!E27/'38Pop2020(2011)'!E27*100</f>
        <v>26.821967544795665</v>
      </c>
      <c r="F26" s="728">
        <f>'14-15TotalEnrCategory'!F27/'38Pop2020(2011)'!F27*100</f>
        <v>163.9344262295082</v>
      </c>
      <c r="G26" s="728">
        <f>'14-15TotalEnrCategory'!G27/'38Pop2020(2011)'!G27*100</f>
        <v>168.18181818181819</v>
      </c>
      <c r="H26" s="728">
        <f>'14-15TotalEnrCategory'!H27/'38Pop2020(2011)'!H27*100</f>
        <v>165.42553191489361</v>
      </c>
      <c r="I26" s="728">
        <f>'14-15TotalEnrCategory'!I27/'38Pop2020(2011)'!I27*100</f>
        <v>26.313245246535612</v>
      </c>
      <c r="J26" s="728">
        <f>'14-15TotalEnrCategory'!J27/'38Pop2020(2011)'!J27*100</f>
        <v>27.531552252889835</v>
      </c>
      <c r="K26" s="728">
        <f>'14-15TotalEnrCategory'!K27/'38Pop2020(2011)'!K27*100</f>
        <v>26.920420310088911</v>
      </c>
      <c r="L26" s="729">
        <f>'6TotalEnr'!AC27/'38Pop2020(2011)'!L27*100</f>
        <v>32.561152047373909</v>
      </c>
      <c r="M26" s="730" t="s">
        <v>213</v>
      </c>
    </row>
    <row r="27" spans="1:13" s="730" customFormat="1" ht="20.149999999999999" customHeight="1">
      <c r="A27" s="525">
        <v>24</v>
      </c>
      <c r="B27" s="346" t="s">
        <v>38</v>
      </c>
      <c r="C27" s="728">
        <f>'14-15TotalEnrCategory'!C28/'38Pop2020(2011)'!C28*100</f>
        <v>15.352254840371844</v>
      </c>
      <c r="D27" s="728">
        <f>'14-15TotalEnrCategory'!D28/'38Pop2020(2011)'!D28*100</f>
        <v>19.336524887988706</v>
      </c>
      <c r="E27" s="728">
        <f>'14-15TotalEnrCategory'!E28/'38Pop2020(2011)'!E28*100</f>
        <v>17.261421161177427</v>
      </c>
      <c r="F27" s="728"/>
      <c r="G27" s="728"/>
      <c r="H27" s="728"/>
      <c r="I27" s="728">
        <f>'14-15TotalEnrCategory'!I28/'38Pop2020(2011)'!I28*100</f>
        <v>15.169561621174523</v>
      </c>
      <c r="J27" s="728">
        <f>'14-15TotalEnrCategory'!J28/'38Pop2020(2011)'!J28*100</f>
        <v>18.852748730592506</v>
      </c>
      <c r="K27" s="728">
        <f>'14-15TotalEnrCategory'!K28/'38Pop2020(2011)'!K28*100</f>
        <v>16.973056028096362</v>
      </c>
      <c r="L27" s="729">
        <f>'6TotalEnr'!AC28/'38Pop2020(2011)'!L28*100</f>
        <v>20.519073027692926</v>
      </c>
      <c r="M27" s="730" t="s">
        <v>214</v>
      </c>
    </row>
    <row r="28" spans="1:13" s="730" customFormat="1" ht="20.149999999999999" customHeight="1">
      <c r="A28" s="525">
        <v>25</v>
      </c>
      <c r="B28" s="346" t="s">
        <v>39</v>
      </c>
      <c r="C28" s="728">
        <f>'14-15TotalEnrCategory'!C29/'38Pop2020(2011)'!C29*100</f>
        <v>21.332265130618204</v>
      </c>
      <c r="D28" s="728">
        <f>'14-15TotalEnrCategory'!D29/'38Pop2020(2011)'!D29*100</f>
        <v>20.129654422224082</v>
      </c>
      <c r="E28" s="728">
        <f>'14-15TotalEnrCategory'!E29/'38Pop2020(2011)'!E29*100</f>
        <v>20.740247971330888</v>
      </c>
      <c r="F28" s="728">
        <f>'14-15TotalEnrCategory'!F29/'38Pop2020(2011)'!F29*100</f>
        <v>21.443933969723446</v>
      </c>
      <c r="G28" s="728">
        <f>'14-15TotalEnrCategory'!G29/'38Pop2020(2011)'!G29*100</f>
        <v>18.415357600493572</v>
      </c>
      <c r="H28" s="728">
        <f>'14-15TotalEnrCategory'!H29/'38Pop2020(2011)'!H29*100</f>
        <v>19.951568074217075</v>
      </c>
      <c r="I28" s="728">
        <f>'14-15TotalEnrCategory'!I29/'38Pop2020(2011)'!I29*100</f>
        <v>14.203099021371953</v>
      </c>
      <c r="J28" s="728">
        <f>'14-15TotalEnrCategory'!J29/'38Pop2020(2011)'!J29*100</f>
        <v>12.754841809580132</v>
      </c>
      <c r="K28" s="728">
        <f>'14-15TotalEnrCategory'!K29/'38Pop2020(2011)'!K29*100</f>
        <v>13.458833629799452</v>
      </c>
      <c r="L28" s="729">
        <f>'6TotalEnr'!AC29/'38Pop2020(2011)'!L29*100</f>
        <v>24.874567730461415</v>
      </c>
      <c r="M28" s="730" t="s">
        <v>215</v>
      </c>
    </row>
    <row r="29" spans="1:13" s="730" customFormat="1" ht="20.149999999999999" customHeight="1">
      <c r="A29" s="525">
        <v>26</v>
      </c>
      <c r="B29" s="346" t="s">
        <v>40</v>
      </c>
      <c r="C29" s="728">
        <f>'14-15TotalEnrCategory'!C30/'38Pop2020(2011)'!C30*100</f>
        <v>60.321251484042179</v>
      </c>
      <c r="D29" s="728">
        <f>'14-15TotalEnrCategory'!D30/'38Pop2020(2011)'!D30*100</f>
        <v>61.144892507314587</v>
      </c>
      <c r="E29" s="728">
        <f>'14-15TotalEnrCategory'!E30/'38Pop2020(2011)'!E30*100</f>
        <v>60.752305182916679</v>
      </c>
      <c r="F29" s="728">
        <f>'14-15TotalEnrCategory'!F30/'38Pop2020(2011)'!F30*100</f>
        <v>45.548521516147126</v>
      </c>
      <c r="G29" s="728">
        <f>'14-15TotalEnrCategory'!G30/'38Pop2020(2011)'!G30*100</f>
        <v>45.617961305226686</v>
      </c>
      <c r="H29" s="728">
        <f>'14-15TotalEnrCategory'!H30/'38Pop2020(2011)'!H30*100</f>
        <v>45.585051840036463</v>
      </c>
      <c r="I29" s="728"/>
      <c r="J29" s="728"/>
      <c r="K29" s="728"/>
      <c r="L29" s="729">
        <f>'6TotalEnr'!AC30/'38Pop2020(2011)'!L30*100</f>
        <v>73.663604514118731</v>
      </c>
      <c r="M29" s="730" t="s">
        <v>216</v>
      </c>
    </row>
    <row r="30" spans="1:13" s="730" customFormat="1" ht="20.149999999999999" customHeight="1">
      <c r="A30" s="525">
        <v>27</v>
      </c>
      <c r="B30" s="346" t="s">
        <v>41</v>
      </c>
      <c r="C30" s="728">
        <f>'14-15TotalEnrCategory'!C31/'38Pop2020(2011)'!C31*100</f>
        <v>23.943439432104419</v>
      </c>
      <c r="D30" s="728">
        <f>'14-15TotalEnrCategory'!D31/'38Pop2020(2011)'!D31*100</f>
        <v>29.116933221099888</v>
      </c>
      <c r="E30" s="728">
        <f>'14-15TotalEnrCategory'!E31/'38Pop2020(2011)'!E31*100</f>
        <v>26.2682826881856</v>
      </c>
      <c r="F30" s="728">
        <f>'14-15TotalEnrCategory'!F31/'38Pop2020(2011)'!F31*100</f>
        <v>14.334025889900733</v>
      </c>
      <c r="G30" s="728">
        <f>'14-15TotalEnrCategory'!G31/'38Pop2020(2011)'!G31*100</f>
        <v>21.258368683285799</v>
      </c>
      <c r="H30" s="728">
        <f>'14-15TotalEnrCategory'!H31/'38Pop2020(2011)'!H31*100</f>
        <v>17.480687659369693</v>
      </c>
      <c r="I30" s="728"/>
      <c r="J30" s="728"/>
      <c r="K30" s="728"/>
      <c r="L30" s="729">
        <f>'6TotalEnr'!AC31/'38Pop2020(2011)'!L31*100</f>
        <v>31.784842474635745</v>
      </c>
      <c r="M30" s="730" t="s">
        <v>217</v>
      </c>
    </row>
    <row r="31" spans="1:13" s="730" customFormat="1" ht="20.149999999999999" customHeight="1">
      <c r="A31" s="525">
        <v>28</v>
      </c>
      <c r="B31" s="517" t="s">
        <v>42</v>
      </c>
      <c r="C31" s="728">
        <f>'14-15TotalEnrCategory'!C32/'38Pop2020(2011)'!C32*100</f>
        <v>26.088901587819912</v>
      </c>
      <c r="D31" s="728">
        <f>'14-15TotalEnrCategory'!D32/'38Pop2020(2011)'!D32*100</f>
        <v>26.038296720645949</v>
      </c>
      <c r="E31" s="728">
        <f>'14-15TotalEnrCategory'!E32/'38Pop2020(2011)'!E32*100</f>
        <v>26.064862432501929</v>
      </c>
      <c r="F31" s="728">
        <f>'14-15TotalEnrCategory'!F32/'38Pop2020(2011)'!F32*100</f>
        <v>22.931161518679129</v>
      </c>
      <c r="G31" s="728">
        <f>'14-15TotalEnrCategory'!G32/'38Pop2020(2011)'!G32*100</f>
        <v>22.604347956550441</v>
      </c>
      <c r="H31" s="728">
        <f>'14-15TotalEnrCategory'!H32/'38Pop2020(2011)'!H32*100</f>
        <v>22.778587492696513</v>
      </c>
      <c r="I31" s="728">
        <f>'14-15TotalEnrCategory'!I32/'38Pop2020(2011)'!I32*100</f>
        <v>22.821287588720253</v>
      </c>
      <c r="J31" s="728">
        <f>'14-15TotalEnrCategory'!J32/'38Pop2020(2011)'!J32*100</f>
        <v>23.75791256646044</v>
      </c>
      <c r="K31" s="728">
        <f>'14-15TotalEnrCategory'!K32/'38Pop2020(2011)'!K32*100</f>
        <v>23.281470648625771</v>
      </c>
      <c r="L31" s="729">
        <f>'6TotalEnr'!AC32/'38Pop2020(2011)'!L32*100</f>
        <v>31.176025834892485</v>
      </c>
      <c r="M31" s="730" t="s">
        <v>218</v>
      </c>
    </row>
    <row r="32" spans="1:13" s="730" customFormat="1" ht="20.149999999999999" customHeight="1">
      <c r="A32" s="525">
        <v>29</v>
      </c>
      <c r="B32" s="519" t="s">
        <v>43</v>
      </c>
      <c r="C32" s="728">
        <f>'14-15TotalEnrCategory'!C33/'38Pop2020(2011)'!C33*100</f>
        <v>36.273828650831561</v>
      </c>
      <c r="D32" s="728">
        <f>'14-15TotalEnrCategory'!D33/'38Pop2020(2011)'!D33*100</f>
        <v>44.00253294040283</v>
      </c>
      <c r="E32" s="728">
        <f>'14-15TotalEnrCategory'!E33/'38Pop2020(2011)'!E33*100</f>
        <v>39.916434220645797</v>
      </c>
      <c r="F32" s="728">
        <f>'14-15TotalEnrCategory'!F33/'38Pop2020(2011)'!F33*100</f>
        <v>41.151079136690647</v>
      </c>
      <c r="G32" s="728">
        <f>'14-15TotalEnrCategory'!G33/'38Pop2020(2011)'!G33*100</f>
        <v>36.578449905482039</v>
      </c>
      <c r="H32" s="728">
        <f>'14-15TotalEnrCategory'!H33/'38Pop2020(2011)'!H33*100</f>
        <v>38.847893358724114</v>
      </c>
      <c r="I32" s="728">
        <f>'14-15TotalEnrCategory'!I33/'38Pop2020(2011)'!I33*100</f>
        <v>28.763753160664251</v>
      </c>
      <c r="J32" s="728">
        <f>'14-15TotalEnrCategory'!J33/'38Pop2020(2011)'!J33*100</f>
        <v>41.609649432178877</v>
      </c>
      <c r="K32" s="728">
        <f>'14-15TotalEnrCategory'!K33/'38Pop2020(2011)'!K33*100</f>
        <v>35.085039916695592</v>
      </c>
      <c r="L32" s="729">
        <f>'6TotalEnr'!AC33/'38Pop2020(2011)'!L33*100</f>
        <v>48.266385364905759</v>
      </c>
      <c r="M32" s="730" t="s">
        <v>219</v>
      </c>
    </row>
    <row r="33" spans="1:13" s="730" customFormat="1" ht="20.149999999999999" customHeight="1">
      <c r="A33" s="525">
        <v>30</v>
      </c>
      <c r="B33" s="517" t="s">
        <v>44</v>
      </c>
      <c r="C33" s="728">
        <f>'14-15TotalEnrCategory'!C34/'38Pop2020(2011)'!C34*100</f>
        <v>45.404092001748253</v>
      </c>
      <c r="D33" s="728">
        <f>'14-15TotalEnrCategory'!D34/'38Pop2020(2011)'!D34*100</f>
        <v>48.572265738323175</v>
      </c>
      <c r="E33" s="728">
        <f>'14-15TotalEnrCategory'!E34/'38Pop2020(2011)'!E34*100</f>
        <v>46.94053012183798</v>
      </c>
      <c r="F33" s="728">
        <f>'14-15TotalEnrCategory'!F34/'38Pop2020(2011)'!F34*100</f>
        <v>34.674994012881761</v>
      </c>
      <c r="G33" s="728">
        <f>'14-15TotalEnrCategory'!G34/'38Pop2020(2011)'!G34*100</f>
        <v>38.924449135494122</v>
      </c>
      <c r="H33" s="728">
        <f>'14-15TotalEnrCategory'!H34/'38Pop2020(2011)'!H34*100</f>
        <v>36.761768279305713</v>
      </c>
      <c r="I33" s="728">
        <f>'14-15TotalEnrCategory'!I34/'38Pop2020(2011)'!I34*100</f>
        <v>42.877520905066405</v>
      </c>
      <c r="J33" s="728">
        <f>'14-15TotalEnrCategory'!J34/'38Pop2020(2011)'!J34*100</f>
        <v>38.238138935046258</v>
      </c>
      <c r="K33" s="728">
        <f>'14-15TotalEnrCategory'!K34/'38Pop2020(2011)'!K34*100</f>
        <v>40.567540534199381</v>
      </c>
      <c r="L33" s="729">
        <f>'6TotalEnr'!AC34/'38Pop2020(2011)'!L34*100</f>
        <v>56.616986254878668</v>
      </c>
      <c r="M33" s="730" t="s">
        <v>220</v>
      </c>
    </row>
    <row r="34" spans="1:13" s="730" customFormat="1" ht="20.149999999999999" customHeight="1">
      <c r="A34" s="525">
        <v>31</v>
      </c>
      <c r="B34" s="517" t="s">
        <v>142</v>
      </c>
      <c r="C34" s="728">
        <f>'14-15TotalEnrCategory'!C35/'38Pop2020(2011)'!C35*100</f>
        <v>37.40755572710605</v>
      </c>
      <c r="D34" s="728">
        <f>'14-15TotalEnrCategory'!D35/'38Pop2020(2011)'!D35*100</f>
        <v>40.947538461538464</v>
      </c>
      <c r="E34" s="728">
        <f>'14-15TotalEnrCategory'!E35/'38Pop2020(2011)'!E35*100</f>
        <v>39.123601650673692</v>
      </c>
      <c r="F34" s="728">
        <f>'14-15TotalEnrCategory'!F35/'38Pop2020(2011)'!F35*100</f>
        <v>31.75869375545307</v>
      </c>
      <c r="G34" s="728">
        <f>'14-15TotalEnrCategory'!G35/'38Pop2020(2011)'!G35*100</f>
        <v>39.279159176994256</v>
      </c>
      <c r="H34" s="728">
        <f>'14-15TotalEnrCategory'!H35/'38Pop2020(2011)'!H35*100</f>
        <v>35.401438073917433</v>
      </c>
      <c r="I34" s="728">
        <f>'14-15TotalEnrCategory'!I35/'38Pop2020(2011)'!I35*100</f>
        <v>34.153443710035091</v>
      </c>
      <c r="J34" s="728">
        <f>'14-15TotalEnrCategory'!J35/'38Pop2020(2011)'!J35*100</f>
        <v>33.260792946612888</v>
      </c>
      <c r="K34" s="728">
        <f>'14-15TotalEnrCategory'!K35/'38Pop2020(2011)'!K35*100</f>
        <v>33.715734118983157</v>
      </c>
      <c r="L34" s="729">
        <f>'6TotalEnr'!AC35/'38Pop2020(2011)'!L35*100</f>
        <v>1683.607732383367</v>
      </c>
      <c r="M34" s="730" t="s">
        <v>221</v>
      </c>
    </row>
    <row r="35" spans="1:13" s="730" customFormat="1" ht="44.25" customHeight="1">
      <c r="A35" s="525">
        <v>32</v>
      </c>
      <c r="B35" s="517" t="s">
        <v>173</v>
      </c>
      <c r="C35" s="728">
        <f>'14-15TotalEnrCategory'!C36/'38Pop2020(2011)'!C36*100</f>
        <v>7.901588819809767</v>
      </c>
      <c r="D35" s="728">
        <f>'14-15TotalEnrCategory'!D36/'38Pop2020(2011)'!D36*100</f>
        <v>15.55229743561371</v>
      </c>
      <c r="E35" s="728">
        <f>'14-15TotalEnrCategory'!E36/'38Pop2020(2011)'!E36*100</f>
        <v>10.383666143145613</v>
      </c>
      <c r="F35" s="728">
        <f>'14-15TotalEnrCategory'!F36/'38Pop2020(2011)'!F36*100</f>
        <v>22.602739726027394</v>
      </c>
      <c r="G35" s="728">
        <f>'14-15TotalEnrCategory'!G36/'38Pop2020(2011)'!G36*100</f>
        <v>30.424242424242426</v>
      </c>
      <c r="H35" s="728">
        <f>'14-15TotalEnrCategory'!H36/'38Pop2020(2011)'!H36*100</f>
        <v>26.096372495939363</v>
      </c>
      <c r="I35" s="728">
        <f>'14-15TotalEnrCategory'!I36/'38Pop2020(2011)'!I36*100</f>
        <v>6.2701705855232825</v>
      </c>
      <c r="J35" s="728">
        <f>'14-15TotalEnrCategory'!J36/'38Pop2020(2011)'!J36*100</f>
        <v>7.5122714661734369</v>
      </c>
      <c r="K35" s="728">
        <f>'14-15TotalEnrCategory'!K36/'38Pop2020(2011)'!K36*100</f>
        <v>6.9151490524915964</v>
      </c>
      <c r="L35" s="729">
        <f>'6TotalEnr'!AC36/'38Pop2020(2011)'!L36*100</f>
        <v>0.34680175049457468</v>
      </c>
    </row>
    <row r="36" spans="1:13" s="730" customFormat="1" ht="20.149999999999999" customHeight="1">
      <c r="A36" s="525">
        <v>33</v>
      </c>
      <c r="B36" s="517" t="s">
        <v>45</v>
      </c>
      <c r="C36" s="728">
        <f>'14-15TotalEnrCategory'!C37/'38Pop2020(2011)'!C37*100</f>
        <v>19.953852492789451</v>
      </c>
      <c r="D36" s="728">
        <f>'14-15TotalEnrCategory'!D37/'38Pop2020(2011)'!D37*100</f>
        <v>18.385415367733245</v>
      </c>
      <c r="E36" s="728">
        <f>'14-15TotalEnrCategory'!E37/'38Pop2020(2011)'!E37*100</f>
        <v>19.173070795105136</v>
      </c>
      <c r="F36" s="728">
        <f>'14-15TotalEnrCategory'!F37/'38Pop2020(2011)'!F37*100</f>
        <v>16.862387654739699</v>
      </c>
      <c r="G36" s="728">
        <f>'14-15TotalEnrCategory'!G37/'38Pop2020(2011)'!G37*100</f>
        <v>15.795844260641518</v>
      </c>
      <c r="H36" s="728">
        <f>'14-15TotalEnrCategory'!H37/'38Pop2020(2011)'!H37*100</f>
        <v>16.344006362418153</v>
      </c>
      <c r="I36" s="728">
        <f>'14-15TotalEnrCategory'!I37/'38Pop2020(2011)'!I37*100</f>
        <v>13.995515103548344</v>
      </c>
      <c r="J36" s="728">
        <f>'14-15TotalEnrCategory'!J37/'38Pop2020(2011)'!J37*100</f>
        <v>12.413479946983456</v>
      </c>
      <c r="K36" s="728">
        <f>'14-15TotalEnrCategory'!K37/'38Pop2020(2011)'!K37*100</f>
        <v>13.175963482396021</v>
      </c>
      <c r="L36" s="729">
        <f>'6TotalEnr'!AC37/'38Pop2020(2011)'!L37*100</f>
        <v>23.084377810496839</v>
      </c>
      <c r="M36" s="730" t="s">
        <v>222</v>
      </c>
    </row>
    <row r="37" spans="1:13" s="730" customFormat="1" ht="20.149999999999999" customHeight="1">
      <c r="A37" s="525">
        <v>34</v>
      </c>
      <c r="B37" s="346" t="s">
        <v>47</v>
      </c>
      <c r="C37" s="728">
        <f>'14-15TotalEnrCategory'!C38/'38Pop2020(2011)'!C38*100</f>
        <v>22.32467600746563</v>
      </c>
      <c r="D37" s="728">
        <f>'14-15TotalEnrCategory'!D38/'38Pop2020(2011)'!D38*100</f>
        <v>24.274572553934295</v>
      </c>
      <c r="E37" s="728">
        <f>'14-15TotalEnrCategory'!E38/'38Pop2020(2011)'!E38*100</f>
        <v>23.237928697207703</v>
      </c>
      <c r="F37" s="728">
        <f>'14-15TotalEnrCategory'!F38/'38Pop2020(2011)'!F38*100</f>
        <v>18.548713506601651</v>
      </c>
      <c r="G37" s="728">
        <f>'14-15TotalEnrCategory'!G38/'38Pop2020(2011)'!G38*100</f>
        <v>21.942870137734367</v>
      </c>
      <c r="H37" s="728">
        <f>'14-15TotalEnrCategory'!H38/'38Pop2020(2011)'!H38*100</f>
        <v>20.111224321394776</v>
      </c>
      <c r="I37" s="728">
        <f>'14-15TotalEnrCategory'!I38/'38Pop2020(2011)'!I38*100</f>
        <v>39.763522696384889</v>
      </c>
      <c r="J37" s="728">
        <f>'14-15TotalEnrCategory'!J38/'38Pop2020(2011)'!J38*100</f>
        <v>44.175612441508392</v>
      </c>
      <c r="K37" s="728">
        <f>'14-15TotalEnrCategory'!K38/'38Pop2020(2011)'!K38*100</f>
        <v>41.955689277899346</v>
      </c>
      <c r="L37" s="729">
        <f>'6TotalEnr'!AC38/'38Pop2020(2011)'!L38*100</f>
        <v>27.780842230130489</v>
      </c>
      <c r="M37" s="730" t="s">
        <v>223</v>
      </c>
    </row>
    <row r="38" spans="1:13" s="730" customFormat="1" ht="20.149999999999999" customHeight="1">
      <c r="A38" s="525">
        <v>35</v>
      </c>
      <c r="B38" s="346" t="s">
        <v>58</v>
      </c>
      <c r="C38" s="728">
        <f>'14-15TotalEnrCategory'!C39/'38Pop2020(2011)'!C39*100</f>
        <v>42.76795735129069</v>
      </c>
      <c r="D38" s="728">
        <f>'14-15TotalEnrCategory'!D39/'38Pop2020(2011)'!D39*100</f>
        <v>48.88387596899225</v>
      </c>
      <c r="E38" s="728">
        <f>'14-15TotalEnrCategory'!E39/'38Pop2020(2011)'!E39*100</f>
        <v>45.673221387538668</v>
      </c>
      <c r="F38" s="728">
        <f>'14-15TotalEnrCategory'!F39/'38Pop2020(2011)'!F39*100</f>
        <v>31.663715634052199</v>
      </c>
      <c r="G38" s="728">
        <f>'14-15TotalEnrCategory'!G39/'38Pop2020(2011)'!G39*100</f>
        <v>39.621371338499934</v>
      </c>
      <c r="H38" s="728">
        <f>'14-15TotalEnrCategory'!H39/'38Pop2020(2011)'!H39*100</f>
        <v>35.438433889302111</v>
      </c>
      <c r="I38" s="728">
        <f>'14-15TotalEnrCategory'!I39/'38Pop2020(2011)'!I39*100</f>
        <v>46.606768220377631</v>
      </c>
      <c r="J38" s="728">
        <f>'14-15TotalEnrCategory'!J39/'38Pop2020(2011)'!J39*100</f>
        <v>51.95594379035321</v>
      </c>
      <c r="K38" s="728">
        <f>'14-15TotalEnrCategory'!K39/'38Pop2020(2011)'!K39*100</f>
        <v>49.227727378460109</v>
      </c>
      <c r="L38" s="729">
        <f>'6TotalEnr'!AC39/'38Pop2020(2011)'!L39*100</f>
        <v>55.095149253731343</v>
      </c>
      <c r="M38" s="730" t="s">
        <v>224</v>
      </c>
    </row>
    <row r="39" spans="1:13" s="730" customFormat="1" ht="20.149999999999999" customHeight="1">
      <c r="A39" s="836">
        <v>36</v>
      </c>
      <c r="B39" s="837" t="s">
        <v>48</v>
      </c>
      <c r="C39" s="728">
        <f>'14-15TotalEnrCategory'!C40/'38Pop2020(2011)'!C40*100</f>
        <v>20.307040831588395</v>
      </c>
      <c r="D39" s="728">
        <f>'14-15TotalEnrCategory'!D40/'38Pop2020(2011)'!D40*100</f>
        <v>22.279601499309528</v>
      </c>
      <c r="E39" s="728">
        <f>'14-15TotalEnrCategory'!E40/'38Pop2020(2011)'!E40*100</f>
        <v>21.266831768703565</v>
      </c>
      <c r="F39" s="728">
        <f>'14-15TotalEnrCategory'!F40/'38Pop2020(2011)'!F40*100</f>
        <v>16.675465884053921</v>
      </c>
      <c r="G39" s="728">
        <f>'14-15TotalEnrCategory'!G40/'38Pop2020(2011)'!G40*100</f>
        <v>17.451658636421779</v>
      </c>
      <c r="H39" s="728">
        <f>'14-15TotalEnrCategory'!H40/'38Pop2020(2011)'!H40*100</f>
        <v>17.057880782760844</v>
      </c>
      <c r="I39" s="728">
        <f>'14-15TotalEnrCategory'!I40/'38Pop2020(2011)'!I40*100</f>
        <v>11.452265204304096</v>
      </c>
      <c r="J39" s="728">
        <f>'14-15TotalEnrCategory'!J40/'38Pop2020(2011)'!J40*100</f>
        <v>11.788763177788249</v>
      </c>
      <c r="K39" s="728">
        <f>'14-15TotalEnrCategory'!K40/'38Pop2020(2011)'!K40*100</f>
        <v>11.621282409761058</v>
      </c>
      <c r="L39" s="729">
        <f>'6TotalEnr'!AC40/'38Pop2020(2011)'!L40*100</f>
        <v>25.635063522551082</v>
      </c>
      <c r="M39" s="730" t="s">
        <v>225</v>
      </c>
    </row>
    <row r="40" spans="1:13" s="240" customFormat="1" ht="20.149999999999999" customHeight="1">
      <c r="A40" s="1041" t="s">
        <v>49</v>
      </c>
      <c r="B40" s="1042"/>
      <c r="C40" s="838">
        <f>'14-15TotalEnrCategory'!C41/'38Pop2020(2011)'!C41*100</f>
        <v>26.711725716227374</v>
      </c>
      <c r="D40" s="838">
        <f>'14-15TotalEnrCategory'!D41/'38Pop2020(2011)'!D41*100</f>
        <v>27.930727845029608</v>
      </c>
      <c r="E40" s="838">
        <f>'14-15TotalEnrCategory'!E41/'38Pop2020(2011)'!E41*100</f>
        <v>27.291517192729735</v>
      </c>
      <c r="F40" s="838">
        <f>'14-15TotalEnrCategory'!F41/'38Pop2020(2011)'!F41*100</f>
        <v>22.420931288622658</v>
      </c>
      <c r="G40" s="838">
        <f>'14-15TotalEnrCategory'!G41/'38Pop2020(2011)'!G41*100</f>
        <v>23.931475240287789</v>
      </c>
      <c r="H40" s="838">
        <f>'14-15TotalEnrCategory'!H41/'38Pop2020(2011)'!H41*100</f>
        <v>23.139777334943947</v>
      </c>
      <c r="I40" s="838">
        <f>'14-15TotalEnrCategory'!I41/'38Pop2020(2011)'!I41*100</f>
        <v>18.760653940481273</v>
      </c>
      <c r="J40" s="838">
        <f>'14-15TotalEnrCategory'!J41/'38Pop2020(2011)'!J41*100</f>
        <v>19.081669122527202</v>
      </c>
      <c r="K40" s="838">
        <f>'14-15TotalEnrCategory'!K41/'38Pop2020(2011)'!K41*100</f>
        <v>18.921795991063082</v>
      </c>
      <c r="L40" s="729">
        <f>'6TotalEnr'!AC41/'38Pop2020(2011)'!L41*100</f>
        <v>32.7205613682532</v>
      </c>
      <c r="M40" s="730" t="s">
        <v>226</v>
      </c>
    </row>
    <row r="42" spans="1:13">
      <c r="C42" s="839">
        <v>54.504939500374263</v>
      </c>
      <c r="D42" s="839">
        <v>65.723580324598998</v>
      </c>
      <c r="E42" s="839">
        <v>57.758437483330773</v>
      </c>
      <c r="F42" s="839">
        <v>198.07692307692307</v>
      </c>
      <c r="G42" s="839">
        <v>271.66666666666669</v>
      </c>
      <c r="H42" s="839">
        <v>225</v>
      </c>
      <c r="I42" s="839">
        <v>63.022783185367423</v>
      </c>
      <c r="J42" s="839">
        <v>68.470537956087398</v>
      </c>
      <c r="K42" s="839">
        <v>65.748189325707557</v>
      </c>
    </row>
    <row r="43" spans="1:13">
      <c r="C43" s="839">
        <v>3.5571008290986894</v>
      </c>
      <c r="D43" s="839">
        <v>11.284355179704017</v>
      </c>
      <c r="E43" s="839">
        <v>7.4438388940582207</v>
      </c>
      <c r="F43" s="839">
        <v>0</v>
      </c>
      <c r="G43" s="839">
        <v>0</v>
      </c>
      <c r="H43" s="839">
        <v>0</v>
      </c>
      <c r="I43" s="839">
        <v>2.0606417427141595</v>
      </c>
      <c r="J43" s="839">
        <v>6.1780230326295582</v>
      </c>
      <c r="K43" s="839">
        <v>4.5857363904909265</v>
      </c>
    </row>
    <row r="45" spans="1:13">
      <c r="E45" s="726" t="s">
        <v>87</v>
      </c>
      <c r="F45" s="726" t="s">
        <v>88</v>
      </c>
      <c r="G45" s="726" t="s">
        <v>12</v>
      </c>
    </row>
    <row r="46" spans="1:13">
      <c r="D46" s="726" t="s">
        <v>12</v>
      </c>
      <c r="E46" s="839">
        <f>C40</f>
        <v>26.711725716227374</v>
      </c>
      <c r="F46" s="839">
        <v>28.609969160506651</v>
      </c>
      <c r="G46" s="839">
        <f>E40</f>
        <v>27.291517192729735</v>
      </c>
    </row>
    <row r="47" spans="1:13">
      <c r="D47" s="726" t="s">
        <v>112</v>
      </c>
      <c r="E47" s="839">
        <f>F40</f>
        <v>22.420931288622658</v>
      </c>
      <c r="F47" s="839">
        <f>G40</f>
        <v>23.931475240287789</v>
      </c>
      <c r="G47" s="839">
        <f>H40</f>
        <v>23.139777334943947</v>
      </c>
    </row>
    <row r="48" spans="1:13">
      <c r="D48" s="726" t="s">
        <v>113</v>
      </c>
      <c r="E48" s="839">
        <f>I40</f>
        <v>18.760653940481273</v>
      </c>
      <c r="F48" s="839">
        <f>J40</f>
        <v>19.081669122527202</v>
      </c>
      <c r="G48" s="839">
        <f>K40</f>
        <v>18.921795991063082</v>
      </c>
    </row>
  </sheetData>
  <mergeCells count="7">
    <mergeCell ref="A40:B40"/>
    <mergeCell ref="A1:K1"/>
    <mergeCell ref="A2:A3"/>
    <mergeCell ref="B2:B3"/>
    <mergeCell ref="C2:E2"/>
    <mergeCell ref="F2:H2"/>
    <mergeCell ref="I2:K2"/>
  </mergeCells>
  <printOptions horizontalCentered="1"/>
  <pageMargins left="0.39370078740157483" right="0.19685039370078741" top="0.47244094488188981" bottom="0.62992125984251968" header="0.27559055118110237" footer="0.31496062992125984"/>
  <pageSetup paperSize="9" scale="90" firstPageNumber="23" orientation="portrait" useFirstPageNumber="1" r:id="rId1"/>
  <headerFooter alignWithMargins="0">
    <oddFooter>&amp;L&amp;"Arial,Italic"&amp;9AISHE 2020-21&amp;CT-19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B050"/>
  </sheetPr>
  <dimension ref="A1:I40"/>
  <sheetViews>
    <sheetView view="pageBreakPreview" topLeftCell="A16" zoomScaleSheetLayoutView="100" workbookViewId="0">
      <selection activeCell="C38" sqref="C38"/>
    </sheetView>
  </sheetViews>
  <sheetFormatPr defaultRowHeight="14"/>
  <cols>
    <col min="1" max="1" width="5.1796875" style="725" customWidth="1"/>
    <col min="2" max="2" width="31.453125" style="725" customWidth="1"/>
    <col min="3" max="5" width="19.7265625" style="725" customWidth="1"/>
    <col min="6" max="256" width="8.7265625" style="725"/>
    <col min="257" max="257" width="5.1796875" style="725" customWidth="1"/>
    <col min="258" max="258" width="22.54296875" style="725" customWidth="1"/>
    <col min="259" max="259" width="17.7265625" style="725" customWidth="1"/>
    <col min="260" max="260" width="19" style="725" customWidth="1"/>
    <col min="261" max="261" width="22.1796875" style="725" customWidth="1"/>
    <col min="262" max="512" width="8.7265625" style="725"/>
    <col min="513" max="513" width="5.1796875" style="725" customWidth="1"/>
    <col min="514" max="514" width="22.54296875" style="725" customWidth="1"/>
    <col min="515" max="515" width="17.7265625" style="725" customWidth="1"/>
    <col min="516" max="516" width="19" style="725" customWidth="1"/>
    <col min="517" max="517" width="22.1796875" style="725" customWidth="1"/>
    <col min="518" max="768" width="8.7265625" style="725"/>
    <col min="769" max="769" width="5.1796875" style="725" customWidth="1"/>
    <col min="770" max="770" width="22.54296875" style="725" customWidth="1"/>
    <col min="771" max="771" width="17.7265625" style="725" customWidth="1"/>
    <col min="772" max="772" width="19" style="725" customWidth="1"/>
    <col min="773" max="773" width="22.1796875" style="725" customWidth="1"/>
    <col min="774" max="1024" width="8.7265625" style="725"/>
    <col min="1025" max="1025" width="5.1796875" style="725" customWidth="1"/>
    <col min="1026" max="1026" width="22.54296875" style="725" customWidth="1"/>
    <col min="1027" max="1027" width="17.7265625" style="725" customWidth="1"/>
    <col min="1028" max="1028" width="19" style="725" customWidth="1"/>
    <col min="1029" max="1029" width="22.1796875" style="725" customWidth="1"/>
    <col min="1030" max="1280" width="8.7265625" style="725"/>
    <col min="1281" max="1281" width="5.1796875" style="725" customWidth="1"/>
    <col min="1282" max="1282" width="22.54296875" style="725" customWidth="1"/>
    <col min="1283" max="1283" width="17.7265625" style="725" customWidth="1"/>
    <col min="1284" max="1284" width="19" style="725" customWidth="1"/>
    <col min="1285" max="1285" width="22.1796875" style="725" customWidth="1"/>
    <col min="1286" max="1536" width="8.7265625" style="725"/>
    <col min="1537" max="1537" width="5.1796875" style="725" customWidth="1"/>
    <col min="1538" max="1538" width="22.54296875" style="725" customWidth="1"/>
    <col min="1539" max="1539" width="17.7265625" style="725" customWidth="1"/>
    <col min="1540" max="1540" width="19" style="725" customWidth="1"/>
    <col min="1541" max="1541" width="22.1796875" style="725" customWidth="1"/>
    <col min="1542" max="1792" width="8.7265625" style="725"/>
    <col min="1793" max="1793" width="5.1796875" style="725" customWidth="1"/>
    <col min="1794" max="1794" width="22.54296875" style="725" customWidth="1"/>
    <col min="1795" max="1795" width="17.7265625" style="725" customWidth="1"/>
    <col min="1796" max="1796" width="19" style="725" customWidth="1"/>
    <col min="1797" max="1797" width="22.1796875" style="725" customWidth="1"/>
    <col min="1798" max="2048" width="8.7265625" style="725"/>
    <col min="2049" max="2049" width="5.1796875" style="725" customWidth="1"/>
    <col min="2050" max="2050" width="22.54296875" style="725" customWidth="1"/>
    <col min="2051" max="2051" width="17.7265625" style="725" customWidth="1"/>
    <col min="2052" max="2052" width="19" style="725" customWidth="1"/>
    <col min="2053" max="2053" width="22.1796875" style="725" customWidth="1"/>
    <col min="2054" max="2304" width="8.7265625" style="725"/>
    <col min="2305" max="2305" width="5.1796875" style="725" customWidth="1"/>
    <col min="2306" max="2306" width="22.54296875" style="725" customWidth="1"/>
    <col min="2307" max="2307" width="17.7265625" style="725" customWidth="1"/>
    <col min="2308" max="2308" width="19" style="725" customWidth="1"/>
    <col min="2309" max="2309" width="22.1796875" style="725" customWidth="1"/>
    <col min="2310" max="2560" width="8.7265625" style="725"/>
    <col min="2561" max="2561" width="5.1796875" style="725" customWidth="1"/>
    <col min="2562" max="2562" width="22.54296875" style="725" customWidth="1"/>
    <col min="2563" max="2563" width="17.7265625" style="725" customWidth="1"/>
    <col min="2564" max="2564" width="19" style="725" customWidth="1"/>
    <col min="2565" max="2565" width="22.1796875" style="725" customWidth="1"/>
    <col min="2566" max="2816" width="8.7265625" style="725"/>
    <col min="2817" max="2817" width="5.1796875" style="725" customWidth="1"/>
    <col min="2818" max="2818" width="22.54296875" style="725" customWidth="1"/>
    <col min="2819" max="2819" width="17.7265625" style="725" customWidth="1"/>
    <col min="2820" max="2820" width="19" style="725" customWidth="1"/>
    <col min="2821" max="2821" width="22.1796875" style="725" customWidth="1"/>
    <col min="2822" max="3072" width="8.7265625" style="725"/>
    <col min="3073" max="3073" width="5.1796875" style="725" customWidth="1"/>
    <col min="3074" max="3074" width="22.54296875" style="725" customWidth="1"/>
    <col min="3075" max="3075" width="17.7265625" style="725" customWidth="1"/>
    <col min="3076" max="3076" width="19" style="725" customWidth="1"/>
    <col min="3077" max="3077" width="22.1796875" style="725" customWidth="1"/>
    <col min="3078" max="3328" width="8.7265625" style="725"/>
    <col min="3329" max="3329" width="5.1796875" style="725" customWidth="1"/>
    <col min="3330" max="3330" width="22.54296875" style="725" customWidth="1"/>
    <col min="3331" max="3331" width="17.7265625" style="725" customWidth="1"/>
    <col min="3332" max="3332" width="19" style="725" customWidth="1"/>
    <col min="3333" max="3333" width="22.1796875" style="725" customWidth="1"/>
    <col min="3334" max="3584" width="8.7265625" style="725"/>
    <col min="3585" max="3585" width="5.1796875" style="725" customWidth="1"/>
    <col min="3586" max="3586" width="22.54296875" style="725" customWidth="1"/>
    <col min="3587" max="3587" width="17.7265625" style="725" customWidth="1"/>
    <col min="3588" max="3588" width="19" style="725" customWidth="1"/>
    <col min="3589" max="3589" width="22.1796875" style="725" customWidth="1"/>
    <col min="3590" max="3840" width="8.7265625" style="725"/>
    <col min="3841" max="3841" width="5.1796875" style="725" customWidth="1"/>
    <col min="3842" max="3842" width="22.54296875" style="725" customWidth="1"/>
    <col min="3843" max="3843" width="17.7265625" style="725" customWidth="1"/>
    <col min="3844" max="3844" width="19" style="725" customWidth="1"/>
    <col min="3845" max="3845" width="22.1796875" style="725" customWidth="1"/>
    <col min="3846" max="4096" width="8.7265625" style="725"/>
    <col min="4097" max="4097" width="5.1796875" style="725" customWidth="1"/>
    <col min="4098" max="4098" width="22.54296875" style="725" customWidth="1"/>
    <col min="4099" max="4099" width="17.7265625" style="725" customWidth="1"/>
    <col min="4100" max="4100" width="19" style="725" customWidth="1"/>
    <col min="4101" max="4101" width="22.1796875" style="725" customWidth="1"/>
    <col min="4102" max="4352" width="8.7265625" style="725"/>
    <col min="4353" max="4353" width="5.1796875" style="725" customWidth="1"/>
    <col min="4354" max="4354" width="22.54296875" style="725" customWidth="1"/>
    <col min="4355" max="4355" width="17.7265625" style="725" customWidth="1"/>
    <col min="4356" max="4356" width="19" style="725" customWidth="1"/>
    <col min="4357" max="4357" width="22.1796875" style="725" customWidth="1"/>
    <col min="4358" max="4608" width="8.7265625" style="725"/>
    <col min="4609" max="4609" width="5.1796875" style="725" customWidth="1"/>
    <col min="4610" max="4610" width="22.54296875" style="725" customWidth="1"/>
    <col min="4611" max="4611" width="17.7265625" style="725" customWidth="1"/>
    <col min="4612" max="4612" width="19" style="725" customWidth="1"/>
    <col min="4613" max="4613" width="22.1796875" style="725" customWidth="1"/>
    <col min="4614" max="4864" width="8.7265625" style="725"/>
    <col min="4865" max="4865" width="5.1796875" style="725" customWidth="1"/>
    <col min="4866" max="4866" width="22.54296875" style="725" customWidth="1"/>
    <col min="4867" max="4867" width="17.7265625" style="725" customWidth="1"/>
    <col min="4868" max="4868" width="19" style="725" customWidth="1"/>
    <col min="4869" max="4869" width="22.1796875" style="725" customWidth="1"/>
    <col min="4870" max="5120" width="8.7265625" style="725"/>
    <col min="5121" max="5121" width="5.1796875" style="725" customWidth="1"/>
    <col min="5122" max="5122" width="22.54296875" style="725" customWidth="1"/>
    <col min="5123" max="5123" width="17.7265625" style="725" customWidth="1"/>
    <col min="5124" max="5124" width="19" style="725" customWidth="1"/>
    <col min="5125" max="5125" width="22.1796875" style="725" customWidth="1"/>
    <col min="5126" max="5376" width="8.7265625" style="725"/>
    <col min="5377" max="5377" width="5.1796875" style="725" customWidth="1"/>
    <col min="5378" max="5378" width="22.54296875" style="725" customWidth="1"/>
    <col min="5379" max="5379" width="17.7265625" style="725" customWidth="1"/>
    <col min="5380" max="5380" width="19" style="725" customWidth="1"/>
    <col min="5381" max="5381" width="22.1796875" style="725" customWidth="1"/>
    <col min="5382" max="5632" width="8.7265625" style="725"/>
    <col min="5633" max="5633" width="5.1796875" style="725" customWidth="1"/>
    <col min="5634" max="5634" width="22.54296875" style="725" customWidth="1"/>
    <col min="5635" max="5635" width="17.7265625" style="725" customWidth="1"/>
    <col min="5636" max="5636" width="19" style="725" customWidth="1"/>
    <col min="5637" max="5637" width="22.1796875" style="725" customWidth="1"/>
    <col min="5638" max="5888" width="8.7265625" style="725"/>
    <col min="5889" max="5889" width="5.1796875" style="725" customWidth="1"/>
    <col min="5890" max="5890" width="22.54296875" style="725" customWidth="1"/>
    <col min="5891" max="5891" width="17.7265625" style="725" customWidth="1"/>
    <col min="5892" max="5892" width="19" style="725" customWidth="1"/>
    <col min="5893" max="5893" width="22.1796875" style="725" customWidth="1"/>
    <col min="5894" max="6144" width="8.7265625" style="725"/>
    <col min="6145" max="6145" width="5.1796875" style="725" customWidth="1"/>
    <col min="6146" max="6146" width="22.54296875" style="725" customWidth="1"/>
    <col min="6147" max="6147" width="17.7265625" style="725" customWidth="1"/>
    <col min="6148" max="6148" width="19" style="725" customWidth="1"/>
    <col min="6149" max="6149" width="22.1796875" style="725" customWidth="1"/>
    <col min="6150" max="6400" width="8.7265625" style="725"/>
    <col min="6401" max="6401" width="5.1796875" style="725" customWidth="1"/>
    <col min="6402" max="6402" width="22.54296875" style="725" customWidth="1"/>
    <col min="6403" max="6403" width="17.7265625" style="725" customWidth="1"/>
    <col min="6404" max="6404" width="19" style="725" customWidth="1"/>
    <col min="6405" max="6405" width="22.1796875" style="725" customWidth="1"/>
    <col min="6406" max="6656" width="8.7265625" style="725"/>
    <col min="6657" max="6657" width="5.1796875" style="725" customWidth="1"/>
    <col min="6658" max="6658" width="22.54296875" style="725" customWidth="1"/>
    <col min="6659" max="6659" width="17.7265625" style="725" customWidth="1"/>
    <col min="6660" max="6660" width="19" style="725" customWidth="1"/>
    <col min="6661" max="6661" width="22.1796875" style="725" customWidth="1"/>
    <col min="6662" max="6912" width="8.7265625" style="725"/>
    <col min="6913" max="6913" width="5.1796875" style="725" customWidth="1"/>
    <col min="6914" max="6914" width="22.54296875" style="725" customWidth="1"/>
    <col min="6915" max="6915" width="17.7265625" style="725" customWidth="1"/>
    <col min="6916" max="6916" width="19" style="725" customWidth="1"/>
    <col min="6917" max="6917" width="22.1796875" style="725" customWidth="1"/>
    <col min="6918" max="7168" width="8.7265625" style="725"/>
    <col min="7169" max="7169" width="5.1796875" style="725" customWidth="1"/>
    <col min="7170" max="7170" width="22.54296875" style="725" customWidth="1"/>
    <col min="7171" max="7171" width="17.7265625" style="725" customWidth="1"/>
    <col min="7172" max="7172" width="19" style="725" customWidth="1"/>
    <col min="7173" max="7173" width="22.1796875" style="725" customWidth="1"/>
    <col min="7174" max="7424" width="8.7265625" style="725"/>
    <col min="7425" max="7425" width="5.1796875" style="725" customWidth="1"/>
    <col min="7426" max="7426" width="22.54296875" style="725" customWidth="1"/>
    <col min="7427" max="7427" width="17.7265625" style="725" customWidth="1"/>
    <col min="7428" max="7428" width="19" style="725" customWidth="1"/>
    <col min="7429" max="7429" width="22.1796875" style="725" customWidth="1"/>
    <col min="7430" max="7680" width="8.7265625" style="725"/>
    <col min="7681" max="7681" width="5.1796875" style="725" customWidth="1"/>
    <col min="7682" max="7682" width="22.54296875" style="725" customWidth="1"/>
    <col min="7683" max="7683" width="17.7265625" style="725" customWidth="1"/>
    <col min="7684" max="7684" width="19" style="725" customWidth="1"/>
    <col min="7685" max="7685" width="22.1796875" style="725" customWidth="1"/>
    <col min="7686" max="7936" width="8.7265625" style="725"/>
    <col min="7937" max="7937" width="5.1796875" style="725" customWidth="1"/>
    <col min="7938" max="7938" width="22.54296875" style="725" customWidth="1"/>
    <col min="7939" max="7939" width="17.7265625" style="725" customWidth="1"/>
    <col min="7940" max="7940" width="19" style="725" customWidth="1"/>
    <col min="7941" max="7941" width="22.1796875" style="725" customWidth="1"/>
    <col min="7942" max="8192" width="8.7265625" style="725"/>
    <col min="8193" max="8193" width="5.1796875" style="725" customWidth="1"/>
    <col min="8194" max="8194" width="22.54296875" style="725" customWidth="1"/>
    <col min="8195" max="8195" width="17.7265625" style="725" customWidth="1"/>
    <col min="8196" max="8196" width="19" style="725" customWidth="1"/>
    <col min="8197" max="8197" width="22.1796875" style="725" customWidth="1"/>
    <col min="8198" max="8448" width="8.7265625" style="725"/>
    <col min="8449" max="8449" width="5.1796875" style="725" customWidth="1"/>
    <col min="8450" max="8450" width="22.54296875" style="725" customWidth="1"/>
    <col min="8451" max="8451" width="17.7265625" style="725" customWidth="1"/>
    <col min="8452" max="8452" width="19" style="725" customWidth="1"/>
    <col min="8453" max="8453" width="22.1796875" style="725" customWidth="1"/>
    <col min="8454" max="8704" width="8.7265625" style="725"/>
    <col min="8705" max="8705" width="5.1796875" style="725" customWidth="1"/>
    <col min="8706" max="8706" width="22.54296875" style="725" customWidth="1"/>
    <col min="8707" max="8707" width="17.7265625" style="725" customWidth="1"/>
    <col min="8708" max="8708" width="19" style="725" customWidth="1"/>
    <col min="8709" max="8709" width="22.1796875" style="725" customWidth="1"/>
    <col min="8710" max="8960" width="8.7265625" style="725"/>
    <col min="8961" max="8961" width="5.1796875" style="725" customWidth="1"/>
    <col min="8962" max="8962" width="22.54296875" style="725" customWidth="1"/>
    <col min="8963" max="8963" width="17.7265625" style="725" customWidth="1"/>
    <col min="8964" max="8964" width="19" style="725" customWidth="1"/>
    <col min="8965" max="8965" width="22.1796875" style="725" customWidth="1"/>
    <col min="8966" max="9216" width="8.7265625" style="725"/>
    <col min="9217" max="9217" width="5.1796875" style="725" customWidth="1"/>
    <col min="9218" max="9218" width="22.54296875" style="725" customWidth="1"/>
    <col min="9219" max="9219" width="17.7265625" style="725" customWidth="1"/>
    <col min="9220" max="9220" width="19" style="725" customWidth="1"/>
    <col min="9221" max="9221" width="22.1796875" style="725" customWidth="1"/>
    <col min="9222" max="9472" width="8.7265625" style="725"/>
    <col min="9473" max="9473" width="5.1796875" style="725" customWidth="1"/>
    <col min="9474" max="9474" width="22.54296875" style="725" customWidth="1"/>
    <col min="9475" max="9475" width="17.7265625" style="725" customWidth="1"/>
    <col min="9476" max="9476" width="19" style="725" customWidth="1"/>
    <col min="9477" max="9477" width="22.1796875" style="725" customWidth="1"/>
    <col min="9478" max="9728" width="8.7265625" style="725"/>
    <col min="9729" max="9729" width="5.1796875" style="725" customWidth="1"/>
    <col min="9730" max="9730" width="22.54296875" style="725" customWidth="1"/>
    <col min="9731" max="9731" width="17.7265625" style="725" customWidth="1"/>
    <col min="9732" max="9732" width="19" style="725" customWidth="1"/>
    <col min="9733" max="9733" width="22.1796875" style="725" customWidth="1"/>
    <col min="9734" max="9984" width="8.7265625" style="725"/>
    <col min="9985" max="9985" width="5.1796875" style="725" customWidth="1"/>
    <col min="9986" max="9986" width="22.54296875" style="725" customWidth="1"/>
    <col min="9987" max="9987" width="17.7265625" style="725" customWidth="1"/>
    <col min="9988" max="9988" width="19" style="725" customWidth="1"/>
    <col min="9989" max="9989" width="22.1796875" style="725" customWidth="1"/>
    <col min="9990" max="10240" width="8.7265625" style="725"/>
    <col min="10241" max="10241" width="5.1796875" style="725" customWidth="1"/>
    <col min="10242" max="10242" width="22.54296875" style="725" customWidth="1"/>
    <col min="10243" max="10243" width="17.7265625" style="725" customWidth="1"/>
    <col min="10244" max="10244" width="19" style="725" customWidth="1"/>
    <col min="10245" max="10245" width="22.1796875" style="725" customWidth="1"/>
    <col min="10246" max="10496" width="8.7265625" style="725"/>
    <col min="10497" max="10497" width="5.1796875" style="725" customWidth="1"/>
    <col min="10498" max="10498" width="22.54296875" style="725" customWidth="1"/>
    <col min="10499" max="10499" width="17.7265625" style="725" customWidth="1"/>
    <col min="10500" max="10500" width="19" style="725" customWidth="1"/>
    <col min="10501" max="10501" width="22.1796875" style="725" customWidth="1"/>
    <col min="10502" max="10752" width="8.7265625" style="725"/>
    <col min="10753" max="10753" width="5.1796875" style="725" customWidth="1"/>
    <col min="10754" max="10754" width="22.54296875" style="725" customWidth="1"/>
    <col min="10755" max="10755" width="17.7265625" style="725" customWidth="1"/>
    <col min="10756" max="10756" width="19" style="725" customWidth="1"/>
    <col min="10757" max="10757" width="22.1796875" style="725" customWidth="1"/>
    <col min="10758" max="11008" width="8.7265625" style="725"/>
    <col min="11009" max="11009" width="5.1796875" style="725" customWidth="1"/>
    <col min="11010" max="11010" width="22.54296875" style="725" customWidth="1"/>
    <col min="11011" max="11011" width="17.7265625" style="725" customWidth="1"/>
    <col min="11012" max="11012" width="19" style="725" customWidth="1"/>
    <col min="11013" max="11013" width="22.1796875" style="725" customWidth="1"/>
    <col min="11014" max="11264" width="8.7265625" style="725"/>
    <col min="11265" max="11265" width="5.1796875" style="725" customWidth="1"/>
    <col min="11266" max="11266" width="22.54296875" style="725" customWidth="1"/>
    <col min="11267" max="11267" width="17.7265625" style="725" customWidth="1"/>
    <col min="11268" max="11268" width="19" style="725" customWidth="1"/>
    <col min="11269" max="11269" width="22.1796875" style="725" customWidth="1"/>
    <col min="11270" max="11520" width="8.7265625" style="725"/>
    <col min="11521" max="11521" width="5.1796875" style="725" customWidth="1"/>
    <col min="11522" max="11522" width="22.54296875" style="725" customWidth="1"/>
    <col min="11523" max="11523" width="17.7265625" style="725" customWidth="1"/>
    <col min="11524" max="11524" width="19" style="725" customWidth="1"/>
    <col min="11525" max="11525" width="22.1796875" style="725" customWidth="1"/>
    <col min="11526" max="11776" width="8.7265625" style="725"/>
    <col min="11777" max="11777" width="5.1796875" style="725" customWidth="1"/>
    <col min="11778" max="11778" width="22.54296875" style="725" customWidth="1"/>
    <col min="11779" max="11779" width="17.7265625" style="725" customWidth="1"/>
    <col min="11780" max="11780" width="19" style="725" customWidth="1"/>
    <col min="11781" max="11781" width="22.1796875" style="725" customWidth="1"/>
    <col min="11782" max="12032" width="8.7265625" style="725"/>
    <col min="12033" max="12033" width="5.1796875" style="725" customWidth="1"/>
    <col min="12034" max="12034" width="22.54296875" style="725" customWidth="1"/>
    <col min="12035" max="12035" width="17.7265625" style="725" customWidth="1"/>
    <col min="12036" max="12036" width="19" style="725" customWidth="1"/>
    <col min="12037" max="12037" width="22.1796875" style="725" customWidth="1"/>
    <col min="12038" max="12288" width="8.7265625" style="725"/>
    <col min="12289" max="12289" width="5.1796875" style="725" customWidth="1"/>
    <col min="12290" max="12290" width="22.54296875" style="725" customWidth="1"/>
    <col min="12291" max="12291" width="17.7265625" style="725" customWidth="1"/>
    <col min="12292" max="12292" width="19" style="725" customWidth="1"/>
    <col min="12293" max="12293" width="22.1796875" style="725" customWidth="1"/>
    <col min="12294" max="12544" width="8.7265625" style="725"/>
    <col min="12545" max="12545" width="5.1796875" style="725" customWidth="1"/>
    <col min="12546" max="12546" width="22.54296875" style="725" customWidth="1"/>
    <col min="12547" max="12547" width="17.7265625" style="725" customWidth="1"/>
    <col min="12548" max="12548" width="19" style="725" customWidth="1"/>
    <col min="12549" max="12549" width="22.1796875" style="725" customWidth="1"/>
    <col min="12550" max="12800" width="8.7265625" style="725"/>
    <col min="12801" max="12801" width="5.1796875" style="725" customWidth="1"/>
    <col min="12802" max="12802" width="22.54296875" style="725" customWidth="1"/>
    <col min="12803" max="12803" width="17.7265625" style="725" customWidth="1"/>
    <col min="12804" max="12804" width="19" style="725" customWidth="1"/>
    <col min="12805" max="12805" width="22.1796875" style="725" customWidth="1"/>
    <col min="12806" max="13056" width="8.7265625" style="725"/>
    <col min="13057" max="13057" width="5.1796875" style="725" customWidth="1"/>
    <col min="13058" max="13058" width="22.54296875" style="725" customWidth="1"/>
    <col min="13059" max="13059" width="17.7265625" style="725" customWidth="1"/>
    <col min="13060" max="13060" width="19" style="725" customWidth="1"/>
    <col min="13061" max="13061" width="22.1796875" style="725" customWidth="1"/>
    <col min="13062" max="13312" width="8.7265625" style="725"/>
    <col min="13313" max="13313" width="5.1796875" style="725" customWidth="1"/>
    <col min="13314" max="13314" width="22.54296875" style="725" customWidth="1"/>
    <col min="13315" max="13315" width="17.7265625" style="725" customWidth="1"/>
    <col min="13316" max="13316" width="19" style="725" customWidth="1"/>
    <col min="13317" max="13317" width="22.1796875" style="725" customWidth="1"/>
    <col min="13318" max="13568" width="8.7265625" style="725"/>
    <col min="13569" max="13569" width="5.1796875" style="725" customWidth="1"/>
    <col min="13570" max="13570" width="22.54296875" style="725" customWidth="1"/>
    <col min="13571" max="13571" width="17.7265625" style="725" customWidth="1"/>
    <col min="13572" max="13572" width="19" style="725" customWidth="1"/>
    <col min="13573" max="13573" width="22.1796875" style="725" customWidth="1"/>
    <col min="13574" max="13824" width="8.7265625" style="725"/>
    <col min="13825" max="13825" width="5.1796875" style="725" customWidth="1"/>
    <col min="13826" max="13826" width="22.54296875" style="725" customWidth="1"/>
    <col min="13827" max="13827" width="17.7265625" style="725" customWidth="1"/>
    <col min="13828" max="13828" width="19" style="725" customWidth="1"/>
    <col min="13829" max="13829" width="22.1796875" style="725" customWidth="1"/>
    <col min="13830" max="14080" width="8.7265625" style="725"/>
    <col min="14081" max="14081" width="5.1796875" style="725" customWidth="1"/>
    <col min="14082" max="14082" width="22.54296875" style="725" customWidth="1"/>
    <col min="14083" max="14083" width="17.7265625" style="725" customWidth="1"/>
    <col min="14084" max="14084" width="19" style="725" customWidth="1"/>
    <col min="14085" max="14085" width="22.1796875" style="725" customWidth="1"/>
    <col min="14086" max="14336" width="8.7265625" style="725"/>
    <col min="14337" max="14337" width="5.1796875" style="725" customWidth="1"/>
    <col min="14338" max="14338" width="22.54296875" style="725" customWidth="1"/>
    <col min="14339" max="14339" width="17.7265625" style="725" customWidth="1"/>
    <col min="14340" max="14340" width="19" style="725" customWidth="1"/>
    <col min="14341" max="14341" width="22.1796875" style="725" customWidth="1"/>
    <col min="14342" max="14592" width="8.7265625" style="725"/>
    <col min="14593" max="14593" width="5.1796875" style="725" customWidth="1"/>
    <col min="14594" max="14594" width="22.54296875" style="725" customWidth="1"/>
    <col min="14595" max="14595" width="17.7265625" style="725" customWidth="1"/>
    <col min="14596" max="14596" width="19" style="725" customWidth="1"/>
    <col min="14597" max="14597" width="22.1796875" style="725" customWidth="1"/>
    <col min="14598" max="14848" width="8.7265625" style="725"/>
    <col min="14849" max="14849" width="5.1796875" style="725" customWidth="1"/>
    <col min="14850" max="14850" width="22.54296875" style="725" customWidth="1"/>
    <col min="14851" max="14851" width="17.7265625" style="725" customWidth="1"/>
    <col min="14852" max="14852" width="19" style="725" customWidth="1"/>
    <col min="14853" max="14853" width="22.1796875" style="725" customWidth="1"/>
    <col min="14854" max="15104" width="8.7265625" style="725"/>
    <col min="15105" max="15105" width="5.1796875" style="725" customWidth="1"/>
    <col min="15106" max="15106" width="22.54296875" style="725" customWidth="1"/>
    <col min="15107" max="15107" width="17.7265625" style="725" customWidth="1"/>
    <col min="15108" max="15108" width="19" style="725" customWidth="1"/>
    <col min="15109" max="15109" width="22.1796875" style="725" customWidth="1"/>
    <col min="15110" max="15360" width="8.7265625" style="725"/>
    <col min="15361" max="15361" width="5.1796875" style="725" customWidth="1"/>
    <col min="15362" max="15362" width="22.54296875" style="725" customWidth="1"/>
    <col min="15363" max="15363" width="17.7265625" style="725" customWidth="1"/>
    <col min="15364" max="15364" width="19" style="725" customWidth="1"/>
    <col min="15365" max="15365" width="22.1796875" style="725" customWidth="1"/>
    <col min="15366" max="15616" width="8.7265625" style="725"/>
    <col min="15617" max="15617" width="5.1796875" style="725" customWidth="1"/>
    <col min="15618" max="15618" width="22.54296875" style="725" customWidth="1"/>
    <col min="15619" max="15619" width="17.7265625" style="725" customWidth="1"/>
    <col min="15620" max="15620" width="19" style="725" customWidth="1"/>
    <col min="15621" max="15621" width="22.1796875" style="725" customWidth="1"/>
    <col min="15622" max="15872" width="8.7265625" style="725"/>
    <col min="15873" max="15873" width="5.1796875" style="725" customWidth="1"/>
    <col min="15874" max="15874" width="22.54296875" style="725" customWidth="1"/>
    <col min="15875" max="15875" width="17.7265625" style="725" customWidth="1"/>
    <col min="15876" max="15876" width="19" style="725" customWidth="1"/>
    <col min="15877" max="15877" width="22.1796875" style="725" customWidth="1"/>
    <col min="15878" max="16128" width="8.7265625" style="725"/>
    <col min="16129" max="16129" width="5.1796875" style="725" customWidth="1"/>
    <col min="16130" max="16130" width="22.54296875" style="725" customWidth="1"/>
    <col min="16131" max="16131" width="17.7265625" style="725" customWidth="1"/>
    <col min="16132" max="16132" width="19" style="725" customWidth="1"/>
    <col min="16133" max="16133" width="22.1796875" style="725" customWidth="1"/>
    <col min="16134" max="16384" width="8.7265625" style="725"/>
  </cols>
  <sheetData>
    <row r="1" spans="1:9" s="711" customFormat="1" ht="21.75" customHeight="1">
      <c r="A1" s="1045" t="s">
        <v>1047</v>
      </c>
      <c r="B1" s="1045"/>
      <c r="C1" s="1045"/>
      <c r="D1" s="1045"/>
      <c r="E1" s="1045"/>
      <c r="F1" s="710"/>
      <c r="G1" s="710"/>
      <c r="H1" s="710"/>
      <c r="I1" s="710"/>
    </row>
    <row r="2" spans="1:9" s="715" customFormat="1" ht="39" customHeight="1">
      <c r="A2" s="712" t="s">
        <v>80</v>
      </c>
      <c r="B2" s="712" t="s">
        <v>153</v>
      </c>
      <c r="C2" s="713" t="s">
        <v>152</v>
      </c>
      <c r="D2" s="714" t="s">
        <v>151</v>
      </c>
      <c r="E2" s="714" t="s">
        <v>150</v>
      </c>
    </row>
    <row r="3" spans="1:9" s="719" customFormat="1" ht="20.149999999999999" customHeight="1">
      <c r="A3" s="716">
        <v>1</v>
      </c>
      <c r="B3" s="717" t="s">
        <v>55</v>
      </c>
      <c r="C3" s="718">
        <f>'19GER(2011)'!D4/'19GER(2011)'!C4</f>
        <v>1.2557306299841944</v>
      </c>
      <c r="D3" s="718"/>
      <c r="E3" s="718">
        <f>'19GER(2011)'!J4/'19GER(2011)'!I4</f>
        <v>1.5457705677867903</v>
      </c>
    </row>
    <row r="4" spans="1:9" s="719" customFormat="1" ht="20.149999999999999" customHeight="1">
      <c r="A4" s="716">
        <v>2</v>
      </c>
      <c r="B4" s="717" t="s">
        <v>15</v>
      </c>
      <c r="C4" s="718">
        <f>'19GER(2011)'!D5/'19GER(2011)'!C5</f>
        <v>0.94105939295686558</v>
      </c>
      <c r="D4" s="718">
        <f>'19GER(2011)'!G5/'19GER(2011)'!F5</f>
        <v>0.97663848434154366</v>
      </c>
      <c r="E4" s="718">
        <f>'19GER(2011)'!J5/'19GER(2011)'!I5</f>
        <v>0.86703306740589481</v>
      </c>
    </row>
    <row r="5" spans="1:9" s="719" customFormat="1" ht="20.149999999999999" customHeight="1">
      <c r="A5" s="716">
        <v>3</v>
      </c>
      <c r="B5" s="717" t="s">
        <v>16</v>
      </c>
      <c r="C5" s="718">
        <f>'19GER(2011)'!D6/'19GER(2011)'!C6</f>
        <v>0.94429131910209174</v>
      </c>
      <c r="D5" s="718"/>
      <c r="E5" s="718">
        <f>'19GER(2011)'!J6/'19GER(2011)'!I6</f>
        <v>0.9657482043001151</v>
      </c>
    </row>
    <row r="6" spans="1:9" s="719" customFormat="1" ht="20.149999999999999" customHeight="1">
      <c r="A6" s="716">
        <v>4</v>
      </c>
      <c r="B6" s="720" t="s">
        <v>17</v>
      </c>
      <c r="C6" s="718">
        <f>'19GER(2011)'!D7/'19GER(2011)'!C7</f>
        <v>1.0949335020398276</v>
      </c>
      <c r="D6" s="718">
        <f>'19GER(2011)'!G7/'19GER(2011)'!F7</f>
        <v>1.1129197219809892</v>
      </c>
      <c r="E6" s="718">
        <f>'19GER(2011)'!J7/'19GER(2011)'!I7</f>
        <v>1.075015585372495</v>
      </c>
    </row>
    <row r="7" spans="1:9" s="719" customFormat="1" ht="20.149999999999999" customHeight="1">
      <c r="A7" s="716">
        <v>5</v>
      </c>
      <c r="B7" s="720" t="s">
        <v>18</v>
      </c>
      <c r="C7" s="718">
        <f>'19GER(2011)'!D8/'19GER(2011)'!C8</f>
        <v>0.91189143991117672</v>
      </c>
      <c r="D7" s="718">
        <f>'19GER(2011)'!G8/'19GER(2011)'!F8</f>
        <v>0.72422797762323055</v>
      </c>
      <c r="E7" s="718">
        <f>'19GER(2011)'!J8/'19GER(2011)'!I8</f>
        <v>0.79038811196318248</v>
      </c>
    </row>
    <row r="8" spans="1:9" s="719" customFormat="1" ht="20.149999999999999" customHeight="1">
      <c r="A8" s="716">
        <v>6</v>
      </c>
      <c r="B8" s="717" t="s">
        <v>19</v>
      </c>
      <c r="C8" s="718">
        <f>'19GER(2011)'!D9/'19GER(2011)'!C9</f>
        <v>1.3310059809436454</v>
      </c>
      <c r="D8" s="718">
        <f>'19GER(2011)'!G9/'19GER(2011)'!F9</f>
        <v>0.94696832578404166</v>
      </c>
      <c r="E8" s="718"/>
    </row>
    <row r="9" spans="1:9" s="719" customFormat="1" ht="20.149999999999999" customHeight="1">
      <c r="A9" s="716">
        <v>7</v>
      </c>
      <c r="B9" s="717" t="s">
        <v>56</v>
      </c>
      <c r="C9" s="718">
        <f>'19GER(2011)'!D10/'19GER(2011)'!C10</f>
        <v>1.1830531341819741</v>
      </c>
      <c r="D9" s="718">
        <f>'19GER(2011)'!G10/'19GER(2011)'!F10</f>
        <v>1.1132564169397916</v>
      </c>
      <c r="E9" s="718">
        <f>'19GER(2011)'!J10/'19GER(2011)'!I10</f>
        <v>1.3521683824990889</v>
      </c>
    </row>
    <row r="10" spans="1:9" s="719" customFormat="1" ht="20.149999999999999" customHeight="1">
      <c r="A10" s="716">
        <v>8</v>
      </c>
      <c r="B10" s="717" t="s">
        <v>23</v>
      </c>
      <c r="C10" s="718">
        <f>'19GER(2011)'!D11/'19GER(2011)'!C11</f>
        <v>1.0398056611252935</v>
      </c>
      <c r="D10" s="718">
        <f>'19GER(2011)'!G11/'19GER(2011)'!F11</f>
        <v>0.90803055777081121</v>
      </c>
      <c r="E10" s="718"/>
    </row>
    <row r="11" spans="1:9" s="719" customFormat="1" ht="20.149999999999999" customHeight="1">
      <c r="A11" s="716">
        <v>9</v>
      </c>
      <c r="B11" s="717" t="s">
        <v>24</v>
      </c>
      <c r="C11" s="718">
        <f>'19GER(2011)'!D12/'19GER(2011)'!C12</f>
        <v>1.2130028327599294</v>
      </c>
      <c r="D11" s="718">
        <f>'19GER(2011)'!G12/'19GER(2011)'!F12</f>
        <v>0.76315623653770737</v>
      </c>
      <c r="E11" s="718">
        <f>'19GER(2011)'!J12/'19GER(2011)'!I12</f>
        <v>1.3202291926325991</v>
      </c>
    </row>
    <row r="12" spans="1:9" s="719" customFormat="1" ht="20.149999999999999" customHeight="1">
      <c r="A12" s="716">
        <v>10</v>
      </c>
      <c r="B12" s="717" t="s">
        <v>25</v>
      </c>
      <c r="C12" s="718">
        <f>'19GER(2011)'!D13/'19GER(2011)'!C13</f>
        <v>0.87471881719749245</v>
      </c>
      <c r="D12" s="718">
        <f>'19GER(2011)'!G13/'19GER(2011)'!F13</f>
        <v>0.88758585916837585</v>
      </c>
      <c r="E12" s="718">
        <f>'19GER(2011)'!J13/'19GER(2011)'!I13</f>
        <v>1.0103922816580793</v>
      </c>
    </row>
    <row r="13" spans="1:9" s="719" customFormat="1" ht="20.149999999999999" customHeight="1">
      <c r="A13" s="716">
        <v>11</v>
      </c>
      <c r="B13" s="717" t="s">
        <v>26</v>
      </c>
      <c r="C13" s="718">
        <f>'19GER(2011)'!D14/'19GER(2011)'!C14</f>
        <v>1.1643164741411165</v>
      </c>
      <c r="D13" s="718">
        <f>'19GER(2011)'!G14/'19GER(2011)'!F14</f>
        <v>1.1600341607325266</v>
      </c>
      <c r="E13" s="718"/>
    </row>
    <row r="14" spans="1:9" s="719" customFormat="1" ht="20.149999999999999" customHeight="1">
      <c r="A14" s="716">
        <v>12</v>
      </c>
      <c r="B14" s="717" t="s">
        <v>27</v>
      </c>
      <c r="C14" s="718">
        <f>'19GER(2011)'!D15/'19GER(2011)'!C15</f>
        <v>1.3330463615673773</v>
      </c>
      <c r="D14" s="718">
        <f>'19GER(2011)'!G15/'19GER(2011)'!F15</f>
        <v>1.3528333413318545</v>
      </c>
      <c r="E14" s="718">
        <f>'19GER(2011)'!J15/'19GER(2011)'!I15</f>
        <v>1.2499707218218592</v>
      </c>
    </row>
    <row r="15" spans="1:9" s="719" customFormat="1" ht="20.149999999999999" customHeight="1">
      <c r="A15" s="716">
        <v>13</v>
      </c>
      <c r="B15" s="717" t="s">
        <v>57</v>
      </c>
      <c r="C15" s="718">
        <f>'19GER(2011)'!D16/'19GER(2011)'!C16</f>
        <v>1.1819964236853522</v>
      </c>
      <c r="D15" s="718">
        <f>'19GER(2011)'!G16/'19GER(2011)'!F16</f>
        <v>1.2658408683832243</v>
      </c>
      <c r="E15" s="718">
        <f>'19GER(2011)'!J16/'19GER(2011)'!I16</f>
        <v>0.91667155184201643</v>
      </c>
    </row>
    <row r="16" spans="1:9" s="719" customFormat="1" ht="20.149999999999999" customHeight="1">
      <c r="A16" s="716">
        <v>14</v>
      </c>
      <c r="B16" s="717" t="s">
        <v>29</v>
      </c>
      <c r="C16" s="718">
        <f>'19GER(2011)'!D17/'19GER(2011)'!C17</f>
        <v>1.0590349712449547</v>
      </c>
      <c r="D16" s="718">
        <f>'19GER(2011)'!G17/'19GER(2011)'!F17</f>
        <v>0.93525225824941038</v>
      </c>
      <c r="E16" s="718">
        <f>'19GER(2011)'!J17/'19GER(2011)'!I17</f>
        <v>1.1428907976241582</v>
      </c>
    </row>
    <row r="17" spans="1:5" s="719" customFormat="1" ht="20.149999999999999" customHeight="1">
      <c r="A17" s="716">
        <v>15</v>
      </c>
      <c r="B17" s="717" t="s">
        <v>30</v>
      </c>
      <c r="C17" s="718">
        <f>'19GER(2011)'!D18/'19GER(2011)'!C18</f>
        <v>1.0670107113755329</v>
      </c>
      <c r="D17" s="718">
        <f>'19GER(2011)'!G18/'19GER(2011)'!F18</f>
        <v>1.0215617071859826</v>
      </c>
      <c r="E17" s="718">
        <f>'19GER(2011)'!J18/'19GER(2011)'!I18</f>
        <v>1.0203256725721999</v>
      </c>
    </row>
    <row r="18" spans="1:5" s="719" customFormat="1" ht="20.149999999999999" customHeight="1">
      <c r="A18" s="716">
        <v>16</v>
      </c>
      <c r="B18" s="717" t="s">
        <v>31</v>
      </c>
      <c r="C18" s="718">
        <f>'19GER(2011)'!D19/'19GER(2011)'!C19</f>
        <v>1.5191141349234494</v>
      </c>
      <c r="D18" s="718">
        <f>'19GER(2011)'!G19/'19GER(2011)'!F19</f>
        <v>1.9060037023378975</v>
      </c>
      <c r="E18" s="718">
        <f>'19GER(2011)'!J19/'19GER(2011)'!I19</f>
        <v>1.5204919609418315</v>
      </c>
    </row>
    <row r="19" spans="1:5" s="719" customFormat="1" ht="20.149999999999999" customHeight="1">
      <c r="A19" s="716">
        <v>17</v>
      </c>
      <c r="B19" s="68" t="s">
        <v>172</v>
      </c>
      <c r="C19" s="718">
        <f>'19GER(2011)'!D20/'19GER(2011)'!C20</f>
        <v>2.2014348670485853</v>
      </c>
      <c r="D19" s="718"/>
      <c r="E19" s="718">
        <f>'19GER(2011)'!J20/'19GER(2011)'!I20</f>
        <v>2.0132173574110235</v>
      </c>
    </row>
    <row r="20" spans="1:5" s="719" customFormat="1" ht="20.149999999999999" customHeight="1">
      <c r="A20" s="716">
        <v>18</v>
      </c>
      <c r="B20" s="717" t="s">
        <v>149</v>
      </c>
      <c r="C20" s="718">
        <f>'19GER(2011)'!D21/'19GER(2011)'!C21</f>
        <v>3.4840727620332883</v>
      </c>
      <c r="D20" s="718"/>
      <c r="E20" s="718">
        <f>'19GER(2011)'!J21/'19GER(2011)'!I21</f>
        <v>3.6770619358854657</v>
      </c>
    </row>
    <row r="21" spans="1:5" s="719" customFormat="1" ht="20.149999999999999" customHeight="1">
      <c r="A21" s="716">
        <v>19</v>
      </c>
      <c r="B21" s="717" t="s">
        <v>33</v>
      </c>
      <c r="C21" s="718">
        <f>'19GER(2011)'!D22/'19GER(2011)'!C22</f>
        <v>0.98035018825344744</v>
      </c>
      <c r="D21" s="718">
        <f>'19GER(2011)'!G22/'19GER(2011)'!F22</f>
        <v>1.0108636027904114</v>
      </c>
      <c r="E21" s="718">
        <f>'19GER(2011)'!J22/'19GER(2011)'!I22</f>
        <v>1.0539638180885105</v>
      </c>
    </row>
    <row r="22" spans="1:5" s="719" customFormat="1" ht="20.149999999999999" customHeight="1">
      <c r="A22" s="716">
        <v>20</v>
      </c>
      <c r="B22" s="717" t="s">
        <v>34</v>
      </c>
      <c r="C22" s="718">
        <f>'19GER(2011)'!D23/'19GER(2011)'!C23</f>
        <v>0.92390029427823595</v>
      </c>
      <c r="D22" s="718">
        <f>'19GER(2011)'!G23/'19GER(2011)'!F23</f>
        <v>0.95505165916883028</v>
      </c>
      <c r="E22" s="718">
        <f>'19GER(2011)'!J23/'19GER(2011)'!I23</f>
        <v>0.77610983306812542</v>
      </c>
    </row>
    <row r="23" spans="1:5" s="719" customFormat="1" ht="20.149999999999999" customHeight="1">
      <c r="A23" s="716">
        <v>21</v>
      </c>
      <c r="B23" s="717" t="s">
        <v>35</v>
      </c>
      <c r="C23" s="718">
        <f>'19GER(2011)'!D24/'19GER(2011)'!C24</f>
        <v>1.0452822628866689</v>
      </c>
      <c r="D23" s="718">
        <f>'19GER(2011)'!G24/'19GER(2011)'!F24</f>
        <v>0.8710368629632913</v>
      </c>
      <c r="E23" s="718">
        <f>'19GER(2011)'!J24/'19GER(2011)'!I24</f>
        <v>1.0759743642959345</v>
      </c>
    </row>
    <row r="24" spans="1:5" s="719" customFormat="1" ht="20.149999999999999" customHeight="1">
      <c r="A24" s="716">
        <v>22</v>
      </c>
      <c r="B24" s="717" t="s">
        <v>36</v>
      </c>
      <c r="C24" s="718">
        <f>'19GER(2011)'!D25/'19GER(2011)'!C25</f>
        <v>1.2836114042708751</v>
      </c>
      <c r="D24" s="718">
        <f>'19GER(2011)'!G25/'19GER(2011)'!F25</f>
        <v>0.94203246026706067</v>
      </c>
      <c r="E24" s="718">
        <f>'19GER(2011)'!J25/'19GER(2011)'!I25</f>
        <v>1.3594225660873718</v>
      </c>
    </row>
    <row r="25" spans="1:5" s="719" customFormat="1" ht="20.149999999999999" customHeight="1">
      <c r="A25" s="716">
        <v>23</v>
      </c>
      <c r="B25" s="717" t="s">
        <v>37</v>
      </c>
      <c r="C25" s="718">
        <f>'19GER(2011)'!D26/'19GER(2011)'!C26</f>
        <v>1.0516285499381828</v>
      </c>
      <c r="D25" s="718">
        <f>'19GER(2011)'!G26/'19GER(2011)'!F26</f>
        <v>1.0259090909090909</v>
      </c>
      <c r="E25" s="718">
        <f>'19GER(2011)'!J26/'19GER(2011)'!I26</f>
        <v>1.0463001425684892</v>
      </c>
    </row>
    <row r="26" spans="1:5" s="719" customFormat="1" ht="20.149999999999999" customHeight="1">
      <c r="A26" s="716">
        <v>24</v>
      </c>
      <c r="B26" s="717" t="s">
        <v>38</v>
      </c>
      <c r="C26" s="718">
        <f>'19GER(2011)'!D27/'19GER(2011)'!C27</f>
        <v>1.2595234438878269</v>
      </c>
      <c r="D26" s="718"/>
      <c r="E26" s="718">
        <f>'19GER(2011)'!J27/'19GER(2011)'!I27</f>
        <v>1.2428011567767907</v>
      </c>
    </row>
    <row r="27" spans="1:5" s="719" customFormat="1" ht="20.149999999999999" customHeight="1">
      <c r="A27" s="716">
        <v>25</v>
      </c>
      <c r="B27" s="717" t="s">
        <v>39</v>
      </c>
      <c r="C27" s="718">
        <f>'19GER(2011)'!D28/'19GER(2011)'!C28</f>
        <v>0.94362480022489437</v>
      </c>
      <c r="D27" s="718">
        <f>'19GER(2011)'!G28/'19GER(2011)'!F28</f>
        <v>0.85876768817205362</v>
      </c>
      <c r="E27" s="718">
        <f>'19GER(2011)'!J28/'19GER(2011)'!I28</f>
        <v>0.89803230903251663</v>
      </c>
    </row>
    <row r="28" spans="1:5" s="719" customFormat="1" ht="20.149999999999999" customHeight="1">
      <c r="A28" s="716">
        <v>26</v>
      </c>
      <c r="B28" s="721" t="s">
        <v>40</v>
      </c>
      <c r="C28" s="718">
        <f>'19GER(2011)'!D29/'19GER(2011)'!C29</f>
        <v>1.0136542429576465</v>
      </c>
      <c r="D28" s="718">
        <f>'19GER(2011)'!G29/'19GER(2011)'!F29</f>
        <v>1.0015245234481418</v>
      </c>
      <c r="E28" s="718"/>
    </row>
    <row r="29" spans="1:5" s="719" customFormat="1" ht="20.149999999999999" customHeight="1">
      <c r="A29" s="716">
        <v>27</v>
      </c>
      <c r="B29" s="717" t="s">
        <v>41</v>
      </c>
      <c r="C29" s="718">
        <f>'19GER(2011)'!D30/'19GER(2011)'!C30</f>
        <v>1.2160714547158424</v>
      </c>
      <c r="D29" s="718">
        <f>'19GER(2011)'!G30/'19GER(2011)'!F30</f>
        <v>1.4830703423149054</v>
      </c>
      <c r="E29" s="718"/>
    </row>
    <row r="30" spans="1:5" s="719" customFormat="1" ht="20.149999999999999" customHeight="1">
      <c r="A30" s="716">
        <v>28</v>
      </c>
      <c r="B30" s="722" t="s">
        <v>42</v>
      </c>
      <c r="C30" s="718">
        <f>'19GER(2011)'!D31/'19GER(2011)'!C31</f>
        <v>0.99806029138468644</v>
      </c>
      <c r="D30" s="718">
        <f>'19GER(2011)'!G31/'19GER(2011)'!F31</f>
        <v>0.98574805895189943</v>
      </c>
      <c r="E30" s="718">
        <f>'19GER(2011)'!J31/'19GER(2011)'!I31</f>
        <v>1.0410417236143648</v>
      </c>
    </row>
    <row r="31" spans="1:5" s="719" customFormat="1" ht="20.149999999999999" customHeight="1">
      <c r="A31" s="716">
        <v>29</v>
      </c>
      <c r="B31" s="519" t="s">
        <v>43</v>
      </c>
      <c r="C31" s="718">
        <f>'19GER(2011)'!D32/'19GER(2011)'!C32</f>
        <v>1.2130655786012292</v>
      </c>
      <c r="D31" s="718">
        <f>'19GER(2011)'!G32/'19GER(2011)'!F32</f>
        <v>0.88888191203881173</v>
      </c>
      <c r="E31" s="718">
        <f>'19GER(2011)'!J32/'19GER(2011)'!I32</f>
        <v>1.446600142886846</v>
      </c>
    </row>
    <row r="32" spans="1:5" s="719" customFormat="1" ht="20.149999999999999" customHeight="1">
      <c r="A32" s="716">
        <v>30</v>
      </c>
      <c r="B32" s="517" t="s">
        <v>44</v>
      </c>
      <c r="C32" s="718">
        <f>'19GER(2011)'!D33/'19GER(2011)'!C33</f>
        <v>1.0697772733006736</v>
      </c>
      <c r="D32" s="718">
        <f>'19GER(2011)'!G33/'19GER(2011)'!F33</f>
        <v>1.1225509980198898</v>
      </c>
      <c r="E32" s="718">
        <f>'19GER(2011)'!J33/'19GER(2011)'!I33</f>
        <v>0.89179920219053621</v>
      </c>
    </row>
    <row r="33" spans="1:5" s="719" customFormat="1" ht="20.149999999999999" customHeight="1">
      <c r="A33" s="716">
        <v>31</v>
      </c>
      <c r="B33" s="722" t="s">
        <v>142</v>
      </c>
      <c r="C33" s="718">
        <f>'19GER(2011)'!D34/'19GER(2011)'!C34</f>
        <v>1.0946328265941014</v>
      </c>
      <c r="D33" s="718">
        <f>'19GER(2011)'!G34/'19GER(2011)'!F34</f>
        <v>1.2368002122332218</v>
      </c>
      <c r="E33" s="718">
        <f>'19GER(2011)'!J34/'19GER(2011)'!I34</f>
        <v>0.97386352102584839</v>
      </c>
    </row>
    <row r="34" spans="1:5" s="719" customFormat="1" ht="27" customHeight="1">
      <c r="A34" s="716">
        <v>32</v>
      </c>
      <c r="B34" s="517" t="s">
        <v>173</v>
      </c>
      <c r="C34" s="718">
        <f>'19GER(2011)'!D35/'19GER(2011)'!C35</f>
        <v>1.9682493977189939</v>
      </c>
      <c r="D34" s="718">
        <f>'19GER(2011)'!G35/'19GER(2011)'!F35</f>
        <v>1.3460422405876953</v>
      </c>
      <c r="E34" s="718">
        <f>'19GER(2011)'!J35/'19GER(2011)'!I35</f>
        <v>1.1980968242742782</v>
      </c>
    </row>
    <row r="35" spans="1:5" s="719" customFormat="1" ht="20.149999999999999" customHeight="1">
      <c r="A35" s="716">
        <v>33</v>
      </c>
      <c r="B35" s="722" t="s">
        <v>45</v>
      </c>
      <c r="C35" s="718">
        <f>'19GER(2011)'!D36/'19GER(2011)'!C36</f>
        <v>0.92139677660627295</v>
      </c>
      <c r="D35" s="718">
        <f>'19GER(2011)'!G36/'19GER(2011)'!F36</f>
        <v>0.93675015567570608</v>
      </c>
      <c r="E35" s="718">
        <f>'19GER(2011)'!J36/'19GER(2011)'!I36</f>
        <v>0.88696127689049553</v>
      </c>
    </row>
    <row r="36" spans="1:5" s="719" customFormat="1" ht="20.149999999999999" customHeight="1">
      <c r="A36" s="716">
        <v>34</v>
      </c>
      <c r="B36" s="717" t="s">
        <v>47</v>
      </c>
      <c r="C36" s="718">
        <f>'19GER(2011)'!D37/'19GER(2011)'!C37</f>
        <v>1.0873426582234205</v>
      </c>
      <c r="D36" s="718">
        <f>'19GER(2011)'!G37/'19GER(2011)'!F37</f>
        <v>1.1829860938832608</v>
      </c>
      <c r="E36" s="718">
        <f>'19GER(2011)'!J37/'19GER(2011)'!I37</f>
        <v>1.1109582211518858</v>
      </c>
    </row>
    <row r="37" spans="1:5" s="719" customFormat="1" ht="20.149999999999999" customHeight="1">
      <c r="A37" s="716">
        <v>35</v>
      </c>
      <c r="B37" s="717" t="s">
        <v>58</v>
      </c>
      <c r="C37" s="718">
        <f>'19GER(2011)'!D38/'19GER(2011)'!C38</f>
        <v>1.1430023549515391</v>
      </c>
      <c r="D37" s="718">
        <f>'19GER(2011)'!G38/'19GER(2011)'!F38</f>
        <v>1.2513178111001544</v>
      </c>
      <c r="E37" s="718">
        <f>'19GER(2011)'!J38/'19GER(2011)'!I38</f>
        <v>1.1147725056730449</v>
      </c>
    </row>
    <row r="38" spans="1:5" s="719" customFormat="1" ht="20.149999999999999" customHeight="1">
      <c r="A38" s="779">
        <v>36</v>
      </c>
      <c r="B38" s="780" t="s">
        <v>48</v>
      </c>
      <c r="C38" s="718">
        <f>'19GER(2011)'!D39/'19GER(2011)'!C39</f>
        <v>1.097136785417437</v>
      </c>
      <c r="D38" s="718">
        <f>'19GER(2011)'!G39/'19GER(2011)'!F39</f>
        <v>1.0465469905167748</v>
      </c>
      <c r="E38" s="718">
        <f>'19GER(2011)'!J39/'19GER(2011)'!I39</f>
        <v>1.0293826563986388</v>
      </c>
    </row>
    <row r="39" spans="1:5" s="834" customFormat="1" ht="20.149999999999999" customHeight="1">
      <c r="A39" s="723"/>
      <c r="B39" s="724" t="s">
        <v>49</v>
      </c>
      <c r="C39" s="833">
        <f>'19GER(2011)'!D40/'19GER(2011)'!C40</f>
        <v>1.0456354689229865</v>
      </c>
      <c r="D39" s="833">
        <f>'19GER(2011)'!G40/'19GER(2011)'!F40</f>
        <v>1.0673720432135505</v>
      </c>
      <c r="E39" s="833">
        <f>'19GER(2011)'!J40/'19GER(2011)'!I40</f>
        <v>1.0171110870156423</v>
      </c>
    </row>
    <row r="40" spans="1:5" s="835" customFormat="1" ht="16" customHeight="1">
      <c r="C40" s="725"/>
    </row>
  </sheetData>
  <mergeCells count="1">
    <mergeCell ref="A1:E1"/>
  </mergeCells>
  <printOptions horizontalCentered="1"/>
  <pageMargins left="0.62992125984251968" right="0.55118110236220474" top="0.59055118110236227" bottom="0.59055118110236227" header="0.31496062992125984" footer="0.23622047244094491"/>
  <pageSetup paperSize="9" scale="92" firstPageNumber="24" orientation="portrait" useFirstPageNumber="1" r:id="rId1"/>
  <headerFooter alignWithMargins="0">
    <oddFooter>&amp;L&amp;"Arial,Italic"&amp;9AISHE 2020-21&amp;CT-20</oddFoot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00B050"/>
  </sheetPr>
  <dimension ref="A1:Z42"/>
  <sheetViews>
    <sheetView view="pageBreakPreview" zoomScale="85" zoomScaleSheetLayoutView="85" workbookViewId="0">
      <pane xSplit="2" ySplit="3" topLeftCell="O13" activePane="bottomRight" state="frozen"/>
      <selection activeCell="H31" sqref="H31"/>
      <selection pane="topRight" activeCell="H31" sqref="H31"/>
      <selection pane="bottomLeft" activeCell="H31" sqref="H31"/>
      <selection pane="bottomRight" activeCell="W41" sqref="W41"/>
    </sheetView>
  </sheetViews>
  <sheetFormatPr defaultColWidth="9.1796875" defaultRowHeight="14"/>
  <cols>
    <col min="1" max="1" width="4.26953125" style="183" customWidth="1"/>
    <col min="2" max="2" width="28" style="88" customWidth="1"/>
    <col min="3" max="3" width="7.81640625" style="88" customWidth="1"/>
    <col min="4" max="4" width="8.453125" style="88" customWidth="1"/>
    <col min="5" max="5" width="8.7265625" style="88" customWidth="1"/>
    <col min="6" max="6" width="7.26953125" style="88" customWidth="1"/>
    <col min="7" max="7" width="8.26953125" style="88" customWidth="1"/>
    <col min="8" max="8" width="7.81640625" style="88" customWidth="1"/>
    <col min="9" max="9" width="7.1796875" style="88" customWidth="1"/>
    <col min="10" max="10" width="8" style="88" customWidth="1"/>
    <col min="11" max="11" width="6.7265625" style="88" customWidth="1"/>
    <col min="12" max="12" width="7.7265625" style="88" customWidth="1"/>
    <col min="13" max="14" width="8.1796875" style="88" customWidth="1"/>
    <col min="15" max="22" width="9" style="88" customWidth="1"/>
    <col min="23" max="23" width="10.1796875" style="88" customWidth="1"/>
    <col min="24" max="16384" width="9.1796875" style="88"/>
  </cols>
  <sheetData>
    <row r="1" spans="1:26" s="177" customFormat="1" ht="33" customHeight="1">
      <c r="A1" s="175"/>
      <c r="B1" s="176" t="s">
        <v>872</v>
      </c>
      <c r="C1" s="1050" t="s">
        <v>1029</v>
      </c>
      <c r="D1" s="1051"/>
      <c r="E1" s="1051"/>
      <c r="F1" s="1051"/>
      <c r="G1" s="1051"/>
      <c r="H1" s="1051"/>
      <c r="I1" s="1051"/>
      <c r="J1" s="1051"/>
      <c r="K1" s="1051"/>
      <c r="L1" s="1051"/>
      <c r="M1" s="1051"/>
      <c r="N1" s="1051"/>
      <c r="O1" s="1050" t="s">
        <v>1030</v>
      </c>
      <c r="P1" s="1051"/>
      <c r="Q1" s="1051"/>
      <c r="R1" s="1051"/>
      <c r="S1" s="1051"/>
      <c r="T1" s="1051"/>
      <c r="U1" s="1051"/>
      <c r="V1" s="1051"/>
      <c r="W1" s="1051"/>
    </row>
    <row r="2" spans="1:26" s="178" customFormat="1" ht="29.25" customHeight="1">
      <c r="A2" s="915" t="s">
        <v>235</v>
      </c>
      <c r="B2" s="1052" t="s">
        <v>236</v>
      </c>
      <c r="C2" s="1053" t="s">
        <v>152</v>
      </c>
      <c r="D2" s="1054"/>
      <c r="E2" s="1055"/>
      <c r="F2" s="1053" t="s">
        <v>538</v>
      </c>
      <c r="G2" s="1054"/>
      <c r="H2" s="1055"/>
      <c r="I2" s="1053" t="s">
        <v>315</v>
      </c>
      <c r="J2" s="1054"/>
      <c r="K2" s="1055"/>
      <c r="L2" s="1053" t="s">
        <v>1074</v>
      </c>
      <c r="M2" s="1054"/>
      <c r="N2" s="1055"/>
      <c r="O2" s="1053" t="s">
        <v>108</v>
      </c>
      <c r="P2" s="1054"/>
      <c r="Q2" s="1055"/>
      <c r="R2" s="1053" t="s">
        <v>109</v>
      </c>
      <c r="S2" s="1054"/>
      <c r="T2" s="1055"/>
      <c r="U2" s="1046" t="s">
        <v>110</v>
      </c>
      <c r="V2" s="1047"/>
      <c r="W2" s="1048"/>
    </row>
    <row r="3" spans="1:26" s="178" customFormat="1" ht="21.75" customHeight="1">
      <c r="A3" s="915"/>
      <c r="B3" s="941"/>
      <c r="C3" s="569" t="s">
        <v>87</v>
      </c>
      <c r="D3" s="569" t="s">
        <v>88</v>
      </c>
      <c r="E3" s="569" t="s">
        <v>12</v>
      </c>
      <c r="F3" s="569" t="s">
        <v>87</v>
      </c>
      <c r="G3" s="569" t="s">
        <v>88</v>
      </c>
      <c r="H3" s="569" t="s">
        <v>12</v>
      </c>
      <c r="I3" s="569" t="s">
        <v>87</v>
      </c>
      <c r="J3" s="569" t="s">
        <v>88</v>
      </c>
      <c r="K3" s="569" t="s">
        <v>12</v>
      </c>
      <c r="L3" s="569" t="s">
        <v>87</v>
      </c>
      <c r="M3" s="569" t="s">
        <v>88</v>
      </c>
      <c r="N3" s="569" t="s">
        <v>12</v>
      </c>
      <c r="O3" s="569" t="s">
        <v>87</v>
      </c>
      <c r="P3" s="569" t="s">
        <v>88</v>
      </c>
      <c r="Q3" s="569" t="s">
        <v>12</v>
      </c>
      <c r="R3" s="569" t="s">
        <v>87</v>
      </c>
      <c r="S3" s="569" t="s">
        <v>88</v>
      </c>
      <c r="T3" s="569" t="s">
        <v>12</v>
      </c>
      <c r="U3" s="569" t="s">
        <v>87</v>
      </c>
      <c r="V3" s="569" t="s">
        <v>88</v>
      </c>
      <c r="W3" s="569" t="s">
        <v>12</v>
      </c>
    </row>
    <row r="4" spans="1:26" s="180" customFormat="1">
      <c r="A4" s="179">
        <v>1</v>
      </c>
      <c r="B4" s="179">
        <v>2</v>
      </c>
      <c r="C4" s="179">
        <v>3</v>
      </c>
      <c r="D4" s="179">
        <v>4</v>
      </c>
      <c r="E4" s="179">
        <v>5</v>
      </c>
      <c r="F4" s="179">
        <v>6</v>
      </c>
      <c r="G4" s="179">
        <v>7</v>
      </c>
      <c r="H4" s="179">
        <v>8</v>
      </c>
      <c r="I4" s="179">
        <v>9</v>
      </c>
      <c r="J4" s="179">
        <v>10</v>
      </c>
      <c r="K4" s="179">
        <v>11</v>
      </c>
      <c r="L4" s="179">
        <v>12</v>
      </c>
      <c r="M4" s="179">
        <v>13</v>
      </c>
      <c r="N4" s="179">
        <v>14</v>
      </c>
      <c r="O4" s="179">
        <v>15</v>
      </c>
      <c r="P4" s="179">
        <v>16</v>
      </c>
      <c r="Q4" s="179">
        <v>17</v>
      </c>
      <c r="R4" s="179">
        <v>18</v>
      </c>
      <c r="S4" s="179">
        <v>19</v>
      </c>
      <c r="T4" s="179">
        <v>20</v>
      </c>
      <c r="U4" s="179">
        <v>21</v>
      </c>
      <c r="V4" s="179">
        <v>22</v>
      </c>
      <c r="W4" s="179">
        <v>23</v>
      </c>
    </row>
    <row r="5" spans="1:26" ht="32.25" customHeight="1">
      <c r="A5" s="82">
        <v>1</v>
      </c>
      <c r="B5" s="181" t="s">
        <v>171</v>
      </c>
      <c r="C5" s="99">
        <v>249</v>
      </c>
      <c r="D5" s="99">
        <v>204</v>
      </c>
      <c r="E5" s="99">
        <v>453</v>
      </c>
      <c r="F5" s="99">
        <v>12</v>
      </c>
      <c r="G5" s="99">
        <v>4</v>
      </c>
      <c r="H5" s="99">
        <v>16</v>
      </c>
      <c r="I5" s="99">
        <v>3</v>
      </c>
      <c r="J5" s="99">
        <v>10</v>
      </c>
      <c r="K5" s="99">
        <v>13</v>
      </c>
      <c r="L5" s="99">
        <v>43</v>
      </c>
      <c r="M5" s="99">
        <v>46</v>
      </c>
      <c r="N5" s="99">
        <v>89</v>
      </c>
      <c r="O5" s="99">
        <v>0</v>
      </c>
      <c r="P5" s="99">
        <v>0</v>
      </c>
      <c r="Q5" s="99">
        <v>0</v>
      </c>
      <c r="R5" s="99">
        <v>8</v>
      </c>
      <c r="S5" s="99">
        <v>12</v>
      </c>
      <c r="T5" s="99">
        <v>20</v>
      </c>
      <c r="U5" s="99">
        <v>32</v>
      </c>
      <c r="V5" s="99">
        <v>42</v>
      </c>
      <c r="W5" s="99">
        <v>74</v>
      </c>
      <c r="X5" s="88" t="b">
        <f>C5='22TeacherPost'!R5</f>
        <v>1</v>
      </c>
      <c r="Y5" s="88" t="b">
        <f>D5='22TeacherPost'!S5</f>
        <v>1</v>
      </c>
      <c r="Z5" s="88" t="b">
        <f>E5='22TeacherPost'!T5</f>
        <v>1</v>
      </c>
    </row>
    <row r="6" spans="1:26" ht="24.75" customHeight="1">
      <c r="A6" s="82">
        <v>2</v>
      </c>
      <c r="B6" s="181" t="s">
        <v>15</v>
      </c>
      <c r="C6" s="99">
        <v>64608</v>
      </c>
      <c r="D6" s="99">
        <v>38004</v>
      </c>
      <c r="E6" s="99">
        <v>102612</v>
      </c>
      <c r="F6" s="99">
        <v>8264</v>
      </c>
      <c r="G6" s="99">
        <v>6329</v>
      </c>
      <c r="H6" s="99">
        <v>14593</v>
      </c>
      <c r="I6" s="99">
        <v>1096</v>
      </c>
      <c r="J6" s="99">
        <v>539</v>
      </c>
      <c r="K6" s="99">
        <v>1635</v>
      </c>
      <c r="L6" s="99">
        <v>24233</v>
      </c>
      <c r="M6" s="99">
        <v>13011</v>
      </c>
      <c r="N6" s="99">
        <v>37244</v>
      </c>
      <c r="O6" s="99">
        <v>427</v>
      </c>
      <c r="P6" s="99">
        <v>175</v>
      </c>
      <c r="Q6" s="99">
        <v>602</v>
      </c>
      <c r="R6" s="99">
        <v>3042</v>
      </c>
      <c r="S6" s="99">
        <v>1715</v>
      </c>
      <c r="T6" s="99">
        <v>4757</v>
      </c>
      <c r="U6" s="99">
        <v>1946</v>
      </c>
      <c r="V6" s="99">
        <v>2441</v>
      </c>
      <c r="W6" s="99">
        <v>4387</v>
      </c>
      <c r="X6" s="88" t="b">
        <f>C6='22TeacherPost'!R6</f>
        <v>1</v>
      </c>
      <c r="Y6" s="88" t="b">
        <f>D6='22TeacherPost'!S6</f>
        <v>1</v>
      </c>
      <c r="Z6" s="88" t="b">
        <f>E6='22TeacherPost'!T6</f>
        <v>1</v>
      </c>
    </row>
    <row r="7" spans="1:26" ht="24.75" customHeight="1">
      <c r="A7" s="82">
        <v>3</v>
      </c>
      <c r="B7" s="181" t="s">
        <v>16</v>
      </c>
      <c r="C7" s="99">
        <v>1233</v>
      </c>
      <c r="D7" s="99">
        <v>926</v>
      </c>
      <c r="E7" s="99">
        <v>2159</v>
      </c>
      <c r="F7" s="99">
        <v>58</v>
      </c>
      <c r="G7" s="99">
        <v>20</v>
      </c>
      <c r="H7" s="99">
        <v>78</v>
      </c>
      <c r="I7" s="99">
        <v>520</v>
      </c>
      <c r="J7" s="99">
        <v>624</v>
      </c>
      <c r="K7" s="99">
        <v>1144</v>
      </c>
      <c r="L7" s="99">
        <v>157</v>
      </c>
      <c r="M7" s="99">
        <v>55</v>
      </c>
      <c r="N7" s="99">
        <v>212</v>
      </c>
      <c r="O7" s="99">
        <v>11</v>
      </c>
      <c r="P7" s="99">
        <v>4</v>
      </c>
      <c r="Q7" s="99">
        <v>15</v>
      </c>
      <c r="R7" s="99">
        <v>37</v>
      </c>
      <c r="S7" s="99">
        <v>10</v>
      </c>
      <c r="T7" s="99">
        <v>47</v>
      </c>
      <c r="U7" s="99">
        <v>470</v>
      </c>
      <c r="V7" s="99">
        <v>582</v>
      </c>
      <c r="W7" s="99">
        <v>1052</v>
      </c>
      <c r="X7" s="88" t="b">
        <f>C7='22TeacherPost'!R7</f>
        <v>1</v>
      </c>
      <c r="Y7" s="88" t="b">
        <f>D7='22TeacherPost'!S7</f>
        <v>1</v>
      </c>
      <c r="Z7" s="88" t="b">
        <f>E7='22TeacherPost'!T7</f>
        <v>1</v>
      </c>
    </row>
    <row r="8" spans="1:26" ht="24.75" customHeight="1">
      <c r="A8" s="82">
        <v>4</v>
      </c>
      <c r="B8" s="181" t="s">
        <v>17</v>
      </c>
      <c r="C8" s="99">
        <v>13510</v>
      </c>
      <c r="D8" s="99">
        <v>9792</v>
      </c>
      <c r="E8" s="99">
        <v>23302</v>
      </c>
      <c r="F8" s="99">
        <v>857</v>
      </c>
      <c r="G8" s="99">
        <v>622</v>
      </c>
      <c r="H8" s="99">
        <v>1479</v>
      </c>
      <c r="I8" s="99">
        <v>1715</v>
      </c>
      <c r="J8" s="99">
        <v>1484</v>
      </c>
      <c r="K8" s="99">
        <v>3199</v>
      </c>
      <c r="L8" s="99">
        <v>3149</v>
      </c>
      <c r="M8" s="99">
        <v>2508</v>
      </c>
      <c r="N8" s="99">
        <v>5657</v>
      </c>
      <c r="O8" s="99">
        <v>81</v>
      </c>
      <c r="P8" s="99">
        <v>33</v>
      </c>
      <c r="Q8" s="99">
        <v>114</v>
      </c>
      <c r="R8" s="99">
        <v>2232</v>
      </c>
      <c r="S8" s="99">
        <v>680</v>
      </c>
      <c r="T8" s="99">
        <v>2912</v>
      </c>
      <c r="U8" s="99">
        <v>337</v>
      </c>
      <c r="V8" s="99">
        <v>391</v>
      </c>
      <c r="W8" s="99">
        <v>728</v>
      </c>
      <c r="X8" s="88" t="b">
        <f>C8='22TeacherPost'!R8</f>
        <v>1</v>
      </c>
      <c r="Y8" s="88" t="b">
        <f>D8='22TeacherPost'!S8</f>
        <v>1</v>
      </c>
      <c r="Z8" s="88" t="b">
        <f>E8='22TeacherPost'!T8</f>
        <v>1</v>
      </c>
    </row>
    <row r="9" spans="1:26" ht="24.75" customHeight="1">
      <c r="A9" s="82">
        <v>5</v>
      </c>
      <c r="B9" s="181" t="s">
        <v>18</v>
      </c>
      <c r="C9" s="99">
        <v>27445</v>
      </c>
      <c r="D9" s="99">
        <v>8420</v>
      </c>
      <c r="E9" s="99">
        <v>35865</v>
      </c>
      <c r="F9" s="99">
        <v>1584</v>
      </c>
      <c r="G9" s="99">
        <v>338</v>
      </c>
      <c r="H9" s="99">
        <v>1922</v>
      </c>
      <c r="I9" s="99">
        <v>130</v>
      </c>
      <c r="J9" s="99">
        <v>115</v>
      </c>
      <c r="K9" s="99">
        <v>245</v>
      </c>
      <c r="L9" s="99">
        <v>10094</v>
      </c>
      <c r="M9" s="99">
        <v>2575</v>
      </c>
      <c r="N9" s="99">
        <v>12669</v>
      </c>
      <c r="O9" s="99">
        <v>251</v>
      </c>
      <c r="P9" s="99">
        <v>56</v>
      </c>
      <c r="Q9" s="99">
        <v>307</v>
      </c>
      <c r="R9" s="99">
        <v>2564</v>
      </c>
      <c r="S9" s="99">
        <v>609</v>
      </c>
      <c r="T9" s="99">
        <v>3173</v>
      </c>
      <c r="U9" s="99">
        <v>196</v>
      </c>
      <c r="V9" s="99">
        <v>324</v>
      </c>
      <c r="W9" s="99">
        <v>520</v>
      </c>
      <c r="X9" s="88" t="b">
        <f>C9='22TeacherPost'!R9</f>
        <v>1</v>
      </c>
      <c r="Y9" s="88" t="b">
        <f>D9='22TeacherPost'!S9</f>
        <v>1</v>
      </c>
      <c r="Z9" s="88" t="b">
        <f>E9='22TeacherPost'!T9</f>
        <v>1</v>
      </c>
    </row>
    <row r="10" spans="1:26" ht="24.75" customHeight="1">
      <c r="A10" s="82">
        <v>6</v>
      </c>
      <c r="B10" s="181" t="s">
        <v>19</v>
      </c>
      <c r="C10" s="99">
        <v>1551</v>
      </c>
      <c r="D10" s="99">
        <v>2112</v>
      </c>
      <c r="E10" s="99">
        <v>3663</v>
      </c>
      <c r="F10" s="99">
        <v>208</v>
      </c>
      <c r="G10" s="99">
        <v>106</v>
      </c>
      <c r="H10" s="99">
        <v>314</v>
      </c>
      <c r="I10" s="99">
        <v>20</v>
      </c>
      <c r="J10" s="99">
        <v>11</v>
      </c>
      <c r="K10" s="99">
        <v>31</v>
      </c>
      <c r="L10" s="99">
        <v>146</v>
      </c>
      <c r="M10" s="99">
        <v>84</v>
      </c>
      <c r="N10" s="99">
        <v>230</v>
      </c>
      <c r="O10" s="99">
        <v>16</v>
      </c>
      <c r="P10" s="99">
        <v>2</v>
      </c>
      <c r="Q10" s="99">
        <v>18</v>
      </c>
      <c r="R10" s="99">
        <v>16</v>
      </c>
      <c r="S10" s="99">
        <v>13</v>
      </c>
      <c r="T10" s="99">
        <v>29</v>
      </c>
      <c r="U10" s="99">
        <v>277</v>
      </c>
      <c r="V10" s="99">
        <v>573</v>
      </c>
      <c r="W10" s="99">
        <v>850</v>
      </c>
      <c r="X10" s="88" t="b">
        <f>C10='22TeacherPost'!R10</f>
        <v>1</v>
      </c>
      <c r="Y10" s="88" t="b">
        <f>D10='22TeacherPost'!S10</f>
        <v>1</v>
      </c>
      <c r="Z10" s="88" t="b">
        <f>E10='22TeacherPost'!T10</f>
        <v>1</v>
      </c>
    </row>
    <row r="11" spans="1:26" ht="24.75" customHeight="1">
      <c r="A11" s="82">
        <v>7</v>
      </c>
      <c r="B11" s="181" t="s">
        <v>20</v>
      </c>
      <c r="C11" s="99">
        <v>11299</v>
      </c>
      <c r="D11" s="99">
        <v>10864</v>
      </c>
      <c r="E11" s="99">
        <v>22163</v>
      </c>
      <c r="F11" s="99">
        <v>1169</v>
      </c>
      <c r="G11" s="99">
        <v>769</v>
      </c>
      <c r="H11" s="99">
        <v>1938</v>
      </c>
      <c r="I11" s="99">
        <v>680</v>
      </c>
      <c r="J11" s="99">
        <v>819</v>
      </c>
      <c r="K11" s="99">
        <v>1499</v>
      </c>
      <c r="L11" s="99">
        <v>3463</v>
      </c>
      <c r="M11" s="99">
        <v>3063</v>
      </c>
      <c r="N11" s="99">
        <v>6526</v>
      </c>
      <c r="O11" s="99">
        <v>54</v>
      </c>
      <c r="P11" s="99">
        <v>29</v>
      </c>
      <c r="Q11" s="99">
        <v>83</v>
      </c>
      <c r="R11" s="99">
        <v>271</v>
      </c>
      <c r="S11" s="99">
        <v>308</v>
      </c>
      <c r="T11" s="99">
        <v>579</v>
      </c>
      <c r="U11" s="99">
        <v>517</v>
      </c>
      <c r="V11" s="99">
        <v>1018</v>
      </c>
      <c r="W11" s="99">
        <v>1535</v>
      </c>
      <c r="X11" s="88" t="b">
        <f>C11='22TeacherPost'!R11</f>
        <v>1</v>
      </c>
      <c r="Y11" s="88" t="b">
        <f>D11='22TeacherPost'!S11</f>
        <v>1</v>
      </c>
      <c r="Z11" s="88" t="b">
        <f>E11='22TeacherPost'!T11</f>
        <v>1</v>
      </c>
    </row>
    <row r="12" spans="1:26" ht="24.75" customHeight="1">
      <c r="A12" s="82">
        <v>8</v>
      </c>
      <c r="B12" s="181" t="s">
        <v>23</v>
      </c>
      <c r="C12" s="99">
        <v>10196</v>
      </c>
      <c r="D12" s="99">
        <v>11875</v>
      </c>
      <c r="E12" s="99">
        <v>22071</v>
      </c>
      <c r="F12" s="99">
        <v>1164</v>
      </c>
      <c r="G12" s="99">
        <v>862</v>
      </c>
      <c r="H12" s="99">
        <v>2026</v>
      </c>
      <c r="I12" s="99">
        <v>363</v>
      </c>
      <c r="J12" s="99">
        <v>262</v>
      </c>
      <c r="K12" s="99">
        <v>625</v>
      </c>
      <c r="L12" s="99">
        <v>1391</v>
      </c>
      <c r="M12" s="99">
        <v>930</v>
      </c>
      <c r="N12" s="99">
        <v>2321</v>
      </c>
      <c r="O12" s="99">
        <v>196</v>
      </c>
      <c r="P12" s="99">
        <v>76</v>
      </c>
      <c r="Q12" s="99">
        <v>272</v>
      </c>
      <c r="R12" s="99">
        <v>967</v>
      </c>
      <c r="S12" s="99">
        <v>470</v>
      </c>
      <c r="T12" s="99">
        <v>1437</v>
      </c>
      <c r="U12" s="99">
        <v>539</v>
      </c>
      <c r="V12" s="99">
        <v>1038</v>
      </c>
      <c r="W12" s="99">
        <v>1577</v>
      </c>
      <c r="X12" s="88" t="b">
        <f>C12='22TeacherPost'!R12</f>
        <v>1</v>
      </c>
      <c r="Y12" s="88" t="b">
        <f>D12='22TeacherPost'!S12</f>
        <v>1</v>
      </c>
      <c r="Z12" s="88" t="b">
        <f>E12='22TeacherPost'!T12</f>
        <v>1</v>
      </c>
    </row>
    <row r="13" spans="1:26" ht="24.75" customHeight="1">
      <c r="A13" s="82">
        <v>9</v>
      </c>
      <c r="B13" s="181" t="s">
        <v>24</v>
      </c>
      <c r="C13" s="99">
        <v>1519</v>
      </c>
      <c r="D13" s="99">
        <v>2038</v>
      </c>
      <c r="E13" s="99">
        <v>3557</v>
      </c>
      <c r="F13" s="99">
        <v>33</v>
      </c>
      <c r="G13" s="99">
        <v>17</v>
      </c>
      <c r="H13" s="99">
        <v>50</v>
      </c>
      <c r="I13" s="99">
        <v>49</v>
      </c>
      <c r="J13" s="99">
        <v>57</v>
      </c>
      <c r="K13" s="99">
        <v>106</v>
      </c>
      <c r="L13" s="99">
        <v>170</v>
      </c>
      <c r="M13" s="99">
        <v>211</v>
      </c>
      <c r="N13" s="99">
        <v>381</v>
      </c>
      <c r="O13" s="99">
        <v>7</v>
      </c>
      <c r="P13" s="99">
        <v>4</v>
      </c>
      <c r="Q13" s="99">
        <v>11</v>
      </c>
      <c r="R13" s="99">
        <v>26</v>
      </c>
      <c r="S13" s="99">
        <v>46</v>
      </c>
      <c r="T13" s="99">
        <v>72</v>
      </c>
      <c r="U13" s="99">
        <v>281</v>
      </c>
      <c r="V13" s="99">
        <v>632</v>
      </c>
      <c r="W13" s="99">
        <v>913</v>
      </c>
      <c r="X13" s="88" t="b">
        <f>C13='22TeacherPost'!R13</f>
        <v>1</v>
      </c>
      <c r="Y13" s="88" t="b">
        <f>D13='22TeacherPost'!S13</f>
        <v>1</v>
      </c>
      <c r="Z13" s="88" t="b">
        <f>E13='22TeacherPost'!T13</f>
        <v>1</v>
      </c>
    </row>
    <row r="14" spans="1:26" ht="24.75" customHeight="1">
      <c r="A14" s="82">
        <v>10</v>
      </c>
      <c r="B14" s="181" t="s">
        <v>25</v>
      </c>
      <c r="C14" s="99">
        <v>35408</v>
      </c>
      <c r="D14" s="99">
        <v>25197</v>
      </c>
      <c r="E14" s="99">
        <v>60605</v>
      </c>
      <c r="F14" s="99">
        <v>2240</v>
      </c>
      <c r="G14" s="99">
        <v>1400</v>
      </c>
      <c r="H14" s="99">
        <v>3640</v>
      </c>
      <c r="I14" s="99">
        <v>1621</v>
      </c>
      <c r="J14" s="99">
        <v>1161</v>
      </c>
      <c r="K14" s="99">
        <v>2782</v>
      </c>
      <c r="L14" s="99">
        <v>7332</v>
      </c>
      <c r="M14" s="99">
        <v>4304</v>
      </c>
      <c r="N14" s="99">
        <v>11636</v>
      </c>
      <c r="O14" s="99">
        <v>245</v>
      </c>
      <c r="P14" s="99">
        <v>143</v>
      </c>
      <c r="Q14" s="99">
        <v>388</v>
      </c>
      <c r="R14" s="99">
        <v>1034</v>
      </c>
      <c r="S14" s="99">
        <v>653</v>
      </c>
      <c r="T14" s="99">
        <v>1687</v>
      </c>
      <c r="U14" s="99">
        <v>1042</v>
      </c>
      <c r="V14" s="99">
        <v>1114</v>
      </c>
      <c r="W14" s="99">
        <v>2156</v>
      </c>
      <c r="X14" s="88" t="b">
        <f>C14='22TeacherPost'!R14</f>
        <v>1</v>
      </c>
      <c r="Y14" s="88" t="b">
        <f>D14='22TeacherPost'!S14</f>
        <v>1</v>
      </c>
      <c r="Z14" s="88" t="b">
        <f>E14='22TeacherPost'!T14</f>
        <v>1</v>
      </c>
    </row>
    <row r="15" spans="1:26" ht="24.75" customHeight="1">
      <c r="A15" s="82">
        <v>11</v>
      </c>
      <c r="B15" s="181" t="s">
        <v>26</v>
      </c>
      <c r="C15" s="99">
        <v>18467</v>
      </c>
      <c r="D15" s="99">
        <v>20789</v>
      </c>
      <c r="E15" s="99">
        <v>39256</v>
      </c>
      <c r="F15" s="99">
        <v>1579</v>
      </c>
      <c r="G15" s="99">
        <v>1065</v>
      </c>
      <c r="H15" s="99">
        <v>2644</v>
      </c>
      <c r="I15" s="99">
        <v>27</v>
      </c>
      <c r="J15" s="99">
        <v>19</v>
      </c>
      <c r="K15" s="99">
        <v>46</v>
      </c>
      <c r="L15" s="99">
        <v>2372</v>
      </c>
      <c r="M15" s="99">
        <v>2262</v>
      </c>
      <c r="N15" s="99">
        <v>4634</v>
      </c>
      <c r="O15" s="99">
        <v>156</v>
      </c>
      <c r="P15" s="99">
        <v>104</v>
      </c>
      <c r="Q15" s="99">
        <v>260</v>
      </c>
      <c r="R15" s="99">
        <v>532</v>
      </c>
      <c r="S15" s="99">
        <v>177</v>
      </c>
      <c r="T15" s="99">
        <v>709</v>
      </c>
      <c r="U15" s="99">
        <v>651</v>
      </c>
      <c r="V15" s="99">
        <v>999</v>
      </c>
      <c r="W15" s="99">
        <v>1650</v>
      </c>
      <c r="X15" s="88" t="b">
        <f>C15='22TeacherPost'!R15</f>
        <v>1</v>
      </c>
      <c r="Y15" s="88" t="b">
        <f>D15='22TeacherPost'!S15</f>
        <v>1</v>
      </c>
      <c r="Z15" s="88" t="b">
        <f>E15='22TeacherPost'!T15</f>
        <v>1</v>
      </c>
    </row>
    <row r="16" spans="1:26" ht="24.75" customHeight="1">
      <c r="A16" s="82">
        <v>12</v>
      </c>
      <c r="B16" s="181" t="s">
        <v>27</v>
      </c>
      <c r="C16" s="99">
        <v>5557</v>
      </c>
      <c r="D16" s="99">
        <v>5195</v>
      </c>
      <c r="E16" s="99">
        <v>10752</v>
      </c>
      <c r="F16" s="99">
        <v>570</v>
      </c>
      <c r="G16" s="99">
        <v>438</v>
      </c>
      <c r="H16" s="99">
        <v>1008</v>
      </c>
      <c r="I16" s="99">
        <v>216</v>
      </c>
      <c r="J16" s="99">
        <v>179</v>
      </c>
      <c r="K16" s="99">
        <v>395</v>
      </c>
      <c r="L16" s="99">
        <v>360</v>
      </c>
      <c r="M16" s="99">
        <v>314</v>
      </c>
      <c r="N16" s="99">
        <v>674</v>
      </c>
      <c r="O16" s="99">
        <v>49</v>
      </c>
      <c r="P16" s="99">
        <v>20</v>
      </c>
      <c r="Q16" s="99">
        <v>69</v>
      </c>
      <c r="R16" s="99">
        <v>46</v>
      </c>
      <c r="S16" s="99">
        <v>34</v>
      </c>
      <c r="T16" s="99">
        <v>80</v>
      </c>
      <c r="U16" s="99">
        <v>192</v>
      </c>
      <c r="V16" s="99">
        <v>170</v>
      </c>
      <c r="W16" s="99">
        <v>362</v>
      </c>
      <c r="X16" s="88" t="b">
        <f>C16='22TeacherPost'!R16</f>
        <v>1</v>
      </c>
      <c r="Y16" s="88" t="b">
        <f>D16='22TeacherPost'!S16</f>
        <v>1</v>
      </c>
      <c r="Z16" s="88" t="b">
        <f>E16='22TeacherPost'!T16</f>
        <v>1</v>
      </c>
    </row>
    <row r="17" spans="1:26" ht="24.75" customHeight="1">
      <c r="A17" s="82">
        <v>13</v>
      </c>
      <c r="B17" s="181" t="s">
        <v>57</v>
      </c>
      <c r="C17" s="99">
        <v>6661</v>
      </c>
      <c r="D17" s="99">
        <v>4731</v>
      </c>
      <c r="E17" s="99">
        <v>11392</v>
      </c>
      <c r="F17" s="99">
        <v>306</v>
      </c>
      <c r="G17" s="99">
        <v>270</v>
      </c>
      <c r="H17" s="99">
        <v>576</v>
      </c>
      <c r="I17" s="99">
        <v>164</v>
      </c>
      <c r="J17" s="99">
        <v>60</v>
      </c>
      <c r="K17" s="99">
        <v>224</v>
      </c>
      <c r="L17" s="99">
        <v>348</v>
      </c>
      <c r="M17" s="99">
        <v>136</v>
      </c>
      <c r="N17" s="99">
        <v>484</v>
      </c>
      <c r="O17" s="99">
        <v>56</v>
      </c>
      <c r="P17" s="99">
        <v>25</v>
      </c>
      <c r="Q17" s="99">
        <v>81</v>
      </c>
      <c r="R17" s="99">
        <v>4442</v>
      </c>
      <c r="S17" s="99">
        <v>2152</v>
      </c>
      <c r="T17" s="99">
        <v>6594</v>
      </c>
      <c r="U17" s="99">
        <v>217</v>
      </c>
      <c r="V17" s="99">
        <v>314</v>
      </c>
      <c r="W17" s="99">
        <v>531</v>
      </c>
      <c r="X17" s="88" t="b">
        <f>C17='22TeacherPost'!R17</f>
        <v>1</v>
      </c>
      <c r="Y17" s="88" t="b">
        <f>D17='22TeacherPost'!S17</f>
        <v>1</v>
      </c>
      <c r="Z17" s="88" t="b">
        <f>E17='22TeacherPost'!T17</f>
        <v>1</v>
      </c>
    </row>
    <row r="18" spans="1:26" ht="24.75" customHeight="1">
      <c r="A18" s="82">
        <v>14</v>
      </c>
      <c r="B18" s="181" t="s">
        <v>29</v>
      </c>
      <c r="C18" s="99">
        <v>9702</v>
      </c>
      <c r="D18" s="99">
        <v>4684</v>
      </c>
      <c r="E18" s="99">
        <v>14386</v>
      </c>
      <c r="F18" s="99">
        <v>511</v>
      </c>
      <c r="G18" s="99">
        <v>163</v>
      </c>
      <c r="H18" s="99">
        <v>674</v>
      </c>
      <c r="I18" s="99">
        <v>543</v>
      </c>
      <c r="J18" s="99">
        <v>911</v>
      </c>
      <c r="K18" s="99">
        <v>1454</v>
      </c>
      <c r="L18" s="99">
        <v>2954</v>
      </c>
      <c r="M18" s="99">
        <v>997</v>
      </c>
      <c r="N18" s="99">
        <v>3951</v>
      </c>
      <c r="O18" s="99">
        <v>64</v>
      </c>
      <c r="P18" s="99">
        <v>14</v>
      </c>
      <c r="Q18" s="99">
        <v>78</v>
      </c>
      <c r="R18" s="99">
        <v>674</v>
      </c>
      <c r="S18" s="99">
        <v>257</v>
      </c>
      <c r="T18" s="99">
        <v>931</v>
      </c>
      <c r="U18" s="99">
        <v>469</v>
      </c>
      <c r="V18" s="99">
        <v>893</v>
      </c>
      <c r="W18" s="99">
        <v>1362</v>
      </c>
      <c r="X18" s="88" t="b">
        <f>C18='22TeacherPost'!R18</f>
        <v>1</v>
      </c>
      <c r="Y18" s="88" t="b">
        <f>D18='22TeacherPost'!S18</f>
        <v>1</v>
      </c>
      <c r="Z18" s="88" t="b">
        <f>E18='22TeacherPost'!T18</f>
        <v>1</v>
      </c>
    </row>
    <row r="19" spans="1:26" ht="26.25" customHeight="1">
      <c r="A19" s="82">
        <v>15</v>
      </c>
      <c r="B19" s="181" t="s">
        <v>30</v>
      </c>
      <c r="C19" s="99">
        <v>81100</v>
      </c>
      <c r="D19" s="99">
        <v>70693</v>
      </c>
      <c r="E19" s="99">
        <v>151793</v>
      </c>
      <c r="F19" s="99">
        <v>8352</v>
      </c>
      <c r="G19" s="99">
        <v>4459</v>
      </c>
      <c r="H19" s="99">
        <v>12811</v>
      </c>
      <c r="I19" s="99">
        <v>2225</v>
      </c>
      <c r="J19" s="99">
        <v>1096</v>
      </c>
      <c r="K19" s="99">
        <v>3321</v>
      </c>
      <c r="L19" s="99">
        <v>30302</v>
      </c>
      <c r="M19" s="99">
        <v>25648</v>
      </c>
      <c r="N19" s="99">
        <v>55950</v>
      </c>
      <c r="O19" s="99">
        <v>568</v>
      </c>
      <c r="P19" s="99">
        <v>368</v>
      </c>
      <c r="Q19" s="99">
        <v>936</v>
      </c>
      <c r="R19" s="99">
        <v>4757</v>
      </c>
      <c r="S19" s="99">
        <v>4263</v>
      </c>
      <c r="T19" s="99">
        <v>9020</v>
      </c>
      <c r="U19" s="99">
        <v>4278</v>
      </c>
      <c r="V19" s="99">
        <v>8779</v>
      </c>
      <c r="W19" s="99">
        <v>13057</v>
      </c>
      <c r="X19" s="88" t="b">
        <f>C19='22TeacherPost'!R19</f>
        <v>1</v>
      </c>
      <c r="Y19" s="88" t="b">
        <f>D19='22TeacherPost'!S19</f>
        <v>1</v>
      </c>
      <c r="Z19" s="88" t="b">
        <f>E19='22TeacherPost'!T19</f>
        <v>1</v>
      </c>
    </row>
    <row r="20" spans="1:26" ht="24.75" customHeight="1">
      <c r="A20" s="82">
        <v>16</v>
      </c>
      <c r="B20" s="181" t="s">
        <v>31</v>
      </c>
      <c r="C20" s="99">
        <v>23150</v>
      </c>
      <c r="D20" s="99">
        <v>37930</v>
      </c>
      <c r="E20" s="99">
        <v>61080</v>
      </c>
      <c r="F20" s="99">
        <v>918</v>
      </c>
      <c r="G20" s="99">
        <v>1425</v>
      </c>
      <c r="H20" s="99">
        <v>2343</v>
      </c>
      <c r="I20" s="99">
        <v>85</v>
      </c>
      <c r="J20" s="99">
        <v>100</v>
      </c>
      <c r="K20" s="99">
        <v>185</v>
      </c>
      <c r="L20" s="99">
        <v>9130</v>
      </c>
      <c r="M20" s="99">
        <v>14834</v>
      </c>
      <c r="N20" s="99">
        <v>23964</v>
      </c>
      <c r="O20" s="99">
        <v>174</v>
      </c>
      <c r="P20" s="99">
        <v>99</v>
      </c>
      <c r="Q20" s="99">
        <v>273</v>
      </c>
      <c r="R20" s="99">
        <v>4087</v>
      </c>
      <c r="S20" s="99">
        <v>4093</v>
      </c>
      <c r="T20" s="99">
        <v>8180</v>
      </c>
      <c r="U20" s="99">
        <v>6886</v>
      </c>
      <c r="V20" s="99">
        <v>12336</v>
      </c>
      <c r="W20" s="99">
        <v>19222</v>
      </c>
      <c r="X20" s="88" t="b">
        <f>C20='22TeacherPost'!R20</f>
        <v>1</v>
      </c>
      <c r="Y20" s="88" t="b">
        <f>D20='22TeacherPost'!S20</f>
        <v>1</v>
      </c>
      <c r="Z20" s="88" t="b">
        <f>E20='22TeacherPost'!T20</f>
        <v>1</v>
      </c>
    </row>
    <row r="21" spans="1:26" ht="24.75" customHeight="1">
      <c r="A21" s="82">
        <v>17</v>
      </c>
      <c r="B21" s="181" t="s">
        <v>172</v>
      </c>
      <c r="C21" s="99">
        <v>104</v>
      </c>
      <c r="D21" s="99">
        <v>61</v>
      </c>
      <c r="E21" s="99">
        <v>165</v>
      </c>
      <c r="F21" s="99">
        <v>1</v>
      </c>
      <c r="G21" s="99">
        <v>0</v>
      </c>
      <c r="H21" s="99">
        <v>1</v>
      </c>
      <c r="I21" s="99">
        <v>84</v>
      </c>
      <c r="J21" s="99">
        <v>58</v>
      </c>
      <c r="K21" s="99">
        <v>142</v>
      </c>
      <c r="L21" s="99">
        <v>0</v>
      </c>
      <c r="M21" s="99">
        <v>0</v>
      </c>
      <c r="N21" s="99">
        <v>0</v>
      </c>
      <c r="O21" s="99">
        <v>0</v>
      </c>
      <c r="P21" s="99">
        <v>0</v>
      </c>
      <c r="Q21" s="99">
        <v>0</v>
      </c>
      <c r="R21" s="99">
        <v>61</v>
      </c>
      <c r="S21" s="99">
        <v>20</v>
      </c>
      <c r="T21" s="99">
        <v>81</v>
      </c>
      <c r="U21" s="99">
        <v>35</v>
      </c>
      <c r="V21" s="99">
        <v>40</v>
      </c>
      <c r="W21" s="99">
        <v>75</v>
      </c>
      <c r="X21" s="88" t="b">
        <f>C21='22TeacherPost'!R21</f>
        <v>1</v>
      </c>
      <c r="Y21" s="88" t="b">
        <f>D21='22TeacherPost'!S21</f>
        <v>1</v>
      </c>
      <c r="Z21" s="88" t="b">
        <f>E21='22TeacherPost'!T21</f>
        <v>1</v>
      </c>
    </row>
    <row r="22" spans="1:26" ht="24.75" customHeight="1">
      <c r="A22" s="82">
        <v>18</v>
      </c>
      <c r="B22" s="181" t="s">
        <v>32</v>
      </c>
      <c r="C22" s="99">
        <v>12</v>
      </c>
      <c r="D22" s="99">
        <v>13</v>
      </c>
      <c r="E22" s="99">
        <v>25</v>
      </c>
      <c r="F22" s="99">
        <v>1</v>
      </c>
      <c r="G22" s="99">
        <v>3</v>
      </c>
      <c r="H22" s="99">
        <v>4</v>
      </c>
      <c r="I22" s="99">
        <v>4</v>
      </c>
      <c r="J22" s="99">
        <v>5</v>
      </c>
      <c r="K22" s="99">
        <v>9</v>
      </c>
      <c r="L22" s="99">
        <v>7</v>
      </c>
      <c r="M22" s="99">
        <v>5</v>
      </c>
      <c r="N22" s="99">
        <v>12</v>
      </c>
      <c r="O22" s="99">
        <v>0</v>
      </c>
      <c r="P22" s="99">
        <v>0</v>
      </c>
      <c r="Q22" s="99">
        <v>0</v>
      </c>
      <c r="R22" s="99">
        <v>9</v>
      </c>
      <c r="S22" s="99">
        <v>8</v>
      </c>
      <c r="T22" s="99">
        <v>17</v>
      </c>
      <c r="U22" s="99">
        <v>0</v>
      </c>
      <c r="V22" s="99">
        <v>0</v>
      </c>
      <c r="W22" s="99">
        <v>0</v>
      </c>
      <c r="X22" s="88" t="b">
        <f>C22='22TeacherPost'!R22</f>
        <v>1</v>
      </c>
      <c r="Y22" s="88" t="b">
        <f>D22='22TeacherPost'!S22</f>
        <v>1</v>
      </c>
      <c r="Z22" s="88" t="b">
        <f>E22='22TeacherPost'!T22</f>
        <v>1</v>
      </c>
    </row>
    <row r="23" spans="1:26" ht="24.75" customHeight="1">
      <c r="A23" s="82">
        <v>19</v>
      </c>
      <c r="B23" s="181" t="s">
        <v>33</v>
      </c>
      <c r="C23" s="99">
        <v>44736</v>
      </c>
      <c r="D23" s="99">
        <v>32386</v>
      </c>
      <c r="E23" s="99">
        <v>77122</v>
      </c>
      <c r="F23" s="99">
        <v>3557</v>
      </c>
      <c r="G23" s="99">
        <v>2007</v>
      </c>
      <c r="H23" s="99">
        <v>5564</v>
      </c>
      <c r="I23" s="99">
        <v>1224</v>
      </c>
      <c r="J23" s="99">
        <v>814</v>
      </c>
      <c r="K23" s="99">
        <v>2038</v>
      </c>
      <c r="L23" s="99">
        <v>11089</v>
      </c>
      <c r="M23" s="99">
        <v>7115</v>
      </c>
      <c r="N23" s="99">
        <v>18204</v>
      </c>
      <c r="O23" s="99">
        <v>451</v>
      </c>
      <c r="P23" s="99">
        <v>243</v>
      </c>
      <c r="Q23" s="99">
        <v>694</v>
      </c>
      <c r="R23" s="99">
        <v>1890</v>
      </c>
      <c r="S23" s="99">
        <v>1379</v>
      </c>
      <c r="T23" s="99">
        <v>3269</v>
      </c>
      <c r="U23" s="99">
        <v>1511</v>
      </c>
      <c r="V23" s="99">
        <v>2198</v>
      </c>
      <c r="W23" s="99">
        <v>3709</v>
      </c>
      <c r="X23" s="88" t="b">
        <f>C23='22TeacherPost'!R23</f>
        <v>1</v>
      </c>
      <c r="Y23" s="88" t="b">
        <f>D23='22TeacherPost'!S23</f>
        <v>1</v>
      </c>
      <c r="Z23" s="88" t="b">
        <f>E23='22TeacherPost'!T23</f>
        <v>1</v>
      </c>
    </row>
    <row r="24" spans="1:26" ht="24.75" customHeight="1">
      <c r="A24" s="82">
        <v>20</v>
      </c>
      <c r="B24" s="181" t="s">
        <v>34</v>
      </c>
      <c r="C24" s="99">
        <v>94345</v>
      </c>
      <c r="D24" s="99">
        <v>68328</v>
      </c>
      <c r="E24" s="99">
        <v>162673</v>
      </c>
      <c r="F24" s="99">
        <v>11942</v>
      </c>
      <c r="G24" s="99">
        <v>6838</v>
      </c>
      <c r="H24" s="99">
        <v>18780</v>
      </c>
      <c r="I24" s="99">
        <v>1933</v>
      </c>
      <c r="J24" s="99">
        <v>822</v>
      </c>
      <c r="K24" s="99">
        <v>2755</v>
      </c>
      <c r="L24" s="99">
        <v>22655</v>
      </c>
      <c r="M24" s="99">
        <v>14012</v>
      </c>
      <c r="N24" s="99">
        <v>36667</v>
      </c>
      <c r="O24" s="99">
        <v>580</v>
      </c>
      <c r="P24" s="99">
        <v>277</v>
      </c>
      <c r="Q24" s="99">
        <v>857</v>
      </c>
      <c r="R24" s="99">
        <v>4779</v>
      </c>
      <c r="S24" s="99">
        <v>3356</v>
      </c>
      <c r="T24" s="99">
        <v>8135</v>
      </c>
      <c r="U24" s="99">
        <v>6717</v>
      </c>
      <c r="V24" s="99">
        <v>5844</v>
      </c>
      <c r="W24" s="99">
        <v>12561</v>
      </c>
      <c r="X24" s="88" t="b">
        <f>C24='22TeacherPost'!R24</f>
        <v>1</v>
      </c>
      <c r="Y24" s="88" t="b">
        <f>D24='22TeacherPost'!S24</f>
        <v>1</v>
      </c>
      <c r="Z24" s="88" t="b">
        <f>E24='22TeacherPost'!T24</f>
        <v>1</v>
      </c>
    </row>
    <row r="25" spans="1:26" ht="24.75" customHeight="1">
      <c r="A25" s="82">
        <v>21</v>
      </c>
      <c r="B25" s="181" t="s">
        <v>35</v>
      </c>
      <c r="C25" s="99">
        <v>2946</v>
      </c>
      <c r="D25" s="99">
        <v>2873</v>
      </c>
      <c r="E25" s="99">
        <v>5819</v>
      </c>
      <c r="F25" s="99">
        <v>206</v>
      </c>
      <c r="G25" s="99">
        <v>131</v>
      </c>
      <c r="H25" s="99">
        <v>337</v>
      </c>
      <c r="I25" s="99">
        <v>444</v>
      </c>
      <c r="J25" s="99">
        <v>473</v>
      </c>
      <c r="K25" s="99">
        <v>917</v>
      </c>
      <c r="L25" s="99">
        <v>557</v>
      </c>
      <c r="M25" s="99">
        <v>480</v>
      </c>
      <c r="N25" s="99">
        <v>1037</v>
      </c>
      <c r="O25" s="99">
        <v>15</v>
      </c>
      <c r="P25" s="99">
        <v>14</v>
      </c>
      <c r="Q25" s="99">
        <v>29</v>
      </c>
      <c r="R25" s="99">
        <v>96</v>
      </c>
      <c r="S25" s="99">
        <v>29</v>
      </c>
      <c r="T25" s="99">
        <v>125</v>
      </c>
      <c r="U25" s="99">
        <v>590</v>
      </c>
      <c r="V25" s="99">
        <v>549</v>
      </c>
      <c r="W25" s="99">
        <v>1139</v>
      </c>
      <c r="X25" s="88" t="b">
        <f>C25='22TeacherPost'!R25</f>
        <v>1</v>
      </c>
      <c r="Y25" s="88" t="b">
        <f>D25='22TeacherPost'!S25</f>
        <v>1</v>
      </c>
      <c r="Z25" s="88" t="b">
        <f>E25='22TeacherPost'!T25</f>
        <v>1</v>
      </c>
    </row>
    <row r="26" spans="1:26" ht="24.75" customHeight="1">
      <c r="A26" s="82">
        <v>22</v>
      </c>
      <c r="B26" s="181" t="s">
        <v>36</v>
      </c>
      <c r="C26" s="99">
        <v>1560</v>
      </c>
      <c r="D26" s="99">
        <v>2052</v>
      </c>
      <c r="E26" s="99">
        <v>3612</v>
      </c>
      <c r="F26" s="99">
        <v>49</v>
      </c>
      <c r="G26" s="99">
        <v>32</v>
      </c>
      <c r="H26" s="99">
        <v>81</v>
      </c>
      <c r="I26" s="99">
        <v>901</v>
      </c>
      <c r="J26" s="99">
        <v>1634</v>
      </c>
      <c r="K26" s="99">
        <v>2535</v>
      </c>
      <c r="L26" s="99">
        <v>74</v>
      </c>
      <c r="M26" s="99">
        <v>42</v>
      </c>
      <c r="N26" s="99">
        <v>116</v>
      </c>
      <c r="O26" s="99">
        <v>14</v>
      </c>
      <c r="P26" s="99">
        <v>6</v>
      </c>
      <c r="Q26" s="99">
        <v>20</v>
      </c>
      <c r="R26" s="99">
        <v>108</v>
      </c>
      <c r="S26" s="99">
        <v>52</v>
      </c>
      <c r="T26" s="99">
        <v>160</v>
      </c>
      <c r="U26" s="99">
        <v>903</v>
      </c>
      <c r="V26" s="99">
        <v>1650</v>
      </c>
      <c r="W26" s="99">
        <v>2553</v>
      </c>
      <c r="X26" s="88" t="b">
        <f>C26='22TeacherPost'!R26</f>
        <v>1</v>
      </c>
      <c r="Y26" s="88" t="b">
        <f>D26='22TeacherPost'!S26</f>
        <v>1</v>
      </c>
      <c r="Z26" s="88" t="b">
        <f>E26='22TeacherPost'!T26</f>
        <v>1</v>
      </c>
    </row>
    <row r="27" spans="1:26" ht="24.75" customHeight="1">
      <c r="A27" s="82">
        <v>23</v>
      </c>
      <c r="B27" s="181" t="s">
        <v>37</v>
      </c>
      <c r="C27" s="99">
        <v>1073</v>
      </c>
      <c r="D27" s="99">
        <v>960</v>
      </c>
      <c r="E27" s="99">
        <v>2033</v>
      </c>
      <c r="F27" s="99">
        <v>35</v>
      </c>
      <c r="G27" s="99">
        <v>13</v>
      </c>
      <c r="H27" s="99">
        <v>48</v>
      </c>
      <c r="I27" s="99">
        <v>800</v>
      </c>
      <c r="J27" s="99">
        <v>897</v>
      </c>
      <c r="K27" s="99">
        <v>1697</v>
      </c>
      <c r="L27" s="99">
        <v>73</v>
      </c>
      <c r="M27" s="99">
        <v>14</v>
      </c>
      <c r="N27" s="99">
        <v>87</v>
      </c>
      <c r="O27" s="99">
        <v>5</v>
      </c>
      <c r="P27" s="99">
        <v>1</v>
      </c>
      <c r="Q27" s="99">
        <v>6</v>
      </c>
      <c r="R27" s="99">
        <v>16</v>
      </c>
      <c r="S27" s="99">
        <v>1</v>
      </c>
      <c r="T27" s="99">
        <v>17</v>
      </c>
      <c r="U27" s="99">
        <v>804</v>
      </c>
      <c r="V27" s="99">
        <v>905</v>
      </c>
      <c r="W27" s="99">
        <v>1709</v>
      </c>
      <c r="X27" s="88" t="b">
        <f>C27='22TeacherPost'!R27</f>
        <v>1</v>
      </c>
      <c r="Y27" s="88" t="b">
        <f>D27='22TeacherPost'!S27</f>
        <v>1</v>
      </c>
      <c r="Z27" s="88" t="b">
        <f>E27='22TeacherPost'!T27</f>
        <v>1</v>
      </c>
    </row>
    <row r="28" spans="1:26" ht="24.75" customHeight="1">
      <c r="A28" s="82">
        <v>24</v>
      </c>
      <c r="B28" s="181" t="s">
        <v>38</v>
      </c>
      <c r="C28" s="99">
        <v>1059</v>
      </c>
      <c r="D28" s="99">
        <v>1374</v>
      </c>
      <c r="E28" s="99">
        <v>2433</v>
      </c>
      <c r="F28" s="99">
        <v>36</v>
      </c>
      <c r="G28" s="99">
        <v>13</v>
      </c>
      <c r="H28" s="99">
        <v>49</v>
      </c>
      <c r="I28" s="99">
        <v>713</v>
      </c>
      <c r="J28" s="99">
        <v>1265</v>
      </c>
      <c r="K28" s="99">
        <v>1978</v>
      </c>
      <c r="L28" s="99">
        <v>88</v>
      </c>
      <c r="M28" s="99">
        <v>30</v>
      </c>
      <c r="N28" s="99">
        <v>118</v>
      </c>
      <c r="O28" s="99">
        <v>1</v>
      </c>
      <c r="P28" s="99">
        <v>1</v>
      </c>
      <c r="Q28" s="99">
        <v>2</v>
      </c>
      <c r="R28" s="99">
        <v>21</v>
      </c>
      <c r="S28" s="99">
        <v>5</v>
      </c>
      <c r="T28" s="99">
        <v>26</v>
      </c>
      <c r="U28" s="99">
        <v>770</v>
      </c>
      <c r="V28" s="99">
        <v>1291</v>
      </c>
      <c r="W28" s="99">
        <v>2061</v>
      </c>
      <c r="X28" s="88" t="b">
        <f>C28='22TeacherPost'!R28</f>
        <v>1</v>
      </c>
      <c r="Y28" s="88" t="b">
        <f>D28='22TeacherPost'!S28</f>
        <v>1</v>
      </c>
      <c r="Z28" s="88" t="b">
        <f>E28='22TeacherPost'!T28</f>
        <v>1</v>
      </c>
    </row>
    <row r="29" spans="1:26" ht="24.75" customHeight="1">
      <c r="A29" s="82">
        <v>25</v>
      </c>
      <c r="B29" s="181" t="s">
        <v>39</v>
      </c>
      <c r="C29" s="99">
        <v>25787</v>
      </c>
      <c r="D29" s="99">
        <v>16186</v>
      </c>
      <c r="E29" s="99">
        <v>41973</v>
      </c>
      <c r="F29" s="99">
        <v>1376</v>
      </c>
      <c r="G29" s="99">
        <v>821</v>
      </c>
      <c r="H29" s="99">
        <v>2197</v>
      </c>
      <c r="I29" s="99">
        <v>646</v>
      </c>
      <c r="J29" s="99">
        <v>649</v>
      </c>
      <c r="K29" s="99">
        <v>1295</v>
      </c>
      <c r="L29" s="99">
        <v>4041</v>
      </c>
      <c r="M29" s="99">
        <v>1973</v>
      </c>
      <c r="N29" s="99">
        <v>6014</v>
      </c>
      <c r="O29" s="99">
        <v>148</v>
      </c>
      <c r="P29" s="99">
        <v>69</v>
      </c>
      <c r="Q29" s="99">
        <v>217</v>
      </c>
      <c r="R29" s="99">
        <v>282</v>
      </c>
      <c r="S29" s="99">
        <v>158</v>
      </c>
      <c r="T29" s="99">
        <v>440</v>
      </c>
      <c r="U29" s="99">
        <v>210</v>
      </c>
      <c r="V29" s="99">
        <v>349</v>
      </c>
      <c r="W29" s="99">
        <v>559</v>
      </c>
      <c r="X29" s="88" t="b">
        <f>C29='22TeacherPost'!R29</f>
        <v>1</v>
      </c>
      <c r="Y29" s="88" t="b">
        <f>D29='22TeacherPost'!S29</f>
        <v>1</v>
      </c>
      <c r="Z29" s="88" t="b">
        <f>E29='22TeacherPost'!T29</f>
        <v>1</v>
      </c>
    </row>
    <row r="30" spans="1:26" ht="24.75" customHeight="1">
      <c r="A30" s="82">
        <v>26</v>
      </c>
      <c r="B30" s="181" t="s">
        <v>40</v>
      </c>
      <c r="C30" s="99">
        <v>3654</v>
      </c>
      <c r="D30" s="99">
        <v>3003</v>
      </c>
      <c r="E30" s="99">
        <v>6657</v>
      </c>
      <c r="F30" s="99">
        <v>407</v>
      </c>
      <c r="G30" s="99">
        <v>294</v>
      </c>
      <c r="H30" s="99">
        <v>701</v>
      </c>
      <c r="I30" s="99">
        <v>31</v>
      </c>
      <c r="J30" s="99">
        <v>14</v>
      </c>
      <c r="K30" s="99">
        <v>45</v>
      </c>
      <c r="L30" s="99">
        <v>2065</v>
      </c>
      <c r="M30" s="99">
        <v>1870</v>
      </c>
      <c r="N30" s="99">
        <v>3935</v>
      </c>
      <c r="O30" s="99">
        <v>35</v>
      </c>
      <c r="P30" s="99">
        <v>6</v>
      </c>
      <c r="Q30" s="99">
        <v>41</v>
      </c>
      <c r="R30" s="99">
        <v>102</v>
      </c>
      <c r="S30" s="99">
        <v>64</v>
      </c>
      <c r="T30" s="99">
        <v>166</v>
      </c>
      <c r="U30" s="99">
        <v>284</v>
      </c>
      <c r="V30" s="99">
        <v>305</v>
      </c>
      <c r="W30" s="99">
        <v>589</v>
      </c>
      <c r="X30" s="88" t="b">
        <f>C30='22TeacherPost'!R30</f>
        <v>1</v>
      </c>
      <c r="Y30" s="88" t="b">
        <f>D30='22TeacherPost'!S30</f>
        <v>1</v>
      </c>
      <c r="Z30" s="88" t="b">
        <f>E30='22TeacherPost'!T30</f>
        <v>1</v>
      </c>
    </row>
    <row r="31" spans="1:26" ht="24.75" customHeight="1">
      <c r="A31" s="82">
        <v>27</v>
      </c>
      <c r="B31" s="181" t="s">
        <v>41</v>
      </c>
      <c r="C31" s="99">
        <v>20217</v>
      </c>
      <c r="D31" s="99">
        <v>30261</v>
      </c>
      <c r="E31" s="99">
        <v>50478</v>
      </c>
      <c r="F31" s="99">
        <v>1593</v>
      </c>
      <c r="G31" s="99">
        <v>2160</v>
      </c>
      <c r="H31" s="99">
        <v>3753</v>
      </c>
      <c r="I31" s="99">
        <v>28</v>
      </c>
      <c r="J31" s="99">
        <v>21</v>
      </c>
      <c r="K31" s="99">
        <v>49</v>
      </c>
      <c r="L31" s="99">
        <v>1104</v>
      </c>
      <c r="M31" s="99">
        <v>1504</v>
      </c>
      <c r="N31" s="99">
        <v>2608</v>
      </c>
      <c r="O31" s="99">
        <v>120</v>
      </c>
      <c r="P31" s="99">
        <v>131</v>
      </c>
      <c r="Q31" s="99">
        <v>251</v>
      </c>
      <c r="R31" s="99">
        <v>481</v>
      </c>
      <c r="S31" s="99">
        <v>194</v>
      </c>
      <c r="T31" s="99">
        <v>675</v>
      </c>
      <c r="U31" s="99">
        <v>8529</v>
      </c>
      <c r="V31" s="99">
        <v>16114</v>
      </c>
      <c r="W31" s="99">
        <v>24643</v>
      </c>
      <c r="X31" s="88" t="b">
        <f>C31='22TeacherPost'!R31</f>
        <v>1</v>
      </c>
      <c r="Y31" s="88" t="b">
        <f>D31='22TeacherPost'!S31</f>
        <v>1</v>
      </c>
      <c r="Z31" s="88" t="b">
        <f>E31='22TeacherPost'!T31</f>
        <v>1</v>
      </c>
    </row>
    <row r="32" spans="1:26" ht="24.75" customHeight="1">
      <c r="A32" s="82">
        <v>28</v>
      </c>
      <c r="B32" s="181" t="s">
        <v>42</v>
      </c>
      <c r="C32" s="99">
        <v>51359</v>
      </c>
      <c r="D32" s="99">
        <v>29061</v>
      </c>
      <c r="E32" s="99">
        <v>80420</v>
      </c>
      <c r="F32" s="99">
        <v>4928</v>
      </c>
      <c r="G32" s="99">
        <v>1431</v>
      </c>
      <c r="H32" s="99">
        <v>6359</v>
      </c>
      <c r="I32" s="99">
        <v>1933</v>
      </c>
      <c r="J32" s="99">
        <v>627</v>
      </c>
      <c r="K32" s="99">
        <v>2560</v>
      </c>
      <c r="L32" s="99">
        <v>17144</v>
      </c>
      <c r="M32" s="99">
        <v>7888</v>
      </c>
      <c r="N32" s="99">
        <v>25032</v>
      </c>
      <c r="O32" s="99">
        <v>320</v>
      </c>
      <c r="P32" s="99">
        <v>105</v>
      </c>
      <c r="Q32" s="99">
        <v>425</v>
      </c>
      <c r="R32" s="99">
        <v>1725</v>
      </c>
      <c r="S32" s="99">
        <v>681</v>
      </c>
      <c r="T32" s="99">
        <v>2406</v>
      </c>
      <c r="U32" s="99">
        <v>1147</v>
      </c>
      <c r="V32" s="99">
        <v>1355</v>
      </c>
      <c r="W32" s="99">
        <v>2502</v>
      </c>
      <c r="X32" s="88" t="b">
        <f>C32='22TeacherPost'!R32</f>
        <v>1</v>
      </c>
      <c r="Y32" s="88" t="b">
        <f>D32='22TeacherPost'!S32</f>
        <v>1</v>
      </c>
      <c r="Z32" s="88" t="b">
        <f>E32='22TeacherPost'!T32</f>
        <v>1</v>
      </c>
    </row>
    <row r="33" spans="1:26" ht="24.75" customHeight="1">
      <c r="A33" s="82">
        <v>29</v>
      </c>
      <c r="B33" s="181" t="s">
        <v>43</v>
      </c>
      <c r="C33" s="99">
        <v>996</v>
      </c>
      <c r="D33" s="99">
        <v>728</v>
      </c>
      <c r="E33" s="99">
        <v>1724</v>
      </c>
      <c r="F33" s="99">
        <v>53</v>
      </c>
      <c r="G33" s="99">
        <v>16</v>
      </c>
      <c r="H33" s="99">
        <v>69</v>
      </c>
      <c r="I33" s="99">
        <v>189</v>
      </c>
      <c r="J33" s="99">
        <v>254</v>
      </c>
      <c r="K33" s="99">
        <v>443</v>
      </c>
      <c r="L33" s="99">
        <v>219</v>
      </c>
      <c r="M33" s="99">
        <v>204</v>
      </c>
      <c r="N33" s="99">
        <v>423</v>
      </c>
      <c r="O33" s="99">
        <v>4</v>
      </c>
      <c r="P33" s="99">
        <v>1</v>
      </c>
      <c r="Q33" s="99">
        <v>5</v>
      </c>
      <c r="R33" s="99">
        <v>23</v>
      </c>
      <c r="S33" s="99">
        <v>5</v>
      </c>
      <c r="T33" s="99">
        <v>28</v>
      </c>
      <c r="U33" s="99">
        <v>195</v>
      </c>
      <c r="V33" s="99">
        <v>273</v>
      </c>
      <c r="W33" s="99">
        <v>468</v>
      </c>
      <c r="X33" s="88" t="b">
        <f>C33='22TeacherPost'!R33</f>
        <v>1</v>
      </c>
      <c r="Y33" s="88" t="b">
        <f>D33='22TeacherPost'!S33</f>
        <v>1</v>
      </c>
      <c r="Z33" s="88" t="b">
        <f>E33='22TeacherPost'!T33</f>
        <v>1</v>
      </c>
    </row>
    <row r="34" spans="1:26" ht="24.75" customHeight="1">
      <c r="A34" s="82">
        <v>30</v>
      </c>
      <c r="B34" s="181" t="s">
        <v>44</v>
      </c>
      <c r="C34" s="99">
        <v>101876</v>
      </c>
      <c r="D34" s="99">
        <v>101539</v>
      </c>
      <c r="E34" s="99">
        <v>203415</v>
      </c>
      <c r="F34" s="99">
        <v>12447</v>
      </c>
      <c r="G34" s="99">
        <v>10597</v>
      </c>
      <c r="H34" s="99">
        <v>23044</v>
      </c>
      <c r="I34" s="99">
        <v>302</v>
      </c>
      <c r="J34" s="99">
        <v>210</v>
      </c>
      <c r="K34" s="99">
        <v>512</v>
      </c>
      <c r="L34" s="99">
        <v>71558</v>
      </c>
      <c r="M34" s="99">
        <v>72770</v>
      </c>
      <c r="N34" s="99">
        <v>144328</v>
      </c>
      <c r="O34" s="99">
        <v>542</v>
      </c>
      <c r="P34" s="99">
        <v>400</v>
      </c>
      <c r="Q34" s="99">
        <v>942</v>
      </c>
      <c r="R34" s="99">
        <v>3421</v>
      </c>
      <c r="S34" s="99">
        <v>2619</v>
      </c>
      <c r="T34" s="99">
        <v>6040</v>
      </c>
      <c r="U34" s="99">
        <v>10127</v>
      </c>
      <c r="V34" s="99">
        <v>16263</v>
      </c>
      <c r="W34" s="99">
        <v>26390</v>
      </c>
      <c r="X34" s="88" t="b">
        <f>C34='22TeacherPost'!R34</f>
        <v>1</v>
      </c>
      <c r="Y34" s="88" t="b">
        <f>D34='22TeacherPost'!S34</f>
        <v>1</v>
      </c>
      <c r="Z34" s="88" t="b">
        <f>E34='22TeacherPost'!T34</f>
        <v>1</v>
      </c>
    </row>
    <row r="35" spans="1:26" ht="24.75" customHeight="1">
      <c r="A35" s="82">
        <v>31</v>
      </c>
      <c r="B35" s="181" t="s">
        <v>142</v>
      </c>
      <c r="C35" s="99">
        <v>48909</v>
      </c>
      <c r="D35" s="99">
        <v>34205</v>
      </c>
      <c r="E35" s="99">
        <v>83114</v>
      </c>
      <c r="F35" s="99">
        <v>5521</v>
      </c>
      <c r="G35" s="99">
        <v>3975</v>
      </c>
      <c r="H35" s="99">
        <v>9496</v>
      </c>
      <c r="I35" s="99">
        <v>2327</v>
      </c>
      <c r="J35" s="99">
        <v>724</v>
      </c>
      <c r="K35" s="99">
        <v>3051</v>
      </c>
      <c r="L35" s="99">
        <v>22194</v>
      </c>
      <c r="M35" s="99">
        <v>13623</v>
      </c>
      <c r="N35" s="99">
        <v>35817</v>
      </c>
      <c r="O35" s="99">
        <v>227</v>
      </c>
      <c r="P35" s="99">
        <v>90</v>
      </c>
      <c r="Q35" s="99">
        <v>317</v>
      </c>
      <c r="R35" s="99">
        <v>3775</v>
      </c>
      <c r="S35" s="99">
        <v>3171</v>
      </c>
      <c r="T35" s="99">
        <v>6946</v>
      </c>
      <c r="U35" s="99">
        <v>1087</v>
      </c>
      <c r="V35" s="99">
        <v>2090</v>
      </c>
      <c r="W35" s="99">
        <v>3177</v>
      </c>
      <c r="X35" s="88" t="b">
        <f>C35='22TeacherPost'!R35</f>
        <v>1</v>
      </c>
      <c r="Y35" s="88" t="b">
        <f>D35='22TeacherPost'!S35</f>
        <v>1</v>
      </c>
      <c r="Z35" s="88" t="b">
        <f>E35='22TeacherPost'!T35</f>
        <v>1</v>
      </c>
    </row>
    <row r="36" spans="1:26" ht="36" customHeight="1">
      <c r="A36" s="82">
        <v>32</v>
      </c>
      <c r="B36" s="181" t="s">
        <v>173</v>
      </c>
      <c r="C36" s="99">
        <v>321</v>
      </c>
      <c r="D36" s="99">
        <v>256</v>
      </c>
      <c r="E36" s="99">
        <v>577</v>
      </c>
      <c r="F36" s="99">
        <v>33</v>
      </c>
      <c r="G36" s="99">
        <v>11</v>
      </c>
      <c r="H36" s="99">
        <v>44</v>
      </c>
      <c r="I36" s="99">
        <v>22</v>
      </c>
      <c r="J36" s="99">
        <v>19</v>
      </c>
      <c r="K36" s="99">
        <v>41</v>
      </c>
      <c r="L36" s="99">
        <v>67</v>
      </c>
      <c r="M36" s="99">
        <v>37</v>
      </c>
      <c r="N36" s="99">
        <v>104</v>
      </c>
      <c r="O36" s="99">
        <v>7</v>
      </c>
      <c r="P36" s="99">
        <v>0</v>
      </c>
      <c r="Q36" s="99">
        <v>7</v>
      </c>
      <c r="R36" s="99">
        <v>10</v>
      </c>
      <c r="S36" s="99">
        <v>6</v>
      </c>
      <c r="T36" s="99">
        <v>16</v>
      </c>
      <c r="U36" s="99">
        <v>14</v>
      </c>
      <c r="V36" s="99">
        <v>26</v>
      </c>
      <c r="W36" s="99">
        <v>40</v>
      </c>
      <c r="X36" s="88" t="b">
        <f>C36='22TeacherPost'!R36</f>
        <v>1</v>
      </c>
      <c r="Y36" s="88" t="b">
        <f>D36='22TeacherPost'!S36</f>
        <v>1</v>
      </c>
      <c r="Z36" s="88" t="b">
        <f>E36='22TeacherPost'!T36</f>
        <v>1</v>
      </c>
    </row>
    <row r="37" spans="1:26" ht="24.75" customHeight="1">
      <c r="A37" s="82">
        <v>33</v>
      </c>
      <c r="B37" s="778" t="s">
        <v>45</v>
      </c>
      <c r="C37" s="99">
        <v>1562</v>
      </c>
      <c r="D37" s="99">
        <v>900</v>
      </c>
      <c r="E37" s="99">
        <v>2462</v>
      </c>
      <c r="F37" s="99">
        <v>221</v>
      </c>
      <c r="G37" s="99">
        <v>105</v>
      </c>
      <c r="H37" s="99">
        <v>326</v>
      </c>
      <c r="I37" s="99">
        <v>212</v>
      </c>
      <c r="J37" s="99">
        <v>132</v>
      </c>
      <c r="K37" s="99">
        <v>344</v>
      </c>
      <c r="L37" s="99">
        <v>162</v>
      </c>
      <c r="M37" s="99">
        <v>90</v>
      </c>
      <c r="N37" s="99">
        <v>252</v>
      </c>
      <c r="O37" s="99">
        <v>8</v>
      </c>
      <c r="P37" s="99">
        <v>1</v>
      </c>
      <c r="Q37" s="99">
        <v>9</v>
      </c>
      <c r="R37" s="99">
        <v>20</v>
      </c>
      <c r="S37" s="99">
        <v>6</v>
      </c>
      <c r="T37" s="99">
        <v>26</v>
      </c>
      <c r="U37" s="99">
        <v>91</v>
      </c>
      <c r="V37" s="99">
        <v>67</v>
      </c>
      <c r="W37" s="99">
        <v>158</v>
      </c>
      <c r="X37" s="88" t="b">
        <f>C37='22TeacherPost'!R37</f>
        <v>1</v>
      </c>
      <c r="Y37" s="88" t="b">
        <f>D37='22TeacherPost'!S37</f>
        <v>1</v>
      </c>
      <c r="Z37" s="88" t="b">
        <f>E37='22TeacherPost'!T37</f>
        <v>1</v>
      </c>
    </row>
    <row r="38" spans="1:26" ht="24.75" customHeight="1">
      <c r="A38" s="82">
        <v>34</v>
      </c>
      <c r="B38" s="181" t="s">
        <v>47</v>
      </c>
      <c r="C38" s="99">
        <v>116977</v>
      </c>
      <c r="D38" s="99">
        <v>54609</v>
      </c>
      <c r="E38" s="99">
        <v>171586</v>
      </c>
      <c r="F38" s="99">
        <v>11809</v>
      </c>
      <c r="G38" s="99">
        <v>3450</v>
      </c>
      <c r="H38" s="99">
        <v>15259</v>
      </c>
      <c r="I38" s="99">
        <v>299</v>
      </c>
      <c r="J38" s="99">
        <v>112</v>
      </c>
      <c r="K38" s="99">
        <v>411</v>
      </c>
      <c r="L38" s="99">
        <v>36797</v>
      </c>
      <c r="M38" s="99">
        <v>12769</v>
      </c>
      <c r="N38" s="99">
        <v>49566</v>
      </c>
      <c r="O38" s="99">
        <v>535</v>
      </c>
      <c r="P38" s="99">
        <v>158</v>
      </c>
      <c r="Q38" s="99">
        <v>693</v>
      </c>
      <c r="R38" s="99">
        <v>7750</v>
      </c>
      <c r="S38" s="99">
        <v>3418</v>
      </c>
      <c r="T38" s="99">
        <v>11168</v>
      </c>
      <c r="U38" s="99">
        <v>1331</v>
      </c>
      <c r="V38" s="99">
        <v>1721</v>
      </c>
      <c r="W38" s="99">
        <v>3052</v>
      </c>
      <c r="X38" s="88" t="b">
        <f>C38='22TeacherPost'!R38</f>
        <v>1</v>
      </c>
      <c r="Y38" s="88" t="b">
        <f>D38='22TeacherPost'!S38</f>
        <v>1</v>
      </c>
      <c r="Z38" s="88" t="b">
        <f>E38='22TeacherPost'!T38</f>
        <v>1</v>
      </c>
    </row>
    <row r="39" spans="1:26" ht="24.75" customHeight="1">
      <c r="A39" s="82">
        <v>35</v>
      </c>
      <c r="B39" s="181" t="s">
        <v>46</v>
      </c>
      <c r="C39" s="99">
        <v>11552</v>
      </c>
      <c r="D39" s="99">
        <v>7428</v>
      </c>
      <c r="E39" s="99">
        <v>18980</v>
      </c>
      <c r="F39" s="99">
        <v>942</v>
      </c>
      <c r="G39" s="99">
        <v>469</v>
      </c>
      <c r="H39" s="99">
        <v>1411</v>
      </c>
      <c r="I39" s="99">
        <v>113</v>
      </c>
      <c r="J39" s="99">
        <v>74</v>
      </c>
      <c r="K39" s="99">
        <v>187</v>
      </c>
      <c r="L39" s="99">
        <v>1404</v>
      </c>
      <c r="M39" s="99">
        <v>729</v>
      </c>
      <c r="N39" s="99">
        <v>2133</v>
      </c>
      <c r="O39" s="99">
        <v>75</v>
      </c>
      <c r="P39" s="99">
        <v>24</v>
      </c>
      <c r="Q39" s="99">
        <v>99</v>
      </c>
      <c r="R39" s="99">
        <v>444</v>
      </c>
      <c r="S39" s="99">
        <v>221</v>
      </c>
      <c r="T39" s="99">
        <v>665</v>
      </c>
      <c r="U39" s="99">
        <v>209</v>
      </c>
      <c r="V39" s="99">
        <v>250</v>
      </c>
      <c r="W39" s="99">
        <v>459</v>
      </c>
      <c r="X39" s="88" t="b">
        <f>C39='22TeacherPost'!R39</f>
        <v>1</v>
      </c>
      <c r="Y39" s="88" t="b">
        <f>D39='22TeacherPost'!S39</f>
        <v>1</v>
      </c>
      <c r="Z39" s="88" t="b">
        <f>E39='22TeacherPost'!T39</f>
        <v>1</v>
      </c>
    </row>
    <row r="40" spans="1:26" ht="24.75" customHeight="1">
      <c r="A40" s="82">
        <v>36</v>
      </c>
      <c r="B40" s="181" t="s">
        <v>48</v>
      </c>
      <c r="C40" s="99">
        <v>45440</v>
      </c>
      <c r="D40" s="99">
        <v>25253</v>
      </c>
      <c r="E40" s="99">
        <v>70693</v>
      </c>
      <c r="F40" s="99">
        <v>5751</v>
      </c>
      <c r="G40" s="99">
        <v>2158</v>
      </c>
      <c r="H40" s="99">
        <v>7909</v>
      </c>
      <c r="I40" s="99">
        <v>628</v>
      </c>
      <c r="J40" s="99">
        <v>452</v>
      </c>
      <c r="K40" s="99">
        <v>1080</v>
      </c>
      <c r="L40" s="99">
        <v>5328</v>
      </c>
      <c r="M40" s="99">
        <v>1798</v>
      </c>
      <c r="N40" s="99">
        <v>7126</v>
      </c>
      <c r="O40" s="99">
        <v>308</v>
      </c>
      <c r="P40" s="99">
        <v>84</v>
      </c>
      <c r="Q40" s="99">
        <v>392</v>
      </c>
      <c r="R40" s="99">
        <v>4379</v>
      </c>
      <c r="S40" s="99">
        <v>1302</v>
      </c>
      <c r="T40" s="99">
        <v>5681</v>
      </c>
      <c r="U40" s="99">
        <v>458</v>
      </c>
      <c r="V40" s="99">
        <v>443</v>
      </c>
      <c r="W40" s="99">
        <v>901</v>
      </c>
      <c r="X40" s="88" t="b">
        <f>C40='22TeacherPost'!R40</f>
        <v>1</v>
      </c>
      <c r="Y40" s="88" t="b">
        <f>D40='22TeacherPost'!S40</f>
        <v>1</v>
      </c>
      <c r="Z40" s="88" t="b">
        <f>E40='22TeacherPost'!T40</f>
        <v>1</v>
      </c>
    </row>
    <row r="41" spans="1:26" s="831" customFormat="1" ht="30.75" customHeight="1">
      <c r="A41" s="1049" t="s">
        <v>49</v>
      </c>
      <c r="B41" s="1049"/>
      <c r="C41" s="182">
        <v>886140</v>
      </c>
      <c r="D41" s="182">
        <v>664930</v>
      </c>
      <c r="E41" s="182">
        <v>1551070</v>
      </c>
      <c r="F41" s="182">
        <v>88733</v>
      </c>
      <c r="G41" s="182">
        <v>52811</v>
      </c>
      <c r="H41" s="182">
        <v>141544</v>
      </c>
      <c r="I41" s="182">
        <v>22290</v>
      </c>
      <c r="J41" s="182">
        <v>16703</v>
      </c>
      <c r="K41" s="182">
        <v>38993</v>
      </c>
      <c r="L41" s="182">
        <v>292270</v>
      </c>
      <c r="M41" s="182">
        <v>207931</v>
      </c>
      <c r="N41" s="182">
        <v>500201</v>
      </c>
      <c r="O41" s="182">
        <v>5750</v>
      </c>
      <c r="P41" s="182">
        <v>2763</v>
      </c>
      <c r="Q41" s="182">
        <v>8513</v>
      </c>
      <c r="R41" s="182">
        <v>54127</v>
      </c>
      <c r="S41" s="182">
        <v>32187</v>
      </c>
      <c r="T41" s="182">
        <v>86314</v>
      </c>
      <c r="U41" s="182">
        <v>53342</v>
      </c>
      <c r="V41" s="182">
        <v>83379</v>
      </c>
      <c r="W41" s="182">
        <v>136721</v>
      </c>
      <c r="X41" s="88" t="b">
        <f>C41='22TeacherPost'!R41</f>
        <v>1</v>
      </c>
      <c r="Y41" s="88" t="b">
        <f>D41='22TeacherPost'!S41</f>
        <v>1</v>
      </c>
      <c r="Z41" s="88" t="b">
        <f>E41='22TeacherPost'!T41</f>
        <v>1</v>
      </c>
    </row>
    <row r="42" spans="1:26">
      <c r="C42" s="832">
        <f>C41/E41*100</f>
        <v>57.130883841477178</v>
      </c>
      <c r="D42" s="832">
        <f>D41/E41*100</f>
        <v>42.869116158522822</v>
      </c>
    </row>
  </sheetData>
  <mergeCells count="12">
    <mergeCell ref="U2:W2"/>
    <mergeCell ref="A41:B41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51181102362204722" right="0.39370078740157483" top="0.39370078740157483" bottom="0.39370078740157483" header="0.27559055118110237" footer="0.23622047244094491"/>
  <pageSetup paperSize="9" scale="75" firstPageNumber="2" pageOrder="overThenDown" orientation="portrait" useFirstPageNumber="1" r:id="rId1"/>
  <headerFooter>
    <oddFooter>&amp;LAISHE 2020-21&amp;CT-21a</oddFooter>
  </headerFooter>
  <colBreaks count="1" manualBreakCount="1">
    <brk id="14" max="39" man="1"/>
  </colBreak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00B050"/>
  </sheetPr>
  <dimension ref="A1:W41"/>
  <sheetViews>
    <sheetView view="pageBreakPreview" topLeftCell="O1" zoomScaleSheetLayoutView="100" workbookViewId="0">
      <pane ySplit="3" topLeftCell="A28" activePane="bottomLeft" state="frozen"/>
      <selection activeCell="H31" sqref="H31"/>
      <selection pane="bottomLeft" activeCell="W41" sqref="W41"/>
    </sheetView>
  </sheetViews>
  <sheetFormatPr defaultColWidth="9.1796875" defaultRowHeight="14"/>
  <cols>
    <col min="1" max="1" width="4.81640625" style="183" customWidth="1"/>
    <col min="2" max="2" width="25" style="87" customWidth="1"/>
    <col min="3" max="8" width="13.26953125" style="87" customWidth="1"/>
    <col min="9" max="14" width="14" style="87" customWidth="1"/>
    <col min="15" max="23" width="10" style="87" customWidth="1"/>
    <col min="24" max="16384" width="9.1796875" style="87"/>
  </cols>
  <sheetData>
    <row r="1" spans="1:23" s="184" customFormat="1" ht="35.25" customHeight="1">
      <c r="A1" s="60"/>
      <c r="B1" s="578" t="s">
        <v>873</v>
      </c>
      <c r="C1" s="1061" t="s">
        <v>1031</v>
      </c>
      <c r="D1" s="1061"/>
      <c r="E1" s="1061"/>
      <c r="F1" s="1061"/>
      <c r="G1" s="1061"/>
      <c r="H1" s="1061"/>
      <c r="I1" s="1062" t="str">
        <f>C1</f>
        <v>State &amp; Post-wise Number of Male &amp; Female Teachers 
(Based on Actual Response)</v>
      </c>
      <c r="J1" s="1062"/>
      <c r="K1" s="1062"/>
      <c r="L1" s="1062"/>
      <c r="M1" s="1062"/>
      <c r="N1" s="1062"/>
      <c r="O1" s="1062" t="str">
        <f>I1</f>
        <v>State &amp; Post-wise Number of Male &amp; Female Teachers 
(Based on Actual Response)</v>
      </c>
      <c r="P1" s="1062"/>
      <c r="Q1" s="1062"/>
      <c r="R1" s="1062"/>
      <c r="S1" s="1062"/>
      <c r="T1" s="1062"/>
      <c r="U1" s="1062"/>
      <c r="V1" s="1062"/>
      <c r="W1" s="1062"/>
    </row>
    <row r="2" spans="1:23" s="185" customFormat="1" ht="31.5" customHeight="1">
      <c r="A2" s="915" t="s">
        <v>874</v>
      </c>
      <c r="B2" s="1063" t="s">
        <v>236</v>
      </c>
      <c r="C2" s="1063" t="s">
        <v>336</v>
      </c>
      <c r="D2" s="1063"/>
      <c r="E2" s="1063"/>
      <c r="F2" s="1063" t="s">
        <v>337</v>
      </c>
      <c r="G2" s="1064"/>
      <c r="H2" s="1064"/>
      <c r="I2" s="1063" t="s">
        <v>338</v>
      </c>
      <c r="J2" s="1064"/>
      <c r="K2" s="1064"/>
      <c r="L2" s="1063" t="s">
        <v>339</v>
      </c>
      <c r="M2" s="1064"/>
      <c r="N2" s="1064"/>
      <c r="O2" s="1063" t="s">
        <v>875</v>
      </c>
      <c r="P2" s="1064"/>
      <c r="Q2" s="1064"/>
      <c r="R2" s="1056" t="s">
        <v>60</v>
      </c>
      <c r="S2" s="1057"/>
      <c r="T2" s="1058"/>
      <c r="U2" s="1059" t="s">
        <v>342</v>
      </c>
      <c r="V2" s="1060"/>
      <c r="W2" s="1060"/>
    </row>
    <row r="3" spans="1:23" s="186" customFormat="1" ht="21.75" customHeight="1">
      <c r="A3" s="915"/>
      <c r="B3" s="1063"/>
      <c r="C3" s="582" t="s">
        <v>87</v>
      </c>
      <c r="D3" s="582" t="s">
        <v>88</v>
      </c>
      <c r="E3" s="582" t="s">
        <v>12</v>
      </c>
      <c r="F3" s="582" t="s">
        <v>87</v>
      </c>
      <c r="G3" s="582" t="s">
        <v>88</v>
      </c>
      <c r="H3" s="582" t="s">
        <v>12</v>
      </c>
      <c r="I3" s="582" t="s">
        <v>87</v>
      </c>
      <c r="J3" s="582" t="s">
        <v>88</v>
      </c>
      <c r="K3" s="582" t="s">
        <v>12</v>
      </c>
      <c r="L3" s="582" t="s">
        <v>87</v>
      </c>
      <c r="M3" s="582" t="s">
        <v>88</v>
      </c>
      <c r="N3" s="582" t="s">
        <v>12</v>
      </c>
      <c r="O3" s="582" t="s">
        <v>87</v>
      </c>
      <c r="P3" s="582" t="s">
        <v>88</v>
      </c>
      <c r="Q3" s="582" t="s">
        <v>12</v>
      </c>
      <c r="R3" s="582" t="s">
        <v>87</v>
      </c>
      <c r="S3" s="582" t="s">
        <v>88</v>
      </c>
      <c r="T3" s="582" t="s">
        <v>12</v>
      </c>
      <c r="U3" s="581" t="s">
        <v>87</v>
      </c>
      <c r="V3" s="581" t="s">
        <v>88</v>
      </c>
      <c r="W3" s="581" t="s">
        <v>12</v>
      </c>
    </row>
    <row r="4" spans="1:23" s="185" customFormat="1">
      <c r="A4" s="179">
        <v>1</v>
      </c>
      <c r="B4" s="179">
        <v>2</v>
      </c>
      <c r="C4" s="179">
        <v>3</v>
      </c>
      <c r="D4" s="179">
        <v>4</v>
      </c>
      <c r="E4" s="179">
        <v>5</v>
      </c>
      <c r="F4" s="179">
        <v>6</v>
      </c>
      <c r="G4" s="179">
        <v>7</v>
      </c>
      <c r="H4" s="179">
        <v>8</v>
      </c>
      <c r="I4" s="179">
        <v>9</v>
      </c>
      <c r="J4" s="179">
        <v>10</v>
      </c>
      <c r="K4" s="179">
        <v>11</v>
      </c>
      <c r="L4" s="179">
        <v>12</v>
      </c>
      <c r="M4" s="179">
        <v>13</v>
      </c>
      <c r="N4" s="179">
        <v>14</v>
      </c>
      <c r="O4" s="179">
        <v>15</v>
      </c>
      <c r="P4" s="179">
        <v>16</v>
      </c>
      <c r="Q4" s="179">
        <v>17</v>
      </c>
      <c r="R4" s="179">
        <v>18</v>
      </c>
      <c r="S4" s="179">
        <v>19</v>
      </c>
      <c r="T4" s="179">
        <v>20</v>
      </c>
      <c r="U4" s="179">
        <v>21</v>
      </c>
      <c r="V4" s="179">
        <v>22</v>
      </c>
      <c r="W4" s="179">
        <v>23</v>
      </c>
    </row>
    <row r="5" spans="1:23" ht="33" customHeight="1">
      <c r="A5" s="82">
        <v>1</v>
      </c>
      <c r="B5" s="181" t="s">
        <v>171</v>
      </c>
      <c r="C5" s="128">
        <v>25</v>
      </c>
      <c r="D5" s="128">
        <v>2</v>
      </c>
      <c r="E5" s="128">
        <v>27</v>
      </c>
      <c r="F5" s="128">
        <v>52</v>
      </c>
      <c r="G5" s="128">
        <v>12</v>
      </c>
      <c r="H5" s="128">
        <v>64</v>
      </c>
      <c r="I5" s="128">
        <v>99</v>
      </c>
      <c r="J5" s="128">
        <v>47</v>
      </c>
      <c r="K5" s="128">
        <v>146</v>
      </c>
      <c r="L5" s="128">
        <v>12</v>
      </c>
      <c r="M5" s="128">
        <v>8</v>
      </c>
      <c r="N5" s="128">
        <v>20</v>
      </c>
      <c r="O5" s="128">
        <v>50</v>
      </c>
      <c r="P5" s="128">
        <v>112</v>
      </c>
      <c r="Q5" s="128">
        <v>162</v>
      </c>
      <c r="R5" s="128">
        <v>249</v>
      </c>
      <c r="S5" s="128">
        <v>204</v>
      </c>
      <c r="T5" s="128">
        <v>453</v>
      </c>
      <c r="U5" s="128">
        <v>11</v>
      </c>
      <c r="V5" s="128">
        <v>23</v>
      </c>
      <c r="W5" s="128">
        <v>34</v>
      </c>
    </row>
    <row r="6" spans="1:23" ht="24.75" customHeight="1">
      <c r="A6" s="82">
        <v>2</v>
      </c>
      <c r="B6" s="181" t="s">
        <v>15</v>
      </c>
      <c r="C6" s="128">
        <v>7261</v>
      </c>
      <c r="D6" s="128">
        <v>2150</v>
      </c>
      <c r="E6" s="128">
        <v>9411</v>
      </c>
      <c r="F6" s="128">
        <v>6633</v>
      </c>
      <c r="G6" s="128">
        <v>2687</v>
      </c>
      <c r="H6" s="128">
        <v>9320</v>
      </c>
      <c r="I6" s="128">
        <v>47557</v>
      </c>
      <c r="J6" s="128">
        <v>27520</v>
      </c>
      <c r="K6" s="128">
        <v>75077</v>
      </c>
      <c r="L6" s="128">
        <v>885</v>
      </c>
      <c r="M6" s="128">
        <v>4019</v>
      </c>
      <c r="N6" s="128">
        <v>4904</v>
      </c>
      <c r="O6" s="128">
        <v>2212</v>
      </c>
      <c r="P6" s="128">
        <v>1564</v>
      </c>
      <c r="Q6" s="128">
        <v>3776</v>
      </c>
      <c r="R6" s="128">
        <v>64608</v>
      </c>
      <c r="S6" s="128">
        <v>38004</v>
      </c>
      <c r="T6" s="128">
        <v>102612</v>
      </c>
      <c r="U6" s="128">
        <v>60</v>
      </c>
      <c r="V6" s="128">
        <v>64</v>
      </c>
      <c r="W6" s="128">
        <v>124</v>
      </c>
    </row>
    <row r="7" spans="1:23" ht="24.75" customHeight="1">
      <c r="A7" s="82">
        <v>3</v>
      </c>
      <c r="B7" s="181" t="s">
        <v>16</v>
      </c>
      <c r="C7" s="128">
        <v>167</v>
      </c>
      <c r="D7" s="128">
        <v>40</v>
      </c>
      <c r="E7" s="128">
        <v>207</v>
      </c>
      <c r="F7" s="128">
        <v>192</v>
      </c>
      <c r="G7" s="128">
        <v>58</v>
      </c>
      <c r="H7" s="128">
        <v>250</v>
      </c>
      <c r="I7" s="128">
        <v>839</v>
      </c>
      <c r="J7" s="128">
        <v>768</v>
      </c>
      <c r="K7" s="128">
        <v>1607</v>
      </c>
      <c r="L7" s="128">
        <v>17</v>
      </c>
      <c r="M7" s="128">
        <v>37</v>
      </c>
      <c r="N7" s="128">
        <v>54</v>
      </c>
      <c r="O7" s="128">
        <v>17</v>
      </c>
      <c r="P7" s="128">
        <v>20</v>
      </c>
      <c r="Q7" s="128">
        <v>37</v>
      </c>
      <c r="R7" s="128">
        <v>1233</v>
      </c>
      <c r="S7" s="128">
        <v>926</v>
      </c>
      <c r="T7" s="128">
        <v>2159</v>
      </c>
      <c r="U7" s="128">
        <v>1</v>
      </c>
      <c r="V7" s="128">
        <v>3</v>
      </c>
      <c r="W7" s="128">
        <v>4</v>
      </c>
    </row>
    <row r="8" spans="1:23" ht="24.75" customHeight="1">
      <c r="A8" s="82">
        <v>4</v>
      </c>
      <c r="B8" s="181" t="s">
        <v>17</v>
      </c>
      <c r="C8" s="128">
        <v>1220</v>
      </c>
      <c r="D8" s="128">
        <v>379</v>
      </c>
      <c r="E8" s="128">
        <v>1599</v>
      </c>
      <c r="F8" s="128">
        <v>2205</v>
      </c>
      <c r="G8" s="128">
        <v>1276</v>
      </c>
      <c r="H8" s="128">
        <v>3481</v>
      </c>
      <c r="I8" s="128">
        <v>8963</v>
      </c>
      <c r="J8" s="128">
        <v>6880</v>
      </c>
      <c r="K8" s="128">
        <v>15843</v>
      </c>
      <c r="L8" s="128">
        <v>442</v>
      </c>
      <c r="M8" s="128">
        <v>381</v>
      </c>
      <c r="N8" s="128">
        <v>823</v>
      </c>
      <c r="O8" s="128">
        <v>662</v>
      </c>
      <c r="P8" s="128">
        <v>858</v>
      </c>
      <c r="Q8" s="128">
        <v>1520</v>
      </c>
      <c r="R8" s="128">
        <v>13510</v>
      </c>
      <c r="S8" s="128">
        <v>9792</v>
      </c>
      <c r="T8" s="128">
        <v>23302</v>
      </c>
      <c r="U8" s="128">
        <v>18</v>
      </c>
      <c r="V8" s="128">
        <v>18</v>
      </c>
      <c r="W8" s="128">
        <v>36</v>
      </c>
    </row>
    <row r="9" spans="1:23" ht="24.75" customHeight="1">
      <c r="A9" s="82">
        <v>5</v>
      </c>
      <c r="B9" s="181" t="s">
        <v>18</v>
      </c>
      <c r="C9" s="128">
        <v>2149</v>
      </c>
      <c r="D9" s="128">
        <v>500</v>
      </c>
      <c r="E9" s="128">
        <v>2649</v>
      </c>
      <c r="F9" s="128">
        <v>3050</v>
      </c>
      <c r="G9" s="128">
        <v>711</v>
      </c>
      <c r="H9" s="128">
        <v>3761</v>
      </c>
      <c r="I9" s="128">
        <v>20124</v>
      </c>
      <c r="J9" s="128">
        <v>5669</v>
      </c>
      <c r="K9" s="128">
        <v>25793</v>
      </c>
      <c r="L9" s="128">
        <v>1051</v>
      </c>
      <c r="M9" s="128">
        <v>1123</v>
      </c>
      <c r="N9" s="128">
        <v>2174</v>
      </c>
      <c r="O9" s="128">
        <v>880</v>
      </c>
      <c r="P9" s="128">
        <v>348</v>
      </c>
      <c r="Q9" s="128">
        <v>1228</v>
      </c>
      <c r="R9" s="128">
        <v>27445</v>
      </c>
      <c r="S9" s="128">
        <v>8420</v>
      </c>
      <c r="T9" s="128">
        <v>35865</v>
      </c>
      <c r="U9" s="128">
        <v>191</v>
      </c>
      <c r="V9" s="128">
        <v>69</v>
      </c>
      <c r="W9" s="128">
        <v>260</v>
      </c>
    </row>
    <row r="10" spans="1:23" ht="24.75" customHeight="1">
      <c r="A10" s="82">
        <v>6</v>
      </c>
      <c r="B10" s="181" t="s">
        <v>19</v>
      </c>
      <c r="C10" s="128">
        <v>439</v>
      </c>
      <c r="D10" s="128">
        <v>318</v>
      </c>
      <c r="E10" s="128">
        <v>757</v>
      </c>
      <c r="F10" s="128">
        <v>271</v>
      </c>
      <c r="G10" s="128">
        <v>323</v>
      </c>
      <c r="H10" s="128">
        <v>594</v>
      </c>
      <c r="I10" s="128">
        <v>735</v>
      </c>
      <c r="J10" s="128">
        <v>1240</v>
      </c>
      <c r="K10" s="128">
        <v>1975</v>
      </c>
      <c r="L10" s="128">
        <v>17</v>
      </c>
      <c r="M10" s="128">
        <v>8</v>
      </c>
      <c r="N10" s="128">
        <v>25</v>
      </c>
      <c r="O10" s="128">
        <v>79</v>
      </c>
      <c r="P10" s="128">
        <v>211</v>
      </c>
      <c r="Q10" s="128">
        <v>290</v>
      </c>
      <c r="R10" s="128">
        <v>1551</v>
      </c>
      <c r="S10" s="128">
        <v>2112</v>
      </c>
      <c r="T10" s="128">
        <v>3663</v>
      </c>
      <c r="U10" s="128">
        <v>10</v>
      </c>
      <c r="V10" s="128">
        <v>12</v>
      </c>
      <c r="W10" s="128">
        <v>22</v>
      </c>
    </row>
    <row r="11" spans="1:23" ht="24.75" customHeight="1">
      <c r="A11" s="82">
        <v>7</v>
      </c>
      <c r="B11" s="181" t="s">
        <v>20</v>
      </c>
      <c r="C11" s="128">
        <v>1233</v>
      </c>
      <c r="D11" s="128">
        <v>686</v>
      </c>
      <c r="E11" s="128">
        <v>1919</v>
      </c>
      <c r="F11" s="128">
        <v>947</v>
      </c>
      <c r="G11" s="128">
        <v>651</v>
      </c>
      <c r="H11" s="128">
        <v>1598</v>
      </c>
      <c r="I11" s="128">
        <v>7327</v>
      </c>
      <c r="J11" s="128">
        <v>6529</v>
      </c>
      <c r="K11" s="128">
        <v>13856</v>
      </c>
      <c r="L11" s="128">
        <v>525</v>
      </c>
      <c r="M11" s="128">
        <v>1835</v>
      </c>
      <c r="N11" s="128">
        <v>2360</v>
      </c>
      <c r="O11" s="128">
        <v>1186</v>
      </c>
      <c r="P11" s="128">
        <v>1074</v>
      </c>
      <c r="Q11" s="128">
        <v>2260</v>
      </c>
      <c r="R11" s="128">
        <v>11299</v>
      </c>
      <c r="S11" s="128">
        <v>10864</v>
      </c>
      <c r="T11" s="128">
        <v>22163</v>
      </c>
      <c r="U11" s="128">
        <v>81</v>
      </c>
      <c r="V11" s="128">
        <v>89</v>
      </c>
      <c r="W11" s="128">
        <v>170</v>
      </c>
    </row>
    <row r="12" spans="1:23" ht="24.75" customHeight="1">
      <c r="A12" s="82">
        <v>8</v>
      </c>
      <c r="B12" s="181" t="s">
        <v>23</v>
      </c>
      <c r="C12" s="128">
        <v>2404</v>
      </c>
      <c r="D12" s="128">
        <v>1415</v>
      </c>
      <c r="E12" s="128">
        <v>3819</v>
      </c>
      <c r="F12" s="128">
        <v>1838</v>
      </c>
      <c r="G12" s="128">
        <v>2519</v>
      </c>
      <c r="H12" s="128">
        <v>4357</v>
      </c>
      <c r="I12" s="128">
        <v>5291</v>
      </c>
      <c r="J12" s="128">
        <v>6879</v>
      </c>
      <c r="K12" s="128">
        <v>12170</v>
      </c>
      <c r="L12" s="128">
        <v>136</v>
      </c>
      <c r="M12" s="128">
        <v>401</v>
      </c>
      <c r="N12" s="128">
        <v>537</v>
      </c>
      <c r="O12" s="128">
        <v>464</v>
      </c>
      <c r="P12" s="128">
        <v>620</v>
      </c>
      <c r="Q12" s="128">
        <v>1084</v>
      </c>
      <c r="R12" s="128">
        <v>10196</v>
      </c>
      <c r="S12" s="128">
        <v>11875</v>
      </c>
      <c r="T12" s="128">
        <v>22071</v>
      </c>
      <c r="U12" s="128">
        <v>63</v>
      </c>
      <c r="V12" s="128">
        <v>41</v>
      </c>
      <c r="W12" s="128">
        <v>104</v>
      </c>
    </row>
    <row r="13" spans="1:23" ht="24.75" customHeight="1">
      <c r="A13" s="82">
        <v>9</v>
      </c>
      <c r="B13" s="181" t="s">
        <v>24</v>
      </c>
      <c r="C13" s="128">
        <v>202</v>
      </c>
      <c r="D13" s="128">
        <v>65</v>
      </c>
      <c r="E13" s="128">
        <v>267</v>
      </c>
      <c r="F13" s="128">
        <v>245</v>
      </c>
      <c r="G13" s="128">
        <v>278</v>
      </c>
      <c r="H13" s="128">
        <v>523</v>
      </c>
      <c r="I13" s="128">
        <v>895</v>
      </c>
      <c r="J13" s="128">
        <v>1499</v>
      </c>
      <c r="K13" s="128">
        <v>2394</v>
      </c>
      <c r="L13" s="128">
        <v>18</v>
      </c>
      <c r="M13" s="128">
        <v>44</v>
      </c>
      <c r="N13" s="128">
        <v>62</v>
      </c>
      <c r="O13" s="128">
        <v>137</v>
      </c>
      <c r="P13" s="128">
        <v>106</v>
      </c>
      <c r="Q13" s="128">
        <v>243</v>
      </c>
      <c r="R13" s="128">
        <v>1519</v>
      </c>
      <c r="S13" s="128">
        <v>2038</v>
      </c>
      <c r="T13" s="128">
        <v>3557</v>
      </c>
      <c r="U13" s="128">
        <v>22</v>
      </c>
      <c r="V13" s="128">
        <v>46</v>
      </c>
      <c r="W13" s="128">
        <v>68</v>
      </c>
    </row>
    <row r="14" spans="1:23" ht="24.75" customHeight="1">
      <c r="A14" s="82">
        <v>10</v>
      </c>
      <c r="B14" s="181" t="s">
        <v>25</v>
      </c>
      <c r="C14" s="128">
        <v>4096</v>
      </c>
      <c r="D14" s="128">
        <v>1619</v>
      </c>
      <c r="E14" s="128">
        <v>5715</v>
      </c>
      <c r="F14" s="128">
        <v>5094</v>
      </c>
      <c r="G14" s="128">
        <v>2554</v>
      </c>
      <c r="H14" s="128">
        <v>7648</v>
      </c>
      <c r="I14" s="128">
        <v>22208</v>
      </c>
      <c r="J14" s="128">
        <v>14879</v>
      </c>
      <c r="K14" s="128">
        <v>37087</v>
      </c>
      <c r="L14" s="128">
        <v>1605</v>
      </c>
      <c r="M14" s="128">
        <v>3879</v>
      </c>
      <c r="N14" s="128">
        <v>5484</v>
      </c>
      <c r="O14" s="128">
        <v>1139</v>
      </c>
      <c r="P14" s="128">
        <v>1316</v>
      </c>
      <c r="Q14" s="128">
        <v>2455</v>
      </c>
      <c r="R14" s="128">
        <v>35408</v>
      </c>
      <c r="S14" s="128">
        <v>25197</v>
      </c>
      <c r="T14" s="128">
        <v>60605</v>
      </c>
      <c r="U14" s="128">
        <v>1266</v>
      </c>
      <c r="V14" s="128">
        <v>950</v>
      </c>
      <c r="W14" s="128">
        <v>2216</v>
      </c>
    </row>
    <row r="15" spans="1:23" ht="24.75" customHeight="1">
      <c r="A15" s="82">
        <v>11</v>
      </c>
      <c r="B15" s="181" t="s">
        <v>26</v>
      </c>
      <c r="C15" s="128">
        <v>2435</v>
      </c>
      <c r="D15" s="128">
        <v>1157</v>
      </c>
      <c r="E15" s="128">
        <v>3592</v>
      </c>
      <c r="F15" s="128">
        <v>2168</v>
      </c>
      <c r="G15" s="128">
        <v>2016</v>
      </c>
      <c r="H15" s="128">
        <v>4184</v>
      </c>
      <c r="I15" s="128">
        <v>12746</v>
      </c>
      <c r="J15" s="128">
        <v>15123</v>
      </c>
      <c r="K15" s="128">
        <v>27869</v>
      </c>
      <c r="L15" s="128">
        <v>334</v>
      </c>
      <c r="M15" s="128">
        <v>1229</v>
      </c>
      <c r="N15" s="128">
        <v>1563</v>
      </c>
      <c r="O15" s="128">
        <v>538</v>
      </c>
      <c r="P15" s="128">
        <v>1025</v>
      </c>
      <c r="Q15" s="128">
        <v>1563</v>
      </c>
      <c r="R15" s="128">
        <v>18467</v>
      </c>
      <c r="S15" s="128">
        <v>20789</v>
      </c>
      <c r="T15" s="128">
        <v>39256</v>
      </c>
      <c r="U15" s="128">
        <v>246</v>
      </c>
      <c r="V15" s="128">
        <v>239</v>
      </c>
      <c r="W15" s="128">
        <v>485</v>
      </c>
    </row>
    <row r="16" spans="1:23" ht="24.75" customHeight="1">
      <c r="A16" s="82">
        <v>12</v>
      </c>
      <c r="B16" s="181" t="s">
        <v>27</v>
      </c>
      <c r="C16" s="128">
        <v>845</v>
      </c>
      <c r="D16" s="128">
        <v>284</v>
      </c>
      <c r="E16" s="128">
        <v>1129</v>
      </c>
      <c r="F16" s="128">
        <v>810</v>
      </c>
      <c r="G16" s="128">
        <v>400</v>
      </c>
      <c r="H16" s="128">
        <v>1210</v>
      </c>
      <c r="I16" s="128">
        <v>3545</v>
      </c>
      <c r="J16" s="128">
        <v>3560</v>
      </c>
      <c r="K16" s="128">
        <v>7105</v>
      </c>
      <c r="L16" s="128">
        <v>202</v>
      </c>
      <c r="M16" s="128">
        <v>728</v>
      </c>
      <c r="N16" s="128">
        <v>930</v>
      </c>
      <c r="O16" s="128">
        <v>119</v>
      </c>
      <c r="P16" s="128">
        <v>195</v>
      </c>
      <c r="Q16" s="128">
        <v>314</v>
      </c>
      <c r="R16" s="128">
        <v>5557</v>
      </c>
      <c r="S16" s="128">
        <v>5195</v>
      </c>
      <c r="T16" s="128">
        <v>10752</v>
      </c>
      <c r="U16" s="128">
        <v>36</v>
      </c>
      <c r="V16" s="128">
        <v>28</v>
      </c>
      <c r="W16" s="128">
        <v>64</v>
      </c>
    </row>
    <row r="17" spans="1:23" ht="24.75" customHeight="1">
      <c r="A17" s="82">
        <v>13</v>
      </c>
      <c r="B17" s="181" t="s">
        <v>57</v>
      </c>
      <c r="C17" s="128">
        <v>824</v>
      </c>
      <c r="D17" s="128">
        <v>289</v>
      </c>
      <c r="E17" s="128">
        <v>1113</v>
      </c>
      <c r="F17" s="128">
        <v>664</v>
      </c>
      <c r="G17" s="128">
        <v>400</v>
      </c>
      <c r="H17" s="128">
        <v>1064</v>
      </c>
      <c r="I17" s="128">
        <v>3966</v>
      </c>
      <c r="J17" s="128">
        <v>2995</v>
      </c>
      <c r="K17" s="128">
        <v>6961</v>
      </c>
      <c r="L17" s="128">
        <v>324</v>
      </c>
      <c r="M17" s="128">
        <v>511</v>
      </c>
      <c r="N17" s="128">
        <v>835</v>
      </c>
      <c r="O17" s="128">
        <v>834</v>
      </c>
      <c r="P17" s="128">
        <v>501</v>
      </c>
      <c r="Q17" s="128">
        <v>1335</v>
      </c>
      <c r="R17" s="128">
        <v>6661</v>
      </c>
      <c r="S17" s="128">
        <v>4731</v>
      </c>
      <c r="T17" s="128">
        <v>11392</v>
      </c>
      <c r="U17" s="128">
        <v>49</v>
      </c>
      <c r="V17" s="128">
        <v>35</v>
      </c>
      <c r="W17" s="128">
        <v>84</v>
      </c>
    </row>
    <row r="18" spans="1:23" ht="24.75" customHeight="1">
      <c r="A18" s="82">
        <v>14</v>
      </c>
      <c r="B18" s="181" t="s">
        <v>29</v>
      </c>
      <c r="C18" s="128">
        <v>829</v>
      </c>
      <c r="D18" s="128">
        <v>207</v>
      </c>
      <c r="E18" s="128">
        <v>1036</v>
      </c>
      <c r="F18" s="128">
        <v>895</v>
      </c>
      <c r="G18" s="128">
        <v>295</v>
      </c>
      <c r="H18" s="128">
        <v>1190</v>
      </c>
      <c r="I18" s="128">
        <v>6995</v>
      </c>
      <c r="J18" s="128">
        <v>3282</v>
      </c>
      <c r="K18" s="128">
        <v>10277</v>
      </c>
      <c r="L18" s="128">
        <v>301</v>
      </c>
      <c r="M18" s="128">
        <v>472</v>
      </c>
      <c r="N18" s="128">
        <v>773</v>
      </c>
      <c r="O18" s="128">
        <v>614</v>
      </c>
      <c r="P18" s="128">
        <v>393</v>
      </c>
      <c r="Q18" s="128">
        <v>1007</v>
      </c>
      <c r="R18" s="128">
        <v>9702</v>
      </c>
      <c r="S18" s="128">
        <v>4684</v>
      </c>
      <c r="T18" s="128">
        <v>14386</v>
      </c>
      <c r="U18" s="128">
        <v>68</v>
      </c>
      <c r="V18" s="128">
        <v>35</v>
      </c>
      <c r="W18" s="128">
        <v>103</v>
      </c>
    </row>
    <row r="19" spans="1:23" ht="24.75" customHeight="1">
      <c r="A19" s="82">
        <v>15</v>
      </c>
      <c r="B19" s="181" t="s">
        <v>30</v>
      </c>
      <c r="C19" s="128">
        <v>12912</v>
      </c>
      <c r="D19" s="128">
        <v>5238</v>
      </c>
      <c r="E19" s="128">
        <v>18150</v>
      </c>
      <c r="F19" s="128">
        <v>10306</v>
      </c>
      <c r="G19" s="128">
        <v>6707</v>
      </c>
      <c r="H19" s="128">
        <v>17013</v>
      </c>
      <c r="I19" s="128">
        <v>46297</v>
      </c>
      <c r="J19" s="128">
        <v>42719</v>
      </c>
      <c r="K19" s="128">
        <v>89016</v>
      </c>
      <c r="L19" s="128">
        <v>4734</v>
      </c>
      <c r="M19" s="128">
        <v>9302</v>
      </c>
      <c r="N19" s="128">
        <v>14036</v>
      </c>
      <c r="O19" s="128">
        <v>5873</v>
      </c>
      <c r="P19" s="128">
        <v>5821</v>
      </c>
      <c r="Q19" s="128">
        <v>11694</v>
      </c>
      <c r="R19" s="128">
        <v>81100</v>
      </c>
      <c r="S19" s="128">
        <v>70693</v>
      </c>
      <c r="T19" s="128">
        <v>151793</v>
      </c>
      <c r="U19" s="128">
        <v>978</v>
      </c>
      <c r="V19" s="128">
        <v>906</v>
      </c>
      <c r="W19" s="128">
        <v>1884</v>
      </c>
    </row>
    <row r="20" spans="1:23" ht="24.75" customHeight="1">
      <c r="A20" s="82">
        <v>16</v>
      </c>
      <c r="B20" s="181" t="s">
        <v>31</v>
      </c>
      <c r="C20" s="128">
        <v>3112</v>
      </c>
      <c r="D20" s="128">
        <v>1991</v>
      </c>
      <c r="E20" s="128">
        <v>5103</v>
      </c>
      <c r="F20" s="128">
        <v>2827</v>
      </c>
      <c r="G20" s="128">
        <v>2768</v>
      </c>
      <c r="H20" s="128">
        <v>5595</v>
      </c>
      <c r="I20" s="128">
        <v>15113</v>
      </c>
      <c r="J20" s="128">
        <v>27849</v>
      </c>
      <c r="K20" s="128">
        <v>42962</v>
      </c>
      <c r="L20" s="128">
        <v>932</v>
      </c>
      <c r="M20" s="128">
        <v>2253</v>
      </c>
      <c r="N20" s="128">
        <v>3185</v>
      </c>
      <c r="O20" s="128">
        <v>1118</v>
      </c>
      <c r="P20" s="128">
        <v>3022</v>
      </c>
      <c r="Q20" s="128">
        <v>4140</v>
      </c>
      <c r="R20" s="128">
        <v>23150</v>
      </c>
      <c r="S20" s="128">
        <v>37930</v>
      </c>
      <c r="T20" s="128">
        <v>61080</v>
      </c>
      <c r="U20" s="128">
        <v>48</v>
      </c>
      <c r="V20" s="128">
        <v>47</v>
      </c>
      <c r="W20" s="128">
        <v>95</v>
      </c>
    </row>
    <row r="21" spans="1:23" ht="24.75" customHeight="1">
      <c r="A21" s="82">
        <v>17</v>
      </c>
      <c r="B21" s="181" t="s">
        <v>172</v>
      </c>
      <c r="C21" s="128">
        <v>3</v>
      </c>
      <c r="D21" s="128">
        <v>2</v>
      </c>
      <c r="E21" s="128">
        <v>5</v>
      </c>
      <c r="F21" s="128">
        <v>4</v>
      </c>
      <c r="G21" s="128">
        <v>0</v>
      </c>
      <c r="H21" s="128">
        <v>4</v>
      </c>
      <c r="I21" s="128">
        <v>73</v>
      </c>
      <c r="J21" s="128">
        <v>41</v>
      </c>
      <c r="K21" s="128">
        <v>114</v>
      </c>
      <c r="L21" s="128">
        <v>5</v>
      </c>
      <c r="M21" s="128">
        <v>0</v>
      </c>
      <c r="N21" s="128">
        <v>5</v>
      </c>
      <c r="O21" s="128">
        <v>19</v>
      </c>
      <c r="P21" s="128">
        <v>18</v>
      </c>
      <c r="Q21" s="128">
        <v>37</v>
      </c>
      <c r="R21" s="128">
        <v>104</v>
      </c>
      <c r="S21" s="128">
        <v>61</v>
      </c>
      <c r="T21" s="128">
        <v>165</v>
      </c>
      <c r="U21" s="128">
        <v>0</v>
      </c>
      <c r="V21" s="128">
        <v>0</v>
      </c>
      <c r="W21" s="128">
        <v>0</v>
      </c>
    </row>
    <row r="22" spans="1:23" ht="24.75" customHeight="1">
      <c r="A22" s="82">
        <v>18</v>
      </c>
      <c r="B22" s="181" t="s">
        <v>32</v>
      </c>
      <c r="C22" s="128">
        <v>1</v>
      </c>
      <c r="D22" s="128">
        <v>1</v>
      </c>
      <c r="E22" s="128">
        <v>2</v>
      </c>
      <c r="F22" s="128">
        <v>0</v>
      </c>
      <c r="G22" s="128">
        <v>0</v>
      </c>
      <c r="H22" s="128">
        <v>0</v>
      </c>
      <c r="I22" s="128">
        <v>11</v>
      </c>
      <c r="J22" s="128">
        <v>12</v>
      </c>
      <c r="K22" s="128">
        <v>23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12</v>
      </c>
      <c r="S22" s="128">
        <v>13</v>
      </c>
      <c r="T22" s="128">
        <v>25</v>
      </c>
      <c r="U22" s="128">
        <v>0</v>
      </c>
      <c r="V22" s="128">
        <v>0</v>
      </c>
      <c r="W22" s="128">
        <v>0</v>
      </c>
    </row>
    <row r="23" spans="1:23" ht="24.75" customHeight="1">
      <c r="A23" s="82">
        <v>19</v>
      </c>
      <c r="B23" s="181" t="s">
        <v>33</v>
      </c>
      <c r="C23" s="128">
        <v>5566</v>
      </c>
      <c r="D23" s="128">
        <v>3066</v>
      </c>
      <c r="E23" s="128">
        <v>8632</v>
      </c>
      <c r="F23" s="128">
        <v>4385</v>
      </c>
      <c r="G23" s="128">
        <v>2647</v>
      </c>
      <c r="H23" s="128">
        <v>7032</v>
      </c>
      <c r="I23" s="128">
        <v>30140</v>
      </c>
      <c r="J23" s="128">
        <v>20792</v>
      </c>
      <c r="K23" s="128">
        <v>50932</v>
      </c>
      <c r="L23" s="128">
        <v>1916</v>
      </c>
      <c r="M23" s="128">
        <v>3485</v>
      </c>
      <c r="N23" s="128">
        <v>5401</v>
      </c>
      <c r="O23" s="128">
        <v>2425</v>
      </c>
      <c r="P23" s="128">
        <v>2168</v>
      </c>
      <c r="Q23" s="128">
        <v>4593</v>
      </c>
      <c r="R23" s="128">
        <v>44736</v>
      </c>
      <c r="S23" s="128">
        <v>32386</v>
      </c>
      <c r="T23" s="128">
        <v>77122</v>
      </c>
      <c r="U23" s="128">
        <v>304</v>
      </c>
      <c r="V23" s="128">
        <v>228</v>
      </c>
      <c r="W23" s="128">
        <v>532</v>
      </c>
    </row>
    <row r="24" spans="1:23" ht="24.75" customHeight="1">
      <c r="A24" s="82">
        <v>20</v>
      </c>
      <c r="B24" s="181" t="s">
        <v>34</v>
      </c>
      <c r="C24" s="128">
        <v>10921</v>
      </c>
      <c r="D24" s="128">
        <v>4421</v>
      </c>
      <c r="E24" s="128">
        <v>15342</v>
      </c>
      <c r="F24" s="128">
        <v>12082</v>
      </c>
      <c r="G24" s="128">
        <v>6131</v>
      </c>
      <c r="H24" s="128">
        <v>18213</v>
      </c>
      <c r="I24" s="128">
        <v>62559</v>
      </c>
      <c r="J24" s="128">
        <v>46741</v>
      </c>
      <c r="K24" s="128">
        <v>109300</v>
      </c>
      <c r="L24" s="128">
        <v>2356</v>
      </c>
      <c r="M24" s="128">
        <v>4596</v>
      </c>
      <c r="N24" s="128">
        <v>6952</v>
      </c>
      <c r="O24" s="128">
        <v>4615</v>
      </c>
      <c r="P24" s="128">
        <v>4821</v>
      </c>
      <c r="Q24" s="128">
        <v>9436</v>
      </c>
      <c r="R24" s="128">
        <v>94345</v>
      </c>
      <c r="S24" s="128">
        <v>68328</v>
      </c>
      <c r="T24" s="128">
        <v>162673</v>
      </c>
      <c r="U24" s="128">
        <v>1812</v>
      </c>
      <c r="V24" s="128">
        <v>1618</v>
      </c>
      <c r="W24" s="128">
        <v>3430</v>
      </c>
    </row>
    <row r="25" spans="1:23" ht="24.75" customHeight="1">
      <c r="A25" s="82">
        <v>21</v>
      </c>
      <c r="B25" s="181" t="s">
        <v>35</v>
      </c>
      <c r="C25" s="128">
        <v>290</v>
      </c>
      <c r="D25" s="128">
        <v>117</v>
      </c>
      <c r="E25" s="128">
        <v>407</v>
      </c>
      <c r="F25" s="128">
        <v>448</v>
      </c>
      <c r="G25" s="128">
        <v>322</v>
      </c>
      <c r="H25" s="128">
        <v>770</v>
      </c>
      <c r="I25" s="128">
        <v>2000</v>
      </c>
      <c r="J25" s="128">
        <v>2136</v>
      </c>
      <c r="K25" s="128">
        <v>4136</v>
      </c>
      <c r="L25" s="128">
        <v>23</v>
      </c>
      <c r="M25" s="128">
        <v>184</v>
      </c>
      <c r="N25" s="128">
        <v>207</v>
      </c>
      <c r="O25" s="128">
        <v>130</v>
      </c>
      <c r="P25" s="128">
        <v>102</v>
      </c>
      <c r="Q25" s="128">
        <v>232</v>
      </c>
      <c r="R25" s="128">
        <v>2946</v>
      </c>
      <c r="S25" s="128">
        <v>2873</v>
      </c>
      <c r="T25" s="128">
        <v>5819</v>
      </c>
      <c r="U25" s="128">
        <v>55</v>
      </c>
      <c r="V25" s="128">
        <v>12</v>
      </c>
      <c r="W25" s="128">
        <v>67</v>
      </c>
    </row>
    <row r="26" spans="1:23" ht="24.75" customHeight="1">
      <c r="A26" s="82">
        <v>22</v>
      </c>
      <c r="B26" s="181" t="s">
        <v>36</v>
      </c>
      <c r="C26" s="128">
        <v>170</v>
      </c>
      <c r="D26" s="128">
        <v>82</v>
      </c>
      <c r="E26" s="128">
        <v>252</v>
      </c>
      <c r="F26" s="128">
        <v>213</v>
      </c>
      <c r="G26" s="128">
        <v>203</v>
      </c>
      <c r="H26" s="128">
        <v>416</v>
      </c>
      <c r="I26" s="128">
        <v>1099</v>
      </c>
      <c r="J26" s="128">
        <v>1580</v>
      </c>
      <c r="K26" s="128">
        <v>2679</v>
      </c>
      <c r="L26" s="128">
        <v>34</v>
      </c>
      <c r="M26" s="128">
        <v>111</v>
      </c>
      <c r="N26" s="128">
        <v>145</v>
      </c>
      <c r="O26" s="128">
        <v>42</v>
      </c>
      <c r="P26" s="128">
        <v>68</v>
      </c>
      <c r="Q26" s="128">
        <v>110</v>
      </c>
      <c r="R26" s="128">
        <v>1560</v>
      </c>
      <c r="S26" s="128">
        <v>2052</v>
      </c>
      <c r="T26" s="128">
        <v>3612</v>
      </c>
      <c r="U26" s="128">
        <v>2</v>
      </c>
      <c r="V26" s="128">
        <v>8</v>
      </c>
      <c r="W26" s="128">
        <v>10</v>
      </c>
    </row>
    <row r="27" spans="1:23" ht="24.75" customHeight="1">
      <c r="A27" s="82">
        <v>23</v>
      </c>
      <c r="B27" s="181" t="s">
        <v>37</v>
      </c>
      <c r="C27" s="128">
        <v>118</v>
      </c>
      <c r="D27" s="128">
        <v>34</v>
      </c>
      <c r="E27" s="128">
        <v>152</v>
      </c>
      <c r="F27" s="128">
        <v>260</v>
      </c>
      <c r="G27" s="128">
        <v>208</v>
      </c>
      <c r="H27" s="128">
        <v>468</v>
      </c>
      <c r="I27" s="128">
        <v>542</v>
      </c>
      <c r="J27" s="128">
        <v>496</v>
      </c>
      <c r="K27" s="128">
        <v>1038</v>
      </c>
      <c r="L27" s="128">
        <v>28</v>
      </c>
      <c r="M27" s="128">
        <v>102</v>
      </c>
      <c r="N27" s="128">
        <v>130</v>
      </c>
      <c r="O27" s="128">
        <v>112</v>
      </c>
      <c r="P27" s="128">
        <v>109</v>
      </c>
      <c r="Q27" s="128">
        <v>221</v>
      </c>
      <c r="R27" s="128">
        <v>1073</v>
      </c>
      <c r="S27" s="128">
        <v>960</v>
      </c>
      <c r="T27" s="128">
        <v>2033</v>
      </c>
      <c r="U27" s="128">
        <v>13</v>
      </c>
      <c r="V27" s="128">
        <v>11</v>
      </c>
      <c r="W27" s="128">
        <v>24</v>
      </c>
    </row>
    <row r="28" spans="1:23" ht="24.75" customHeight="1">
      <c r="A28" s="82">
        <v>24</v>
      </c>
      <c r="B28" s="181" t="s">
        <v>38</v>
      </c>
      <c r="C28" s="128">
        <v>114</v>
      </c>
      <c r="D28" s="128">
        <v>55</v>
      </c>
      <c r="E28" s="128">
        <v>169</v>
      </c>
      <c r="F28" s="128">
        <v>69</v>
      </c>
      <c r="G28" s="128">
        <v>100</v>
      </c>
      <c r="H28" s="128">
        <v>169</v>
      </c>
      <c r="I28" s="128">
        <v>814</v>
      </c>
      <c r="J28" s="128">
        <v>1125</v>
      </c>
      <c r="K28" s="128">
        <v>1939</v>
      </c>
      <c r="L28" s="128">
        <v>40</v>
      </c>
      <c r="M28" s="128">
        <v>61</v>
      </c>
      <c r="N28" s="128">
        <v>101</v>
      </c>
      <c r="O28" s="128">
        <v>19</v>
      </c>
      <c r="P28" s="128">
        <v>31</v>
      </c>
      <c r="Q28" s="128">
        <v>50</v>
      </c>
      <c r="R28" s="128">
        <v>1059</v>
      </c>
      <c r="S28" s="128">
        <v>1374</v>
      </c>
      <c r="T28" s="128">
        <v>2433</v>
      </c>
      <c r="U28" s="128">
        <v>3</v>
      </c>
      <c r="V28" s="128">
        <v>2</v>
      </c>
      <c r="W28" s="128">
        <v>5</v>
      </c>
    </row>
    <row r="29" spans="1:23" ht="24.75" customHeight="1">
      <c r="A29" s="82">
        <v>25</v>
      </c>
      <c r="B29" s="181" t="s">
        <v>39</v>
      </c>
      <c r="C29" s="128">
        <v>2479</v>
      </c>
      <c r="D29" s="128">
        <v>771</v>
      </c>
      <c r="E29" s="128">
        <v>3250</v>
      </c>
      <c r="F29" s="128">
        <v>3159</v>
      </c>
      <c r="G29" s="128">
        <v>1269</v>
      </c>
      <c r="H29" s="128">
        <v>4428</v>
      </c>
      <c r="I29" s="128">
        <v>17626</v>
      </c>
      <c r="J29" s="128">
        <v>10670</v>
      </c>
      <c r="K29" s="128">
        <v>28296</v>
      </c>
      <c r="L29" s="128">
        <v>1440</v>
      </c>
      <c r="M29" s="128">
        <v>2428</v>
      </c>
      <c r="N29" s="128">
        <v>3868</v>
      </c>
      <c r="O29" s="128">
        <v>919</v>
      </c>
      <c r="P29" s="128">
        <v>937</v>
      </c>
      <c r="Q29" s="128">
        <v>1856</v>
      </c>
      <c r="R29" s="128">
        <v>25787</v>
      </c>
      <c r="S29" s="128">
        <v>16186</v>
      </c>
      <c r="T29" s="128">
        <v>41973</v>
      </c>
      <c r="U29" s="128">
        <v>164</v>
      </c>
      <c r="V29" s="128">
        <v>111</v>
      </c>
      <c r="W29" s="128">
        <v>275</v>
      </c>
    </row>
    <row r="30" spans="1:23" ht="24.75" customHeight="1">
      <c r="A30" s="82">
        <v>26</v>
      </c>
      <c r="B30" s="181" t="s">
        <v>40</v>
      </c>
      <c r="C30" s="128">
        <v>751</v>
      </c>
      <c r="D30" s="128">
        <v>328</v>
      </c>
      <c r="E30" s="128">
        <v>1079</v>
      </c>
      <c r="F30" s="128">
        <v>528</v>
      </c>
      <c r="G30" s="128">
        <v>347</v>
      </c>
      <c r="H30" s="128">
        <v>875</v>
      </c>
      <c r="I30" s="128">
        <v>2016</v>
      </c>
      <c r="J30" s="128">
        <v>1768</v>
      </c>
      <c r="K30" s="128">
        <v>3784</v>
      </c>
      <c r="L30" s="128">
        <v>306</v>
      </c>
      <c r="M30" s="128">
        <v>508</v>
      </c>
      <c r="N30" s="128">
        <v>814</v>
      </c>
      <c r="O30" s="128">
        <v>52</v>
      </c>
      <c r="P30" s="128">
        <v>52</v>
      </c>
      <c r="Q30" s="128">
        <v>104</v>
      </c>
      <c r="R30" s="128">
        <v>3654</v>
      </c>
      <c r="S30" s="128">
        <v>3003</v>
      </c>
      <c r="T30" s="128">
        <v>6657</v>
      </c>
      <c r="U30" s="128">
        <v>1</v>
      </c>
      <c r="V30" s="128">
        <v>0</v>
      </c>
      <c r="W30" s="128">
        <v>1</v>
      </c>
    </row>
    <row r="31" spans="1:23" ht="24.75" customHeight="1">
      <c r="A31" s="82">
        <v>27</v>
      </c>
      <c r="B31" s="181" t="s">
        <v>41</v>
      </c>
      <c r="C31" s="128">
        <v>2448</v>
      </c>
      <c r="D31" s="128">
        <v>1517</v>
      </c>
      <c r="E31" s="128">
        <v>3965</v>
      </c>
      <c r="F31" s="128">
        <v>2181</v>
      </c>
      <c r="G31" s="128">
        <v>2038</v>
      </c>
      <c r="H31" s="128">
        <v>4219</v>
      </c>
      <c r="I31" s="128">
        <v>14440</v>
      </c>
      <c r="J31" s="128">
        <v>21226</v>
      </c>
      <c r="K31" s="128">
        <v>35666</v>
      </c>
      <c r="L31" s="128">
        <v>545</v>
      </c>
      <c r="M31" s="128">
        <v>4078</v>
      </c>
      <c r="N31" s="128">
        <v>4623</v>
      </c>
      <c r="O31" s="128">
        <v>419</v>
      </c>
      <c r="P31" s="128">
        <v>1135</v>
      </c>
      <c r="Q31" s="128">
        <v>1554</v>
      </c>
      <c r="R31" s="128">
        <v>20217</v>
      </c>
      <c r="S31" s="128">
        <v>30261</v>
      </c>
      <c r="T31" s="128">
        <v>50478</v>
      </c>
      <c r="U31" s="128">
        <v>184</v>
      </c>
      <c r="V31" s="128">
        <v>267</v>
      </c>
      <c r="W31" s="128">
        <v>451</v>
      </c>
    </row>
    <row r="32" spans="1:23" ht="24.75" customHeight="1">
      <c r="A32" s="82">
        <v>28</v>
      </c>
      <c r="B32" s="181" t="s">
        <v>42</v>
      </c>
      <c r="C32" s="128">
        <v>5528</v>
      </c>
      <c r="D32" s="709">
        <v>2113</v>
      </c>
      <c r="E32" s="128">
        <v>7641</v>
      </c>
      <c r="F32" s="128">
        <v>4555</v>
      </c>
      <c r="G32" s="128">
        <v>2778</v>
      </c>
      <c r="H32" s="128">
        <v>7333</v>
      </c>
      <c r="I32" s="128">
        <v>37771</v>
      </c>
      <c r="J32" s="128">
        <v>22511</v>
      </c>
      <c r="K32" s="128">
        <v>60282</v>
      </c>
      <c r="L32" s="128">
        <v>2794</v>
      </c>
      <c r="M32" s="128">
        <v>1245</v>
      </c>
      <c r="N32" s="128">
        <v>4039</v>
      </c>
      <c r="O32" s="128">
        <v>555</v>
      </c>
      <c r="P32" s="128">
        <v>298</v>
      </c>
      <c r="Q32" s="128">
        <v>853</v>
      </c>
      <c r="R32" s="128">
        <v>51359</v>
      </c>
      <c r="S32" s="128">
        <v>29061</v>
      </c>
      <c r="T32" s="128">
        <v>80420</v>
      </c>
      <c r="U32" s="128">
        <v>156</v>
      </c>
      <c r="V32" s="128">
        <v>116</v>
      </c>
      <c r="W32" s="128">
        <v>272</v>
      </c>
    </row>
    <row r="33" spans="1:23" ht="24.75" customHeight="1">
      <c r="A33" s="82">
        <v>29</v>
      </c>
      <c r="B33" s="181" t="s">
        <v>43</v>
      </c>
      <c r="C33" s="128">
        <v>97</v>
      </c>
      <c r="D33" s="128">
        <v>32</v>
      </c>
      <c r="E33" s="128">
        <v>129</v>
      </c>
      <c r="F33" s="128">
        <v>137</v>
      </c>
      <c r="G33" s="128">
        <v>62</v>
      </c>
      <c r="H33" s="128">
        <v>199</v>
      </c>
      <c r="I33" s="128">
        <v>728</v>
      </c>
      <c r="J33" s="128">
        <v>550</v>
      </c>
      <c r="K33" s="128">
        <v>1278</v>
      </c>
      <c r="L33" s="128">
        <v>25</v>
      </c>
      <c r="M33" s="128">
        <v>75</v>
      </c>
      <c r="N33" s="128">
        <v>100</v>
      </c>
      <c r="O33" s="128">
        <v>6</v>
      </c>
      <c r="P33" s="128">
        <v>7</v>
      </c>
      <c r="Q33" s="128">
        <v>13</v>
      </c>
      <c r="R33" s="128">
        <v>996</v>
      </c>
      <c r="S33" s="128">
        <v>728</v>
      </c>
      <c r="T33" s="128">
        <v>1724</v>
      </c>
      <c r="U33" s="128">
        <v>3</v>
      </c>
      <c r="V33" s="128">
        <v>2</v>
      </c>
      <c r="W33" s="128">
        <v>5</v>
      </c>
    </row>
    <row r="34" spans="1:23" ht="24.75" customHeight="1">
      <c r="A34" s="82">
        <v>30</v>
      </c>
      <c r="B34" s="181" t="s">
        <v>44</v>
      </c>
      <c r="C34" s="777">
        <v>11698</v>
      </c>
      <c r="D34" s="777">
        <v>6208</v>
      </c>
      <c r="E34" s="777">
        <v>17906</v>
      </c>
      <c r="F34" s="777">
        <v>11938</v>
      </c>
      <c r="G34" s="777">
        <v>9102</v>
      </c>
      <c r="H34" s="777">
        <v>21040</v>
      </c>
      <c r="I34" s="777">
        <v>73391</v>
      </c>
      <c r="J34" s="777">
        <v>77627</v>
      </c>
      <c r="K34" s="777">
        <v>151018</v>
      </c>
      <c r="L34" s="777">
        <v>2302</v>
      </c>
      <c r="M34" s="777">
        <v>5626</v>
      </c>
      <c r="N34" s="777">
        <v>7928</v>
      </c>
      <c r="O34" s="777">
        <v>2247</v>
      </c>
      <c r="P34" s="777">
        <v>2779</v>
      </c>
      <c r="Q34" s="777">
        <v>5026</v>
      </c>
      <c r="R34" s="777">
        <v>101876</v>
      </c>
      <c r="S34" s="777">
        <v>101539</v>
      </c>
      <c r="T34" s="777">
        <v>203415</v>
      </c>
      <c r="U34" s="777">
        <v>300</v>
      </c>
      <c r="V34" s="777">
        <v>197</v>
      </c>
      <c r="W34" s="777">
        <v>497</v>
      </c>
    </row>
    <row r="35" spans="1:23" ht="24.75" customHeight="1">
      <c r="A35" s="82">
        <v>31</v>
      </c>
      <c r="B35" s="187" t="s">
        <v>142</v>
      </c>
      <c r="C35" s="777">
        <v>5597</v>
      </c>
      <c r="D35" s="777">
        <v>1828</v>
      </c>
      <c r="E35" s="777">
        <v>7425</v>
      </c>
      <c r="F35" s="777">
        <v>4884</v>
      </c>
      <c r="G35" s="777">
        <v>2783</v>
      </c>
      <c r="H35" s="777">
        <v>7667</v>
      </c>
      <c r="I35" s="777">
        <v>36181</v>
      </c>
      <c r="J35" s="777">
        <v>26353</v>
      </c>
      <c r="K35" s="777">
        <v>62534</v>
      </c>
      <c r="L35" s="777">
        <v>778</v>
      </c>
      <c r="M35" s="777">
        <v>2258</v>
      </c>
      <c r="N35" s="777">
        <v>3036</v>
      </c>
      <c r="O35" s="777">
        <v>1387</v>
      </c>
      <c r="P35" s="777">
        <v>951</v>
      </c>
      <c r="Q35" s="777">
        <v>2338</v>
      </c>
      <c r="R35" s="777">
        <v>48909</v>
      </c>
      <c r="S35" s="777">
        <v>34205</v>
      </c>
      <c r="T35" s="777">
        <v>83114</v>
      </c>
      <c r="U35" s="777">
        <v>82</v>
      </c>
      <c r="V35" s="777">
        <v>32</v>
      </c>
      <c r="W35" s="777">
        <v>114</v>
      </c>
    </row>
    <row r="36" spans="1:23" ht="47.25" customHeight="1">
      <c r="A36" s="82">
        <v>32</v>
      </c>
      <c r="B36" s="181" t="s">
        <v>173</v>
      </c>
      <c r="C36" s="777">
        <v>22</v>
      </c>
      <c r="D36" s="777">
        <v>11</v>
      </c>
      <c r="E36" s="777">
        <v>33</v>
      </c>
      <c r="F36" s="777">
        <v>35</v>
      </c>
      <c r="G36" s="777">
        <v>18</v>
      </c>
      <c r="H36" s="777">
        <v>53</v>
      </c>
      <c r="I36" s="777">
        <v>232</v>
      </c>
      <c r="J36" s="777">
        <v>157</v>
      </c>
      <c r="K36" s="777">
        <v>389</v>
      </c>
      <c r="L36" s="777">
        <v>17</v>
      </c>
      <c r="M36" s="777">
        <v>63</v>
      </c>
      <c r="N36" s="777">
        <v>80</v>
      </c>
      <c r="O36" s="777">
        <v>10</v>
      </c>
      <c r="P36" s="777">
        <v>1</v>
      </c>
      <c r="Q36" s="777">
        <v>11</v>
      </c>
      <c r="R36" s="777">
        <v>321</v>
      </c>
      <c r="S36" s="777">
        <v>256</v>
      </c>
      <c r="T36" s="777">
        <v>577</v>
      </c>
      <c r="U36" s="777">
        <v>5</v>
      </c>
      <c r="V36" s="777">
        <v>6</v>
      </c>
      <c r="W36" s="777">
        <v>11</v>
      </c>
    </row>
    <row r="37" spans="1:23" ht="24.75" customHeight="1">
      <c r="A37" s="82">
        <v>33</v>
      </c>
      <c r="B37" s="181" t="s">
        <v>45</v>
      </c>
      <c r="C37" s="777">
        <v>120</v>
      </c>
      <c r="D37" s="777">
        <v>30</v>
      </c>
      <c r="E37" s="777">
        <v>150</v>
      </c>
      <c r="F37" s="777">
        <v>163</v>
      </c>
      <c r="G37" s="777">
        <v>82</v>
      </c>
      <c r="H37" s="777">
        <v>245</v>
      </c>
      <c r="I37" s="777">
        <v>934</v>
      </c>
      <c r="J37" s="777">
        <v>442</v>
      </c>
      <c r="K37" s="777">
        <v>1376</v>
      </c>
      <c r="L37" s="777">
        <v>222</v>
      </c>
      <c r="M37" s="777">
        <v>249</v>
      </c>
      <c r="N37" s="777">
        <v>471</v>
      </c>
      <c r="O37" s="777">
        <v>91</v>
      </c>
      <c r="P37" s="777">
        <v>65</v>
      </c>
      <c r="Q37" s="777">
        <v>156</v>
      </c>
      <c r="R37" s="777">
        <v>1562</v>
      </c>
      <c r="S37" s="777">
        <v>900</v>
      </c>
      <c r="T37" s="777">
        <v>2462</v>
      </c>
      <c r="U37" s="777">
        <v>32</v>
      </c>
      <c r="V37" s="777">
        <v>32</v>
      </c>
      <c r="W37" s="777">
        <v>64</v>
      </c>
    </row>
    <row r="38" spans="1:23" ht="24.75" customHeight="1">
      <c r="A38" s="82">
        <v>34</v>
      </c>
      <c r="B38" s="181" t="s">
        <v>47</v>
      </c>
      <c r="C38" s="777">
        <v>12040</v>
      </c>
      <c r="D38" s="777">
        <v>3568</v>
      </c>
      <c r="E38" s="777">
        <v>15608</v>
      </c>
      <c r="F38" s="777">
        <v>11193</v>
      </c>
      <c r="G38" s="777">
        <v>5389</v>
      </c>
      <c r="H38" s="777">
        <v>16582</v>
      </c>
      <c r="I38" s="777">
        <v>82908</v>
      </c>
      <c r="J38" s="777">
        <v>38283</v>
      </c>
      <c r="K38" s="777">
        <v>121191</v>
      </c>
      <c r="L38" s="777">
        <v>3208</v>
      </c>
      <c r="M38" s="777">
        <v>4339</v>
      </c>
      <c r="N38" s="777">
        <v>7547</v>
      </c>
      <c r="O38" s="777">
        <v>7213</v>
      </c>
      <c r="P38" s="777">
        <v>2834</v>
      </c>
      <c r="Q38" s="777">
        <v>10047</v>
      </c>
      <c r="R38" s="777">
        <v>116977</v>
      </c>
      <c r="S38" s="777">
        <v>54609</v>
      </c>
      <c r="T38" s="777">
        <v>171586</v>
      </c>
      <c r="U38" s="777">
        <v>415</v>
      </c>
      <c r="V38" s="777">
        <v>196</v>
      </c>
      <c r="W38" s="777">
        <v>611</v>
      </c>
    </row>
    <row r="39" spans="1:23" ht="24.75" customHeight="1">
      <c r="A39" s="82">
        <v>35</v>
      </c>
      <c r="B39" s="181" t="s">
        <v>46</v>
      </c>
      <c r="C39" s="777">
        <v>1813</v>
      </c>
      <c r="D39" s="777">
        <v>613</v>
      </c>
      <c r="E39" s="777">
        <v>2426</v>
      </c>
      <c r="F39" s="777">
        <v>1407</v>
      </c>
      <c r="G39" s="777">
        <v>755</v>
      </c>
      <c r="H39" s="777">
        <v>2162</v>
      </c>
      <c r="I39" s="777">
        <v>7255</v>
      </c>
      <c r="J39" s="777">
        <v>4958</v>
      </c>
      <c r="K39" s="777">
        <v>12213</v>
      </c>
      <c r="L39" s="777">
        <v>406</v>
      </c>
      <c r="M39" s="777">
        <v>657</v>
      </c>
      <c r="N39" s="777">
        <v>1063</v>
      </c>
      <c r="O39" s="777">
        <v>632</v>
      </c>
      <c r="P39" s="777">
        <v>421</v>
      </c>
      <c r="Q39" s="777">
        <v>1053</v>
      </c>
      <c r="R39" s="777">
        <v>11552</v>
      </c>
      <c r="S39" s="777">
        <v>7428</v>
      </c>
      <c r="T39" s="777">
        <v>18980</v>
      </c>
      <c r="U39" s="777">
        <v>39</v>
      </c>
      <c r="V39" s="777">
        <v>24</v>
      </c>
      <c r="W39" s="777">
        <v>63</v>
      </c>
    </row>
    <row r="40" spans="1:23" ht="24.75" customHeight="1">
      <c r="A40" s="82">
        <v>36</v>
      </c>
      <c r="B40" s="181" t="s">
        <v>48</v>
      </c>
      <c r="C40" s="777">
        <v>4540</v>
      </c>
      <c r="D40" s="777">
        <v>1143</v>
      </c>
      <c r="E40" s="777">
        <v>5683</v>
      </c>
      <c r="F40" s="777">
        <v>4410</v>
      </c>
      <c r="G40" s="777">
        <v>2488</v>
      </c>
      <c r="H40" s="777">
        <v>6898</v>
      </c>
      <c r="I40" s="777">
        <v>27599</v>
      </c>
      <c r="J40" s="777">
        <v>13371</v>
      </c>
      <c r="K40" s="777">
        <v>40970</v>
      </c>
      <c r="L40" s="777">
        <v>1349</v>
      </c>
      <c r="M40" s="777">
        <v>1957</v>
      </c>
      <c r="N40" s="777">
        <v>3306</v>
      </c>
      <c r="O40" s="777">
        <v>7001</v>
      </c>
      <c r="P40" s="777">
        <v>5942</v>
      </c>
      <c r="Q40" s="777">
        <v>12943</v>
      </c>
      <c r="R40" s="777">
        <v>45440</v>
      </c>
      <c r="S40" s="777">
        <v>25253</v>
      </c>
      <c r="T40" s="777">
        <v>70693</v>
      </c>
      <c r="U40" s="777">
        <v>541</v>
      </c>
      <c r="V40" s="777">
        <v>352</v>
      </c>
      <c r="W40" s="777">
        <v>893</v>
      </c>
    </row>
    <row r="41" spans="1:23" s="809" customFormat="1" ht="24.75" customHeight="1">
      <c r="A41" s="912" t="s">
        <v>49</v>
      </c>
      <c r="B41" s="912"/>
      <c r="C41" s="828">
        <v>104469</v>
      </c>
      <c r="D41" s="828">
        <v>42280</v>
      </c>
      <c r="E41" s="828">
        <v>146749</v>
      </c>
      <c r="F41" s="828">
        <v>100248</v>
      </c>
      <c r="G41" s="828">
        <v>60377</v>
      </c>
      <c r="H41" s="828">
        <v>160625</v>
      </c>
      <c r="I41" s="828">
        <v>601019</v>
      </c>
      <c r="J41" s="828">
        <v>458277</v>
      </c>
      <c r="K41" s="828">
        <v>1059296</v>
      </c>
      <c r="L41" s="828">
        <v>29329</v>
      </c>
      <c r="M41" s="828">
        <v>58252</v>
      </c>
      <c r="N41" s="828">
        <v>87581</v>
      </c>
      <c r="O41" s="828">
        <v>43816</v>
      </c>
      <c r="P41" s="828">
        <v>39925</v>
      </c>
      <c r="Q41" s="828">
        <v>83741</v>
      </c>
      <c r="R41" s="828">
        <v>886140</v>
      </c>
      <c r="S41" s="828">
        <v>664930</v>
      </c>
      <c r="T41" s="828">
        <v>1551070</v>
      </c>
      <c r="U41" s="828">
        <v>7259</v>
      </c>
      <c r="V41" s="828">
        <v>5819</v>
      </c>
      <c r="W41" s="828">
        <v>13078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51181102362204722" right="0.39370078740157483" top="0.39370078740157483" bottom="0.39370078740157483" header="0.27559055118110237" footer="0.23622047244094491"/>
  <pageSetup paperSize="9" scale="76" firstPageNumber="2" pageOrder="overThenDown" orientation="portrait" useFirstPageNumber="1" r:id="rId1"/>
  <headerFooter alignWithMargins="0">
    <oddFooter>&amp;L     AISHE 2020-21&amp;CT-22</oddFooter>
  </headerFooter>
  <colBreaks count="2" manualBreakCount="2">
    <brk id="8" max="41" man="1"/>
    <brk id="14" max="41" man="1"/>
  </colBreak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00B050"/>
  </sheetPr>
  <dimension ref="A1:W41"/>
  <sheetViews>
    <sheetView view="pageBreakPreview" topLeftCell="O25" zoomScaleSheetLayoutView="100" workbookViewId="0">
      <selection activeCell="W41" sqref="W41"/>
    </sheetView>
  </sheetViews>
  <sheetFormatPr defaultColWidth="9.1796875" defaultRowHeight="14"/>
  <cols>
    <col min="1" max="1" width="5.26953125" style="195" customWidth="1"/>
    <col min="2" max="2" width="25.81640625" style="87" customWidth="1"/>
    <col min="3" max="14" width="14.54296875" style="87" customWidth="1"/>
    <col min="15" max="19" width="10.26953125" style="87" customWidth="1"/>
    <col min="20" max="20" width="13.7265625" style="87" customWidth="1"/>
    <col min="21" max="23" width="10.26953125" style="87" customWidth="1"/>
    <col min="24" max="16384" width="9.1796875" style="194"/>
  </cols>
  <sheetData>
    <row r="1" spans="1:23" s="189" customFormat="1" ht="38.25" customHeight="1">
      <c r="A1" s="188"/>
      <c r="B1" s="578" t="s">
        <v>876</v>
      </c>
      <c r="C1" s="1062" t="s">
        <v>1032</v>
      </c>
      <c r="D1" s="1062"/>
      <c r="E1" s="1062"/>
      <c r="F1" s="1062"/>
      <c r="G1" s="1062"/>
      <c r="H1" s="1062"/>
      <c r="I1" s="1062" t="str">
        <f>C1</f>
        <v>Post-Wise Number of Teachers Universities &amp; It's Colleges 
(Based on Actual Response)</v>
      </c>
      <c r="J1" s="1062"/>
      <c r="K1" s="1062"/>
      <c r="L1" s="1062"/>
      <c r="M1" s="1062"/>
      <c r="N1" s="1062"/>
      <c r="O1" s="1062" t="str">
        <f>I1</f>
        <v>Post-Wise Number of Teachers Universities &amp; It's Colleges 
(Based on Actual Response)</v>
      </c>
      <c r="P1" s="1062"/>
      <c r="Q1" s="1062"/>
      <c r="R1" s="1062"/>
      <c r="S1" s="1062"/>
      <c r="T1" s="1062"/>
      <c r="U1" s="1062"/>
      <c r="V1" s="1062"/>
      <c r="W1" s="1062"/>
    </row>
    <row r="2" spans="1:23" s="190" customFormat="1" ht="31.5" customHeight="1">
      <c r="A2" s="1070" t="s">
        <v>235</v>
      </c>
      <c r="B2" s="1071" t="s">
        <v>236</v>
      </c>
      <c r="C2" s="1071" t="s">
        <v>336</v>
      </c>
      <c r="D2" s="1071"/>
      <c r="E2" s="1071"/>
      <c r="F2" s="1071" t="s">
        <v>337</v>
      </c>
      <c r="G2" s="1072"/>
      <c r="H2" s="1072"/>
      <c r="I2" s="1071" t="s">
        <v>338</v>
      </c>
      <c r="J2" s="1072"/>
      <c r="K2" s="1072"/>
      <c r="L2" s="1071" t="s">
        <v>339</v>
      </c>
      <c r="M2" s="1072"/>
      <c r="N2" s="1072"/>
      <c r="O2" s="1071" t="s">
        <v>875</v>
      </c>
      <c r="P2" s="1072"/>
      <c r="Q2" s="1072"/>
      <c r="R2" s="1065" t="s">
        <v>60</v>
      </c>
      <c r="S2" s="1066"/>
      <c r="T2" s="1067"/>
      <c r="U2" s="1068" t="s">
        <v>342</v>
      </c>
      <c r="V2" s="1069"/>
      <c r="W2" s="1069"/>
    </row>
    <row r="3" spans="1:23" s="191" customFormat="1" ht="19.5" customHeight="1">
      <c r="A3" s="1070"/>
      <c r="B3" s="1071"/>
      <c r="C3" s="582" t="s">
        <v>87</v>
      </c>
      <c r="D3" s="582" t="s">
        <v>88</v>
      </c>
      <c r="E3" s="582" t="s">
        <v>12</v>
      </c>
      <c r="F3" s="582" t="s">
        <v>87</v>
      </c>
      <c r="G3" s="582" t="s">
        <v>88</v>
      </c>
      <c r="H3" s="582" t="s">
        <v>12</v>
      </c>
      <c r="I3" s="582" t="s">
        <v>87</v>
      </c>
      <c r="J3" s="582" t="s">
        <v>88</v>
      </c>
      <c r="K3" s="582" t="s">
        <v>12</v>
      </c>
      <c r="L3" s="582" t="s">
        <v>87</v>
      </c>
      <c r="M3" s="582" t="s">
        <v>88</v>
      </c>
      <c r="N3" s="582" t="s">
        <v>12</v>
      </c>
      <c r="O3" s="582" t="s">
        <v>87</v>
      </c>
      <c r="P3" s="582" t="s">
        <v>88</v>
      </c>
      <c r="Q3" s="582" t="s">
        <v>12</v>
      </c>
      <c r="R3" s="582" t="s">
        <v>87</v>
      </c>
      <c r="S3" s="582" t="s">
        <v>88</v>
      </c>
      <c r="T3" s="582" t="s">
        <v>12</v>
      </c>
      <c r="U3" s="581" t="s">
        <v>87</v>
      </c>
      <c r="V3" s="581" t="s">
        <v>88</v>
      </c>
      <c r="W3" s="581" t="s">
        <v>12</v>
      </c>
    </row>
    <row r="4" spans="1:23" s="190" customFormat="1" ht="19.5" customHeight="1">
      <c r="A4" s="192">
        <v>1</v>
      </c>
      <c r="B4" s="192">
        <v>2</v>
      </c>
      <c r="C4" s="192">
        <v>3</v>
      </c>
      <c r="D4" s="192">
        <v>4</v>
      </c>
      <c r="E4" s="192">
        <v>5</v>
      </c>
      <c r="F4" s="192">
        <v>6</v>
      </c>
      <c r="G4" s="192">
        <v>7</v>
      </c>
      <c r="H4" s="192">
        <v>8</v>
      </c>
      <c r="I4" s="192">
        <v>9</v>
      </c>
      <c r="J4" s="192">
        <v>10</v>
      </c>
      <c r="K4" s="192">
        <v>11</v>
      </c>
      <c r="L4" s="192">
        <v>12</v>
      </c>
      <c r="M4" s="192">
        <v>13</v>
      </c>
      <c r="N4" s="192">
        <v>14</v>
      </c>
      <c r="O4" s="192">
        <v>15</v>
      </c>
      <c r="P4" s="192">
        <v>16</v>
      </c>
      <c r="Q4" s="192">
        <v>17</v>
      </c>
      <c r="R4" s="192">
        <v>18</v>
      </c>
      <c r="S4" s="192">
        <v>19</v>
      </c>
      <c r="T4" s="192">
        <v>20</v>
      </c>
      <c r="U4" s="192">
        <v>21</v>
      </c>
      <c r="V4" s="192">
        <v>22</v>
      </c>
      <c r="W4" s="192">
        <v>23</v>
      </c>
    </row>
    <row r="5" spans="1:23" ht="30" customHeight="1">
      <c r="A5" s="193">
        <v>1</v>
      </c>
      <c r="B5" s="181" t="s">
        <v>171</v>
      </c>
      <c r="C5" s="128">
        <v>24</v>
      </c>
      <c r="D5" s="128">
        <v>2</v>
      </c>
      <c r="E5" s="128">
        <v>26</v>
      </c>
      <c r="F5" s="128">
        <v>52</v>
      </c>
      <c r="G5" s="128">
        <v>12</v>
      </c>
      <c r="H5" s="128">
        <v>64</v>
      </c>
      <c r="I5" s="128">
        <v>92</v>
      </c>
      <c r="J5" s="128">
        <v>42</v>
      </c>
      <c r="K5" s="128">
        <v>134</v>
      </c>
      <c r="L5" s="128">
        <v>12</v>
      </c>
      <c r="M5" s="128">
        <v>8</v>
      </c>
      <c r="N5" s="128">
        <v>20</v>
      </c>
      <c r="O5" s="128">
        <v>50</v>
      </c>
      <c r="P5" s="128">
        <v>112</v>
      </c>
      <c r="Q5" s="128">
        <v>162</v>
      </c>
      <c r="R5" s="128">
        <v>241</v>
      </c>
      <c r="S5" s="128">
        <v>199</v>
      </c>
      <c r="T5" s="128">
        <v>440</v>
      </c>
      <c r="U5" s="128">
        <v>11</v>
      </c>
      <c r="V5" s="128">
        <v>23</v>
      </c>
      <c r="W5" s="128">
        <v>34</v>
      </c>
    </row>
    <row r="6" spans="1:23" ht="24.75" customHeight="1">
      <c r="A6" s="193">
        <v>2</v>
      </c>
      <c r="B6" s="181" t="s">
        <v>15</v>
      </c>
      <c r="C6" s="128">
        <v>5819</v>
      </c>
      <c r="D6" s="128">
        <v>1513</v>
      </c>
      <c r="E6" s="128">
        <v>7332</v>
      </c>
      <c r="F6" s="128">
        <v>5791</v>
      </c>
      <c r="G6" s="128">
        <v>2310</v>
      </c>
      <c r="H6" s="128">
        <v>8101</v>
      </c>
      <c r="I6" s="128">
        <v>40135</v>
      </c>
      <c r="J6" s="128">
        <v>23759</v>
      </c>
      <c r="K6" s="128">
        <v>63894</v>
      </c>
      <c r="L6" s="128">
        <v>581</v>
      </c>
      <c r="M6" s="128">
        <v>1930</v>
      </c>
      <c r="N6" s="128">
        <v>2511</v>
      </c>
      <c r="O6" s="128">
        <v>1430</v>
      </c>
      <c r="P6" s="128">
        <v>1029</v>
      </c>
      <c r="Q6" s="128">
        <v>2459</v>
      </c>
      <c r="R6" s="128">
        <v>53810</v>
      </c>
      <c r="S6" s="128">
        <v>30600</v>
      </c>
      <c r="T6" s="128">
        <v>84410</v>
      </c>
      <c r="U6" s="128">
        <v>54</v>
      </c>
      <c r="V6" s="128">
        <v>59</v>
      </c>
      <c r="W6" s="128">
        <v>113</v>
      </c>
    </row>
    <row r="7" spans="1:23" ht="24.75" customHeight="1">
      <c r="A7" s="193">
        <v>3</v>
      </c>
      <c r="B7" s="181" t="s">
        <v>16</v>
      </c>
      <c r="C7" s="128">
        <v>36</v>
      </c>
      <c r="D7" s="128">
        <v>9</v>
      </c>
      <c r="E7" s="128">
        <v>45</v>
      </c>
      <c r="F7" s="128">
        <v>84</v>
      </c>
      <c r="G7" s="128">
        <v>21</v>
      </c>
      <c r="H7" s="128">
        <v>105</v>
      </c>
      <c r="I7" s="128">
        <v>343</v>
      </c>
      <c r="J7" s="128">
        <v>378</v>
      </c>
      <c r="K7" s="128">
        <v>721</v>
      </c>
      <c r="L7" s="128">
        <v>16</v>
      </c>
      <c r="M7" s="128">
        <v>27</v>
      </c>
      <c r="N7" s="128">
        <v>43</v>
      </c>
      <c r="O7" s="128">
        <v>9</v>
      </c>
      <c r="P7" s="128">
        <v>10</v>
      </c>
      <c r="Q7" s="128">
        <v>19</v>
      </c>
      <c r="R7" s="128">
        <v>489</v>
      </c>
      <c r="S7" s="128">
        <v>448</v>
      </c>
      <c r="T7" s="128">
        <v>937</v>
      </c>
      <c r="U7" s="128">
        <v>1</v>
      </c>
      <c r="V7" s="128">
        <v>3</v>
      </c>
      <c r="W7" s="128">
        <v>4</v>
      </c>
    </row>
    <row r="8" spans="1:23" ht="24.75" customHeight="1">
      <c r="A8" s="193">
        <v>4</v>
      </c>
      <c r="B8" s="181" t="s">
        <v>17</v>
      </c>
      <c r="C8" s="128">
        <v>581</v>
      </c>
      <c r="D8" s="128">
        <v>172</v>
      </c>
      <c r="E8" s="128">
        <v>753</v>
      </c>
      <c r="F8" s="128">
        <v>1764</v>
      </c>
      <c r="G8" s="128">
        <v>1103</v>
      </c>
      <c r="H8" s="128">
        <v>2867</v>
      </c>
      <c r="I8" s="128">
        <v>7052</v>
      </c>
      <c r="J8" s="128">
        <v>5507</v>
      </c>
      <c r="K8" s="128">
        <v>12559</v>
      </c>
      <c r="L8" s="128">
        <v>308</v>
      </c>
      <c r="M8" s="128">
        <v>193</v>
      </c>
      <c r="N8" s="128">
        <v>501</v>
      </c>
      <c r="O8" s="128">
        <v>569</v>
      </c>
      <c r="P8" s="128">
        <v>746</v>
      </c>
      <c r="Q8" s="128">
        <v>1315</v>
      </c>
      <c r="R8" s="128">
        <v>10283</v>
      </c>
      <c r="S8" s="128">
        <v>7735</v>
      </c>
      <c r="T8" s="128">
        <v>18018</v>
      </c>
      <c r="U8" s="128">
        <v>9</v>
      </c>
      <c r="V8" s="128">
        <v>14</v>
      </c>
      <c r="W8" s="128">
        <v>23</v>
      </c>
    </row>
    <row r="9" spans="1:23" ht="24.75" customHeight="1">
      <c r="A9" s="193">
        <v>5</v>
      </c>
      <c r="B9" s="181" t="s">
        <v>18</v>
      </c>
      <c r="C9" s="128">
        <v>1393</v>
      </c>
      <c r="D9" s="128">
        <v>315</v>
      </c>
      <c r="E9" s="128">
        <v>1708</v>
      </c>
      <c r="F9" s="128">
        <v>2501</v>
      </c>
      <c r="G9" s="128">
        <v>573</v>
      </c>
      <c r="H9" s="128">
        <v>3074</v>
      </c>
      <c r="I9" s="128">
        <v>17074</v>
      </c>
      <c r="J9" s="128">
        <v>4872</v>
      </c>
      <c r="K9" s="128">
        <v>21946</v>
      </c>
      <c r="L9" s="128">
        <v>521</v>
      </c>
      <c r="M9" s="128">
        <v>458</v>
      </c>
      <c r="N9" s="128">
        <v>979</v>
      </c>
      <c r="O9" s="128">
        <v>687</v>
      </c>
      <c r="P9" s="128">
        <v>287</v>
      </c>
      <c r="Q9" s="128">
        <v>974</v>
      </c>
      <c r="R9" s="128">
        <v>22304</v>
      </c>
      <c r="S9" s="128">
        <v>6557</v>
      </c>
      <c r="T9" s="128">
        <v>28861</v>
      </c>
      <c r="U9" s="128">
        <v>128</v>
      </c>
      <c r="V9" s="128">
        <v>52</v>
      </c>
      <c r="W9" s="128">
        <v>180</v>
      </c>
    </row>
    <row r="10" spans="1:23" ht="24.75" customHeight="1">
      <c r="A10" s="193">
        <v>6</v>
      </c>
      <c r="B10" s="181" t="s">
        <v>19</v>
      </c>
      <c r="C10" s="128">
        <v>91</v>
      </c>
      <c r="D10" s="128">
        <v>73</v>
      </c>
      <c r="E10" s="128">
        <v>164</v>
      </c>
      <c r="F10" s="128">
        <v>114</v>
      </c>
      <c r="G10" s="128">
        <v>219</v>
      </c>
      <c r="H10" s="128">
        <v>333</v>
      </c>
      <c r="I10" s="128">
        <v>285</v>
      </c>
      <c r="J10" s="128">
        <v>808</v>
      </c>
      <c r="K10" s="128">
        <v>1093</v>
      </c>
      <c r="L10" s="128">
        <v>13</v>
      </c>
      <c r="M10" s="128">
        <v>7</v>
      </c>
      <c r="N10" s="128">
        <v>20</v>
      </c>
      <c r="O10" s="128">
        <v>64</v>
      </c>
      <c r="P10" s="128">
        <v>174</v>
      </c>
      <c r="Q10" s="128">
        <v>238</v>
      </c>
      <c r="R10" s="128">
        <v>567</v>
      </c>
      <c r="S10" s="128">
        <v>1281</v>
      </c>
      <c r="T10" s="128">
        <v>1848</v>
      </c>
      <c r="U10" s="128">
        <v>0</v>
      </c>
      <c r="V10" s="128">
        <v>0</v>
      </c>
      <c r="W10" s="128">
        <v>0</v>
      </c>
    </row>
    <row r="11" spans="1:23" ht="24.75" customHeight="1">
      <c r="A11" s="193">
        <v>7</v>
      </c>
      <c r="B11" s="181" t="s">
        <v>20</v>
      </c>
      <c r="C11" s="128">
        <v>933</v>
      </c>
      <c r="D11" s="128">
        <v>544</v>
      </c>
      <c r="E11" s="128">
        <v>1477</v>
      </c>
      <c r="F11" s="128">
        <v>692</v>
      </c>
      <c r="G11" s="128">
        <v>548</v>
      </c>
      <c r="H11" s="128">
        <v>1240</v>
      </c>
      <c r="I11" s="128">
        <v>6089</v>
      </c>
      <c r="J11" s="128">
        <v>5847</v>
      </c>
      <c r="K11" s="128">
        <v>11936</v>
      </c>
      <c r="L11" s="128">
        <v>490</v>
      </c>
      <c r="M11" s="128">
        <v>1593</v>
      </c>
      <c r="N11" s="128">
        <v>2083</v>
      </c>
      <c r="O11" s="128">
        <v>994</v>
      </c>
      <c r="P11" s="128">
        <v>963</v>
      </c>
      <c r="Q11" s="128">
        <v>1957</v>
      </c>
      <c r="R11" s="128">
        <v>9251</v>
      </c>
      <c r="S11" s="128">
        <v>9555</v>
      </c>
      <c r="T11" s="128">
        <v>18806</v>
      </c>
      <c r="U11" s="128">
        <v>53</v>
      </c>
      <c r="V11" s="128">
        <v>60</v>
      </c>
      <c r="W11" s="128">
        <v>113</v>
      </c>
    </row>
    <row r="12" spans="1:23" ht="24.75" customHeight="1">
      <c r="A12" s="193">
        <v>8</v>
      </c>
      <c r="B12" s="181" t="s">
        <v>23</v>
      </c>
      <c r="C12" s="128">
        <v>702</v>
      </c>
      <c r="D12" s="128">
        <v>630</v>
      </c>
      <c r="E12" s="128">
        <v>1332</v>
      </c>
      <c r="F12" s="128">
        <v>1031</v>
      </c>
      <c r="G12" s="128">
        <v>2078</v>
      </c>
      <c r="H12" s="128">
        <v>3109</v>
      </c>
      <c r="I12" s="128">
        <v>3118</v>
      </c>
      <c r="J12" s="128">
        <v>5189</v>
      </c>
      <c r="K12" s="128">
        <v>8307</v>
      </c>
      <c r="L12" s="128">
        <v>99</v>
      </c>
      <c r="M12" s="128">
        <v>191</v>
      </c>
      <c r="N12" s="128">
        <v>290</v>
      </c>
      <c r="O12" s="128">
        <v>339</v>
      </c>
      <c r="P12" s="128">
        <v>480</v>
      </c>
      <c r="Q12" s="128">
        <v>819</v>
      </c>
      <c r="R12" s="128">
        <v>5318</v>
      </c>
      <c r="S12" s="128">
        <v>8589</v>
      </c>
      <c r="T12" s="128">
        <v>13907</v>
      </c>
      <c r="U12" s="128">
        <v>29</v>
      </c>
      <c r="V12" s="128">
        <v>21</v>
      </c>
      <c r="W12" s="128">
        <v>50</v>
      </c>
    </row>
    <row r="13" spans="1:23" ht="24.75" customHeight="1">
      <c r="A13" s="193">
        <v>9</v>
      </c>
      <c r="B13" s="181" t="s">
        <v>24</v>
      </c>
      <c r="C13" s="128">
        <v>129</v>
      </c>
      <c r="D13" s="128">
        <v>48</v>
      </c>
      <c r="E13" s="128">
        <v>177</v>
      </c>
      <c r="F13" s="128">
        <v>195</v>
      </c>
      <c r="G13" s="128">
        <v>261</v>
      </c>
      <c r="H13" s="128">
        <v>456</v>
      </c>
      <c r="I13" s="128">
        <v>621</v>
      </c>
      <c r="J13" s="128">
        <v>1291</v>
      </c>
      <c r="K13" s="128">
        <v>1912</v>
      </c>
      <c r="L13" s="128">
        <v>13</v>
      </c>
      <c r="M13" s="128">
        <v>42</v>
      </c>
      <c r="N13" s="128">
        <v>55</v>
      </c>
      <c r="O13" s="128">
        <v>38</v>
      </c>
      <c r="P13" s="128">
        <v>87</v>
      </c>
      <c r="Q13" s="128">
        <v>125</v>
      </c>
      <c r="R13" s="128">
        <v>1014</v>
      </c>
      <c r="S13" s="128">
        <v>1760</v>
      </c>
      <c r="T13" s="128">
        <v>2774</v>
      </c>
      <c r="U13" s="128">
        <v>18</v>
      </c>
      <c r="V13" s="128">
        <v>31</v>
      </c>
      <c r="W13" s="128">
        <v>49</v>
      </c>
    </row>
    <row r="14" spans="1:23" ht="24.75" customHeight="1">
      <c r="A14" s="193">
        <v>10</v>
      </c>
      <c r="B14" s="181" t="s">
        <v>25</v>
      </c>
      <c r="C14" s="128">
        <v>2518</v>
      </c>
      <c r="D14" s="128">
        <v>954</v>
      </c>
      <c r="E14" s="128">
        <v>3472</v>
      </c>
      <c r="F14" s="128">
        <v>3708</v>
      </c>
      <c r="G14" s="128">
        <v>1965</v>
      </c>
      <c r="H14" s="128">
        <v>5673</v>
      </c>
      <c r="I14" s="128">
        <v>15986</v>
      </c>
      <c r="J14" s="128">
        <v>10715</v>
      </c>
      <c r="K14" s="128">
        <v>26701</v>
      </c>
      <c r="L14" s="128">
        <v>1021</v>
      </c>
      <c r="M14" s="128">
        <v>2230</v>
      </c>
      <c r="N14" s="128">
        <v>3251</v>
      </c>
      <c r="O14" s="128">
        <v>794</v>
      </c>
      <c r="P14" s="128">
        <v>916</v>
      </c>
      <c r="Q14" s="128">
        <v>1710</v>
      </c>
      <c r="R14" s="128">
        <v>24941</v>
      </c>
      <c r="S14" s="128">
        <v>17555</v>
      </c>
      <c r="T14" s="128">
        <v>42496</v>
      </c>
      <c r="U14" s="128">
        <v>914</v>
      </c>
      <c r="V14" s="128">
        <v>775</v>
      </c>
      <c r="W14" s="128">
        <v>1689</v>
      </c>
    </row>
    <row r="15" spans="1:23" ht="24.75" customHeight="1">
      <c r="A15" s="193">
        <v>11</v>
      </c>
      <c r="B15" s="181" t="s">
        <v>26</v>
      </c>
      <c r="C15" s="128">
        <v>1114</v>
      </c>
      <c r="D15" s="128">
        <v>649</v>
      </c>
      <c r="E15" s="128">
        <v>1763</v>
      </c>
      <c r="F15" s="128">
        <v>1479</v>
      </c>
      <c r="G15" s="128">
        <v>1491</v>
      </c>
      <c r="H15" s="128">
        <v>2970</v>
      </c>
      <c r="I15" s="128">
        <v>8328</v>
      </c>
      <c r="J15" s="128">
        <v>11359</v>
      </c>
      <c r="K15" s="128">
        <v>19687</v>
      </c>
      <c r="L15" s="128">
        <v>161</v>
      </c>
      <c r="M15" s="128">
        <v>694</v>
      </c>
      <c r="N15" s="128">
        <v>855</v>
      </c>
      <c r="O15" s="128">
        <v>408</v>
      </c>
      <c r="P15" s="128">
        <v>904</v>
      </c>
      <c r="Q15" s="128">
        <v>1312</v>
      </c>
      <c r="R15" s="128">
        <v>11610</v>
      </c>
      <c r="S15" s="128">
        <v>15232</v>
      </c>
      <c r="T15" s="128">
        <v>26842</v>
      </c>
      <c r="U15" s="128">
        <v>120</v>
      </c>
      <c r="V15" s="128">
        <v>135</v>
      </c>
      <c r="W15" s="128">
        <v>255</v>
      </c>
    </row>
    <row r="16" spans="1:23" ht="24.75" customHeight="1">
      <c r="A16" s="193">
        <v>12</v>
      </c>
      <c r="B16" s="181" t="s">
        <v>27</v>
      </c>
      <c r="C16" s="128">
        <v>347</v>
      </c>
      <c r="D16" s="128">
        <v>163</v>
      </c>
      <c r="E16" s="128">
        <v>510</v>
      </c>
      <c r="F16" s="128">
        <v>522</v>
      </c>
      <c r="G16" s="128">
        <v>282</v>
      </c>
      <c r="H16" s="128">
        <v>804</v>
      </c>
      <c r="I16" s="128">
        <v>2105</v>
      </c>
      <c r="J16" s="128">
        <v>2377</v>
      </c>
      <c r="K16" s="128">
        <v>4482</v>
      </c>
      <c r="L16" s="128">
        <v>113</v>
      </c>
      <c r="M16" s="128">
        <v>472</v>
      </c>
      <c r="N16" s="128">
        <v>585</v>
      </c>
      <c r="O16" s="128">
        <v>79</v>
      </c>
      <c r="P16" s="128">
        <v>147</v>
      </c>
      <c r="Q16" s="128">
        <v>226</v>
      </c>
      <c r="R16" s="128">
        <v>3183</v>
      </c>
      <c r="S16" s="128">
        <v>3459</v>
      </c>
      <c r="T16" s="128">
        <v>6642</v>
      </c>
      <c r="U16" s="128">
        <v>17</v>
      </c>
      <c r="V16" s="128">
        <v>18</v>
      </c>
      <c r="W16" s="128">
        <v>35</v>
      </c>
    </row>
    <row r="17" spans="1:23" ht="24.75" customHeight="1">
      <c r="A17" s="193">
        <v>13</v>
      </c>
      <c r="B17" s="181" t="s">
        <v>57</v>
      </c>
      <c r="C17" s="128">
        <v>424</v>
      </c>
      <c r="D17" s="128">
        <v>169</v>
      </c>
      <c r="E17" s="128">
        <v>593</v>
      </c>
      <c r="F17" s="128">
        <v>465</v>
      </c>
      <c r="G17" s="128">
        <v>335</v>
      </c>
      <c r="H17" s="128">
        <v>800</v>
      </c>
      <c r="I17" s="128">
        <v>2342</v>
      </c>
      <c r="J17" s="128">
        <v>2206</v>
      </c>
      <c r="K17" s="128">
        <v>4548</v>
      </c>
      <c r="L17" s="128">
        <v>132</v>
      </c>
      <c r="M17" s="128">
        <v>190</v>
      </c>
      <c r="N17" s="128">
        <v>322</v>
      </c>
      <c r="O17" s="128">
        <v>675</v>
      </c>
      <c r="P17" s="128">
        <v>366</v>
      </c>
      <c r="Q17" s="128">
        <v>1041</v>
      </c>
      <c r="R17" s="128">
        <v>4060</v>
      </c>
      <c r="S17" s="128">
        <v>3283</v>
      </c>
      <c r="T17" s="128">
        <v>7343</v>
      </c>
      <c r="U17" s="128">
        <v>22</v>
      </c>
      <c r="V17" s="128">
        <v>17</v>
      </c>
      <c r="W17" s="128">
        <v>39</v>
      </c>
    </row>
    <row r="18" spans="1:23" ht="24.75" customHeight="1">
      <c r="A18" s="193">
        <v>14</v>
      </c>
      <c r="B18" s="181" t="s">
        <v>29</v>
      </c>
      <c r="C18" s="128">
        <v>427</v>
      </c>
      <c r="D18" s="128">
        <v>109</v>
      </c>
      <c r="E18" s="128">
        <v>536</v>
      </c>
      <c r="F18" s="128">
        <v>441</v>
      </c>
      <c r="G18" s="128">
        <v>154</v>
      </c>
      <c r="H18" s="128">
        <v>595</v>
      </c>
      <c r="I18" s="128">
        <v>4570</v>
      </c>
      <c r="J18" s="128">
        <v>2366</v>
      </c>
      <c r="K18" s="128">
        <v>6936</v>
      </c>
      <c r="L18" s="128">
        <v>139</v>
      </c>
      <c r="M18" s="128">
        <v>151</v>
      </c>
      <c r="N18" s="128">
        <v>290</v>
      </c>
      <c r="O18" s="128">
        <v>366</v>
      </c>
      <c r="P18" s="128">
        <v>245</v>
      </c>
      <c r="Q18" s="128">
        <v>611</v>
      </c>
      <c r="R18" s="128">
        <v>5972</v>
      </c>
      <c r="S18" s="128">
        <v>3040</v>
      </c>
      <c r="T18" s="128">
        <v>9012</v>
      </c>
      <c r="U18" s="128">
        <v>29</v>
      </c>
      <c r="V18" s="128">
        <v>15</v>
      </c>
      <c r="W18" s="128">
        <v>44</v>
      </c>
    </row>
    <row r="19" spans="1:23" ht="24.75" customHeight="1">
      <c r="A19" s="193">
        <v>15</v>
      </c>
      <c r="B19" s="181" t="s">
        <v>30</v>
      </c>
      <c r="C19" s="128">
        <v>8549</v>
      </c>
      <c r="D19" s="128">
        <v>3464</v>
      </c>
      <c r="E19" s="128">
        <v>12013</v>
      </c>
      <c r="F19" s="128">
        <v>7600</v>
      </c>
      <c r="G19" s="128">
        <v>4909</v>
      </c>
      <c r="H19" s="128">
        <v>12509</v>
      </c>
      <c r="I19" s="128">
        <v>33462</v>
      </c>
      <c r="J19" s="128">
        <v>31856</v>
      </c>
      <c r="K19" s="128">
        <v>65318</v>
      </c>
      <c r="L19" s="128">
        <v>2745</v>
      </c>
      <c r="M19" s="128">
        <v>5515</v>
      </c>
      <c r="N19" s="128">
        <v>8260</v>
      </c>
      <c r="O19" s="128">
        <v>4897</v>
      </c>
      <c r="P19" s="128">
        <v>5025</v>
      </c>
      <c r="Q19" s="128">
        <v>9922</v>
      </c>
      <c r="R19" s="128">
        <v>58064</v>
      </c>
      <c r="S19" s="128">
        <v>51602</v>
      </c>
      <c r="T19" s="128">
        <v>109666</v>
      </c>
      <c r="U19" s="128">
        <v>811</v>
      </c>
      <c r="V19" s="128">
        <v>833</v>
      </c>
      <c r="W19" s="128">
        <v>1644</v>
      </c>
    </row>
    <row r="20" spans="1:23" ht="24.75" customHeight="1">
      <c r="A20" s="193">
        <v>16</v>
      </c>
      <c r="B20" s="181" t="s">
        <v>31</v>
      </c>
      <c r="C20" s="128">
        <v>2415</v>
      </c>
      <c r="D20" s="128">
        <v>1481</v>
      </c>
      <c r="E20" s="128">
        <v>3896</v>
      </c>
      <c r="F20" s="128">
        <v>2439</v>
      </c>
      <c r="G20" s="128">
        <v>2543</v>
      </c>
      <c r="H20" s="128">
        <v>4982</v>
      </c>
      <c r="I20" s="128">
        <v>12475</v>
      </c>
      <c r="J20" s="128">
        <v>24726</v>
      </c>
      <c r="K20" s="128">
        <v>37201</v>
      </c>
      <c r="L20" s="128">
        <v>413</v>
      </c>
      <c r="M20" s="128">
        <v>1154</v>
      </c>
      <c r="N20" s="128">
        <v>1567</v>
      </c>
      <c r="O20" s="128">
        <v>917</v>
      </c>
      <c r="P20" s="128">
        <v>2690</v>
      </c>
      <c r="Q20" s="128">
        <v>3607</v>
      </c>
      <c r="R20" s="128">
        <v>18702</v>
      </c>
      <c r="S20" s="128">
        <v>32628</v>
      </c>
      <c r="T20" s="128">
        <v>51330</v>
      </c>
      <c r="U20" s="128">
        <v>43</v>
      </c>
      <c r="V20" s="128">
        <v>34</v>
      </c>
      <c r="W20" s="128">
        <v>77</v>
      </c>
    </row>
    <row r="21" spans="1:23" ht="24.75" customHeight="1">
      <c r="A21" s="193">
        <v>17</v>
      </c>
      <c r="B21" s="181" t="s">
        <v>172</v>
      </c>
      <c r="C21" s="128">
        <v>1</v>
      </c>
      <c r="D21" s="128">
        <v>1</v>
      </c>
      <c r="E21" s="128">
        <v>2</v>
      </c>
      <c r="F21" s="128">
        <v>0</v>
      </c>
      <c r="G21" s="128">
        <v>0</v>
      </c>
      <c r="H21" s="128">
        <v>0</v>
      </c>
      <c r="I21" s="128">
        <v>35</v>
      </c>
      <c r="J21" s="128">
        <v>21</v>
      </c>
      <c r="K21" s="128">
        <v>56</v>
      </c>
      <c r="L21" s="128">
        <v>0</v>
      </c>
      <c r="M21" s="128">
        <v>0</v>
      </c>
      <c r="N21" s="128">
        <v>0</v>
      </c>
      <c r="O21" s="128">
        <v>15</v>
      </c>
      <c r="P21" s="128">
        <v>7</v>
      </c>
      <c r="Q21" s="128">
        <v>22</v>
      </c>
      <c r="R21" s="128">
        <v>51</v>
      </c>
      <c r="S21" s="128">
        <v>29</v>
      </c>
      <c r="T21" s="128">
        <v>80</v>
      </c>
      <c r="U21" s="128">
        <v>0</v>
      </c>
      <c r="V21" s="128">
        <v>0</v>
      </c>
      <c r="W21" s="128">
        <v>0</v>
      </c>
    </row>
    <row r="22" spans="1:23" ht="24.75" customHeight="1">
      <c r="A22" s="193">
        <v>18</v>
      </c>
      <c r="B22" s="181" t="s">
        <v>32</v>
      </c>
      <c r="C22" s="128">
        <v>0</v>
      </c>
      <c r="D22" s="128">
        <v>0</v>
      </c>
      <c r="E22" s="128">
        <v>0</v>
      </c>
      <c r="F22" s="128">
        <v>0</v>
      </c>
      <c r="G22" s="128">
        <v>0</v>
      </c>
      <c r="H22" s="128">
        <v>0</v>
      </c>
      <c r="I22" s="128">
        <v>0</v>
      </c>
      <c r="J22" s="128">
        <v>0</v>
      </c>
      <c r="K22" s="128">
        <v>0</v>
      </c>
      <c r="L22" s="128">
        <v>0</v>
      </c>
      <c r="M22" s="128">
        <v>0</v>
      </c>
      <c r="N22" s="128">
        <v>0</v>
      </c>
      <c r="O22" s="128">
        <v>0</v>
      </c>
      <c r="P22" s="128">
        <v>0</v>
      </c>
      <c r="Q22" s="128">
        <v>0</v>
      </c>
      <c r="R22" s="128">
        <v>0</v>
      </c>
      <c r="S22" s="128">
        <v>0</v>
      </c>
      <c r="T22" s="128">
        <v>0</v>
      </c>
      <c r="U22" s="128">
        <v>0</v>
      </c>
      <c r="V22" s="128">
        <v>0</v>
      </c>
      <c r="W22" s="128">
        <v>0</v>
      </c>
    </row>
    <row r="23" spans="1:23" ht="24.75" customHeight="1">
      <c r="A23" s="193">
        <v>19</v>
      </c>
      <c r="B23" s="181" t="s">
        <v>33</v>
      </c>
      <c r="C23" s="128">
        <v>3761</v>
      </c>
      <c r="D23" s="128">
        <v>2268</v>
      </c>
      <c r="E23" s="128">
        <v>6029</v>
      </c>
      <c r="F23" s="128">
        <v>3062</v>
      </c>
      <c r="G23" s="128">
        <v>1951</v>
      </c>
      <c r="H23" s="128">
        <v>5013</v>
      </c>
      <c r="I23" s="128">
        <v>21409</v>
      </c>
      <c r="J23" s="128">
        <v>15809</v>
      </c>
      <c r="K23" s="128">
        <v>37218</v>
      </c>
      <c r="L23" s="128">
        <v>1003</v>
      </c>
      <c r="M23" s="128">
        <v>1887</v>
      </c>
      <c r="N23" s="128">
        <v>2890</v>
      </c>
      <c r="O23" s="128">
        <v>1987</v>
      </c>
      <c r="P23" s="128">
        <v>1821</v>
      </c>
      <c r="Q23" s="128">
        <v>3808</v>
      </c>
      <c r="R23" s="128">
        <v>31367</v>
      </c>
      <c r="S23" s="128">
        <v>23879</v>
      </c>
      <c r="T23" s="128">
        <v>55246</v>
      </c>
      <c r="U23" s="128">
        <v>145</v>
      </c>
      <c r="V23" s="128">
        <v>143</v>
      </c>
      <c r="W23" s="128">
        <v>288</v>
      </c>
    </row>
    <row r="24" spans="1:23" ht="24.75" customHeight="1">
      <c r="A24" s="193">
        <v>20</v>
      </c>
      <c r="B24" s="181" t="s">
        <v>34</v>
      </c>
      <c r="C24" s="128">
        <v>6971</v>
      </c>
      <c r="D24" s="128">
        <v>2630</v>
      </c>
      <c r="E24" s="128">
        <v>9601</v>
      </c>
      <c r="F24" s="128">
        <v>9860</v>
      </c>
      <c r="G24" s="128">
        <v>4845</v>
      </c>
      <c r="H24" s="128">
        <v>14705</v>
      </c>
      <c r="I24" s="128">
        <v>46033</v>
      </c>
      <c r="J24" s="128">
        <v>34102</v>
      </c>
      <c r="K24" s="128">
        <v>80135</v>
      </c>
      <c r="L24" s="128">
        <v>1040</v>
      </c>
      <c r="M24" s="128">
        <v>1710</v>
      </c>
      <c r="N24" s="128">
        <v>2750</v>
      </c>
      <c r="O24" s="128">
        <v>4194</v>
      </c>
      <c r="P24" s="128">
        <v>4451</v>
      </c>
      <c r="Q24" s="128">
        <v>8645</v>
      </c>
      <c r="R24" s="128">
        <v>69461</v>
      </c>
      <c r="S24" s="128">
        <v>48893</v>
      </c>
      <c r="T24" s="128">
        <v>118354</v>
      </c>
      <c r="U24" s="128">
        <v>1363</v>
      </c>
      <c r="V24" s="128">
        <v>1155</v>
      </c>
      <c r="W24" s="128">
        <v>2518</v>
      </c>
    </row>
    <row r="25" spans="1:23" ht="24.75" customHeight="1">
      <c r="A25" s="193">
        <v>21</v>
      </c>
      <c r="B25" s="181" t="s">
        <v>35</v>
      </c>
      <c r="C25" s="128">
        <v>148</v>
      </c>
      <c r="D25" s="128">
        <v>66</v>
      </c>
      <c r="E25" s="128">
        <v>214</v>
      </c>
      <c r="F25" s="128">
        <v>379</v>
      </c>
      <c r="G25" s="128">
        <v>297</v>
      </c>
      <c r="H25" s="128">
        <v>676</v>
      </c>
      <c r="I25" s="128">
        <v>1674</v>
      </c>
      <c r="J25" s="128">
        <v>1877</v>
      </c>
      <c r="K25" s="128">
        <v>3551</v>
      </c>
      <c r="L25" s="128">
        <v>13</v>
      </c>
      <c r="M25" s="128">
        <v>80</v>
      </c>
      <c r="N25" s="128">
        <v>93</v>
      </c>
      <c r="O25" s="128">
        <v>39</v>
      </c>
      <c r="P25" s="128">
        <v>38</v>
      </c>
      <c r="Q25" s="128">
        <v>77</v>
      </c>
      <c r="R25" s="128">
        <v>2265</v>
      </c>
      <c r="S25" s="128">
        <v>2363</v>
      </c>
      <c r="T25" s="128">
        <v>4628</v>
      </c>
      <c r="U25" s="128">
        <v>12</v>
      </c>
      <c r="V25" s="128">
        <v>5</v>
      </c>
      <c r="W25" s="128">
        <v>17</v>
      </c>
    </row>
    <row r="26" spans="1:23" ht="24.75" customHeight="1">
      <c r="A26" s="193">
        <v>22</v>
      </c>
      <c r="B26" s="181" t="s">
        <v>36</v>
      </c>
      <c r="C26" s="128">
        <v>38</v>
      </c>
      <c r="D26" s="128">
        <v>25</v>
      </c>
      <c r="E26" s="128">
        <v>63</v>
      </c>
      <c r="F26" s="128">
        <v>137</v>
      </c>
      <c r="G26" s="128">
        <v>159</v>
      </c>
      <c r="H26" s="128">
        <v>296</v>
      </c>
      <c r="I26" s="128">
        <v>730</v>
      </c>
      <c r="J26" s="128">
        <v>1221</v>
      </c>
      <c r="K26" s="128">
        <v>1951</v>
      </c>
      <c r="L26" s="128">
        <v>0</v>
      </c>
      <c r="M26" s="128">
        <v>15</v>
      </c>
      <c r="N26" s="128">
        <v>15</v>
      </c>
      <c r="O26" s="128">
        <v>37</v>
      </c>
      <c r="P26" s="128">
        <v>61</v>
      </c>
      <c r="Q26" s="128">
        <v>98</v>
      </c>
      <c r="R26" s="128">
        <v>944</v>
      </c>
      <c r="S26" s="128">
        <v>1486</v>
      </c>
      <c r="T26" s="128">
        <v>2430</v>
      </c>
      <c r="U26" s="128">
        <v>2</v>
      </c>
      <c r="V26" s="128">
        <v>5</v>
      </c>
      <c r="W26" s="128">
        <v>7</v>
      </c>
    </row>
    <row r="27" spans="1:23" ht="24.75" customHeight="1">
      <c r="A27" s="193">
        <v>23</v>
      </c>
      <c r="B27" s="181" t="s">
        <v>37</v>
      </c>
      <c r="C27" s="128">
        <v>57</v>
      </c>
      <c r="D27" s="128">
        <v>13</v>
      </c>
      <c r="E27" s="128">
        <v>70</v>
      </c>
      <c r="F27" s="128">
        <v>229</v>
      </c>
      <c r="G27" s="128">
        <v>198</v>
      </c>
      <c r="H27" s="128">
        <v>427</v>
      </c>
      <c r="I27" s="128">
        <v>352</v>
      </c>
      <c r="J27" s="128">
        <v>340</v>
      </c>
      <c r="K27" s="128">
        <v>692</v>
      </c>
      <c r="L27" s="128">
        <v>24</v>
      </c>
      <c r="M27" s="128">
        <v>56</v>
      </c>
      <c r="N27" s="128">
        <v>80</v>
      </c>
      <c r="O27" s="128">
        <v>106</v>
      </c>
      <c r="P27" s="128">
        <v>103</v>
      </c>
      <c r="Q27" s="128">
        <v>209</v>
      </c>
      <c r="R27" s="128">
        <v>773</v>
      </c>
      <c r="S27" s="128">
        <v>711</v>
      </c>
      <c r="T27" s="128">
        <v>1484</v>
      </c>
      <c r="U27" s="128">
        <v>5</v>
      </c>
      <c r="V27" s="128">
        <v>1</v>
      </c>
      <c r="W27" s="128">
        <v>6</v>
      </c>
    </row>
    <row r="28" spans="1:23" ht="24.75" customHeight="1">
      <c r="A28" s="193">
        <v>24</v>
      </c>
      <c r="B28" s="181" t="s">
        <v>38</v>
      </c>
      <c r="C28" s="128">
        <v>48</v>
      </c>
      <c r="D28" s="128">
        <v>25</v>
      </c>
      <c r="E28" s="128">
        <v>73</v>
      </c>
      <c r="F28" s="128">
        <v>46</v>
      </c>
      <c r="G28" s="128">
        <v>73</v>
      </c>
      <c r="H28" s="128">
        <v>119</v>
      </c>
      <c r="I28" s="128">
        <v>584</v>
      </c>
      <c r="J28" s="128">
        <v>895</v>
      </c>
      <c r="K28" s="128">
        <v>1479</v>
      </c>
      <c r="L28" s="128">
        <v>10</v>
      </c>
      <c r="M28" s="128">
        <v>19</v>
      </c>
      <c r="N28" s="128">
        <v>29</v>
      </c>
      <c r="O28" s="128">
        <v>18</v>
      </c>
      <c r="P28" s="128">
        <v>27</v>
      </c>
      <c r="Q28" s="128">
        <v>45</v>
      </c>
      <c r="R28" s="128">
        <v>709</v>
      </c>
      <c r="S28" s="128">
        <v>1041</v>
      </c>
      <c r="T28" s="128">
        <v>1750</v>
      </c>
      <c r="U28" s="128">
        <v>3</v>
      </c>
      <c r="V28" s="128">
        <v>2</v>
      </c>
      <c r="W28" s="128">
        <v>5</v>
      </c>
    </row>
    <row r="29" spans="1:23" ht="24.75" customHeight="1">
      <c r="A29" s="193">
        <v>25</v>
      </c>
      <c r="B29" s="181" t="s">
        <v>39</v>
      </c>
      <c r="C29" s="128">
        <v>1373</v>
      </c>
      <c r="D29" s="128">
        <v>358</v>
      </c>
      <c r="E29" s="128">
        <v>1731</v>
      </c>
      <c r="F29" s="128">
        <v>2258</v>
      </c>
      <c r="G29" s="128">
        <v>925</v>
      </c>
      <c r="H29" s="128">
        <v>3183</v>
      </c>
      <c r="I29" s="128">
        <v>11632</v>
      </c>
      <c r="J29" s="128">
        <v>7561</v>
      </c>
      <c r="K29" s="128">
        <v>19193</v>
      </c>
      <c r="L29" s="128">
        <v>946</v>
      </c>
      <c r="M29" s="128">
        <v>717</v>
      </c>
      <c r="N29" s="128">
        <v>1663</v>
      </c>
      <c r="O29" s="128">
        <v>584</v>
      </c>
      <c r="P29" s="128">
        <v>670</v>
      </c>
      <c r="Q29" s="128">
        <v>1254</v>
      </c>
      <c r="R29" s="128">
        <v>16908</v>
      </c>
      <c r="S29" s="128">
        <v>10322</v>
      </c>
      <c r="T29" s="128">
        <v>27230</v>
      </c>
      <c r="U29" s="128">
        <v>115</v>
      </c>
      <c r="V29" s="128">
        <v>91</v>
      </c>
      <c r="W29" s="128">
        <v>206</v>
      </c>
    </row>
    <row r="30" spans="1:23" ht="24.75" customHeight="1">
      <c r="A30" s="193">
        <v>26</v>
      </c>
      <c r="B30" s="181" t="s">
        <v>40</v>
      </c>
      <c r="C30" s="128">
        <v>372</v>
      </c>
      <c r="D30" s="128">
        <v>167</v>
      </c>
      <c r="E30" s="128">
        <v>539</v>
      </c>
      <c r="F30" s="128">
        <v>329</v>
      </c>
      <c r="G30" s="128">
        <v>219</v>
      </c>
      <c r="H30" s="128">
        <v>548</v>
      </c>
      <c r="I30" s="128">
        <v>1397</v>
      </c>
      <c r="J30" s="128">
        <v>1352</v>
      </c>
      <c r="K30" s="128">
        <v>2749</v>
      </c>
      <c r="L30" s="128">
        <v>56</v>
      </c>
      <c r="M30" s="128">
        <v>194</v>
      </c>
      <c r="N30" s="128">
        <v>250</v>
      </c>
      <c r="O30" s="128">
        <v>26</v>
      </c>
      <c r="P30" s="128">
        <v>35</v>
      </c>
      <c r="Q30" s="128">
        <v>61</v>
      </c>
      <c r="R30" s="128">
        <v>2180</v>
      </c>
      <c r="S30" s="128">
        <v>1967</v>
      </c>
      <c r="T30" s="128">
        <v>4147</v>
      </c>
      <c r="U30" s="128">
        <v>0</v>
      </c>
      <c r="V30" s="128">
        <v>0</v>
      </c>
      <c r="W30" s="128">
        <v>0</v>
      </c>
    </row>
    <row r="31" spans="1:23" ht="24.75" customHeight="1">
      <c r="A31" s="193">
        <v>27</v>
      </c>
      <c r="B31" s="181" t="s">
        <v>41</v>
      </c>
      <c r="C31" s="128">
        <v>1120</v>
      </c>
      <c r="D31" s="128">
        <v>855</v>
      </c>
      <c r="E31" s="128">
        <v>1975</v>
      </c>
      <c r="F31" s="128">
        <v>1249</v>
      </c>
      <c r="G31" s="128">
        <v>1464</v>
      </c>
      <c r="H31" s="128">
        <v>2713</v>
      </c>
      <c r="I31" s="128">
        <v>7541</v>
      </c>
      <c r="J31" s="128">
        <v>15200</v>
      </c>
      <c r="K31" s="128">
        <v>22741</v>
      </c>
      <c r="L31" s="128">
        <v>196</v>
      </c>
      <c r="M31" s="128">
        <v>2361</v>
      </c>
      <c r="N31" s="128">
        <v>2557</v>
      </c>
      <c r="O31" s="128">
        <v>344</v>
      </c>
      <c r="P31" s="128">
        <v>1002</v>
      </c>
      <c r="Q31" s="128">
        <v>1346</v>
      </c>
      <c r="R31" s="128">
        <v>10564</v>
      </c>
      <c r="S31" s="128">
        <v>21115</v>
      </c>
      <c r="T31" s="128">
        <v>31679</v>
      </c>
      <c r="U31" s="128">
        <v>114</v>
      </c>
      <c r="V31" s="128">
        <v>233</v>
      </c>
      <c r="W31" s="128">
        <v>347</v>
      </c>
    </row>
    <row r="32" spans="1:23" ht="24.75" customHeight="1">
      <c r="A32" s="193">
        <v>28</v>
      </c>
      <c r="B32" s="181" t="s">
        <v>42</v>
      </c>
      <c r="C32" s="128">
        <v>3439</v>
      </c>
      <c r="D32" s="709">
        <v>1409</v>
      </c>
      <c r="E32" s="128">
        <v>4848</v>
      </c>
      <c r="F32" s="128">
        <v>3013</v>
      </c>
      <c r="G32" s="128">
        <v>2028</v>
      </c>
      <c r="H32" s="128">
        <v>5041</v>
      </c>
      <c r="I32" s="128">
        <v>28462</v>
      </c>
      <c r="J32" s="128">
        <v>17614</v>
      </c>
      <c r="K32" s="128">
        <v>46076</v>
      </c>
      <c r="L32" s="128">
        <v>1810</v>
      </c>
      <c r="M32" s="128">
        <v>888</v>
      </c>
      <c r="N32" s="128">
        <v>2698</v>
      </c>
      <c r="O32" s="128">
        <v>391</v>
      </c>
      <c r="P32" s="128">
        <v>186</v>
      </c>
      <c r="Q32" s="128">
        <v>577</v>
      </c>
      <c r="R32" s="128">
        <v>37154</v>
      </c>
      <c r="S32" s="128">
        <v>22151</v>
      </c>
      <c r="T32" s="128">
        <v>59305</v>
      </c>
      <c r="U32" s="128">
        <v>39</v>
      </c>
      <c r="V32" s="128">
        <v>26</v>
      </c>
      <c r="W32" s="128">
        <v>65</v>
      </c>
    </row>
    <row r="33" spans="1:23" ht="24.75" customHeight="1">
      <c r="A33" s="193">
        <v>29</v>
      </c>
      <c r="B33" s="181" t="s">
        <v>43</v>
      </c>
      <c r="C33" s="128">
        <v>18</v>
      </c>
      <c r="D33" s="128">
        <v>5</v>
      </c>
      <c r="E33" s="128">
        <v>23</v>
      </c>
      <c r="F33" s="128">
        <v>24</v>
      </c>
      <c r="G33" s="128">
        <v>15</v>
      </c>
      <c r="H33" s="128">
        <v>39</v>
      </c>
      <c r="I33" s="128">
        <v>282</v>
      </c>
      <c r="J33" s="128">
        <v>256</v>
      </c>
      <c r="K33" s="128">
        <v>538</v>
      </c>
      <c r="L33" s="128">
        <v>0</v>
      </c>
      <c r="M33" s="128">
        <v>10</v>
      </c>
      <c r="N33" s="128">
        <v>10</v>
      </c>
      <c r="O33" s="128">
        <v>3</v>
      </c>
      <c r="P33" s="128">
        <v>7</v>
      </c>
      <c r="Q33" s="128">
        <v>10</v>
      </c>
      <c r="R33" s="128">
        <v>327</v>
      </c>
      <c r="S33" s="128">
        <v>293</v>
      </c>
      <c r="T33" s="128">
        <v>620</v>
      </c>
      <c r="U33" s="128">
        <v>0</v>
      </c>
      <c r="V33" s="128">
        <v>0</v>
      </c>
      <c r="W33" s="128">
        <v>0</v>
      </c>
    </row>
    <row r="34" spans="1:23" ht="24.75" customHeight="1">
      <c r="A34" s="193">
        <v>30</v>
      </c>
      <c r="B34" s="181" t="s">
        <v>44</v>
      </c>
      <c r="C34" s="777">
        <v>7375</v>
      </c>
      <c r="D34" s="777">
        <v>4289</v>
      </c>
      <c r="E34" s="777">
        <v>11664</v>
      </c>
      <c r="F34" s="777">
        <v>8810</v>
      </c>
      <c r="G34" s="777">
        <v>7317</v>
      </c>
      <c r="H34" s="777">
        <v>16127</v>
      </c>
      <c r="I34" s="777">
        <v>51312</v>
      </c>
      <c r="J34" s="777">
        <v>62721</v>
      </c>
      <c r="K34" s="777">
        <v>114033</v>
      </c>
      <c r="L34" s="777">
        <v>1724</v>
      </c>
      <c r="M34" s="777">
        <v>4394</v>
      </c>
      <c r="N34" s="777">
        <v>6118</v>
      </c>
      <c r="O34" s="777">
        <v>1666</v>
      </c>
      <c r="P34" s="777">
        <v>2229</v>
      </c>
      <c r="Q34" s="777">
        <v>3895</v>
      </c>
      <c r="R34" s="777">
        <v>71087</v>
      </c>
      <c r="S34" s="777">
        <v>81130</v>
      </c>
      <c r="T34" s="777">
        <v>152217</v>
      </c>
      <c r="U34" s="777">
        <v>200</v>
      </c>
      <c r="V34" s="777">
        <v>180</v>
      </c>
      <c r="W34" s="777">
        <v>380</v>
      </c>
    </row>
    <row r="35" spans="1:23" ht="24.75" customHeight="1">
      <c r="A35" s="193">
        <v>31</v>
      </c>
      <c r="B35" s="181" t="s">
        <v>142</v>
      </c>
      <c r="C35" s="777">
        <v>4387</v>
      </c>
      <c r="D35" s="777">
        <v>1407</v>
      </c>
      <c r="E35" s="777">
        <v>5794</v>
      </c>
      <c r="F35" s="777">
        <v>4165</v>
      </c>
      <c r="G35" s="777">
        <v>2479</v>
      </c>
      <c r="H35" s="777">
        <v>6644</v>
      </c>
      <c r="I35" s="777">
        <v>30389</v>
      </c>
      <c r="J35" s="777">
        <v>23500</v>
      </c>
      <c r="K35" s="777">
        <v>53889</v>
      </c>
      <c r="L35" s="777">
        <v>611</v>
      </c>
      <c r="M35" s="777">
        <v>1381</v>
      </c>
      <c r="N35" s="777">
        <v>1992</v>
      </c>
      <c r="O35" s="777">
        <v>903</v>
      </c>
      <c r="P35" s="777">
        <v>734</v>
      </c>
      <c r="Q35" s="777">
        <v>1637</v>
      </c>
      <c r="R35" s="777">
        <v>40535</v>
      </c>
      <c r="S35" s="777">
        <v>29532</v>
      </c>
      <c r="T35" s="777">
        <v>70067</v>
      </c>
      <c r="U35" s="777">
        <v>80</v>
      </c>
      <c r="V35" s="777">
        <v>31</v>
      </c>
      <c r="W35" s="777">
        <v>111</v>
      </c>
    </row>
    <row r="36" spans="1:23" ht="49.5" customHeight="1">
      <c r="A36" s="193">
        <v>32</v>
      </c>
      <c r="B36" s="181" t="s">
        <v>173</v>
      </c>
      <c r="C36" s="777">
        <v>21</v>
      </c>
      <c r="D36" s="777">
        <v>10</v>
      </c>
      <c r="E36" s="777">
        <v>31</v>
      </c>
      <c r="F36" s="777">
        <v>34</v>
      </c>
      <c r="G36" s="777">
        <v>18</v>
      </c>
      <c r="H36" s="777">
        <v>52</v>
      </c>
      <c r="I36" s="777">
        <v>229</v>
      </c>
      <c r="J36" s="777">
        <v>154</v>
      </c>
      <c r="K36" s="777">
        <v>383</v>
      </c>
      <c r="L36" s="777">
        <v>17</v>
      </c>
      <c r="M36" s="777">
        <v>63</v>
      </c>
      <c r="N36" s="777">
        <v>80</v>
      </c>
      <c r="O36" s="777">
        <v>10</v>
      </c>
      <c r="P36" s="777">
        <v>1</v>
      </c>
      <c r="Q36" s="777">
        <v>11</v>
      </c>
      <c r="R36" s="777">
        <v>316</v>
      </c>
      <c r="S36" s="777">
        <v>252</v>
      </c>
      <c r="T36" s="777">
        <v>568</v>
      </c>
      <c r="U36" s="777">
        <v>5</v>
      </c>
      <c r="V36" s="777">
        <v>6</v>
      </c>
      <c r="W36" s="777">
        <v>11</v>
      </c>
    </row>
    <row r="37" spans="1:23" ht="24.75" customHeight="1">
      <c r="A37" s="193">
        <v>33</v>
      </c>
      <c r="B37" s="187" t="s">
        <v>45</v>
      </c>
      <c r="C37" s="777">
        <v>68</v>
      </c>
      <c r="D37" s="777">
        <v>24</v>
      </c>
      <c r="E37" s="777">
        <v>92</v>
      </c>
      <c r="F37" s="777">
        <v>121</v>
      </c>
      <c r="G37" s="777">
        <v>66</v>
      </c>
      <c r="H37" s="777">
        <v>187</v>
      </c>
      <c r="I37" s="777">
        <v>621</v>
      </c>
      <c r="J37" s="777">
        <v>302</v>
      </c>
      <c r="K37" s="777">
        <v>923</v>
      </c>
      <c r="L37" s="777">
        <v>210</v>
      </c>
      <c r="M37" s="777">
        <v>209</v>
      </c>
      <c r="N37" s="777">
        <v>419</v>
      </c>
      <c r="O37" s="777">
        <v>79</v>
      </c>
      <c r="P37" s="777">
        <v>55</v>
      </c>
      <c r="Q37" s="777">
        <v>134</v>
      </c>
      <c r="R37" s="777">
        <v>1129</v>
      </c>
      <c r="S37" s="777">
        <v>688</v>
      </c>
      <c r="T37" s="777">
        <v>1817</v>
      </c>
      <c r="U37" s="777">
        <v>30</v>
      </c>
      <c r="V37" s="777">
        <v>32</v>
      </c>
      <c r="W37" s="777">
        <v>62</v>
      </c>
    </row>
    <row r="38" spans="1:23" ht="24.75" customHeight="1">
      <c r="A38" s="193">
        <v>34</v>
      </c>
      <c r="B38" s="181" t="s">
        <v>47</v>
      </c>
      <c r="C38" s="777">
        <v>7552</v>
      </c>
      <c r="D38" s="777">
        <v>2208</v>
      </c>
      <c r="E38" s="777">
        <v>9760</v>
      </c>
      <c r="F38" s="777">
        <v>8650</v>
      </c>
      <c r="G38" s="777">
        <v>4271</v>
      </c>
      <c r="H38" s="777">
        <v>12921</v>
      </c>
      <c r="I38" s="777">
        <v>68016</v>
      </c>
      <c r="J38" s="777">
        <v>30972</v>
      </c>
      <c r="K38" s="777">
        <v>98988</v>
      </c>
      <c r="L38" s="777">
        <v>983</v>
      </c>
      <c r="M38" s="777">
        <v>973</v>
      </c>
      <c r="N38" s="777">
        <v>1956</v>
      </c>
      <c r="O38" s="777">
        <v>6473</v>
      </c>
      <c r="P38" s="777">
        <v>2540</v>
      </c>
      <c r="Q38" s="777">
        <v>9013</v>
      </c>
      <c r="R38" s="777">
        <v>91825</v>
      </c>
      <c r="S38" s="777">
        <v>41041</v>
      </c>
      <c r="T38" s="777">
        <v>132866</v>
      </c>
      <c r="U38" s="777">
        <v>151</v>
      </c>
      <c r="V38" s="777">
        <v>77</v>
      </c>
      <c r="W38" s="777">
        <v>228</v>
      </c>
    </row>
    <row r="39" spans="1:23" ht="24.75" customHeight="1">
      <c r="A39" s="193">
        <v>35</v>
      </c>
      <c r="B39" s="181" t="s">
        <v>46</v>
      </c>
      <c r="C39" s="777">
        <v>740</v>
      </c>
      <c r="D39" s="777">
        <v>265</v>
      </c>
      <c r="E39" s="777">
        <v>1005</v>
      </c>
      <c r="F39" s="777">
        <v>624</v>
      </c>
      <c r="G39" s="777">
        <v>426</v>
      </c>
      <c r="H39" s="777">
        <v>1050</v>
      </c>
      <c r="I39" s="777">
        <v>3986</v>
      </c>
      <c r="J39" s="777">
        <v>3226</v>
      </c>
      <c r="K39" s="777">
        <v>7212</v>
      </c>
      <c r="L39" s="777">
        <v>124</v>
      </c>
      <c r="M39" s="777">
        <v>338</v>
      </c>
      <c r="N39" s="777">
        <v>462</v>
      </c>
      <c r="O39" s="777">
        <v>344</v>
      </c>
      <c r="P39" s="777">
        <v>271</v>
      </c>
      <c r="Q39" s="777">
        <v>615</v>
      </c>
      <c r="R39" s="777">
        <v>5827</v>
      </c>
      <c r="S39" s="777">
        <v>4537</v>
      </c>
      <c r="T39" s="777">
        <v>10364</v>
      </c>
      <c r="U39" s="777">
        <v>9</v>
      </c>
      <c r="V39" s="777">
        <v>11</v>
      </c>
      <c r="W39" s="777">
        <v>20</v>
      </c>
    </row>
    <row r="40" spans="1:23" ht="24.75" customHeight="1">
      <c r="A40" s="193">
        <v>36</v>
      </c>
      <c r="B40" s="181" t="s">
        <v>48</v>
      </c>
      <c r="C40" s="777">
        <v>2255</v>
      </c>
      <c r="D40" s="777">
        <v>553</v>
      </c>
      <c r="E40" s="777">
        <v>2808</v>
      </c>
      <c r="F40" s="777">
        <v>3290</v>
      </c>
      <c r="G40" s="777">
        <v>2136</v>
      </c>
      <c r="H40" s="777">
        <v>5426</v>
      </c>
      <c r="I40" s="777">
        <v>20029</v>
      </c>
      <c r="J40" s="777">
        <v>10442</v>
      </c>
      <c r="K40" s="777">
        <v>30471</v>
      </c>
      <c r="L40" s="777">
        <v>951</v>
      </c>
      <c r="M40" s="777">
        <v>1001</v>
      </c>
      <c r="N40" s="777">
        <v>1952</v>
      </c>
      <c r="O40" s="777">
        <v>6758</v>
      </c>
      <c r="P40" s="777">
        <v>5790</v>
      </c>
      <c r="Q40" s="777">
        <v>12548</v>
      </c>
      <c r="R40" s="777">
        <v>33718</v>
      </c>
      <c r="S40" s="777">
        <v>20232</v>
      </c>
      <c r="T40" s="777">
        <v>53950</v>
      </c>
      <c r="U40" s="777">
        <v>435</v>
      </c>
      <c r="V40" s="777">
        <v>310</v>
      </c>
      <c r="W40" s="777">
        <v>745</v>
      </c>
    </row>
    <row r="41" spans="1:23" s="829" customFormat="1" ht="24.75" customHeight="1">
      <c r="A41" s="912" t="s">
        <v>49</v>
      </c>
      <c r="B41" s="912"/>
      <c r="C41" s="828">
        <f t="shared" ref="C41:W41" si="0">SUM(C5:C40)</f>
        <v>65246</v>
      </c>
      <c r="D41" s="828">
        <f t="shared" si="0"/>
        <v>26873</v>
      </c>
      <c r="E41" s="828">
        <f t="shared" si="0"/>
        <v>92119</v>
      </c>
      <c r="F41" s="828">
        <f t="shared" si="0"/>
        <v>75158</v>
      </c>
      <c r="G41" s="828">
        <f t="shared" si="0"/>
        <v>47691</v>
      </c>
      <c r="H41" s="828">
        <f t="shared" si="0"/>
        <v>122849</v>
      </c>
      <c r="I41" s="828">
        <f t="shared" si="0"/>
        <v>448790</v>
      </c>
      <c r="J41" s="828">
        <f t="shared" si="0"/>
        <v>360863</v>
      </c>
      <c r="K41" s="828">
        <f t="shared" si="0"/>
        <v>809653</v>
      </c>
      <c r="L41" s="828">
        <f t="shared" si="0"/>
        <v>16495</v>
      </c>
      <c r="M41" s="828">
        <f t="shared" si="0"/>
        <v>31151</v>
      </c>
      <c r="N41" s="828">
        <f t="shared" si="0"/>
        <v>47646</v>
      </c>
      <c r="O41" s="830">
        <f>SUM(O5:O40)</f>
        <v>36293</v>
      </c>
      <c r="P41" s="828">
        <f t="shared" si="0"/>
        <v>34209</v>
      </c>
      <c r="Q41" s="828">
        <f t="shared" si="0"/>
        <v>70502</v>
      </c>
      <c r="R41" s="828">
        <f t="shared" si="0"/>
        <v>646949</v>
      </c>
      <c r="S41" s="828">
        <f t="shared" si="0"/>
        <v>505185</v>
      </c>
      <c r="T41" s="828">
        <f t="shared" si="0"/>
        <v>1152134</v>
      </c>
      <c r="U41" s="828">
        <f t="shared" si="0"/>
        <v>4967</v>
      </c>
      <c r="V41" s="828">
        <f t="shared" si="0"/>
        <v>4398</v>
      </c>
      <c r="W41" s="828">
        <f t="shared" si="0"/>
        <v>9365</v>
      </c>
    </row>
  </sheetData>
  <mergeCells count="13">
    <mergeCell ref="R2:T2"/>
    <mergeCell ref="U2:W2"/>
    <mergeCell ref="A41:B41"/>
    <mergeCell ref="C1:H1"/>
    <mergeCell ref="I1:N1"/>
    <mergeCell ref="O1:W1"/>
    <mergeCell ref="A2:A3"/>
    <mergeCell ref="B2:B3"/>
    <mergeCell ref="C2:E2"/>
    <mergeCell ref="F2:H2"/>
    <mergeCell ref="I2:K2"/>
    <mergeCell ref="L2:N2"/>
    <mergeCell ref="O2:Q2"/>
  </mergeCells>
  <printOptions horizontalCentered="1"/>
  <pageMargins left="0.4" right="0.5" top="0.4" bottom="0.5" header="0.27559055118110198" footer="0.23622047244094499"/>
  <pageSetup paperSize="9" scale="75" firstPageNumber="2" pageOrder="overThenDown" orientation="portrait" useFirstPageNumber="1" r:id="rId1"/>
  <headerFooter alignWithMargins="0">
    <oddFooter>&amp;L     AISHE 2019-20&amp;CT-22a</oddFooter>
  </headerFooter>
  <colBreaks count="2" manualBreakCount="2">
    <brk id="8" max="39" man="1"/>
    <brk id="14" max="39" man="1"/>
  </colBreak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00B050"/>
  </sheetPr>
  <dimension ref="A1:W41"/>
  <sheetViews>
    <sheetView showZeros="0" view="pageBreakPreview" topLeftCell="L34" zoomScale="115" zoomScaleSheetLayoutView="115" workbookViewId="0">
      <selection activeCell="W41" sqref="W41"/>
    </sheetView>
  </sheetViews>
  <sheetFormatPr defaultColWidth="9.1796875" defaultRowHeight="14"/>
  <cols>
    <col min="1" max="1" width="4.81640625" style="195" customWidth="1"/>
    <col min="2" max="2" width="24.1796875" style="194" customWidth="1"/>
    <col min="3" max="3" width="12" style="87" customWidth="1"/>
    <col min="4" max="7" width="8.7265625" style="87" customWidth="1"/>
    <col min="8" max="8" width="10.1796875" style="87" customWidth="1"/>
    <col min="9" max="10" width="8.7265625" style="87" customWidth="1"/>
    <col min="11" max="11" width="9.81640625" style="87" customWidth="1"/>
    <col min="12" max="12" width="6.81640625" style="87" customWidth="1"/>
    <col min="13" max="13" width="8.1796875" style="87" customWidth="1"/>
    <col min="14" max="14" width="7.453125" style="87" customWidth="1"/>
    <col min="15" max="15" width="6.81640625" style="87" customWidth="1"/>
    <col min="16" max="16" width="8.1796875" style="87" customWidth="1"/>
    <col min="17" max="17" width="7.81640625" style="87" customWidth="1"/>
    <col min="18" max="18" width="9.26953125" style="87" customWidth="1"/>
    <col min="19" max="19" width="8.1796875" style="87" customWidth="1"/>
    <col min="20" max="20" width="8.7265625" style="87" customWidth="1"/>
    <col min="21" max="21" width="6.81640625" style="87" customWidth="1"/>
    <col min="22" max="22" width="8.1796875" style="87" customWidth="1"/>
    <col min="23" max="23" width="6.54296875" style="87" customWidth="1"/>
    <col min="24" max="16384" width="9.1796875" style="194"/>
  </cols>
  <sheetData>
    <row r="1" spans="1:23" s="196" customFormat="1" ht="38.25" customHeight="1">
      <c r="A1" s="188"/>
      <c r="B1" s="158" t="s">
        <v>877</v>
      </c>
      <c r="C1" s="950" t="s">
        <v>1033</v>
      </c>
      <c r="D1" s="950"/>
      <c r="E1" s="950"/>
      <c r="F1" s="950"/>
      <c r="G1" s="950"/>
      <c r="H1" s="950"/>
      <c r="I1" s="950"/>
      <c r="J1" s="950"/>
      <c r="K1" s="950"/>
      <c r="L1" s="950" t="str">
        <f>C1</f>
        <v>Number of Teachers in Universities teaching departments and it's Constituent Units/Off-campus Centres (Based on Actual Response)</v>
      </c>
      <c r="M1" s="950"/>
      <c r="N1" s="950"/>
      <c r="O1" s="950"/>
      <c r="P1" s="950"/>
      <c r="Q1" s="950"/>
      <c r="R1" s="950"/>
      <c r="S1" s="950"/>
      <c r="T1" s="950"/>
      <c r="U1" s="950"/>
      <c r="V1" s="950"/>
      <c r="W1" s="950"/>
    </row>
    <row r="2" spans="1:23" s="190" customFormat="1" ht="31.5" customHeight="1">
      <c r="A2" s="1070" t="s">
        <v>235</v>
      </c>
      <c r="B2" s="1077" t="s">
        <v>236</v>
      </c>
      <c r="C2" s="1063" t="s">
        <v>336</v>
      </c>
      <c r="D2" s="1063"/>
      <c r="E2" s="1063"/>
      <c r="F2" s="1063" t="s">
        <v>337</v>
      </c>
      <c r="G2" s="1064"/>
      <c r="H2" s="1064"/>
      <c r="I2" s="1063" t="s">
        <v>338</v>
      </c>
      <c r="J2" s="1064"/>
      <c r="K2" s="1064"/>
      <c r="L2" s="1063" t="s">
        <v>339</v>
      </c>
      <c r="M2" s="1064"/>
      <c r="N2" s="1064"/>
      <c r="O2" s="1063" t="s">
        <v>340</v>
      </c>
      <c r="P2" s="1064"/>
      <c r="Q2" s="1064"/>
      <c r="R2" s="1056" t="s">
        <v>60</v>
      </c>
      <c r="S2" s="1057"/>
      <c r="T2" s="1058"/>
      <c r="U2" s="1073" t="s">
        <v>342</v>
      </c>
      <c r="V2" s="1074"/>
      <c r="W2" s="1074"/>
    </row>
    <row r="3" spans="1:23" s="190" customFormat="1" ht="19.5" customHeight="1">
      <c r="A3" s="1070"/>
      <c r="B3" s="1077"/>
      <c r="C3" s="197" t="s">
        <v>87</v>
      </c>
      <c r="D3" s="197" t="s">
        <v>88</v>
      </c>
      <c r="E3" s="197" t="s">
        <v>12</v>
      </c>
      <c r="F3" s="197" t="s">
        <v>87</v>
      </c>
      <c r="G3" s="197" t="s">
        <v>88</v>
      </c>
      <c r="H3" s="197" t="s">
        <v>12</v>
      </c>
      <c r="I3" s="197" t="s">
        <v>87</v>
      </c>
      <c r="J3" s="197" t="s">
        <v>88</v>
      </c>
      <c r="K3" s="197" t="s">
        <v>12</v>
      </c>
      <c r="L3" s="197" t="s">
        <v>87</v>
      </c>
      <c r="M3" s="197" t="s">
        <v>88</v>
      </c>
      <c r="N3" s="197" t="s">
        <v>12</v>
      </c>
      <c r="O3" s="197" t="s">
        <v>87</v>
      </c>
      <c r="P3" s="197" t="s">
        <v>88</v>
      </c>
      <c r="Q3" s="197" t="s">
        <v>12</v>
      </c>
      <c r="R3" s="197" t="s">
        <v>87</v>
      </c>
      <c r="S3" s="197" t="s">
        <v>88</v>
      </c>
      <c r="T3" s="197" t="s">
        <v>12</v>
      </c>
      <c r="U3" s="198" t="s">
        <v>87</v>
      </c>
      <c r="V3" s="198" t="s">
        <v>88</v>
      </c>
      <c r="W3" s="198" t="s">
        <v>12</v>
      </c>
    </row>
    <row r="4" spans="1:23" s="190" customFormat="1">
      <c r="A4" s="199">
        <v>1</v>
      </c>
      <c r="B4" s="199">
        <v>2</v>
      </c>
      <c r="C4" s="199">
        <v>3</v>
      </c>
      <c r="D4" s="199">
        <v>4</v>
      </c>
      <c r="E4" s="199">
        <v>5</v>
      </c>
      <c r="F4" s="199">
        <v>6</v>
      </c>
      <c r="G4" s="199">
        <v>7</v>
      </c>
      <c r="H4" s="199">
        <v>8</v>
      </c>
      <c r="I4" s="199">
        <v>9</v>
      </c>
      <c r="J4" s="199">
        <v>10</v>
      </c>
      <c r="K4" s="199">
        <v>11</v>
      </c>
      <c r="L4" s="199">
        <v>12</v>
      </c>
      <c r="M4" s="199">
        <v>13</v>
      </c>
      <c r="N4" s="199">
        <v>14</v>
      </c>
      <c r="O4" s="199">
        <v>15</v>
      </c>
      <c r="P4" s="199">
        <v>16</v>
      </c>
      <c r="Q4" s="199">
        <v>17</v>
      </c>
      <c r="R4" s="199">
        <v>18</v>
      </c>
      <c r="S4" s="199">
        <v>19</v>
      </c>
      <c r="T4" s="199">
        <v>20</v>
      </c>
      <c r="U4" s="199">
        <v>21</v>
      </c>
      <c r="V4" s="199">
        <v>22</v>
      </c>
      <c r="W4" s="199">
        <v>23</v>
      </c>
    </row>
    <row r="5" spans="1:23" ht="30" customHeight="1">
      <c r="A5" s="193">
        <v>1</v>
      </c>
      <c r="B5" s="200" t="s">
        <v>171</v>
      </c>
      <c r="C5" s="127">
        <v>0</v>
      </c>
      <c r="D5" s="127">
        <v>0</v>
      </c>
      <c r="E5" s="127">
        <v>0</v>
      </c>
      <c r="F5" s="127">
        <v>0</v>
      </c>
      <c r="G5" s="127">
        <v>0</v>
      </c>
      <c r="H5" s="127">
        <v>0</v>
      </c>
      <c r="I5" s="127">
        <v>0</v>
      </c>
      <c r="J5" s="127">
        <v>0</v>
      </c>
      <c r="K5" s="127">
        <v>0</v>
      </c>
      <c r="L5" s="127">
        <v>0</v>
      </c>
      <c r="M5" s="127">
        <v>0</v>
      </c>
      <c r="N5" s="127">
        <v>0</v>
      </c>
      <c r="O5" s="127">
        <v>0</v>
      </c>
      <c r="P5" s="127">
        <v>0</v>
      </c>
      <c r="Q5" s="127">
        <v>0</v>
      </c>
      <c r="R5" s="127">
        <v>0</v>
      </c>
      <c r="S5" s="127">
        <v>0</v>
      </c>
      <c r="T5" s="127">
        <v>0</v>
      </c>
      <c r="U5" s="127">
        <v>0</v>
      </c>
      <c r="V5" s="127">
        <v>0</v>
      </c>
      <c r="W5" s="127">
        <v>0</v>
      </c>
    </row>
    <row r="6" spans="1:23" ht="24.75" customHeight="1">
      <c r="A6" s="193">
        <v>2</v>
      </c>
      <c r="B6" s="200" t="s">
        <v>15</v>
      </c>
      <c r="C6" s="127">
        <v>1006</v>
      </c>
      <c r="D6" s="127">
        <v>305</v>
      </c>
      <c r="E6" s="127">
        <v>1311</v>
      </c>
      <c r="F6" s="127">
        <v>750</v>
      </c>
      <c r="G6" s="127">
        <v>316</v>
      </c>
      <c r="H6" s="127">
        <v>1066</v>
      </c>
      <c r="I6" s="127">
        <v>3315</v>
      </c>
      <c r="J6" s="127">
        <v>1639</v>
      </c>
      <c r="K6" s="127">
        <v>4954</v>
      </c>
      <c r="L6" s="127">
        <v>81</v>
      </c>
      <c r="M6" s="127">
        <v>84</v>
      </c>
      <c r="N6" s="127">
        <v>165</v>
      </c>
      <c r="O6" s="127">
        <v>677</v>
      </c>
      <c r="P6" s="127">
        <v>460</v>
      </c>
      <c r="Q6" s="127">
        <v>1137</v>
      </c>
      <c r="R6" s="127">
        <v>5832</v>
      </c>
      <c r="S6" s="127">
        <v>2809</v>
      </c>
      <c r="T6" s="127">
        <v>8641</v>
      </c>
      <c r="U6" s="127">
        <v>3</v>
      </c>
      <c r="V6" s="127">
        <v>5</v>
      </c>
      <c r="W6" s="127">
        <v>8</v>
      </c>
    </row>
    <row r="7" spans="1:23" ht="24.75" customHeight="1">
      <c r="A7" s="193">
        <v>3</v>
      </c>
      <c r="B7" s="200" t="s">
        <v>16</v>
      </c>
      <c r="C7" s="127">
        <v>125</v>
      </c>
      <c r="D7" s="127">
        <v>30</v>
      </c>
      <c r="E7" s="127">
        <v>155</v>
      </c>
      <c r="F7" s="127">
        <v>108</v>
      </c>
      <c r="G7" s="127">
        <v>37</v>
      </c>
      <c r="H7" s="127">
        <v>145</v>
      </c>
      <c r="I7" s="127">
        <v>438</v>
      </c>
      <c r="J7" s="127">
        <v>339</v>
      </c>
      <c r="K7" s="127">
        <v>777</v>
      </c>
      <c r="L7" s="127">
        <v>1</v>
      </c>
      <c r="M7" s="127">
        <v>10</v>
      </c>
      <c r="N7" s="127">
        <v>11</v>
      </c>
      <c r="O7" s="127">
        <v>1</v>
      </c>
      <c r="P7" s="127">
        <v>0</v>
      </c>
      <c r="Q7" s="127">
        <v>1</v>
      </c>
      <c r="R7" s="127">
        <v>673</v>
      </c>
      <c r="S7" s="127">
        <v>416</v>
      </c>
      <c r="T7" s="127">
        <v>1089</v>
      </c>
      <c r="U7" s="127">
        <v>0</v>
      </c>
      <c r="V7" s="127">
        <v>0</v>
      </c>
      <c r="W7" s="127">
        <v>0</v>
      </c>
    </row>
    <row r="8" spans="1:23" ht="24.75" customHeight="1">
      <c r="A8" s="193">
        <v>4</v>
      </c>
      <c r="B8" s="200" t="s">
        <v>17</v>
      </c>
      <c r="C8" s="127">
        <v>605</v>
      </c>
      <c r="D8" s="127">
        <v>166</v>
      </c>
      <c r="E8" s="127">
        <v>771</v>
      </c>
      <c r="F8" s="127">
        <v>438</v>
      </c>
      <c r="G8" s="127">
        <v>163</v>
      </c>
      <c r="H8" s="127">
        <v>601</v>
      </c>
      <c r="I8" s="127">
        <v>1443</v>
      </c>
      <c r="J8" s="127">
        <v>959</v>
      </c>
      <c r="K8" s="127">
        <v>2402</v>
      </c>
      <c r="L8" s="127">
        <v>1</v>
      </c>
      <c r="M8" s="127">
        <v>14</v>
      </c>
      <c r="N8" s="127">
        <v>15</v>
      </c>
      <c r="O8" s="127">
        <v>40</v>
      </c>
      <c r="P8" s="127">
        <v>51</v>
      </c>
      <c r="Q8" s="127">
        <v>91</v>
      </c>
      <c r="R8" s="127">
        <v>2534</v>
      </c>
      <c r="S8" s="127">
        <v>1356</v>
      </c>
      <c r="T8" s="127">
        <v>3890</v>
      </c>
      <c r="U8" s="127">
        <v>7</v>
      </c>
      <c r="V8" s="127">
        <v>3</v>
      </c>
      <c r="W8" s="127">
        <v>10</v>
      </c>
    </row>
    <row r="9" spans="1:23" ht="24.75" customHeight="1">
      <c r="A9" s="193">
        <v>5</v>
      </c>
      <c r="B9" s="200" t="s">
        <v>18</v>
      </c>
      <c r="C9" s="127">
        <v>614</v>
      </c>
      <c r="D9" s="127">
        <v>109</v>
      </c>
      <c r="E9" s="127">
        <v>723</v>
      </c>
      <c r="F9" s="127">
        <v>521</v>
      </c>
      <c r="G9" s="127">
        <v>123</v>
      </c>
      <c r="H9" s="127">
        <v>644</v>
      </c>
      <c r="I9" s="127">
        <v>1467</v>
      </c>
      <c r="J9" s="127">
        <v>432</v>
      </c>
      <c r="K9" s="127">
        <v>1899</v>
      </c>
      <c r="L9" s="127">
        <v>172</v>
      </c>
      <c r="M9" s="127">
        <v>104</v>
      </c>
      <c r="N9" s="127">
        <v>276</v>
      </c>
      <c r="O9" s="127">
        <v>97</v>
      </c>
      <c r="P9" s="127">
        <v>33</v>
      </c>
      <c r="Q9" s="127">
        <v>130</v>
      </c>
      <c r="R9" s="127">
        <v>2896</v>
      </c>
      <c r="S9" s="127">
        <v>811</v>
      </c>
      <c r="T9" s="127">
        <v>3707</v>
      </c>
      <c r="U9" s="127">
        <v>25</v>
      </c>
      <c r="V9" s="127">
        <v>10</v>
      </c>
      <c r="W9" s="127">
        <v>35</v>
      </c>
    </row>
    <row r="10" spans="1:23" ht="24.75" customHeight="1">
      <c r="A10" s="193">
        <v>6</v>
      </c>
      <c r="B10" s="200" t="s">
        <v>19</v>
      </c>
      <c r="C10" s="127">
        <v>343</v>
      </c>
      <c r="D10" s="127">
        <v>240</v>
      </c>
      <c r="E10" s="127">
        <v>583</v>
      </c>
      <c r="F10" s="127">
        <v>157</v>
      </c>
      <c r="G10" s="127">
        <v>104</v>
      </c>
      <c r="H10" s="127">
        <v>261</v>
      </c>
      <c r="I10" s="127">
        <v>361</v>
      </c>
      <c r="J10" s="127">
        <v>346</v>
      </c>
      <c r="K10" s="127">
        <v>707</v>
      </c>
      <c r="L10" s="127">
        <v>4</v>
      </c>
      <c r="M10" s="127">
        <v>1</v>
      </c>
      <c r="N10" s="127">
        <v>5</v>
      </c>
      <c r="O10" s="127">
        <v>12</v>
      </c>
      <c r="P10" s="127">
        <v>14</v>
      </c>
      <c r="Q10" s="127">
        <v>26</v>
      </c>
      <c r="R10" s="127">
        <v>887</v>
      </c>
      <c r="S10" s="127">
        <v>717</v>
      </c>
      <c r="T10" s="127">
        <v>1604</v>
      </c>
      <c r="U10" s="127">
        <v>10</v>
      </c>
      <c r="V10" s="127">
        <v>12</v>
      </c>
      <c r="W10" s="127">
        <v>22</v>
      </c>
    </row>
    <row r="11" spans="1:23" ht="24.75" customHeight="1">
      <c r="A11" s="193">
        <v>7</v>
      </c>
      <c r="B11" s="200" t="s">
        <v>20</v>
      </c>
      <c r="C11" s="127">
        <v>273</v>
      </c>
      <c r="D11" s="127">
        <v>96</v>
      </c>
      <c r="E11" s="127">
        <v>369</v>
      </c>
      <c r="F11" s="127">
        <v>251</v>
      </c>
      <c r="G11" s="127">
        <v>100</v>
      </c>
      <c r="H11" s="127">
        <v>351</v>
      </c>
      <c r="I11" s="127">
        <v>1075</v>
      </c>
      <c r="J11" s="127">
        <v>574</v>
      </c>
      <c r="K11" s="127">
        <v>1649</v>
      </c>
      <c r="L11" s="127">
        <v>12</v>
      </c>
      <c r="M11" s="127">
        <v>17</v>
      </c>
      <c r="N11" s="127">
        <v>29</v>
      </c>
      <c r="O11" s="127">
        <v>172</v>
      </c>
      <c r="P11" s="127">
        <v>101</v>
      </c>
      <c r="Q11" s="127">
        <v>273</v>
      </c>
      <c r="R11" s="127">
        <v>1810</v>
      </c>
      <c r="S11" s="127">
        <v>917</v>
      </c>
      <c r="T11" s="127">
        <v>2727</v>
      </c>
      <c r="U11" s="127">
        <v>27</v>
      </c>
      <c r="V11" s="127">
        <v>29</v>
      </c>
      <c r="W11" s="127">
        <v>56</v>
      </c>
    </row>
    <row r="12" spans="1:23" ht="24.75" customHeight="1">
      <c r="A12" s="193">
        <v>8</v>
      </c>
      <c r="B12" s="200" t="s">
        <v>23</v>
      </c>
      <c r="C12" s="127">
        <v>1623</v>
      </c>
      <c r="D12" s="127">
        <v>697</v>
      </c>
      <c r="E12" s="127">
        <v>2320</v>
      </c>
      <c r="F12" s="127">
        <v>757</v>
      </c>
      <c r="G12" s="127">
        <v>404</v>
      </c>
      <c r="H12" s="127">
        <v>1161</v>
      </c>
      <c r="I12" s="127">
        <v>1605</v>
      </c>
      <c r="J12" s="127">
        <v>1118</v>
      </c>
      <c r="K12" s="127">
        <v>2723</v>
      </c>
      <c r="L12" s="127">
        <v>4</v>
      </c>
      <c r="M12" s="127">
        <v>34</v>
      </c>
      <c r="N12" s="127">
        <v>38</v>
      </c>
      <c r="O12" s="127">
        <v>102</v>
      </c>
      <c r="P12" s="127">
        <v>105</v>
      </c>
      <c r="Q12" s="127">
        <v>207</v>
      </c>
      <c r="R12" s="127">
        <v>4111</v>
      </c>
      <c r="S12" s="127">
        <v>2369</v>
      </c>
      <c r="T12" s="127">
        <v>6480</v>
      </c>
      <c r="U12" s="127">
        <v>20</v>
      </c>
      <c r="V12" s="127">
        <v>11</v>
      </c>
      <c r="W12" s="127">
        <v>31</v>
      </c>
    </row>
    <row r="13" spans="1:23" ht="24.75" customHeight="1">
      <c r="A13" s="193">
        <v>9</v>
      </c>
      <c r="B13" s="200" t="s">
        <v>24</v>
      </c>
      <c r="C13" s="127">
        <v>47</v>
      </c>
      <c r="D13" s="127">
        <v>14</v>
      </c>
      <c r="E13" s="127">
        <v>61</v>
      </c>
      <c r="F13" s="127">
        <v>21</v>
      </c>
      <c r="G13" s="127">
        <v>7</v>
      </c>
      <c r="H13" s="127">
        <v>28</v>
      </c>
      <c r="I13" s="127">
        <v>122</v>
      </c>
      <c r="J13" s="127">
        <v>87</v>
      </c>
      <c r="K13" s="127">
        <v>209</v>
      </c>
      <c r="L13" s="127">
        <v>0</v>
      </c>
      <c r="M13" s="127">
        <v>0</v>
      </c>
      <c r="N13" s="127">
        <v>0</v>
      </c>
      <c r="O13" s="127">
        <v>0</v>
      </c>
      <c r="P13" s="127">
        <v>0</v>
      </c>
      <c r="Q13" s="127">
        <v>0</v>
      </c>
      <c r="R13" s="127">
        <v>191</v>
      </c>
      <c r="S13" s="127">
        <v>108</v>
      </c>
      <c r="T13" s="127">
        <v>299</v>
      </c>
      <c r="U13" s="127">
        <v>1</v>
      </c>
      <c r="V13" s="127">
        <v>0</v>
      </c>
      <c r="W13" s="127">
        <v>1</v>
      </c>
    </row>
    <row r="14" spans="1:23" ht="24.75" customHeight="1">
      <c r="A14" s="193">
        <v>10</v>
      </c>
      <c r="B14" s="200" t="s">
        <v>25</v>
      </c>
      <c r="C14" s="127">
        <v>1438</v>
      </c>
      <c r="D14" s="127">
        <v>500</v>
      </c>
      <c r="E14" s="127">
        <v>1938</v>
      </c>
      <c r="F14" s="127">
        <v>1344</v>
      </c>
      <c r="G14" s="127">
        <v>571</v>
      </c>
      <c r="H14" s="127">
        <v>1915</v>
      </c>
      <c r="I14" s="127">
        <v>5749</v>
      </c>
      <c r="J14" s="127">
        <v>3903</v>
      </c>
      <c r="K14" s="127">
        <v>9652</v>
      </c>
      <c r="L14" s="127">
        <v>358</v>
      </c>
      <c r="M14" s="127">
        <v>565</v>
      </c>
      <c r="N14" s="127">
        <v>923</v>
      </c>
      <c r="O14" s="127">
        <v>303</v>
      </c>
      <c r="P14" s="127">
        <v>381</v>
      </c>
      <c r="Q14" s="127">
        <v>684</v>
      </c>
      <c r="R14" s="127">
        <v>9531</v>
      </c>
      <c r="S14" s="127">
        <v>6085</v>
      </c>
      <c r="T14" s="127">
        <v>15616</v>
      </c>
      <c r="U14" s="127">
        <v>339</v>
      </c>
      <c r="V14" s="127">
        <v>165</v>
      </c>
      <c r="W14" s="127">
        <v>504</v>
      </c>
    </row>
    <row r="15" spans="1:23" ht="24.75" customHeight="1">
      <c r="A15" s="193">
        <v>11</v>
      </c>
      <c r="B15" s="200" t="s">
        <v>26</v>
      </c>
      <c r="C15" s="127">
        <v>1173</v>
      </c>
      <c r="D15" s="127">
        <v>437</v>
      </c>
      <c r="E15" s="127">
        <v>1610</v>
      </c>
      <c r="F15" s="127">
        <v>654</v>
      </c>
      <c r="G15" s="127">
        <v>494</v>
      </c>
      <c r="H15" s="127">
        <v>1148</v>
      </c>
      <c r="I15" s="127">
        <v>2518</v>
      </c>
      <c r="J15" s="127">
        <v>2690</v>
      </c>
      <c r="K15" s="127">
        <v>5208</v>
      </c>
      <c r="L15" s="127">
        <v>75</v>
      </c>
      <c r="M15" s="127">
        <v>180</v>
      </c>
      <c r="N15" s="127">
        <v>255</v>
      </c>
      <c r="O15" s="127">
        <v>78</v>
      </c>
      <c r="P15" s="127">
        <v>88</v>
      </c>
      <c r="Q15" s="127">
        <v>166</v>
      </c>
      <c r="R15" s="127">
        <v>4566</v>
      </c>
      <c r="S15" s="127">
        <v>3949</v>
      </c>
      <c r="T15" s="127">
        <v>8515</v>
      </c>
      <c r="U15" s="127">
        <v>68</v>
      </c>
      <c r="V15" s="127">
        <v>60</v>
      </c>
      <c r="W15" s="127">
        <v>128</v>
      </c>
    </row>
    <row r="16" spans="1:23" ht="24.75" customHeight="1">
      <c r="A16" s="193">
        <v>12</v>
      </c>
      <c r="B16" s="200" t="s">
        <v>27</v>
      </c>
      <c r="C16" s="127">
        <v>449</v>
      </c>
      <c r="D16" s="127">
        <v>89</v>
      </c>
      <c r="E16" s="127">
        <v>538</v>
      </c>
      <c r="F16" s="127">
        <v>257</v>
      </c>
      <c r="G16" s="127">
        <v>105</v>
      </c>
      <c r="H16" s="127">
        <v>362</v>
      </c>
      <c r="I16" s="127">
        <v>999</v>
      </c>
      <c r="J16" s="127">
        <v>849</v>
      </c>
      <c r="K16" s="127">
        <v>1848</v>
      </c>
      <c r="L16" s="127">
        <v>34</v>
      </c>
      <c r="M16" s="127">
        <v>35</v>
      </c>
      <c r="N16" s="127">
        <v>69</v>
      </c>
      <c r="O16" s="127">
        <v>26</v>
      </c>
      <c r="P16" s="127">
        <v>31</v>
      </c>
      <c r="Q16" s="127">
        <v>57</v>
      </c>
      <c r="R16" s="127">
        <v>1780</v>
      </c>
      <c r="S16" s="127">
        <v>1116</v>
      </c>
      <c r="T16" s="127">
        <v>2896</v>
      </c>
      <c r="U16" s="127">
        <v>15</v>
      </c>
      <c r="V16" s="127">
        <v>7</v>
      </c>
      <c r="W16" s="127">
        <v>22</v>
      </c>
    </row>
    <row r="17" spans="1:23" ht="24.75" customHeight="1">
      <c r="A17" s="193">
        <v>13</v>
      </c>
      <c r="B17" s="200" t="s">
        <v>57</v>
      </c>
      <c r="C17" s="127">
        <v>322</v>
      </c>
      <c r="D17" s="127">
        <v>76</v>
      </c>
      <c r="E17" s="127">
        <v>398</v>
      </c>
      <c r="F17" s="127">
        <v>194</v>
      </c>
      <c r="G17" s="127">
        <v>59</v>
      </c>
      <c r="H17" s="127">
        <v>253</v>
      </c>
      <c r="I17" s="127">
        <v>1170</v>
      </c>
      <c r="J17" s="127">
        <v>495</v>
      </c>
      <c r="K17" s="127">
        <v>1665</v>
      </c>
      <c r="L17" s="127">
        <v>8</v>
      </c>
      <c r="M17" s="127">
        <v>37</v>
      </c>
      <c r="N17" s="127">
        <v>45</v>
      </c>
      <c r="O17" s="127">
        <v>70</v>
      </c>
      <c r="P17" s="127">
        <v>51</v>
      </c>
      <c r="Q17" s="127">
        <v>121</v>
      </c>
      <c r="R17" s="127">
        <v>1768</v>
      </c>
      <c r="S17" s="127">
        <v>719</v>
      </c>
      <c r="T17" s="127">
        <v>2487</v>
      </c>
      <c r="U17" s="127">
        <v>4</v>
      </c>
      <c r="V17" s="127">
        <v>1</v>
      </c>
      <c r="W17" s="127">
        <v>5</v>
      </c>
    </row>
    <row r="18" spans="1:23" ht="24.75" customHeight="1">
      <c r="A18" s="193">
        <v>14</v>
      </c>
      <c r="B18" s="200" t="s">
        <v>29</v>
      </c>
      <c r="C18" s="127">
        <v>291</v>
      </c>
      <c r="D18" s="127">
        <v>57</v>
      </c>
      <c r="E18" s="127">
        <v>348</v>
      </c>
      <c r="F18" s="127">
        <v>410</v>
      </c>
      <c r="G18" s="127">
        <v>118</v>
      </c>
      <c r="H18" s="127">
        <v>528</v>
      </c>
      <c r="I18" s="127">
        <v>1457</v>
      </c>
      <c r="J18" s="127">
        <v>645</v>
      </c>
      <c r="K18" s="127">
        <v>2102</v>
      </c>
      <c r="L18" s="127">
        <v>61</v>
      </c>
      <c r="M18" s="127">
        <v>82</v>
      </c>
      <c r="N18" s="127">
        <v>143</v>
      </c>
      <c r="O18" s="127">
        <v>98</v>
      </c>
      <c r="P18" s="127">
        <v>84</v>
      </c>
      <c r="Q18" s="127">
        <v>182</v>
      </c>
      <c r="R18" s="127">
        <v>2349</v>
      </c>
      <c r="S18" s="127">
        <v>1004</v>
      </c>
      <c r="T18" s="127">
        <v>3353</v>
      </c>
      <c r="U18" s="127">
        <v>32</v>
      </c>
      <c r="V18" s="127">
        <v>18</v>
      </c>
      <c r="W18" s="127">
        <v>50</v>
      </c>
    </row>
    <row r="19" spans="1:23" ht="24.75" customHeight="1">
      <c r="A19" s="193">
        <v>15</v>
      </c>
      <c r="B19" s="200" t="s">
        <v>30</v>
      </c>
      <c r="C19" s="127">
        <v>3501</v>
      </c>
      <c r="D19" s="127">
        <v>1177</v>
      </c>
      <c r="E19" s="127">
        <v>4678</v>
      </c>
      <c r="F19" s="127">
        <v>2521</v>
      </c>
      <c r="G19" s="127">
        <v>1547</v>
      </c>
      <c r="H19" s="127">
        <v>4068</v>
      </c>
      <c r="I19" s="127">
        <v>6431</v>
      </c>
      <c r="J19" s="127">
        <v>5651</v>
      </c>
      <c r="K19" s="127">
        <v>12082</v>
      </c>
      <c r="L19" s="127">
        <v>382</v>
      </c>
      <c r="M19" s="127">
        <v>583</v>
      </c>
      <c r="N19" s="127">
        <v>965</v>
      </c>
      <c r="O19" s="127">
        <v>711</v>
      </c>
      <c r="P19" s="127">
        <v>592</v>
      </c>
      <c r="Q19" s="127">
        <v>1303</v>
      </c>
      <c r="R19" s="127">
        <v>13695</v>
      </c>
      <c r="S19" s="127">
        <v>9619</v>
      </c>
      <c r="T19" s="127">
        <v>23314</v>
      </c>
      <c r="U19" s="127">
        <v>149</v>
      </c>
      <c r="V19" s="127">
        <v>69</v>
      </c>
      <c r="W19" s="127">
        <v>218</v>
      </c>
    </row>
    <row r="20" spans="1:23" ht="24.75" customHeight="1">
      <c r="A20" s="193">
        <v>16</v>
      </c>
      <c r="B20" s="200" t="s">
        <v>31</v>
      </c>
      <c r="C20" s="127">
        <v>530</v>
      </c>
      <c r="D20" s="127">
        <v>277</v>
      </c>
      <c r="E20" s="127">
        <v>807</v>
      </c>
      <c r="F20" s="127">
        <v>368</v>
      </c>
      <c r="G20" s="127">
        <v>207</v>
      </c>
      <c r="H20" s="127">
        <v>575</v>
      </c>
      <c r="I20" s="127">
        <v>1329</v>
      </c>
      <c r="J20" s="127">
        <v>1579</v>
      </c>
      <c r="K20" s="127">
        <v>2908</v>
      </c>
      <c r="L20" s="127">
        <v>72</v>
      </c>
      <c r="M20" s="127">
        <v>8</v>
      </c>
      <c r="N20" s="127">
        <v>80</v>
      </c>
      <c r="O20" s="127">
        <v>148</v>
      </c>
      <c r="P20" s="127">
        <v>251</v>
      </c>
      <c r="Q20" s="127">
        <v>399</v>
      </c>
      <c r="R20" s="127">
        <v>2450</v>
      </c>
      <c r="S20" s="127">
        <v>2333</v>
      </c>
      <c r="T20" s="127">
        <v>4783</v>
      </c>
      <c r="U20" s="127">
        <v>3</v>
      </c>
      <c r="V20" s="127">
        <v>11</v>
      </c>
      <c r="W20" s="127">
        <v>14</v>
      </c>
    </row>
    <row r="21" spans="1:23" ht="24.75" customHeight="1">
      <c r="A21" s="193">
        <v>17</v>
      </c>
      <c r="B21" s="200" t="s">
        <v>172</v>
      </c>
      <c r="C21" s="127">
        <v>1</v>
      </c>
      <c r="D21" s="127">
        <v>0</v>
      </c>
      <c r="E21" s="127">
        <v>1</v>
      </c>
      <c r="F21" s="127">
        <v>4</v>
      </c>
      <c r="G21" s="127">
        <v>0</v>
      </c>
      <c r="H21" s="127">
        <v>4</v>
      </c>
      <c r="I21" s="127">
        <v>31</v>
      </c>
      <c r="J21" s="127">
        <v>6</v>
      </c>
      <c r="K21" s="127">
        <v>37</v>
      </c>
      <c r="L21" s="127">
        <v>1</v>
      </c>
      <c r="M21" s="127">
        <v>0</v>
      </c>
      <c r="N21" s="127">
        <v>1</v>
      </c>
      <c r="O21" s="127">
        <v>0</v>
      </c>
      <c r="P21" s="127">
        <v>0</v>
      </c>
      <c r="Q21" s="127">
        <v>0</v>
      </c>
      <c r="R21" s="127">
        <v>37</v>
      </c>
      <c r="S21" s="127">
        <v>6</v>
      </c>
      <c r="T21" s="127">
        <v>43</v>
      </c>
      <c r="U21" s="127">
        <v>0</v>
      </c>
      <c r="V21" s="127">
        <v>0</v>
      </c>
      <c r="W21" s="127">
        <v>0</v>
      </c>
    </row>
    <row r="22" spans="1:23" ht="24.75" customHeight="1">
      <c r="A22" s="193">
        <v>18</v>
      </c>
      <c r="B22" s="200" t="s">
        <v>32</v>
      </c>
      <c r="C22" s="127">
        <v>1</v>
      </c>
      <c r="D22" s="127">
        <v>1</v>
      </c>
      <c r="E22" s="127">
        <v>2</v>
      </c>
      <c r="F22" s="127">
        <v>0</v>
      </c>
      <c r="G22" s="127">
        <v>0</v>
      </c>
      <c r="H22" s="127">
        <v>0</v>
      </c>
      <c r="I22" s="127">
        <v>11</v>
      </c>
      <c r="J22" s="127">
        <v>12</v>
      </c>
      <c r="K22" s="127">
        <v>23</v>
      </c>
      <c r="L22" s="127">
        <v>0</v>
      </c>
      <c r="M22" s="127">
        <v>0</v>
      </c>
      <c r="N22" s="127">
        <v>0</v>
      </c>
      <c r="O22" s="127">
        <v>0</v>
      </c>
      <c r="P22" s="127">
        <v>0</v>
      </c>
      <c r="Q22" s="127">
        <v>0</v>
      </c>
      <c r="R22" s="127">
        <v>12</v>
      </c>
      <c r="S22" s="127">
        <v>13</v>
      </c>
      <c r="T22" s="127">
        <v>25</v>
      </c>
      <c r="U22" s="127">
        <v>0</v>
      </c>
      <c r="V22" s="127">
        <v>0</v>
      </c>
      <c r="W22" s="127">
        <v>0</v>
      </c>
    </row>
    <row r="23" spans="1:23" ht="24.75" customHeight="1">
      <c r="A23" s="193">
        <v>19</v>
      </c>
      <c r="B23" s="200" t="s">
        <v>33</v>
      </c>
      <c r="C23" s="127">
        <v>1624</v>
      </c>
      <c r="D23" s="127">
        <v>671</v>
      </c>
      <c r="E23" s="127">
        <v>2295</v>
      </c>
      <c r="F23" s="127">
        <v>1218</v>
      </c>
      <c r="G23" s="127">
        <v>619</v>
      </c>
      <c r="H23" s="127">
        <v>1837</v>
      </c>
      <c r="I23" s="127">
        <v>7442</v>
      </c>
      <c r="J23" s="127">
        <v>4122</v>
      </c>
      <c r="K23" s="127">
        <v>11564</v>
      </c>
      <c r="L23" s="127">
        <v>608</v>
      </c>
      <c r="M23" s="127">
        <v>869</v>
      </c>
      <c r="N23" s="127">
        <v>1477</v>
      </c>
      <c r="O23" s="127">
        <v>327</v>
      </c>
      <c r="P23" s="127">
        <v>289</v>
      </c>
      <c r="Q23" s="127">
        <v>616</v>
      </c>
      <c r="R23" s="127">
        <v>11331</v>
      </c>
      <c r="S23" s="127">
        <v>6631</v>
      </c>
      <c r="T23" s="127">
        <v>17962</v>
      </c>
      <c r="U23" s="127">
        <v>112</v>
      </c>
      <c r="V23" s="127">
        <v>61</v>
      </c>
      <c r="W23" s="127">
        <v>173</v>
      </c>
    </row>
    <row r="24" spans="1:23" ht="24.75" customHeight="1">
      <c r="A24" s="193">
        <v>20</v>
      </c>
      <c r="B24" s="200" t="s">
        <v>34</v>
      </c>
      <c r="C24" s="127">
        <v>2445</v>
      </c>
      <c r="D24" s="127">
        <v>1062</v>
      </c>
      <c r="E24" s="127">
        <v>3507</v>
      </c>
      <c r="F24" s="127">
        <v>1950</v>
      </c>
      <c r="G24" s="127">
        <v>1141</v>
      </c>
      <c r="H24" s="127">
        <v>3091</v>
      </c>
      <c r="I24" s="127">
        <v>5591</v>
      </c>
      <c r="J24" s="127">
        <v>4839</v>
      </c>
      <c r="K24" s="127">
        <v>10430</v>
      </c>
      <c r="L24" s="127">
        <v>335</v>
      </c>
      <c r="M24" s="127">
        <v>472</v>
      </c>
      <c r="N24" s="127">
        <v>807</v>
      </c>
      <c r="O24" s="127">
        <v>271</v>
      </c>
      <c r="P24" s="127">
        <v>240</v>
      </c>
      <c r="Q24" s="127">
        <v>511</v>
      </c>
      <c r="R24" s="127">
        <v>10940</v>
      </c>
      <c r="S24" s="127">
        <v>8078</v>
      </c>
      <c r="T24" s="127">
        <v>19018</v>
      </c>
      <c r="U24" s="127">
        <v>348</v>
      </c>
      <c r="V24" s="127">
        <v>324</v>
      </c>
      <c r="W24" s="127">
        <v>672</v>
      </c>
    </row>
    <row r="25" spans="1:23" ht="24.75" customHeight="1">
      <c r="A25" s="193">
        <v>21</v>
      </c>
      <c r="B25" s="200" t="s">
        <v>35</v>
      </c>
      <c r="C25" s="127">
        <v>130</v>
      </c>
      <c r="D25" s="127">
        <v>29</v>
      </c>
      <c r="E25" s="127">
        <v>159</v>
      </c>
      <c r="F25" s="127">
        <v>66</v>
      </c>
      <c r="G25" s="127">
        <v>20</v>
      </c>
      <c r="H25" s="127">
        <v>86</v>
      </c>
      <c r="I25" s="127">
        <v>288</v>
      </c>
      <c r="J25" s="127">
        <v>183</v>
      </c>
      <c r="K25" s="127">
        <v>471</v>
      </c>
      <c r="L25" s="127">
        <v>0</v>
      </c>
      <c r="M25" s="127">
        <v>0</v>
      </c>
      <c r="N25" s="127">
        <v>0</v>
      </c>
      <c r="O25" s="127">
        <v>78</v>
      </c>
      <c r="P25" s="127">
        <v>52</v>
      </c>
      <c r="Q25" s="127">
        <v>130</v>
      </c>
      <c r="R25" s="127">
        <v>603</v>
      </c>
      <c r="S25" s="127">
        <v>289</v>
      </c>
      <c r="T25" s="127">
        <v>892</v>
      </c>
      <c r="U25" s="127">
        <v>41</v>
      </c>
      <c r="V25" s="127">
        <v>5</v>
      </c>
      <c r="W25" s="127">
        <v>46</v>
      </c>
    </row>
    <row r="26" spans="1:23" ht="24.75" customHeight="1">
      <c r="A26" s="193">
        <v>22</v>
      </c>
      <c r="B26" s="200" t="s">
        <v>36</v>
      </c>
      <c r="C26" s="127">
        <v>126</v>
      </c>
      <c r="D26" s="127">
        <v>45</v>
      </c>
      <c r="E26" s="127">
        <v>171</v>
      </c>
      <c r="F26" s="127">
        <v>75</v>
      </c>
      <c r="G26" s="127">
        <v>42</v>
      </c>
      <c r="H26" s="127">
        <v>117</v>
      </c>
      <c r="I26" s="127">
        <v>280</v>
      </c>
      <c r="J26" s="127">
        <v>260</v>
      </c>
      <c r="K26" s="127">
        <v>540</v>
      </c>
      <c r="L26" s="127">
        <v>5</v>
      </c>
      <c r="M26" s="127">
        <v>3</v>
      </c>
      <c r="N26" s="127">
        <v>8</v>
      </c>
      <c r="O26" s="127">
        <v>0</v>
      </c>
      <c r="P26" s="127">
        <v>1</v>
      </c>
      <c r="Q26" s="127">
        <v>1</v>
      </c>
      <c r="R26" s="127">
        <v>486</v>
      </c>
      <c r="S26" s="127">
        <v>354</v>
      </c>
      <c r="T26" s="127">
        <v>840</v>
      </c>
      <c r="U26" s="127">
        <v>0</v>
      </c>
      <c r="V26" s="127">
        <v>3</v>
      </c>
      <c r="W26" s="127">
        <v>3</v>
      </c>
    </row>
    <row r="27" spans="1:23" ht="24.75" customHeight="1">
      <c r="A27" s="193">
        <v>23</v>
      </c>
      <c r="B27" s="200" t="s">
        <v>37</v>
      </c>
      <c r="C27" s="127">
        <v>53</v>
      </c>
      <c r="D27" s="127">
        <v>11</v>
      </c>
      <c r="E27" s="127">
        <v>64</v>
      </c>
      <c r="F27" s="127">
        <v>30</v>
      </c>
      <c r="G27" s="127">
        <v>10</v>
      </c>
      <c r="H27" s="127">
        <v>40</v>
      </c>
      <c r="I27" s="127">
        <v>111</v>
      </c>
      <c r="J27" s="127">
        <v>65</v>
      </c>
      <c r="K27" s="127">
        <v>176</v>
      </c>
      <c r="L27" s="127">
        <v>0</v>
      </c>
      <c r="M27" s="127">
        <v>0</v>
      </c>
      <c r="N27" s="127">
        <v>0</v>
      </c>
      <c r="O27" s="127">
        <v>6</v>
      </c>
      <c r="P27" s="127">
        <v>6</v>
      </c>
      <c r="Q27" s="127">
        <v>12</v>
      </c>
      <c r="R27" s="127">
        <v>204</v>
      </c>
      <c r="S27" s="127">
        <v>99</v>
      </c>
      <c r="T27" s="127">
        <v>303</v>
      </c>
      <c r="U27" s="127">
        <v>4</v>
      </c>
      <c r="V27" s="127">
        <v>7</v>
      </c>
      <c r="W27" s="127">
        <v>11</v>
      </c>
    </row>
    <row r="28" spans="1:23" ht="24.75" customHeight="1">
      <c r="A28" s="193">
        <v>24</v>
      </c>
      <c r="B28" s="200" t="s">
        <v>38</v>
      </c>
      <c r="C28" s="127">
        <v>57</v>
      </c>
      <c r="D28" s="127">
        <v>18</v>
      </c>
      <c r="E28" s="127">
        <v>75</v>
      </c>
      <c r="F28" s="127">
        <v>16</v>
      </c>
      <c r="G28" s="127">
        <v>10</v>
      </c>
      <c r="H28" s="127">
        <v>26</v>
      </c>
      <c r="I28" s="127">
        <v>173</v>
      </c>
      <c r="J28" s="127">
        <v>132</v>
      </c>
      <c r="K28" s="127">
        <v>305</v>
      </c>
      <c r="L28" s="127">
        <v>0</v>
      </c>
      <c r="M28" s="127">
        <v>0</v>
      </c>
      <c r="N28" s="127">
        <v>0</v>
      </c>
      <c r="O28" s="127">
        <v>0</v>
      </c>
      <c r="P28" s="127">
        <v>0</v>
      </c>
      <c r="Q28" s="127">
        <v>0</v>
      </c>
      <c r="R28" s="127">
        <v>246</v>
      </c>
      <c r="S28" s="127">
        <v>160</v>
      </c>
      <c r="T28" s="127">
        <v>406</v>
      </c>
      <c r="U28" s="127">
        <v>0</v>
      </c>
      <c r="V28" s="127">
        <v>0</v>
      </c>
      <c r="W28" s="127">
        <v>0</v>
      </c>
    </row>
    <row r="29" spans="1:23" ht="24.75" customHeight="1">
      <c r="A29" s="193">
        <v>25</v>
      </c>
      <c r="B29" s="200" t="s">
        <v>39</v>
      </c>
      <c r="C29" s="127">
        <v>846</v>
      </c>
      <c r="D29" s="127">
        <v>183</v>
      </c>
      <c r="E29" s="127">
        <v>1029</v>
      </c>
      <c r="F29" s="127">
        <v>827</v>
      </c>
      <c r="G29" s="127">
        <v>304</v>
      </c>
      <c r="H29" s="127">
        <v>1131</v>
      </c>
      <c r="I29" s="127">
        <v>2370</v>
      </c>
      <c r="J29" s="127">
        <v>1316</v>
      </c>
      <c r="K29" s="127">
        <v>3686</v>
      </c>
      <c r="L29" s="127">
        <v>30</v>
      </c>
      <c r="M29" s="127">
        <v>82</v>
      </c>
      <c r="N29" s="127">
        <v>112</v>
      </c>
      <c r="O29" s="127">
        <v>138</v>
      </c>
      <c r="P29" s="127">
        <v>104</v>
      </c>
      <c r="Q29" s="127">
        <v>242</v>
      </c>
      <c r="R29" s="127">
        <v>4255</v>
      </c>
      <c r="S29" s="127">
        <v>2008</v>
      </c>
      <c r="T29" s="127">
        <v>6263</v>
      </c>
      <c r="U29" s="127">
        <v>44</v>
      </c>
      <c r="V29" s="127">
        <v>19</v>
      </c>
      <c r="W29" s="127">
        <v>63</v>
      </c>
    </row>
    <row r="30" spans="1:23" ht="24.75" customHeight="1">
      <c r="A30" s="193">
        <v>26</v>
      </c>
      <c r="B30" s="200" t="s">
        <v>40</v>
      </c>
      <c r="C30" s="127">
        <v>368</v>
      </c>
      <c r="D30" s="127">
        <v>157</v>
      </c>
      <c r="E30" s="127">
        <v>525</v>
      </c>
      <c r="F30" s="127">
        <v>197</v>
      </c>
      <c r="G30" s="127">
        <v>125</v>
      </c>
      <c r="H30" s="127">
        <v>322</v>
      </c>
      <c r="I30" s="127">
        <v>441</v>
      </c>
      <c r="J30" s="127">
        <v>309</v>
      </c>
      <c r="K30" s="127">
        <v>750</v>
      </c>
      <c r="L30" s="127">
        <v>250</v>
      </c>
      <c r="M30" s="127">
        <v>300</v>
      </c>
      <c r="N30" s="127">
        <v>550</v>
      </c>
      <c r="O30" s="127">
        <v>11</v>
      </c>
      <c r="P30" s="127">
        <v>4</v>
      </c>
      <c r="Q30" s="127">
        <v>15</v>
      </c>
      <c r="R30" s="127">
        <v>1268</v>
      </c>
      <c r="S30" s="127">
        <v>895</v>
      </c>
      <c r="T30" s="127">
        <v>2163</v>
      </c>
      <c r="U30" s="127">
        <v>1</v>
      </c>
      <c r="V30" s="127">
        <v>0</v>
      </c>
      <c r="W30" s="127">
        <v>1</v>
      </c>
    </row>
    <row r="31" spans="1:23" ht="24.75" customHeight="1">
      <c r="A31" s="193">
        <v>27</v>
      </c>
      <c r="B31" s="200" t="s">
        <v>41</v>
      </c>
      <c r="C31" s="127">
        <v>1126</v>
      </c>
      <c r="D31" s="127">
        <v>460</v>
      </c>
      <c r="E31" s="127">
        <v>1586</v>
      </c>
      <c r="F31" s="127">
        <v>912</v>
      </c>
      <c r="G31" s="127">
        <v>537</v>
      </c>
      <c r="H31" s="127">
        <v>1449</v>
      </c>
      <c r="I31" s="127">
        <v>4327</v>
      </c>
      <c r="J31" s="127">
        <v>4204</v>
      </c>
      <c r="K31" s="127">
        <v>8531</v>
      </c>
      <c r="L31" s="127">
        <v>53</v>
      </c>
      <c r="M31" s="127">
        <v>209</v>
      </c>
      <c r="N31" s="127">
        <v>262</v>
      </c>
      <c r="O31" s="127">
        <v>50</v>
      </c>
      <c r="P31" s="127">
        <v>97</v>
      </c>
      <c r="Q31" s="127">
        <v>147</v>
      </c>
      <c r="R31" s="127">
        <v>6534</v>
      </c>
      <c r="S31" s="127">
        <v>5541</v>
      </c>
      <c r="T31" s="127">
        <v>12075</v>
      </c>
      <c r="U31" s="127">
        <v>66</v>
      </c>
      <c r="V31" s="127">
        <v>34</v>
      </c>
      <c r="W31" s="127">
        <v>100</v>
      </c>
    </row>
    <row r="32" spans="1:23" ht="24.75" customHeight="1">
      <c r="A32" s="193">
        <v>28</v>
      </c>
      <c r="B32" s="200" t="s">
        <v>42</v>
      </c>
      <c r="C32" s="127">
        <v>1717</v>
      </c>
      <c r="D32" s="708">
        <v>577</v>
      </c>
      <c r="E32" s="127">
        <v>2294</v>
      </c>
      <c r="F32" s="127">
        <v>1466</v>
      </c>
      <c r="G32" s="127">
        <v>720</v>
      </c>
      <c r="H32" s="127">
        <v>2186</v>
      </c>
      <c r="I32" s="127">
        <v>5640</v>
      </c>
      <c r="J32" s="127">
        <v>3459</v>
      </c>
      <c r="K32" s="127">
        <v>9099</v>
      </c>
      <c r="L32" s="127">
        <v>484</v>
      </c>
      <c r="M32" s="127">
        <v>196</v>
      </c>
      <c r="N32" s="127">
        <v>680</v>
      </c>
      <c r="O32" s="127">
        <v>98</v>
      </c>
      <c r="P32" s="127">
        <v>91</v>
      </c>
      <c r="Q32" s="127">
        <v>189</v>
      </c>
      <c r="R32" s="127">
        <v>9506</v>
      </c>
      <c r="S32" s="127">
        <v>5124</v>
      </c>
      <c r="T32" s="127">
        <v>14630</v>
      </c>
      <c r="U32" s="127">
        <v>101</v>
      </c>
      <c r="V32" s="127">
        <v>81</v>
      </c>
      <c r="W32" s="127">
        <v>182</v>
      </c>
    </row>
    <row r="33" spans="1:23" ht="24.75" customHeight="1">
      <c r="A33" s="193">
        <v>29</v>
      </c>
      <c r="B33" s="200" t="s">
        <v>43</v>
      </c>
      <c r="C33" s="127">
        <v>75</v>
      </c>
      <c r="D33" s="127">
        <v>24</v>
      </c>
      <c r="E33" s="127">
        <v>99</v>
      </c>
      <c r="F33" s="127">
        <v>113</v>
      </c>
      <c r="G33" s="127">
        <v>47</v>
      </c>
      <c r="H33" s="127">
        <v>160</v>
      </c>
      <c r="I33" s="127">
        <v>398</v>
      </c>
      <c r="J33" s="127">
        <v>262</v>
      </c>
      <c r="K33" s="127">
        <v>660</v>
      </c>
      <c r="L33" s="127">
        <v>5</v>
      </c>
      <c r="M33" s="127">
        <v>55</v>
      </c>
      <c r="N33" s="127">
        <v>60</v>
      </c>
      <c r="O33" s="127">
        <v>0</v>
      </c>
      <c r="P33" s="127">
        <v>0</v>
      </c>
      <c r="Q33" s="127">
        <v>0</v>
      </c>
      <c r="R33" s="127">
        <v>594</v>
      </c>
      <c r="S33" s="127">
        <v>390</v>
      </c>
      <c r="T33" s="127">
        <v>984</v>
      </c>
      <c r="U33" s="127">
        <v>3</v>
      </c>
      <c r="V33" s="127">
        <v>2</v>
      </c>
      <c r="W33" s="127">
        <v>5</v>
      </c>
    </row>
    <row r="34" spans="1:23" ht="24.75" customHeight="1">
      <c r="A34" s="193">
        <v>30</v>
      </c>
      <c r="B34" s="200" t="s">
        <v>44</v>
      </c>
      <c r="C34" s="776">
        <v>3572</v>
      </c>
      <c r="D34" s="776">
        <v>1563</v>
      </c>
      <c r="E34" s="776">
        <v>5135</v>
      </c>
      <c r="F34" s="776">
        <v>3033</v>
      </c>
      <c r="G34" s="776">
        <v>1743</v>
      </c>
      <c r="H34" s="776">
        <v>4776</v>
      </c>
      <c r="I34" s="776">
        <v>9045</v>
      </c>
      <c r="J34" s="776">
        <v>7418</v>
      </c>
      <c r="K34" s="776">
        <v>16463</v>
      </c>
      <c r="L34" s="776">
        <v>232</v>
      </c>
      <c r="M34" s="776">
        <v>472</v>
      </c>
      <c r="N34" s="776">
        <v>704</v>
      </c>
      <c r="O34" s="776">
        <v>65</v>
      </c>
      <c r="P34" s="776">
        <v>158</v>
      </c>
      <c r="Q34" s="776">
        <v>223</v>
      </c>
      <c r="R34" s="776">
        <v>16034</v>
      </c>
      <c r="S34" s="776">
        <v>11365</v>
      </c>
      <c r="T34" s="776">
        <v>27399</v>
      </c>
      <c r="U34" s="776">
        <v>87</v>
      </c>
      <c r="V34" s="776">
        <v>11</v>
      </c>
      <c r="W34" s="776">
        <v>98</v>
      </c>
    </row>
    <row r="35" spans="1:23" ht="24.75" customHeight="1">
      <c r="A35" s="193">
        <v>31</v>
      </c>
      <c r="B35" s="200" t="s">
        <v>142</v>
      </c>
      <c r="C35" s="776">
        <v>804</v>
      </c>
      <c r="D35" s="776">
        <v>237</v>
      </c>
      <c r="E35" s="776">
        <v>1041</v>
      </c>
      <c r="F35" s="776">
        <v>603</v>
      </c>
      <c r="G35" s="776">
        <v>229</v>
      </c>
      <c r="H35" s="776">
        <v>832</v>
      </c>
      <c r="I35" s="776">
        <v>2054</v>
      </c>
      <c r="J35" s="776">
        <v>1112</v>
      </c>
      <c r="K35" s="776">
        <v>3166</v>
      </c>
      <c r="L35" s="776">
        <v>43</v>
      </c>
      <c r="M35" s="776">
        <v>2</v>
      </c>
      <c r="N35" s="776">
        <v>45</v>
      </c>
      <c r="O35" s="776">
        <v>327</v>
      </c>
      <c r="P35" s="776">
        <v>121</v>
      </c>
      <c r="Q35" s="776">
        <v>448</v>
      </c>
      <c r="R35" s="776">
        <v>3831</v>
      </c>
      <c r="S35" s="776">
        <v>1701</v>
      </c>
      <c r="T35" s="776">
        <v>5532</v>
      </c>
      <c r="U35" s="776">
        <v>0</v>
      </c>
      <c r="V35" s="776">
        <v>0</v>
      </c>
      <c r="W35" s="776">
        <v>0</v>
      </c>
    </row>
    <row r="36" spans="1:23" ht="52.5" customHeight="1">
      <c r="A36" s="193">
        <v>32</v>
      </c>
      <c r="B36" s="200" t="s">
        <v>173</v>
      </c>
      <c r="C36" s="776">
        <v>0</v>
      </c>
      <c r="D36" s="776">
        <v>1</v>
      </c>
      <c r="E36" s="776">
        <v>1</v>
      </c>
      <c r="F36" s="776">
        <v>1</v>
      </c>
      <c r="G36" s="776">
        <v>0</v>
      </c>
      <c r="H36" s="776">
        <v>1</v>
      </c>
      <c r="I36" s="776">
        <v>2</v>
      </c>
      <c r="J36" s="776">
        <v>2</v>
      </c>
      <c r="K36" s="776">
        <v>4</v>
      </c>
      <c r="L36" s="776">
        <v>0</v>
      </c>
      <c r="M36" s="776">
        <v>0</v>
      </c>
      <c r="N36" s="776">
        <v>0</v>
      </c>
      <c r="O36" s="776">
        <v>0</v>
      </c>
      <c r="P36" s="776">
        <v>0</v>
      </c>
      <c r="Q36" s="776">
        <v>0</v>
      </c>
      <c r="R36" s="776">
        <v>3</v>
      </c>
      <c r="S36" s="776">
        <v>3</v>
      </c>
      <c r="T36" s="776">
        <v>6</v>
      </c>
      <c r="U36" s="776">
        <v>0</v>
      </c>
      <c r="V36" s="776">
        <v>0</v>
      </c>
      <c r="W36" s="776">
        <v>0</v>
      </c>
    </row>
    <row r="37" spans="1:23" ht="24.75" customHeight="1">
      <c r="A37" s="193">
        <v>33</v>
      </c>
      <c r="B37" s="201" t="s">
        <v>45</v>
      </c>
      <c r="C37" s="776">
        <v>46</v>
      </c>
      <c r="D37" s="776">
        <v>2</v>
      </c>
      <c r="E37" s="776">
        <v>48</v>
      </c>
      <c r="F37" s="776">
        <v>42</v>
      </c>
      <c r="G37" s="776">
        <v>12</v>
      </c>
      <c r="H37" s="776">
        <v>54</v>
      </c>
      <c r="I37" s="776">
        <v>300</v>
      </c>
      <c r="J37" s="776">
        <v>111</v>
      </c>
      <c r="K37" s="776">
        <v>411</v>
      </c>
      <c r="L37" s="776">
        <v>1</v>
      </c>
      <c r="M37" s="776">
        <v>2</v>
      </c>
      <c r="N37" s="776">
        <v>3</v>
      </c>
      <c r="O37" s="776">
        <v>10</v>
      </c>
      <c r="P37" s="776">
        <v>7</v>
      </c>
      <c r="Q37" s="776">
        <v>17</v>
      </c>
      <c r="R37" s="776">
        <v>399</v>
      </c>
      <c r="S37" s="776">
        <v>134</v>
      </c>
      <c r="T37" s="776">
        <v>533</v>
      </c>
      <c r="U37" s="776">
        <v>0</v>
      </c>
      <c r="V37" s="776">
        <v>0</v>
      </c>
      <c r="W37" s="776">
        <v>0</v>
      </c>
    </row>
    <row r="38" spans="1:23" ht="24.75" customHeight="1">
      <c r="A38" s="193">
        <v>34</v>
      </c>
      <c r="B38" s="200" t="s">
        <v>47</v>
      </c>
      <c r="C38" s="776">
        <v>3699</v>
      </c>
      <c r="D38" s="776">
        <v>1041</v>
      </c>
      <c r="E38" s="776">
        <v>4740</v>
      </c>
      <c r="F38" s="776">
        <v>2246</v>
      </c>
      <c r="G38" s="776">
        <v>952</v>
      </c>
      <c r="H38" s="776">
        <v>3198</v>
      </c>
      <c r="I38" s="776">
        <v>8041</v>
      </c>
      <c r="J38" s="776">
        <v>4864</v>
      </c>
      <c r="K38" s="776">
        <v>12905</v>
      </c>
      <c r="L38" s="776">
        <v>330</v>
      </c>
      <c r="M38" s="776">
        <v>375</v>
      </c>
      <c r="N38" s="776">
        <v>705</v>
      </c>
      <c r="O38" s="776">
        <v>382</v>
      </c>
      <c r="P38" s="776">
        <v>173</v>
      </c>
      <c r="Q38" s="776">
        <v>555</v>
      </c>
      <c r="R38" s="776">
        <v>14927</v>
      </c>
      <c r="S38" s="776">
        <v>7512</v>
      </c>
      <c r="T38" s="776">
        <v>22439</v>
      </c>
      <c r="U38" s="776">
        <v>229</v>
      </c>
      <c r="V38" s="776">
        <v>107</v>
      </c>
      <c r="W38" s="776">
        <v>336</v>
      </c>
    </row>
    <row r="39" spans="1:23" ht="24.75" customHeight="1">
      <c r="A39" s="193">
        <v>35</v>
      </c>
      <c r="B39" s="200" t="s">
        <v>46</v>
      </c>
      <c r="C39" s="776">
        <v>952</v>
      </c>
      <c r="D39" s="776">
        <v>323</v>
      </c>
      <c r="E39" s="776">
        <v>1275</v>
      </c>
      <c r="F39" s="776">
        <v>756</v>
      </c>
      <c r="G39" s="776">
        <v>311</v>
      </c>
      <c r="H39" s="776">
        <v>1067</v>
      </c>
      <c r="I39" s="776">
        <v>2301</v>
      </c>
      <c r="J39" s="776">
        <v>1269</v>
      </c>
      <c r="K39" s="776">
        <v>3570</v>
      </c>
      <c r="L39" s="776">
        <v>96</v>
      </c>
      <c r="M39" s="776">
        <v>184</v>
      </c>
      <c r="N39" s="776">
        <v>280</v>
      </c>
      <c r="O39" s="776">
        <v>281</v>
      </c>
      <c r="P39" s="776">
        <v>142</v>
      </c>
      <c r="Q39" s="776">
        <v>423</v>
      </c>
      <c r="R39" s="776">
        <v>4412</v>
      </c>
      <c r="S39" s="776">
        <v>2241</v>
      </c>
      <c r="T39" s="776">
        <v>6653</v>
      </c>
      <c r="U39" s="776">
        <v>26</v>
      </c>
      <c r="V39" s="776">
        <v>12</v>
      </c>
      <c r="W39" s="776">
        <v>38</v>
      </c>
    </row>
    <row r="40" spans="1:23" ht="24.75" customHeight="1">
      <c r="A40" s="193">
        <v>36</v>
      </c>
      <c r="B40" s="200" t="s">
        <v>48</v>
      </c>
      <c r="C40" s="776">
        <v>1870</v>
      </c>
      <c r="D40" s="776">
        <v>382</v>
      </c>
      <c r="E40" s="776">
        <v>2252</v>
      </c>
      <c r="F40" s="776">
        <v>1037</v>
      </c>
      <c r="G40" s="776">
        <v>292</v>
      </c>
      <c r="H40" s="776">
        <v>1329</v>
      </c>
      <c r="I40" s="776">
        <v>2927</v>
      </c>
      <c r="J40" s="776">
        <v>1469</v>
      </c>
      <c r="K40" s="776">
        <v>4396</v>
      </c>
      <c r="L40" s="776">
        <v>66</v>
      </c>
      <c r="M40" s="776">
        <v>44</v>
      </c>
      <c r="N40" s="776">
        <v>110</v>
      </c>
      <c r="O40" s="776">
        <v>138</v>
      </c>
      <c r="P40" s="776">
        <v>103</v>
      </c>
      <c r="Q40" s="776">
        <v>241</v>
      </c>
      <c r="R40" s="776">
        <v>6138</v>
      </c>
      <c r="S40" s="776">
        <v>2326</v>
      </c>
      <c r="T40" s="776">
        <v>8464</v>
      </c>
      <c r="U40" s="776">
        <v>100</v>
      </c>
      <c r="V40" s="776">
        <v>36</v>
      </c>
      <c r="W40" s="776">
        <v>136</v>
      </c>
    </row>
    <row r="41" spans="1:23" s="829" customFormat="1" ht="24.75" customHeight="1">
      <c r="A41" s="1075" t="s">
        <v>49</v>
      </c>
      <c r="B41" s="1076"/>
      <c r="C41" s="828">
        <v>31852</v>
      </c>
      <c r="D41" s="828">
        <v>11057</v>
      </c>
      <c r="E41" s="828">
        <v>42909</v>
      </c>
      <c r="F41" s="828">
        <v>23343</v>
      </c>
      <c r="G41" s="828">
        <v>11469</v>
      </c>
      <c r="H41" s="828">
        <v>34812</v>
      </c>
      <c r="I41" s="828">
        <v>81252</v>
      </c>
      <c r="J41" s="828">
        <v>56720</v>
      </c>
      <c r="K41" s="828">
        <v>137972</v>
      </c>
      <c r="L41" s="828">
        <v>3804</v>
      </c>
      <c r="M41" s="828">
        <v>5019</v>
      </c>
      <c r="N41" s="828">
        <v>8823</v>
      </c>
      <c r="O41" s="828">
        <v>4717</v>
      </c>
      <c r="P41" s="828">
        <v>3830</v>
      </c>
      <c r="Q41" s="828">
        <v>8547</v>
      </c>
      <c r="R41" s="828">
        <v>146833</v>
      </c>
      <c r="S41" s="828">
        <v>89198</v>
      </c>
      <c r="T41" s="828">
        <v>236031</v>
      </c>
      <c r="U41" s="828">
        <v>1865</v>
      </c>
      <c r="V41" s="828">
        <v>1103</v>
      </c>
      <c r="W41" s="828">
        <v>2968</v>
      </c>
    </row>
  </sheetData>
  <mergeCells count="12">
    <mergeCell ref="U2:W2"/>
    <mergeCell ref="A41:B41"/>
    <mergeCell ref="C1:K1"/>
    <mergeCell ref="L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4" right="0.4" top="0.4" bottom="0.5" header="0.27559055118110198" footer="0.23622047244094499"/>
  <pageSetup paperSize="9" scale="76" firstPageNumber="2" pageOrder="overThenDown" orientation="portrait" useFirstPageNumber="1" r:id="rId1"/>
  <headerFooter alignWithMargins="0">
    <oddFooter>&amp;L     AISHE 2019-20&amp;CT-22b</oddFooter>
  </headerFooter>
  <colBreaks count="1" manualBreakCount="1">
    <brk id="11" max="39" man="1"/>
  </colBreaks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00B050"/>
  </sheetPr>
  <dimension ref="A1:T41"/>
  <sheetViews>
    <sheetView view="pageBreakPreview" topLeftCell="L19" zoomScaleSheetLayoutView="100" workbookViewId="0">
      <selection activeCell="Q41" sqref="Q41"/>
    </sheetView>
  </sheetViews>
  <sheetFormatPr defaultColWidth="9.1796875" defaultRowHeight="14"/>
  <cols>
    <col min="1" max="1" width="4.81640625" style="195" customWidth="1"/>
    <col min="2" max="2" width="23.26953125" style="341" customWidth="1"/>
    <col min="3" max="3" width="9.81640625" style="341" customWidth="1"/>
    <col min="4" max="4" width="8.1796875" style="341" customWidth="1"/>
    <col min="5" max="5" width="8.81640625" style="341" customWidth="1"/>
    <col min="6" max="6" width="9" style="341" customWidth="1"/>
    <col min="7" max="7" width="8.26953125" style="341" customWidth="1"/>
    <col min="8" max="8" width="9" style="341" customWidth="1"/>
    <col min="9" max="11" width="8.7265625" style="341" customWidth="1"/>
    <col min="12" max="17" width="13" style="341" customWidth="1"/>
    <col min="18" max="19" width="8.81640625" style="341" hidden="1" customWidth="1"/>
    <col min="20" max="20" width="9.1796875" style="706"/>
    <col min="21" max="16384" width="9.1796875" style="341"/>
  </cols>
  <sheetData>
    <row r="1" spans="1:20" s="542" customFormat="1" ht="33.75" customHeight="1">
      <c r="A1" s="188"/>
      <c r="B1" s="158" t="s">
        <v>290</v>
      </c>
      <c r="C1" s="950" t="s">
        <v>1048</v>
      </c>
      <c r="D1" s="1020"/>
      <c r="E1" s="1020"/>
      <c r="F1" s="1020"/>
      <c r="G1" s="1020"/>
      <c r="H1" s="1020"/>
      <c r="I1" s="1020"/>
      <c r="J1" s="1020"/>
      <c r="K1" s="1020"/>
      <c r="L1" s="950" t="str">
        <f>C1</f>
        <v>State &amp; Post-Wise Number of Male &amp; Female Non-Teaching staff
(Based on Actual Response)</v>
      </c>
      <c r="M1" s="1020"/>
      <c r="N1" s="1020"/>
      <c r="O1" s="1020"/>
      <c r="P1" s="1020"/>
      <c r="Q1" s="1020"/>
      <c r="T1" s="700"/>
    </row>
    <row r="2" spans="1:20" s="698" customFormat="1">
      <c r="A2" s="1070" t="s">
        <v>235</v>
      </c>
      <c r="B2" s="1078" t="s">
        <v>2</v>
      </c>
      <c r="C2" s="1078" t="s">
        <v>291</v>
      </c>
      <c r="D2" s="1078"/>
      <c r="E2" s="1078"/>
      <c r="F2" s="1078" t="s">
        <v>292</v>
      </c>
      <c r="G2" s="1079"/>
      <c r="H2" s="1079"/>
      <c r="I2" s="1078" t="s">
        <v>293</v>
      </c>
      <c r="J2" s="1079"/>
      <c r="K2" s="1079"/>
      <c r="L2" s="1078" t="s">
        <v>294</v>
      </c>
      <c r="M2" s="1079"/>
      <c r="N2" s="1079"/>
      <c r="O2" s="1078" t="s">
        <v>60</v>
      </c>
      <c r="P2" s="1078"/>
      <c r="Q2" s="1078"/>
      <c r="R2" s="701"/>
      <c r="T2" s="702"/>
    </row>
    <row r="3" spans="1:20" s="698" customFormat="1" ht="19.5" customHeight="1">
      <c r="A3" s="1070"/>
      <c r="B3" s="1078"/>
      <c r="C3" s="703" t="s">
        <v>87</v>
      </c>
      <c r="D3" s="703" t="s">
        <v>88</v>
      </c>
      <c r="E3" s="703" t="s">
        <v>12</v>
      </c>
      <c r="F3" s="703" t="s">
        <v>87</v>
      </c>
      <c r="G3" s="703" t="s">
        <v>88</v>
      </c>
      <c r="H3" s="703" t="s">
        <v>12</v>
      </c>
      <c r="I3" s="703" t="s">
        <v>87</v>
      </c>
      <c r="J3" s="703" t="s">
        <v>88</v>
      </c>
      <c r="K3" s="703" t="s">
        <v>12</v>
      </c>
      <c r="L3" s="703" t="s">
        <v>87</v>
      </c>
      <c r="M3" s="703" t="s">
        <v>88</v>
      </c>
      <c r="N3" s="703" t="s">
        <v>12</v>
      </c>
      <c r="O3" s="703" t="s">
        <v>87</v>
      </c>
      <c r="P3" s="703" t="s">
        <v>88</v>
      </c>
      <c r="Q3" s="703" t="s">
        <v>12</v>
      </c>
      <c r="R3" s="701"/>
      <c r="T3" s="702"/>
    </row>
    <row r="4" spans="1:20" s="698" customFormat="1">
      <c r="A4" s="199">
        <v>1</v>
      </c>
      <c r="B4" s="199">
        <v>2</v>
      </c>
      <c r="C4" s="199">
        <v>3</v>
      </c>
      <c r="D4" s="199">
        <v>4</v>
      </c>
      <c r="E4" s="199">
        <v>5</v>
      </c>
      <c r="F4" s="199">
        <v>6</v>
      </c>
      <c r="G4" s="199">
        <v>7</v>
      </c>
      <c r="H4" s="199">
        <v>8</v>
      </c>
      <c r="I4" s="199">
        <v>9</v>
      </c>
      <c r="J4" s="199">
        <v>10</v>
      </c>
      <c r="K4" s="199">
        <v>11</v>
      </c>
      <c r="L4" s="199">
        <v>12</v>
      </c>
      <c r="M4" s="199">
        <v>13</v>
      </c>
      <c r="N4" s="199">
        <v>14</v>
      </c>
      <c r="O4" s="199">
        <v>15</v>
      </c>
      <c r="P4" s="199">
        <v>16</v>
      </c>
      <c r="Q4" s="199">
        <v>17</v>
      </c>
      <c r="R4" s="199">
        <v>18</v>
      </c>
      <c r="S4" s="199">
        <v>19</v>
      </c>
    </row>
    <row r="5" spans="1:20" ht="30" customHeight="1">
      <c r="A5" s="193">
        <v>1</v>
      </c>
      <c r="B5" s="212" t="s">
        <v>171</v>
      </c>
      <c r="C5" s="704">
        <v>30</v>
      </c>
      <c r="D5" s="704">
        <v>6</v>
      </c>
      <c r="E5" s="95">
        <v>36</v>
      </c>
      <c r="F5" s="704">
        <v>96</v>
      </c>
      <c r="G5" s="704">
        <v>75</v>
      </c>
      <c r="H5" s="95">
        <v>171</v>
      </c>
      <c r="I5" s="704">
        <v>106</v>
      </c>
      <c r="J5" s="704">
        <v>55</v>
      </c>
      <c r="K5" s="95">
        <v>161</v>
      </c>
      <c r="L5" s="704">
        <v>42</v>
      </c>
      <c r="M5" s="704">
        <v>19</v>
      </c>
      <c r="N5" s="95">
        <v>61</v>
      </c>
      <c r="O5" s="704">
        <v>274</v>
      </c>
      <c r="P5" s="704">
        <v>155</v>
      </c>
      <c r="Q5" s="704">
        <v>429</v>
      </c>
      <c r="R5" s="705"/>
      <c r="T5" s="706">
        <v>63.869463869463871</v>
      </c>
    </row>
    <row r="6" spans="1:20" ht="20.25" customHeight="1">
      <c r="A6" s="193">
        <v>2</v>
      </c>
      <c r="B6" s="212" t="s">
        <v>15</v>
      </c>
      <c r="C6" s="704">
        <v>12982</v>
      </c>
      <c r="D6" s="704">
        <v>7362</v>
      </c>
      <c r="E6" s="95">
        <v>20344</v>
      </c>
      <c r="F6" s="704">
        <v>9912</v>
      </c>
      <c r="G6" s="704">
        <v>5691</v>
      </c>
      <c r="H6" s="95">
        <v>15603</v>
      </c>
      <c r="I6" s="704">
        <v>14084</v>
      </c>
      <c r="J6" s="704">
        <v>8087</v>
      </c>
      <c r="K6" s="95">
        <v>22171</v>
      </c>
      <c r="L6" s="704">
        <v>11407</v>
      </c>
      <c r="M6" s="704">
        <v>8163</v>
      </c>
      <c r="N6" s="95">
        <v>19570</v>
      </c>
      <c r="O6" s="704">
        <v>48385</v>
      </c>
      <c r="P6" s="704">
        <v>29303</v>
      </c>
      <c r="Q6" s="704">
        <v>77688</v>
      </c>
      <c r="R6" s="705"/>
      <c r="T6" s="706">
        <v>62.264318974071905</v>
      </c>
    </row>
    <row r="7" spans="1:20" ht="20.25" customHeight="1">
      <c r="A7" s="193">
        <v>3</v>
      </c>
      <c r="B7" s="212" t="s">
        <v>16</v>
      </c>
      <c r="C7" s="704">
        <v>127</v>
      </c>
      <c r="D7" s="704">
        <v>95</v>
      </c>
      <c r="E7" s="95">
        <v>222</v>
      </c>
      <c r="F7" s="704">
        <v>170</v>
      </c>
      <c r="G7" s="704">
        <v>182</v>
      </c>
      <c r="H7" s="95">
        <v>352</v>
      </c>
      <c r="I7" s="704">
        <v>751</v>
      </c>
      <c r="J7" s="704">
        <v>452</v>
      </c>
      <c r="K7" s="95">
        <v>1203</v>
      </c>
      <c r="L7" s="704">
        <v>219</v>
      </c>
      <c r="M7" s="704">
        <v>175</v>
      </c>
      <c r="N7" s="95">
        <v>394</v>
      </c>
      <c r="O7" s="704">
        <v>1267</v>
      </c>
      <c r="P7" s="704">
        <v>904</v>
      </c>
      <c r="Q7" s="704">
        <v>2171</v>
      </c>
      <c r="R7" s="705"/>
      <c r="T7" s="706">
        <v>58.375401560348784</v>
      </c>
    </row>
    <row r="8" spans="1:20" ht="20.25" customHeight="1">
      <c r="A8" s="193">
        <v>4</v>
      </c>
      <c r="B8" s="212" t="s">
        <v>17</v>
      </c>
      <c r="C8" s="704">
        <v>955</v>
      </c>
      <c r="D8" s="704">
        <v>306</v>
      </c>
      <c r="E8" s="95">
        <v>1261</v>
      </c>
      <c r="F8" s="704">
        <v>1455</v>
      </c>
      <c r="G8" s="704">
        <v>555</v>
      </c>
      <c r="H8" s="95">
        <v>2010</v>
      </c>
      <c r="I8" s="704">
        <v>5498</v>
      </c>
      <c r="J8" s="704">
        <v>1722</v>
      </c>
      <c r="K8" s="95">
        <v>7220</v>
      </c>
      <c r="L8" s="704">
        <v>6672</v>
      </c>
      <c r="M8" s="704">
        <v>1694</v>
      </c>
      <c r="N8" s="95">
        <v>8366</v>
      </c>
      <c r="O8" s="704">
        <v>14580</v>
      </c>
      <c r="P8" s="704">
        <v>4277</v>
      </c>
      <c r="Q8" s="704">
        <v>18857</v>
      </c>
      <c r="R8" s="705"/>
      <c r="T8" s="706">
        <v>77.318767566420959</v>
      </c>
    </row>
    <row r="9" spans="1:20" ht="20.25" customHeight="1">
      <c r="A9" s="193">
        <v>5</v>
      </c>
      <c r="B9" s="212" t="s">
        <v>18</v>
      </c>
      <c r="C9" s="704">
        <v>2714</v>
      </c>
      <c r="D9" s="704">
        <v>856</v>
      </c>
      <c r="E9" s="95">
        <v>3570</v>
      </c>
      <c r="F9" s="704">
        <v>3362</v>
      </c>
      <c r="G9" s="704">
        <v>918</v>
      </c>
      <c r="H9" s="95">
        <v>4280</v>
      </c>
      <c r="I9" s="704">
        <v>14745</v>
      </c>
      <c r="J9" s="704">
        <v>3437</v>
      </c>
      <c r="K9" s="95">
        <v>18182</v>
      </c>
      <c r="L9" s="704">
        <v>11458</v>
      </c>
      <c r="M9" s="704">
        <v>2220</v>
      </c>
      <c r="N9" s="95">
        <v>13678</v>
      </c>
      <c r="O9" s="704">
        <v>32279</v>
      </c>
      <c r="P9" s="704">
        <v>7431</v>
      </c>
      <c r="Q9" s="704">
        <v>39710</v>
      </c>
      <c r="R9" s="705"/>
      <c r="T9" s="706">
        <v>81.356781401873846</v>
      </c>
    </row>
    <row r="10" spans="1:20" ht="20.25" customHeight="1">
      <c r="A10" s="193">
        <v>6</v>
      </c>
      <c r="B10" s="212" t="s">
        <v>19</v>
      </c>
      <c r="C10" s="704">
        <v>262</v>
      </c>
      <c r="D10" s="704">
        <v>170</v>
      </c>
      <c r="E10" s="95">
        <v>432</v>
      </c>
      <c r="F10" s="704">
        <v>1343</v>
      </c>
      <c r="G10" s="704">
        <v>893</v>
      </c>
      <c r="H10" s="95">
        <v>2236</v>
      </c>
      <c r="I10" s="704">
        <v>2310</v>
      </c>
      <c r="J10" s="704">
        <v>1096</v>
      </c>
      <c r="K10" s="95">
        <v>3406</v>
      </c>
      <c r="L10" s="704">
        <v>516</v>
      </c>
      <c r="M10" s="704">
        <v>99</v>
      </c>
      <c r="N10" s="95">
        <v>615</v>
      </c>
      <c r="O10" s="704">
        <v>4431</v>
      </c>
      <c r="P10" s="704">
        <v>2258</v>
      </c>
      <c r="Q10" s="704">
        <v>6689</v>
      </c>
      <c r="R10" s="705"/>
      <c r="T10" s="706">
        <v>66.24308566302885</v>
      </c>
    </row>
    <row r="11" spans="1:20" ht="20.25" customHeight="1">
      <c r="A11" s="193">
        <v>7</v>
      </c>
      <c r="B11" s="212" t="s">
        <v>20</v>
      </c>
      <c r="C11" s="704">
        <v>1590</v>
      </c>
      <c r="D11" s="704">
        <v>1333</v>
      </c>
      <c r="E11" s="95">
        <v>2923</v>
      </c>
      <c r="F11" s="704">
        <v>2758</v>
      </c>
      <c r="G11" s="704">
        <v>1287</v>
      </c>
      <c r="H11" s="95">
        <v>4045</v>
      </c>
      <c r="I11" s="704">
        <v>6305</v>
      </c>
      <c r="J11" s="704">
        <v>2330</v>
      </c>
      <c r="K11" s="95">
        <v>8635</v>
      </c>
      <c r="L11" s="704">
        <v>3767</v>
      </c>
      <c r="M11" s="704">
        <v>1630</v>
      </c>
      <c r="N11" s="95">
        <v>5397</v>
      </c>
      <c r="O11" s="704">
        <v>14420</v>
      </c>
      <c r="P11" s="704">
        <v>6580</v>
      </c>
      <c r="Q11" s="704">
        <v>21000</v>
      </c>
      <c r="R11" s="705"/>
      <c r="T11" s="706">
        <v>68.663682255452898</v>
      </c>
    </row>
    <row r="12" spans="1:20" ht="20.25" customHeight="1">
      <c r="A12" s="193">
        <v>8</v>
      </c>
      <c r="B12" s="212" t="s">
        <v>23</v>
      </c>
      <c r="C12" s="704">
        <v>1224</v>
      </c>
      <c r="D12" s="704">
        <v>668</v>
      </c>
      <c r="E12" s="95">
        <v>1892</v>
      </c>
      <c r="F12" s="704">
        <v>5199</v>
      </c>
      <c r="G12" s="704">
        <v>5100</v>
      </c>
      <c r="H12" s="95">
        <v>10299</v>
      </c>
      <c r="I12" s="704">
        <v>12771</v>
      </c>
      <c r="J12" s="704">
        <v>2797</v>
      </c>
      <c r="K12" s="95">
        <v>15568</v>
      </c>
      <c r="L12" s="704">
        <v>2977</v>
      </c>
      <c r="M12" s="704">
        <v>708</v>
      </c>
      <c r="N12" s="95">
        <v>3685</v>
      </c>
      <c r="O12" s="704">
        <v>22171</v>
      </c>
      <c r="P12" s="704">
        <v>9273</v>
      </c>
      <c r="Q12" s="704">
        <v>31444</v>
      </c>
      <c r="R12" s="705"/>
      <c r="T12" s="706">
        <v>70.820496699151221</v>
      </c>
    </row>
    <row r="13" spans="1:20" ht="20.25" customHeight="1">
      <c r="A13" s="193">
        <v>9</v>
      </c>
      <c r="B13" s="212" t="s">
        <v>24</v>
      </c>
      <c r="C13" s="704">
        <v>115</v>
      </c>
      <c r="D13" s="704">
        <v>62</v>
      </c>
      <c r="E13" s="95">
        <v>177</v>
      </c>
      <c r="F13" s="704">
        <v>132</v>
      </c>
      <c r="G13" s="704">
        <v>107</v>
      </c>
      <c r="H13" s="95">
        <v>239</v>
      </c>
      <c r="I13" s="704">
        <v>2051</v>
      </c>
      <c r="J13" s="704">
        <v>1298</v>
      </c>
      <c r="K13" s="95">
        <v>3349</v>
      </c>
      <c r="L13" s="704">
        <v>201</v>
      </c>
      <c r="M13" s="704">
        <v>119</v>
      </c>
      <c r="N13" s="95">
        <v>320</v>
      </c>
      <c r="O13" s="704">
        <v>2499</v>
      </c>
      <c r="P13" s="704">
        <v>1586</v>
      </c>
      <c r="Q13" s="704">
        <v>4085</v>
      </c>
      <c r="R13" s="705"/>
      <c r="T13" s="706">
        <v>50.941864241636893</v>
      </c>
    </row>
    <row r="14" spans="1:20" ht="20.25" customHeight="1">
      <c r="A14" s="193">
        <v>10</v>
      </c>
      <c r="B14" s="212" t="s">
        <v>25</v>
      </c>
      <c r="C14" s="704">
        <v>4638</v>
      </c>
      <c r="D14" s="704">
        <v>2270</v>
      </c>
      <c r="E14" s="95">
        <v>6908</v>
      </c>
      <c r="F14" s="704">
        <v>5500</v>
      </c>
      <c r="G14" s="704">
        <v>3197</v>
      </c>
      <c r="H14" s="95">
        <v>8697</v>
      </c>
      <c r="I14" s="704">
        <v>11818</v>
      </c>
      <c r="J14" s="704">
        <v>5157</v>
      </c>
      <c r="K14" s="95">
        <v>16975</v>
      </c>
      <c r="L14" s="704">
        <v>8494</v>
      </c>
      <c r="M14" s="704">
        <v>3404</v>
      </c>
      <c r="N14" s="95">
        <v>11898</v>
      </c>
      <c r="O14" s="704">
        <v>30450</v>
      </c>
      <c r="P14" s="704">
        <v>14028</v>
      </c>
      <c r="Q14" s="704">
        <v>44478</v>
      </c>
      <c r="R14" s="705"/>
      <c r="T14" s="706">
        <v>68.471444946396062</v>
      </c>
    </row>
    <row r="15" spans="1:20" ht="20.25" customHeight="1">
      <c r="A15" s="193">
        <v>11</v>
      </c>
      <c r="B15" s="212" t="s">
        <v>26</v>
      </c>
      <c r="C15" s="704">
        <v>2035</v>
      </c>
      <c r="D15" s="704">
        <v>790</v>
      </c>
      <c r="E15" s="95">
        <v>2825</v>
      </c>
      <c r="F15" s="704">
        <v>4365</v>
      </c>
      <c r="G15" s="704">
        <v>2422</v>
      </c>
      <c r="H15" s="95">
        <v>6787</v>
      </c>
      <c r="I15" s="704">
        <v>14425</v>
      </c>
      <c r="J15" s="704">
        <v>5673</v>
      </c>
      <c r="K15" s="95">
        <v>20098</v>
      </c>
      <c r="L15" s="704">
        <v>8896</v>
      </c>
      <c r="M15" s="704">
        <v>2928</v>
      </c>
      <c r="N15" s="95">
        <v>11824</v>
      </c>
      <c r="O15" s="704">
        <v>29721</v>
      </c>
      <c r="P15" s="704">
        <v>11813</v>
      </c>
      <c r="Q15" s="704">
        <v>41534</v>
      </c>
      <c r="R15" s="705"/>
      <c r="T15" s="706">
        <v>71.723164517595279</v>
      </c>
    </row>
    <row r="16" spans="1:20" ht="20.25" customHeight="1">
      <c r="A16" s="193">
        <v>12</v>
      </c>
      <c r="B16" s="212" t="s">
        <v>27</v>
      </c>
      <c r="C16" s="704">
        <v>765</v>
      </c>
      <c r="D16" s="704">
        <v>574</v>
      </c>
      <c r="E16" s="95">
        <v>1339</v>
      </c>
      <c r="F16" s="704">
        <v>1910</v>
      </c>
      <c r="G16" s="704">
        <v>1108</v>
      </c>
      <c r="H16" s="95">
        <v>3018</v>
      </c>
      <c r="I16" s="704">
        <v>3836</v>
      </c>
      <c r="J16" s="704">
        <v>1839</v>
      </c>
      <c r="K16" s="95">
        <v>5675</v>
      </c>
      <c r="L16" s="704">
        <v>2855</v>
      </c>
      <c r="M16" s="704">
        <v>1051</v>
      </c>
      <c r="N16" s="95">
        <v>3906</v>
      </c>
      <c r="O16" s="704">
        <v>9366</v>
      </c>
      <c r="P16" s="704">
        <v>4572</v>
      </c>
      <c r="Q16" s="704">
        <v>13938</v>
      </c>
      <c r="R16" s="705"/>
      <c r="T16" s="706">
        <v>67.232853149860247</v>
      </c>
    </row>
    <row r="17" spans="1:20" ht="20.25" customHeight="1">
      <c r="A17" s="193">
        <v>13</v>
      </c>
      <c r="B17" s="212" t="s">
        <v>57</v>
      </c>
      <c r="C17" s="704">
        <v>1705</v>
      </c>
      <c r="D17" s="704">
        <v>824</v>
      </c>
      <c r="E17" s="95">
        <v>2529</v>
      </c>
      <c r="F17" s="704">
        <v>2665</v>
      </c>
      <c r="G17" s="704">
        <v>1020</v>
      </c>
      <c r="H17" s="95">
        <v>3685</v>
      </c>
      <c r="I17" s="704">
        <v>3202</v>
      </c>
      <c r="J17" s="704">
        <v>1262</v>
      </c>
      <c r="K17" s="95">
        <v>4464</v>
      </c>
      <c r="L17" s="704">
        <v>4524</v>
      </c>
      <c r="M17" s="704">
        <v>1371</v>
      </c>
      <c r="N17" s="95">
        <v>5895</v>
      </c>
      <c r="O17" s="704">
        <v>12096</v>
      </c>
      <c r="P17" s="704">
        <v>4477</v>
      </c>
      <c r="Q17" s="704">
        <v>16573</v>
      </c>
      <c r="R17" s="705"/>
      <c r="T17" s="706">
        <v>72.989752863170594</v>
      </c>
    </row>
    <row r="18" spans="1:20" ht="20.25" customHeight="1">
      <c r="A18" s="193">
        <v>14</v>
      </c>
      <c r="B18" s="212" t="s">
        <v>29</v>
      </c>
      <c r="C18" s="704">
        <v>648</v>
      </c>
      <c r="D18" s="704">
        <v>462</v>
      </c>
      <c r="E18" s="95">
        <v>1110</v>
      </c>
      <c r="F18" s="704">
        <v>1344</v>
      </c>
      <c r="G18" s="704">
        <v>578</v>
      </c>
      <c r="H18" s="95">
        <v>1922</v>
      </c>
      <c r="I18" s="704">
        <v>4663</v>
      </c>
      <c r="J18" s="704">
        <v>1625</v>
      </c>
      <c r="K18" s="95">
        <v>6288</v>
      </c>
      <c r="L18" s="704">
        <v>3602</v>
      </c>
      <c r="M18" s="704">
        <v>1225</v>
      </c>
      <c r="N18" s="95">
        <v>4827</v>
      </c>
      <c r="O18" s="704">
        <v>10257</v>
      </c>
      <c r="P18" s="704">
        <v>3890</v>
      </c>
      <c r="Q18" s="704">
        <v>14147</v>
      </c>
      <c r="R18" s="705"/>
      <c r="T18" s="706">
        <v>72.492229443345579</v>
      </c>
    </row>
    <row r="19" spans="1:20" ht="20.25" customHeight="1">
      <c r="A19" s="193">
        <v>15</v>
      </c>
      <c r="B19" s="212" t="s">
        <v>30</v>
      </c>
      <c r="C19" s="704">
        <v>8853</v>
      </c>
      <c r="D19" s="704">
        <v>7001</v>
      </c>
      <c r="E19" s="95">
        <v>15854</v>
      </c>
      <c r="F19" s="704">
        <v>11286</v>
      </c>
      <c r="G19" s="704">
        <v>9215</v>
      </c>
      <c r="H19" s="95">
        <v>20501</v>
      </c>
      <c r="I19" s="704">
        <v>33437</v>
      </c>
      <c r="J19" s="704">
        <v>28079</v>
      </c>
      <c r="K19" s="95">
        <v>61516</v>
      </c>
      <c r="L19" s="704">
        <v>23653</v>
      </c>
      <c r="M19" s="704">
        <v>17699</v>
      </c>
      <c r="N19" s="95">
        <v>41352</v>
      </c>
      <c r="O19" s="704">
        <v>77229</v>
      </c>
      <c r="P19" s="704">
        <v>61994</v>
      </c>
      <c r="Q19" s="704">
        <v>139223</v>
      </c>
      <c r="R19" s="705"/>
      <c r="T19" s="706">
        <v>55.620322293119798</v>
      </c>
    </row>
    <row r="20" spans="1:20" ht="20.25" customHeight="1">
      <c r="A20" s="193">
        <v>16</v>
      </c>
      <c r="B20" s="212" t="s">
        <v>31</v>
      </c>
      <c r="C20" s="704">
        <v>6003</v>
      </c>
      <c r="D20" s="704">
        <v>9200</v>
      </c>
      <c r="E20" s="95">
        <v>15203</v>
      </c>
      <c r="F20" s="704">
        <v>4517</v>
      </c>
      <c r="G20" s="704">
        <v>5066</v>
      </c>
      <c r="H20" s="95">
        <v>9583</v>
      </c>
      <c r="I20" s="704">
        <v>9218</v>
      </c>
      <c r="J20" s="704">
        <v>9754</v>
      </c>
      <c r="K20" s="95">
        <v>18972</v>
      </c>
      <c r="L20" s="704">
        <v>4432</v>
      </c>
      <c r="M20" s="704">
        <v>4569</v>
      </c>
      <c r="N20" s="95">
        <v>9001</v>
      </c>
      <c r="O20" s="704">
        <v>24170</v>
      </c>
      <c r="P20" s="704">
        <v>28589</v>
      </c>
      <c r="Q20" s="704">
        <v>52759</v>
      </c>
      <c r="R20" s="705"/>
      <c r="T20" s="706">
        <v>45.891836657457517</v>
      </c>
    </row>
    <row r="21" spans="1:20" ht="20.25" customHeight="1">
      <c r="A21" s="193">
        <v>17</v>
      </c>
      <c r="B21" s="212" t="s">
        <v>172</v>
      </c>
      <c r="C21" s="704">
        <v>7</v>
      </c>
      <c r="D21" s="704">
        <v>1</v>
      </c>
      <c r="E21" s="95">
        <v>8</v>
      </c>
      <c r="F21" s="704">
        <v>5</v>
      </c>
      <c r="G21" s="704">
        <v>7</v>
      </c>
      <c r="H21" s="95">
        <v>12</v>
      </c>
      <c r="I21" s="704">
        <v>30</v>
      </c>
      <c r="J21" s="704">
        <v>34</v>
      </c>
      <c r="K21" s="95">
        <v>64</v>
      </c>
      <c r="L21" s="704">
        <v>18</v>
      </c>
      <c r="M21" s="704">
        <v>23</v>
      </c>
      <c r="N21" s="95">
        <v>41</v>
      </c>
      <c r="O21" s="704">
        <v>60</v>
      </c>
      <c r="P21" s="704">
        <v>65</v>
      </c>
      <c r="Q21" s="704">
        <v>125</v>
      </c>
      <c r="R21" s="705"/>
      <c r="T21" s="706">
        <v>48</v>
      </c>
    </row>
    <row r="22" spans="1:20" ht="20.25" customHeight="1">
      <c r="A22" s="193">
        <v>18</v>
      </c>
      <c r="B22" s="212" t="s">
        <v>32</v>
      </c>
      <c r="C22" s="704"/>
      <c r="D22" s="704"/>
      <c r="E22" s="95"/>
      <c r="F22" s="704"/>
      <c r="G22" s="704"/>
      <c r="H22" s="95"/>
      <c r="I22" s="704">
        <v>6</v>
      </c>
      <c r="J22" s="704">
        <v>7</v>
      </c>
      <c r="K22" s="95">
        <v>13</v>
      </c>
      <c r="L22" s="704">
        <v>3</v>
      </c>
      <c r="M22" s="704">
        <v>1</v>
      </c>
      <c r="N22" s="95">
        <v>4</v>
      </c>
      <c r="O22" s="704">
        <v>9</v>
      </c>
      <c r="P22" s="704">
        <v>8</v>
      </c>
      <c r="Q22" s="704">
        <v>17</v>
      </c>
      <c r="R22" s="705"/>
      <c r="T22" s="706">
        <v>52.941176470588239</v>
      </c>
    </row>
    <row r="23" spans="1:20" ht="20.25" customHeight="1">
      <c r="A23" s="193">
        <v>19</v>
      </c>
      <c r="B23" s="212" t="s">
        <v>33</v>
      </c>
      <c r="C23" s="704">
        <v>5648</v>
      </c>
      <c r="D23" s="704">
        <v>2844</v>
      </c>
      <c r="E23" s="95">
        <v>8492</v>
      </c>
      <c r="F23" s="704">
        <v>7567</v>
      </c>
      <c r="G23" s="704">
        <v>3225</v>
      </c>
      <c r="H23" s="95">
        <v>10792</v>
      </c>
      <c r="I23" s="704">
        <v>23352</v>
      </c>
      <c r="J23" s="704">
        <v>6505</v>
      </c>
      <c r="K23" s="95">
        <v>29857</v>
      </c>
      <c r="L23" s="704">
        <v>11411</v>
      </c>
      <c r="M23" s="704">
        <v>3340</v>
      </c>
      <c r="N23" s="95">
        <v>14751</v>
      </c>
      <c r="O23" s="704">
        <v>47978</v>
      </c>
      <c r="P23" s="704">
        <v>15914</v>
      </c>
      <c r="Q23" s="704">
        <v>63892</v>
      </c>
      <c r="R23" s="705"/>
      <c r="T23" s="706">
        <v>74.458357871245695</v>
      </c>
    </row>
    <row r="24" spans="1:20" ht="20.25" customHeight="1">
      <c r="A24" s="193">
        <v>20</v>
      </c>
      <c r="B24" s="212" t="s">
        <v>34</v>
      </c>
      <c r="C24" s="704">
        <v>12198</v>
      </c>
      <c r="D24" s="704">
        <v>5275</v>
      </c>
      <c r="E24" s="95">
        <v>17473</v>
      </c>
      <c r="F24" s="704">
        <v>14006</v>
      </c>
      <c r="G24" s="704">
        <v>7753</v>
      </c>
      <c r="H24" s="95">
        <v>21759</v>
      </c>
      <c r="I24" s="704">
        <v>51232</v>
      </c>
      <c r="J24" s="704">
        <v>23178</v>
      </c>
      <c r="K24" s="95">
        <v>74410</v>
      </c>
      <c r="L24" s="704">
        <v>43358</v>
      </c>
      <c r="M24" s="704">
        <v>11469</v>
      </c>
      <c r="N24" s="95">
        <v>54827</v>
      </c>
      <c r="O24" s="704">
        <v>120794</v>
      </c>
      <c r="P24" s="704">
        <v>47675</v>
      </c>
      <c r="Q24" s="704">
        <v>168469</v>
      </c>
      <c r="R24" s="705"/>
      <c r="T24" s="706">
        <v>71.887829329061063</v>
      </c>
    </row>
    <row r="25" spans="1:20" ht="20.25" customHeight="1">
      <c r="A25" s="193">
        <v>21</v>
      </c>
      <c r="B25" s="212" t="s">
        <v>35</v>
      </c>
      <c r="C25" s="704">
        <v>245</v>
      </c>
      <c r="D25" s="704">
        <v>179</v>
      </c>
      <c r="E25" s="95">
        <v>424</v>
      </c>
      <c r="F25" s="704">
        <v>519</v>
      </c>
      <c r="G25" s="704">
        <v>746</v>
      </c>
      <c r="H25" s="95">
        <v>1265</v>
      </c>
      <c r="I25" s="704">
        <v>1430</v>
      </c>
      <c r="J25" s="704">
        <v>872</v>
      </c>
      <c r="K25" s="95">
        <v>2302</v>
      </c>
      <c r="L25" s="704">
        <v>1039</v>
      </c>
      <c r="M25" s="704">
        <v>491</v>
      </c>
      <c r="N25" s="95">
        <v>1530</v>
      </c>
      <c r="O25" s="704">
        <v>3233</v>
      </c>
      <c r="P25" s="704">
        <v>2288</v>
      </c>
      <c r="Q25" s="704">
        <v>5521</v>
      </c>
      <c r="R25" s="705"/>
      <c r="T25" s="706">
        <v>58.211492689561375</v>
      </c>
    </row>
    <row r="26" spans="1:20" ht="20.25" customHeight="1">
      <c r="A26" s="193">
        <v>22</v>
      </c>
      <c r="B26" s="212" t="s">
        <v>36</v>
      </c>
      <c r="C26" s="704">
        <v>200</v>
      </c>
      <c r="D26" s="704">
        <v>115</v>
      </c>
      <c r="E26" s="95">
        <v>315</v>
      </c>
      <c r="F26" s="704">
        <v>330</v>
      </c>
      <c r="G26" s="704">
        <v>198</v>
      </c>
      <c r="H26" s="95">
        <v>528</v>
      </c>
      <c r="I26" s="704">
        <v>576</v>
      </c>
      <c r="J26" s="704">
        <v>315</v>
      </c>
      <c r="K26" s="95">
        <v>891</v>
      </c>
      <c r="L26" s="704">
        <v>533</v>
      </c>
      <c r="M26" s="704">
        <v>502</v>
      </c>
      <c r="N26" s="95">
        <v>1035</v>
      </c>
      <c r="O26" s="704">
        <v>1639</v>
      </c>
      <c r="P26" s="704">
        <v>1130</v>
      </c>
      <c r="Q26" s="704">
        <v>2769</v>
      </c>
      <c r="R26" s="705"/>
      <c r="T26" s="706">
        <v>59.191043698085956</v>
      </c>
    </row>
    <row r="27" spans="1:20" ht="20.25" customHeight="1">
      <c r="A27" s="193">
        <v>23</v>
      </c>
      <c r="B27" s="212" t="s">
        <v>37</v>
      </c>
      <c r="C27" s="704">
        <v>54</v>
      </c>
      <c r="D27" s="704">
        <v>32</v>
      </c>
      <c r="E27" s="95">
        <v>86</v>
      </c>
      <c r="F27" s="704">
        <v>149</v>
      </c>
      <c r="G27" s="704">
        <v>326</v>
      </c>
      <c r="H27" s="95">
        <v>475</v>
      </c>
      <c r="I27" s="704">
        <v>514</v>
      </c>
      <c r="J27" s="704">
        <v>287</v>
      </c>
      <c r="K27" s="95">
        <v>801</v>
      </c>
      <c r="L27" s="704">
        <v>302</v>
      </c>
      <c r="M27" s="704">
        <v>110</v>
      </c>
      <c r="N27" s="95">
        <v>412</v>
      </c>
      <c r="O27" s="704">
        <v>1019</v>
      </c>
      <c r="P27" s="704">
        <v>755</v>
      </c>
      <c r="Q27" s="704">
        <v>1774</v>
      </c>
      <c r="R27" s="705"/>
      <c r="T27" s="706">
        <v>57.440811724915442</v>
      </c>
    </row>
    <row r="28" spans="1:20" ht="20.25" customHeight="1">
      <c r="A28" s="193">
        <v>24</v>
      </c>
      <c r="B28" s="212" t="s">
        <v>38</v>
      </c>
      <c r="C28" s="704">
        <v>143</v>
      </c>
      <c r="D28" s="704">
        <v>85</v>
      </c>
      <c r="E28" s="95">
        <v>228</v>
      </c>
      <c r="F28" s="704">
        <v>194</v>
      </c>
      <c r="G28" s="704">
        <v>130</v>
      </c>
      <c r="H28" s="95">
        <v>324</v>
      </c>
      <c r="I28" s="704">
        <v>573</v>
      </c>
      <c r="J28" s="704">
        <v>312</v>
      </c>
      <c r="K28" s="95">
        <v>885</v>
      </c>
      <c r="L28" s="704">
        <v>581</v>
      </c>
      <c r="M28" s="704">
        <v>304</v>
      </c>
      <c r="N28" s="95">
        <v>885</v>
      </c>
      <c r="O28" s="704">
        <v>1491</v>
      </c>
      <c r="P28" s="704">
        <v>831</v>
      </c>
      <c r="Q28" s="704">
        <v>2322</v>
      </c>
      <c r="R28" s="705"/>
      <c r="T28" s="706">
        <v>64.211886304909555</v>
      </c>
    </row>
    <row r="29" spans="1:20" ht="20.25" customHeight="1">
      <c r="A29" s="193">
        <v>25</v>
      </c>
      <c r="B29" s="212" t="s">
        <v>39</v>
      </c>
      <c r="C29" s="704">
        <v>2170</v>
      </c>
      <c r="D29" s="704">
        <v>748</v>
      </c>
      <c r="E29" s="95">
        <v>2918</v>
      </c>
      <c r="F29" s="704">
        <v>4917</v>
      </c>
      <c r="G29" s="704">
        <v>2211</v>
      </c>
      <c r="H29" s="95">
        <v>7128</v>
      </c>
      <c r="I29" s="704">
        <v>12623</v>
      </c>
      <c r="J29" s="704">
        <v>6164</v>
      </c>
      <c r="K29" s="95">
        <v>18787</v>
      </c>
      <c r="L29" s="704">
        <v>10412</v>
      </c>
      <c r="M29" s="704">
        <v>3134</v>
      </c>
      <c r="N29" s="95">
        <v>13546</v>
      </c>
      <c r="O29" s="704">
        <v>30122</v>
      </c>
      <c r="P29" s="704">
        <v>12257</v>
      </c>
      <c r="Q29" s="704">
        <v>42379</v>
      </c>
      <c r="R29" s="705"/>
      <c r="T29" s="706">
        <v>71.122252035964777</v>
      </c>
    </row>
    <row r="30" spans="1:20" ht="20.25" customHeight="1">
      <c r="A30" s="193">
        <v>26</v>
      </c>
      <c r="B30" s="212" t="s">
        <v>40</v>
      </c>
      <c r="C30" s="704">
        <v>533</v>
      </c>
      <c r="D30" s="704">
        <v>467</v>
      </c>
      <c r="E30" s="95">
        <v>1000</v>
      </c>
      <c r="F30" s="704">
        <v>1107</v>
      </c>
      <c r="G30" s="704">
        <v>2845</v>
      </c>
      <c r="H30" s="95">
        <v>3952</v>
      </c>
      <c r="I30" s="704">
        <v>3245</v>
      </c>
      <c r="J30" s="704">
        <v>2197</v>
      </c>
      <c r="K30" s="95">
        <v>5442</v>
      </c>
      <c r="L30" s="704">
        <v>916</v>
      </c>
      <c r="M30" s="704">
        <v>959</v>
      </c>
      <c r="N30" s="95">
        <v>1875</v>
      </c>
      <c r="O30" s="704">
        <v>5801</v>
      </c>
      <c r="P30" s="704">
        <v>6468</v>
      </c>
      <c r="Q30" s="704">
        <v>12269</v>
      </c>
      <c r="R30" s="705"/>
      <c r="T30" s="706">
        <v>47.281767055179721</v>
      </c>
    </row>
    <row r="31" spans="1:20" ht="20.25" customHeight="1">
      <c r="A31" s="193">
        <v>27</v>
      </c>
      <c r="B31" s="212" t="s">
        <v>41</v>
      </c>
      <c r="C31" s="704">
        <v>3420</v>
      </c>
      <c r="D31" s="704">
        <v>2391</v>
      </c>
      <c r="E31" s="95">
        <v>5811</v>
      </c>
      <c r="F31" s="704">
        <v>8211</v>
      </c>
      <c r="G31" s="704">
        <v>6411</v>
      </c>
      <c r="H31" s="95">
        <v>14622</v>
      </c>
      <c r="I31" s="704">
        <v>10897</v>
      </c>
      <c r="J31" s="704">
        <v>5210</v>
      </c>
      <c r="K31" s="95">
        <v>16107</v>
      </c>
      <c r="L31" s="704">
        <v>9472</v>
      </c>
      <c r="M31" s="704">
        <v>4561</v>
      </c>
      <c r="N31" s="95">
        <v>14033</v>
      </c>
      <c r="O31" s="704">
        <v>32000</v>
      </c>
      <c r="P31" s="704">
        <v>18573</v>
      </c>
      <c r="Q31" s="704">
        <v>50573</v>
      </c>
      <c r="R31" s="705"/>
      <c r="T31" s="706">
        <v>63.320951552991389</v>
      </c>
    </row>
    <row r="32" spans="1:20" ht="20.25" customHeight="1">
      <c r="A32" s="193">
        <v>28</v>
      </c>
      <c r="B32" s="212" t="s">
        <v>42</v>
      </c>
      <c r="C32" s="704">
        <v>13884</v>
      </c>
      <c r="D32" s="707">
        <v>5449</v>
      </c>
      <c r="E32" s="95">
        <v>19333</v>
      </c>
      <c r="F32" s="704">
        <v>9958</v>
      </c>
      <c r="G32" s="704">
        <v>3006</v>
      </c>
      <c r="H32" s="95">
        <v>12964</v>
      </c>
      <c r="I32" s="704">
        <v>16630</v>
      </c>
      <c r="J32" s="704">
        <v>4883</v>
      </c>
      <c r="K32" s="95">
        <v>21513</v>
      </c>
      <c r="L32" s="704">
        <v>9936</v>
      </c>
      <c r="M32" s="704">
        <v>3268</v>
      </c>
      <c r="N32" s="95">
        <v>13204</v>
      </c>
      <c r="O32" s="704">
        <v>50408</v>
      </c>
      <c r="P32" s="704">
        <v>16606</v>
      </c>
      <c r="Q32" s="704">
        <v>67014</v>
      </c>
      <c r="R32" s="705"/>
      <c r="T32" s="706">
        <v>75.524568393094299</v>
      </c>
    </row>
    <row r="33" spans="1:20" ht="20.25" customHeight="1">
      <c r="A33" s="193">
        <v>29</v>
      </c>
      <c r="B33" s="212" t="s">
        <v>43</v>
      </c>
      <c r="C33" s="704">
        <v>154</v>
      </c>
      <c r="D33" s="704">
        <v>59</v>
      </c>
      <c r="E33" s="95">
        <v>213</v>
      </c>
      <c r="F33" s="704">
        <v>162</v>
      </c>
      <c r="G33" s="704">
        <v>126</v>
      </c>
      <c r="H33" s="95">
        <v>288</v>
      </c>
      <c r="I33" s="704">
        <v>390</v>
      </c>
      <c r="J33" s="704">
        <v>248</v>
      </c>
      <c r="K33" s="95">
        <v>638</v>
      </c>
      <c r="L33" s="704">
        <v>253</v>
      </c>
      <c r="M33" s="704">
        <v>135</v>
      </c>
      <c r="N33" s="95">
        <v>388</v>
      </c>
      <c r="O33" s="704">
        <v>959</v>
      </c>
      <c r="P33" s="704">
        <v>568</v>
      </c>
      <c r="Q33" s="704">
        <v>1527</v>
      </c>
      <c r="R33" s="705"/>
      <c r="T33" s="706">
        <v>62.802881466928618</v>
      </c>
    </row>
    <row r="34" spans="1:20" ht="20.25" customHeight="1">
      <c r="A34" s="193">
        <v>30</v>
      </c>
      <c r="B34" s="212" t="s">
        <v>44</v>
      </c>
      <c r="C34" s="774">
        <v>16581</v>
      </c>
      <c r="D34" s="774">
        <v>15406</v>
      </c>
      <c r="E34" s="95">
        <v>31987</v>
      </c>
      <c r="F34" s="774">
        <v>16832</v>
      </c>
      <c r="G34" s="774">
        <v>18448</v>
      </c>
      <c r="H34" s="95">
        <v>35280</v>
      </c>
      <c r="I34" s="774">
        <v>31422</v>
      </c>
      <c r="J34" s="774">
        <v>30621</v>
      </c>
      <c r="K34" s="95">
        <v>62043</v>
      </c>
      <c r="L34" s="774">
        <v>22285</v>
      </c>
      <c r="M34" s="774">
        <v>16890</v>
      </c>
      <c r="N34" s="95">
        <v>39175</v>
      </c>
      <c r="O34" s="774">
        <v>87120</v>
      </c>
      <c r="P34" s="774">
        <v>81365</v>
      </c>
      <c r="Q34" s="774">
        <v>168485</v>
      </c>
      <c r="R34" s="775"/>
      <c r="T34" s="706">
        <v>51.980264976213299</v>
      </c>
    </row>
    <row r="35" spans="1:20" ht="20.25" customHeight="1">
      <c r="A35" s="193">
        <v>31</v>
      </c>
      <c r="B35" s="212" t="s">
        <v>142</v>
      </c>
      <c r="C35" s="774">
        <v>10034</v>
      </c>
      <c r="D35" s="774">
        <v>6377</v>
      </c>
      <c r="E35" s="95">
        <v>16411</v>
      </c>
      <c r="F35" s="774">
        <v>7627</v>
      </c>
      <c r="G35" s="774">
        <v>4628</v>
      </c>
      <c r="H35" s="95">
        <v>12255</v>
      </c>
      <c r="I35" s="774">
        <v>8992</v>
      </c>
      <c r="J35" s="774">
        <v>5808</v>
      </c>
      <c r="K35" s="95">
        <v>14800</v>
      </c>
      <c r="L35" s="774">
        <v>9120</v>
      </c>
      <c r="M35" s="774">
        <v>7885</v>
      </c>
      <c r="N35" s="95">
        <v>17005</v>
      </c>
      <c r="O35" s="774">
        <v>35773</v>
      </c>
      <c r="P35" s="774">
        <v>24698</v>
      </c>
      <c r="Q35" s="774">
        <v>60471</v>
      </c>
      <c r="R35" s="775"/>
      <c r="T35" s="706">
        <v>59.01691033704509</v>
      </c>
    </row>
    <row r="36" spans="1:20" ht="41.25" customHeight="1">
      <c r="A36" s="193">
        <v>32</v>
      </c>
      <c r="B36" s="212" t="s">
        <v>173</v>
      </c>
      <c r="C36" s="774">
        <v>35</v>
      </c>
      <c r="D36" s="774">
        <v>37</v>
      </c>
      <c r="E36" s="95">
        <v>72</v>
      </c>
      <c r="F36" s="774">
        <v>12</v>
      </c>
      <c r="G36" s="774">
        <v>13</v>
      </c>
      <c r="H36" s="95">
        <v>25</v>
      </c>
      <c r="I36" s="774">
        <v>108</v>
      </c>
      <c r="J36" s="774">
        <v>86</v>
      </c>
      <c r="K36" s="95">
        <v>194</v>
      </c>
      <c r="L36" s="774">
        <v>62</v>
      </c>
      <c r="M36" s="774">
        <v>55</v>
      </c>
      <c r="N36" s="95">
        <v>117</v>
      </c>
      <c r="O36" s="774">
        <v>217</v>
      </c>
      <c r="P36" s="774">
        <v>191</v>
      </c>
      <c r="Q36" s="774">
        <v>408</v>
      </c>
      <c r="R36" s="775"/>
    </row>
    <row r="37" spans="1:20" ht="20.25" customHeight="1">
      <c r="A37" s="193">
        <v>33</v>
      </c>
      <c r="B37" s="212" t="s">
        <v>45</v>
      </c>
      <c r="C37" s="774">
        <v>103</v>
      </c>
      <c r="D37" s="774">
        <v>34</v>
      </c>
      <c r="E37" s="95">
        <v>137</v>
      </c>
      <c r="F37" s="774">
        <v>203</v>
      </c>
      <c r="G37" s="774">
        <v>79</v>
      </c>
      <c r="H37" s="95">
        <v>282</v>
      </c>
      <c r="I37" s="774">
        <v>814</v>
      </c>
      <c r="J37" s="774">
        <v>546</v>
      </c>
      <c r="K37" s="95">
        <v>1360</v>
      </c>
      <c r="L37" s="774">
        <v>603</v>
      </c>
      <c r="M37" s="774">
        <v>450</v>
      </c>
      <c r="N37" s="95">
        <v>1053</v>
      </c>
      <c r="O37" s="774">
        <v>1723</v>
      </c>
      <c r="P37" s="774">
        <v>1109</v>
      </c>
      <c r="Q37" s="774">
        <v>2832</v>
      </c>
      <c r="R37" s="775"/>
      <c r="T37" s="706">
        <v>60.840395480225986</v>
      </c>
    </row>
    <row r="38" spans="1:20" ht="20.25" customHeight="1">
      <c r="A38" s="193">
        <v>34</v>
      </c>
      <c r="B38" s="212" t="s">
        <v>47</v>
      </c>
      <c r="C38" s="774">
        <v>9995</v>
      </c>
      <c r="D38" s="774">
        <v>3796</v>
      </c>
      <c r="E38" s="95">
        <v>13791</v>
      </c>
      <c r="F38" s="774">
        <v>15438</v>
      </c>
      <c r="G38" s="774">
        <v>8120</v>
      </c>
      <c r="H38" s="95">
        <v>23558</v>
      </c>
      <c r="I38" s="774">
        <v>54762</v>
      </c>
      <c r="J38" s="774">
        <v>14296</v>
      </c>
      <c r="K38" s="95">
        <v>69058</v>
      </c>
      <c r="L38" s="774">
        <v>34688</v>
      </c>
      <c r="M38" s="774">
        <v>9473</v>
      </c>
      <c r="N38" s="95">
        <v>44161</v>
      </c>
      <c r="O38" s="774">
        <v>114883</v>
      </c>
      <c r="P38" s="774">
        <v>35685</v>
      </c>
      <c r="Q38" s="774">
        <v>150568</v>
      </c>
      <c r="R38" s="775"/>
      <c r="T38" s="706">
        <v>76.42084679363947</v>
      </c>
    </row>
    <row r="39" spans="1:20" ht="20.25" customHeight="1">
      <c r="A39" s="193">
        <v>35</v>
      </c>
      <c r="B39" s="212" t="s">
        <v>46</v>
      </c>
      <c r="C39" s="774">
        <v>735</v>
      </c>
      <c r="D39" s="774">
        <v>283</v>
      </c>
      <c r="E39" s="95">
        <v>1018</v>
      </c>
      <c r="F39" s="774">
        <v>2589</v>
      </c>
      <c r="G39" s="774">
        <v>1867</v>
      </c>
      <c r="H39" s="95">
        <v>4456</v>
      </c>
      <c r="I39" s="774">
        <v>7605</v>
      </c>
      <c r="J39" s="774">
        <v>3898</v>
      </c>
      <c r="K39" s="95">
        <v>11503</v>
      </c>
      <c r="L39" s="774">
        <v>5548</v>
      </c>
      <c r="M39" s="774">
        <v>1616</v>
      </c>
      <c r="N39" s="95">
        <v>7164</v>
      </c>
      <c r="O39" s="774">
        <v>16477</v>
      </c>
      <c r="P39" s="774">
        <v>7664</v>
      </c>
      <c r="Q39" s="774">
        <v>24141</v>
      </c>
      <c r="R39" s="775"/>
      <c r="T39" s="706">
        <v>68.514029826219129</v>
      </c>
    </row>
    <row r="40" spans="1:20" ht="20.25" customHeight="1">
      <c r="A40" s="193">
        <v>36</v>
      </c>
      <c r="B40" s="212" t="s">
        <v>48</v>
      </c>
      <c r="C40" s="774">
        <v>2841</v>
      </c>
      <c r="D40" s="774">
        <v>931</v>
      </c>
      <c r="E40" s="95">
        <v>3772</v>
      </c>
      <c r="F40" s="774">
        <v>5176</v>
      </c>
      <c r="G40" s="774">
        <v>2020</v>
      </c>
      <c r="H40" s="95">
        <v>7196</v>
      </c>
      <c r="I40" s="774">
        <v>10058</v>
      </c>
      <c r="J40" s="774">
        <v>2738</v>
      </c>
      <c r="K40" s="95">
        <v>12796</v>
      </c>
      <c r="L40" s="774">
        <v>16817</v>
      </c>
      <c r="M40" s="774">
        <v>5006</v>
      </c>
      <c r="N40" s="95">
        <v>21823</v>
      </c>
      <c r="O40" s="774">
        <v>34892</v>
      </c>
      <c r="P40" s="774">
        <v>10695</v>
      </c>
      <c r="Q40" s="774">
        <v>45587</v>
      </c>
      <c r="R40" s="775"/>
      <c r="T40" s="706">
        <v>76.54686677198525</v>
      </c>
    </row>
    <row r="41" spans="1:20" s="824" customFormat="1" ht="20.25" customHeight="1">
      <c r="A41" s="539"/>
      <c r="B41" s="825" t="s">
        <v>49</v>
      </c>
      <c r="C41" s="826">
        <v>123626</v>
      </c>
      <c r="D41" s="826">
        <v>76488</v>
      </c>
      <c r="E41" s="826">
        <v>200114</v>
      </c>
      <c r="F41" s="826">
        <v>151016</v>
      </c>
      <c r="G41" s="826">
        <v>99573</v>
      </c>
      <c r="H41" s="826">
        <v>250589</v>
      </c>
      <c r="I41" s="826">
        <v>374479</v>
      </c>
      <c r="J41" s="826">
        <v>182868</v>
      </c>
      <c r="K41" s="826">
        <v>557347</v>
      </c>
      <c r="L41" s="826">
        <v>271072</v>
      </c>
      <c r="M41" s="826">
        <v>116746</v>
      </c>
      <c r="N41" s="826">
        <v>387818</v>
      </c>
      <c r="O41" s="826">
        <v>920193</v>
      </c>
      <c r="P41" s="826">
        <v>475675</v>
      </c>
      <c r="Q41" s="826">
        <v>1395868</v>
      </c>
      <c r="R41" s="827"/>
      <c r="T41" s="706">
        <v>65.94618827071686</v>
      </c>
    </row>
  </sheetData>
  <mergeCells count="9">
    <mergeCell ref="A2:A3"/>
    <mergeCell ref="C1:K1"/>
    <mergeCell ref="L1:Q1"/>
    <mergeCell ref="B2:B3"/>
    <mergeCell ref="C2:E2"/>
    <mergeCell ref="F2:H2"/>
    <mergeCell ref="I2:K2"/>
    <mergeCell ref="L2:N2"/>
    <mergeCell ref="O2:Q2"/>
  </mergeCells>
  <pageMargins left="0.59055118110236227" right="0.19685039370078741" top="0.6692913385826772" bottom="0.39370078740157483" header="0.23622047244094491" footer="0.23622047244094491"/>
  <pageSetup paperSize="9" scale="90" firstPageNumber="79" pageOrder="overThenDown" orientation="portrait" useFirstPageNumber="1" r:id="rId1"/>
  <headerFooter alignWithMargins="0">
    <oddFooter>&amp;L&amp;"Arial,Italic"&amp;9AISHE 2020-21&amp;CT-23</oddFooter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00B050"/>
  </sheetPr>
  <dimension ref="A1:AB41"/>
  <sheetViews>
    <sheetView view="pageBreakPreview" topLeftCell="O25" zoomScaleSheetLayoutView="100" workbookViewId="0">
      <selection activeCell="T41" sqref="T41"/>
    </sheetView>
  </sheetViews>
  <sheetFormatPr defaultColWidth="9.1796875" defaultRowHeight="14"/>
  <cols>
    <col min="1" max="1" width="4.81640625" style="195" customWidth="1"/>
    <col min="2" max="2" width="19.7265625" style="659" customWidth="1"/>
    <col min="3" max="14" width="10.7265625" style="659" customWidth="1"/>
    <col min="15" max="26" width="10.453125" style="659" customWidth="1"/>
    <col min="27" max="16384" width="9.1796875" style="659"/>
  </cols>
  <sheetData>
    <row r="1" spans="1:28" s="542" customFormat="1" ht="37.5" customHeight="1">
      <c r="A1" s="188"/>
      <c r="B1" s="158" t="s">
        <v>295</v>
      </c>
      <c r="C1" s="1082" t="s">
        <v>1034</v>
      </c>
      <c r="D1" s="1017"/>
      <c r="E1" s="1017"/>
      <c r="F1" s="1017"/>
      <c r="G1" s="1017"/>
      <c r="H1" s="1017"/>
      <c r="I1" s="1017"/>
      <c r="J1" s="1017"/>
      <c r="K1" s="1017"/>
      <c r="L1" s="1017"/>
      <c r="M1" s="1017"/>
      <c r="N1" s="1017"/>
      <c r="O1" s="1082" t="s">
        <v>1035</v>
      </c>
      <c r="P1" s="1082"/>
      <c r="Q1" s="1082"/>
      <c r="R1" s="1082"/>
      <c r="S1" s="1082"/>
      <c r="T1" s="1082"/>
      <c r="U1" s="1082"/>
      <c r="V1" s="1082"/>
      <c r="W1" s="1082"/>
      <c r="X1" s="1082"/>
      <c r="Y1" s="1082"/>
      <c r="Z1" s="1082"/>
    </row>
    <row r="2" spans="1:28" s="697" customFormat="1" ht="21.75" customHeight="1">
      <c r="A2" s="1070" t="s">
        <v>235</v>
      </c>
      <c r="B2" s="946" t="s">
        <v>2</v>
      </c>
      <c r="C2" s="946" t="s">
        <v>152</v>
      </c>
      <c r="D2" s="946"/>
      <c r="E2" s="946"/>
      <c r="F2" s="946" t="s">
        <v>538</v>
      </c>
      <c r="G2" s="946"/>
      <c r="H2" s="946"/>
      <c r="I2" s="946" t="s">
        <v>315</v>
      </c>
      <c r="J2" s="946"/>
      <c r="K2" s="946"/>
      <c r="L2" s="946" t="s">
        <v>1074</v>
      </c>
      <c r="M2" s="946"/>
      <c r="N2" s="946"/>
      <c r="O2" s="946" t="s">
        <v>108</v>
      </c>
      <c r="P2" s="946"/>
      <c r="Q2" s="946"/>
      <c r="R2" s="946" t="s">
        <v>109</v>
      </c>
      <c r="S2" s="946"/>
      <c r="T2" s="946"/>
      <c r="U2" s="946" t="s">
        <v>110</v>
      </c>
      <c r="V2" s="946"/>
      <c r="W2" s="946"/>
      <c r="X2" s="946" t="s">
        <v>296</v>
      </c>
      <c r="Y2" s="946"/>
      <c r="Z2" s="946"/>
    </row>
    <row r="3" spans="1:28" s="697" customFormat="1" ht="30" customHeight="1">
      <c r="A3" s="1070"/>
      <c r="B3" s="946"/>
      <c r="C3" s="573" t="s">
        <v>87</v>
      </c>
      <c r="D3" s="573" t="s">
        <v>88</v>
      </c>
      <c r="E3" s="573" t="s">
        <v>12</v>
      </c>
      <c r="F3" s="573" t="s">
        <v>87</v>
      </c>
      <c r="G3" s="573" t="s">
        <v>88</v>
      </c>
      <c r="H3" s="573" t="s">
        <v>12</v>
      </c>
      <c r="I3" s="573" t="s">
        <v>87</v>
      </c>
      <c r="J3" s="573" t="s">
        <v>88</v>
      </c>
      <c r="K3" s="573" t="s">
        <v>12</v>
      </c>
      <c r="L3" s="573" t="s">
        <v>87</v>
      </c>
      <c r="M3" s="573" t="s">
        <v>88</v>
      </c>
      <c r="N3" s="573" t="s">
        <v>12</v>
      </c>
      <c r="O3" s="573" t="s">
        <v>87</v>
      </c>
      <c r="P3" s="573" t="s">
        <v>88</v>
      </c>
      <c r="Q3" s="573" t="s">
        <v>12</v>
      </c>
      <c r="R3" s="573" t="s">
        <v>87</v>
      </c>
      <c r="S3" s="573" t="s">
        <v>88</v>
      </c>
      <c r="T3" s="573" t="s">
        <v>12</v>
      </c>
      <c r="U3" s="573" t="s">
        <v>87</v>
      </c>
      <c r="V3" s="573" t="s">
        <v>88</v>
      </c>
      <c r="W3" s="573" t="s">
        <v>12</v>
      </c>
      <c r="X3" s="573" t="s">
        <v>87</v>
      </c>
      <c r="Y3" s="573" t="s">
        <v>88</v>
      </c>
      <c r="Z3" s="573" t="s">
        <v>12</v>
      </c>
    </row>
    <row r="4" spans="1:28" s="698" customFormat="1">
      <c r="A4" s="199">
        <v>1</v>
      </c>
      <c r="B4" s="199">
        <v>2</v>
      </c>
      <c r="C4" s="199">
        <v>3</v>
      </c>
      <c r="D4" s="199">
        <v>4</v>
      </c>
      <c r="E4" s="199">
        <v>5</v>
      </c>
      <c r="F4" s="199">
        <v>6</v>
      </c>
      <c r="G4" s="199">
        <v>7</v>
      </c>
      <c r="H4" s="199">
        <v>8</v>
      </c>
      <c r="I4" s="199">
        <v>9</v>
      </c>
      <c r="J4" s="199">
        <v>10</v>
      </c>
      <c r="K4" s="199">
        <v>11</v>
      </c>
      <c r="L4" s="199">
        <v>12</v>
      </c>
      <c r="M4" s="199">
        <v>13</v>
      </c>
      <c r="N4" s="199">
        <v>14</v>
      </c>
      <c r="O4" s="199">
        <v>15</v>
      </c>
      <c r="P4" s="199">
        <v>16</v>
      </c>
      <c r="Q4" s="199">
        <v>17</v>
      </c>
      <c r="R4" s="199">
        <v>18</v>
      </c>
      <c r="S4" s="199">
        <v>19</v>
      </c>
      <c r="T4" s="199">
        <v>20</v>
      </c>
      <c r="U4" s="199">
        <v>21</v>
      </c>
      <c r="V4" s="199">
        <v>22</v>
      </c>
      <c r="W4" s="199">
        <v>23</v>
      </c>
      <c r="X4" s="199">
        <v>24</v>
      </c>
      <c r="Y4" s="199">
        <v>25</v>
      </c>
      <c r="Z4" s="199">
        <v>26</v>
      </c>
    </row>
    <row r="5" spans="1:28" ht="28">
      <c r="A5" s="193">
        <v>1</v>
      </c>
      <c r="B5" s="212" t="s">
        <v>171</v>
      </c>
      <c r="C5" s="95">
        <v>274</v>
      </c>
      <c r="D5" s="95">
        <v>155</v>
      </c>
      <c r="E5" s="95">
        <v>429</v>
      </c>
      <c r="F5" s="95">
        <v>1</v>
      </c>
      <c r="G5" s="95">
        <v>0</v>
      </c>
      <c r="H5" s="95">
        <v>1</v>
      </c>
      <c r="I5" s="95">
        <v>14</v>
      </c>
      <c r="J5" s="95">
        <v>2</v>
      </c>
      <c r="K5" s="95">
        <v>16</v>
      </c>
      <c r="L5" s="95">
        <v>19</v>
      </c>
      <c r="M5" s="95">
        <v>15</v>
      </c>
      <c r="N5" s="95">
        <v>34</v>
      </c>
      <c r="O5" s="95">
        <v>6</v>
      </c>
      <c r="P5" s="95">
        <v>6</v>
      </c>
      <c r="Q5" s="95">
        <v>12</v>
      </c>
      <c r="R5" s="95">
        <v>8</v>
      </c>
      <c r="S5" s="95">
        <v>9</v>
      </c>
      <c r="T5" s="95">
        <v>17</v>
      </c>
      <c r="U5" s="95">
        <v>40</v>
      </c>
      <c r="V5" s="95">
        <v>23</v>
      </c>
      <c r="W5" s="95">
        <v>63</v>
      </c>
      <c r="X5" s="95">
        <v>0</v>
      </c>
      <c r="Y5" s="95">
        <v>0</v>
      </c>
      <c r="Z5" s="95">
        <v>0</v>
      </c>
      <c r="AA5" s="659" t="b">
        <v>1</v>
      </c>
      <c r="AB5" s="659" t="b">
        <v>1</v>
      </c>
    </row>
    <row r="6" spans="1:28" ht="29.25" customHeight="1">
      <c r="A6" s="193">
        <v>2</v>
      </c>
      <c r="B6" s="212" t="s">
        <v>15</v>
      </c>
      <c r="C6" s="95">
        <v>48385</v>
      </c>
      <c r="D6" s="95">
        <v>29303</v>
      </c>
      <c r="E6" s="95">
        <v>77688</v>
      </c>
      <c r="F6" s="95">
        <v>7641</v>
      </c>
      <c r="G6" s="95">
        <v>6850</v>
      </c>
      <c r="H6" s="95">
        <v>14491</v>
      </c>
      <c r="I6" s="95">
        <v>1516</v>
      </c>
      <c r="J6" s="95">
        <v>1488</v>
      </c>
      <c r="K6" s="95">
        <v>3004</v>
      </c>
      <c r="L6" s="95">
        <v>13814</v>
      </c>
      <c r="M6" s="95">
        <v>8793</v>
      </c>
      <c r="N6" s="95">
        <v>22607</v>
      </c>
      <c r="O6" s="95">
        <v>296</v>
      </c>
      <c r="P6" s="95">
        <v>141</v>
      </c>
      <c r="Q6" s="95">
        <v>437</v>
      </c>
      <c r="R6" s="95">
        <v>1128</v>
      </c>
      <c r="S6" s="95">
        <v>555</v>
      </c>
      <c r="T6" s="95">
        <v>1683</v>
      </c>
      <c r="U6" s="95">
        <v>290</v>
      </c>
      <c r="V6" s="95">
        <v>294</v>
      </c>
      <c r="W6" s="95">
        <v>584</v>
      </c>
      <c r="X6" s="95">
        <v>165</v>
      </c>
      <c r="Y6" s="95">
        <v>92</v>
      </c>
      <c r="Z6" s="95">
        <v>257</v>
      </c>
      <c r="AA6" s="659" t="b">
        <v>1</v>
      </c>
      <c r="AB6" s="659" t="b">
        <v>1</v>
      </c>
    </row>
    <row r="7" spans="1:28" ht="29.25" customHeight="1">
      <c r="A7" s="193">
        <v>3</v>
      </c>
      <c r="B7" s="212" t="s">
        <v>16</v>
      </c>
      <c r="C7" s="95">
        <v>1267</v>
      </c>
      <c r="D7" s="95">
        <v>904</v>
      </c>
      <c r="E7" s="95">
        <v>2171</v>
      </c>
      <c r="F7" s="95">
        <v>59</v>
      </c>
      <c r="G7" s="95">
        <v>32</v>
      </c>
      <c r="H7" s="95">
        <v>91</v>
      </c>
      <c r="I7" s="95">
        <v>620</v>
      </c>
      <c r="J7" s="95">
        <v>701</v>
      </c>
      <c r="K7" s="95">
        <v>1321</v>
      </c>
      <c r="L7" s="95">
        <v>92</v>
      </c>
      <c r="M7" s="95">
        <v>32</v>
      </c>
      <c r="N7" s="95">
        <v>124</v>
      </c>
      <c r="O7" s="95">
        <v>3</v>
      </c>
      <c r="P7" s="95">
        <v>4</v>
      </c>
      <c r="Q7" s="95">
        <v>7</v>
      </c>
      <c r="R7" s="95">
        <v>11</v>
      </c>
      <c r="S7" s="95">
        <v>1</v>
      </c>
      <c r="T7" s="95">
        <v>12</v>
      </c>
      <c r="U7" s="95">
        <v>113</v>
      </c>
      <c r="V7" s="95">
        <v>63</v>
      </c>
      <c r="W7" s="95">
        <v>176</v>
      </c>
      <c r="X7" s="95">
        <v>0</v>
      </c>
      <c r="Y7" s="95">
        <v>0</v>
      </c>
      <c r="Z7" s="95">
        <v>0</v>
      </c>
      <c r="AA7" s="659" t="b">
        <v>1</v>
      </c>
      <c r="AB7" s="659" t="b">
        <v>1</v>
      </c>
    </row>
    <row r="8" spans="1:28" ht="29.25" customHeight="1">
      <c r="A8" s="193">
        <v>4</v>
      </c>
      <c r="B8" s="212" t="s">
        <v>17</v>
      </c>
      <c r="C8" s="95">
        <v>14580</v>
      </c>
      <c r="D8" s="95">
        <v>4277</v>
      </c>
      <c r="E8" s="95">
        <v>18857</v>
      </c>
      <c r="F8" s="95">
        <v>1132</v>
      </c>
      <c r="G8" s="95">
        <v>302</v>
      </c>
      <c r="H8" s="95">
        <v>1434</v>
      </c>
      <c r="I8" s="95">
        <v>1737</v>
      </c>
      <c r="J8" s="95">
        <v>648</v>
      </c>
      <c r="K8" s="95">
        <v>2385</v>
      </c>
      <c r="L8" s="95">
        <v>3008</v>
      </c>
      <c r="M8" s="95">
        <v>899</v>
      </c>
      <c r="N8" s="95">
        <v>3907</v>
      </c>
      <c r="O8" s="95">
        <v>80</v>
      </c>
      <c r="P8" s="95">
        <v>12</v>
      </c>
      <c r="Q8" s="95">
        <v>92</v>
      </c>
      <c r="R8" s="95">
        <v>940</v>
      </c>
      <c r="S8" s="95">
        <v>230</v>
      </c>
      <c r="T8" s="95">
        <v>1170</v>
      </c>
      <c r="U8" s="95">
        <v>182</v>
      </c>
      <c r="V8" s="95">
        <v>102</v>
      </c>
      <c r="W8" s="95">
        <v>284</v>
      </c>
      <c r="X8" s="95">
        <v>14</v>
      </c>
      <c r="Y8" s="95">
        <v>2</v>
      </c>
      <c r="Z8" s="95">
        <v>16</v>
      </c>
      <c r="AA8" s="659" t="b">
        <v>1</v>
      </c>
      <c r="AB8" s="659" t="b">
        <v>1</v>
      </c>
    </row>
    <row r="9" spans="1:28" ht="29.25" customHeight="1">
      <c r="A9" s="193">
        <v>5</v>
      </c>
      <c r="B9" s="212" t="s">
        <v>18</v>
      </c>
      <c r="C9" s="95">
        <v>32279</v>
      </c>
      <c r="D9" s="95">
        <v>7431</v>
      </c>
      <c r="E9" s="95">
        <v>39710</v>
      </c>
      <c r="F9" s="95">
        <v>2977</v>
      </c>
      <c r="G9" s="95">
        <v>772</v>
      </c>
      <c r="H9" s="95">
        <v>3749</v>
      </c>
      <c r="I9" s="95">
        <v>536</v>
      </c>
      <c r="J9" s="95">
        <v>185</v>
      </c>
      <c r="K9" s="95">
        <v>721</v>
      </c>
      <c r="L9" s="95">
        <v>8919</v>
      </c>
      <c r="M9" s="95">
        <v>2243</v>
      </c>
      <c r="N9" s="95">
        <v>11162</v>
      </c>
      <c r="O9" s="95">
        <v>108</v>
      </c>
      <c r="P9" s="95">
        <v>22</v>
      </c>
      <c r="Q9" s="95">
        <v>130</v>
      </c>
      <c r="R9" s="95">
        <v>1672</v>
      </c>
      <c r="S9" s="95">
        <v>219</v>
      </c>
      <c r="T9" s="95">
        <v>1891</v>
      </c>
      <c r="U9" s="95">
        <v>168</v>
      </c>
      <c r="V9" s="95">
        <v>110</v>
      </c>
      <c r="W9" s="95">
        <v>278</v>
      </c>
      <c r="X9" s="95">
        <v>229</v>
      </c>
      <c r="Y9" s="95">
        <v>71</v>
      </c>
      <c r="Z9" s="95">
        <v>300</v>
      </c>
      <c r="AA9" s="659" t="b">
        <v>1</v>
      </c>
      <c r="AB9" s="659" t="b">
        <v>1</v>
      </c>
    </row>
    <row r="10" spans="1:28" ht="29.25" customHeight="1">
      <c r="A10" s="193">
        <v>6</v>
      </c>
      <c r="B10" s="212" t="s">
        <v>19</v>
      </c>
      <c r="C10" s="95">
        <v>4431</v>
      </c>
      <c r="D10" s="95">
        <v>2258</v>
      </c>
      <c r="E10" s="95">
        <v>6689</v>
      </c>
      <c r="F10" s="95">
        <v>916</v>
      </c>
      <c r="G10" s="95">
        <v>380</v>
      </c>
      <c r="H10" s="95">
        <v>1296</v>
      </c>
      <c r="I10" s="95">
        <v>10</v>
      </c>
      <c r="J10" s="95">
        <v>2</v>
      </c>
      <c r="K10" s="95">
        <v>12</v>
      </c>
      <c r="L10" s="95">
        <v>209</v>
      </c>
      <c r="M10" s="95">
        <v>181</v>
      </c>
      <c r="N10" s="95">
        <v>390</v>
      </c>
      <c r="O10" s="95">
        <v>53</v>
      </c>
      <c r="P10" s="95">
        <v>36</v>
      </c>
      <c r="Q10" s="95">
        <v>89</v>
      </c>
      <c r="R10" s="95">
        <v>20</v>
      </c>
      <c r="S10" s="95">
        <v>7</v>
      </c>
      <c r="T10" s="95">
        <v>27</v>
      </c>
      <c r="U10" s="95">
        <v>215</v>
      </c>
      <c r="V10" s="95">
        <v>219</v>
      </c>
      <c r="W10" s="95">
        <v>434</v>
      </c>
      <c r="X10" s="95">
        <v>0</v>
      </c>
      <c r="Y10" s="95">
        <v>0</v>
      </c>
      <c r="Z10" s="95">
        <v>0</v>
      </c>
      <c r="AA10" s="659" t="b">
        <v>1</v>
      </c>
      <c r="AB10" s="659" t="b">
        <v>1</v>
      </c>
    </row>
    <row r="11" spans="1:28" ht="29.25" customHeight="1">
      <c r="A11" s="193">
        <v>7</v>
      </c>
      <c r="B11" s="212" t="s">
        <v>20</v>
      </c>
      <c r="C11" s="95">
        <v>14420</v>
      </c>
      <c r="D11" s="95">
        <v>6580</v>
      </c>
      <c r="E11" s="95">
        <v>21000</v>
      </c>
      <c r="F11" s="95">
        <v>1798</v>
      </c>
      <c r="G11" s="95">
        <v>890</v>
      </c>
      <c r="H11" s="95">
        <v>2688</v>
      </c>
      <c r="I11" s="95">
        <v>1719</v>
      </c>
      <c r="J11" s="95">
        <v>905</v>
      </c>
      <c r="K11" s="95">
        <v>2624</v>
      </c>
      <c r="L11" s="95">
        <v>3818</v>
      </c>
      <c r="M11" s="95">
        <v>1981</v>
      </c>
      <c r="N11" s="95">
        <v>5799</v>
      </c>
      <c r="O11" s="95">
        <v>83</v>
      </c>
      <c r="P11" s="95">
        <v>33</v>
      </c>
      <c r="Q11" s="95">
        <v>116</v>
      </c>
      <c r="R11" s="95">
        <v>187</v>
      </c>
      <c r="S11" s="95">
        <v>77</v>
      </c>
      <c r="T11" s="95">
        <v>264</v>
      </c>
      <c r="U11" s="95">
        <v>201</v>
      </c>
      <c r="V11" s="95">
        <v>315</v>
      </c>
      <c r="W11" s="95">
        <v>516</v>
      </c>
      <c r="X11" s="95">
        <v>22</v>
      </c>
      <c r="Y11" s="95">
        <v>16</v>
      </c>
      <c r="Z11" s="95">
        <v>38</v>
      </c>
      <c r="AA11" s="659" t="b">
        <v>1</v>
      </c>
      <c r="AB11" s="659" t="b">
        <v>1</v>
      </c>
    </row>
    <row r="12" spans="1:28" ht="29.25" customHeight="1">
      <c r="A12" s="193">
        <v>8</v>
      </c>
      <c r="B12" s="212" t="s">
        <v>23</v>
      </c>
      <c r="C12" s="95">
        <v>22171</v>
      </c>
      <c r="D12" s="95">
        <v>9273</v>
      </c>
      <c r="E12" s="95">
        <v>31444</v>
      </c>
      <c r="F12" s="95">
        <v>4432</v>
      </c>
      <c r="G12" s="95">
        <v>1492</v>
      </c>
      <c r="H12" s="95">
        <v>5924</v>
      </c>
      <c r="I12" s="95">
        <v>787</v>
      </c>
      <c r="J12" s="95">
        <v>511</v>
      </c>
      <c r="K12" s="95">
        <v>1298</v>
      </c>
      <c r="L12" s="95">
        <v>3168</v>
      </c>
      <c r="M12" s="95">
        <v>1431</v>
      </c>
      <c r="N12" s="95">
        <v>4599</v>
      </c>
      <c r="O12" s="95">
        <v>185</v>
      </c>
      <c r="P12" s="95">
        <v>35</v>
      </c>
      <c r="Q12" s="95">
        <v>220</v>
      </c>
      <c r="R12" s="95">
        <v>1094</v>
      </c>
      <c r="S12" s="95">
        <v>125</v>
      </c>
      <c r="T12" s="95">
        <v>1219</v>
      </c>
      <c r="U12" s="95">
        <v>185</v>
      </c>
      <c r="V12" s="95">
        <v>107</v>
      </c>
      <c r="W12" s="95">
        <v>292</v>
      </c>
      <c r="X12" s="95">
        <v>20</v>
      </c>
      <c r="Y12" s="95">
        <v>2</v>
      </c>
      <c r="Z12" s="95">
        <v>22</v>
      </c>
      <c r="AA12" s="659" t="b">
        <v>0</v>
      </c>
      <c r="AB12" s="659" t="b">
        <v>0</v>
      </c>
    </row>
    <row r="13" spans="1:28" ht="29.25" customHeight="1">
      <c r="A13" s="193">
        <v>9</v>
      </c>
      <c r="B13" s="212" t="s">
        <v>24</v>
      </c>
      <c r="C13" s="95">
        <v>2499</v>
      </c>
      <c r="D13" s="95">
        <v>1586</v>
      </c>
      <c r="E13" s="95">
        <v>4085</v>
      </c>
      <c r="F13" s="95">
        <v>56</v>
      </c>
      <c r="G13" s="95">
        <v>36</v>
      </c>
      <c r="H13" s="95">
        <v>92</v>
      </c>
      <c r="I13" s="95">
        <v>139</v>
      </c>
      <c r="J13" s="95">
        <v>97</v>
      </c>
      <c r="K13" s="95">
        <v>236</v>
      </c>
      <c r="L13" s="95">
        <v>100</v>
      </c>
      <c r="M13" s="95">
        <v>125</v>
      </c>
      <c r="N13" s="95">
        <v>225</v>
      </c>
      <c r="O13" s="95">
        <v>44</v>
      </c>
      <c r="P13" s="95">
        <v>18</v>
      </c>
      <c r="Q13" s="95">
        <v>62</v>
      </c>
      <c r="R13" s="95">
        <v>32</v>
      </c>
      <c r="S13" s="95">
        <v>18</v>
      </c>
      <c r="T13" s="95">
        <v>50</v>
      </c>
      <c r="U13" s="95">
        <v>183</v>
      </c>
      <c r="V13" s="95">
        <v>244</v>
      </c>
      <c r="W13" s="95">
        <v>427</v>
      </c>
      <c r="X13" s="95">
        <v>25</v>
      </c>
      <c r="Y13" s="95">
        <v>2</v>
      </c>
      <c r="Z13" s="95">
        <v>27</v>
      </c>
      <c r="AA13" s="659" t="b">
        <v>0</v>
      </c>
      <c r="AB13" s="659" t="b">
        <v>0</v>
      </c>
    </row>
    <row r="14" spans="1:28" ht="29.25" customHeight="1">
      <c r="A14" s="193">
        <v>10</v>
      </c>
      <c r="B14" s="212" t="s">
        <v>25</v>
      </c>
      <c r="C14" s="95">
        <v>30450</v>
      </c>
      <c r="D14" s="95">
        <v>14028</v>
      </c>
      <c r="E14" s="95">
        <v>44478</v>
      </c>
      <c r="F14" s="95">
        <v>4300</v>
      </c>
      <c r="G14" s="95">
        <v>2206</v>
      </c>
      <c r="H14" s="95">
        <v>6506</v>
      </c>
      <c r="I14" s="95">
        <v>3033</v>
      </c>
      <c r="J14" s="95">
        <v>1662</v>
      </c>
      <c r="K14" s="95">
        <v>4695</v>
      </c>
      <c r="L14" s="95">
        <v>4337</v>
      </c>
      <c r="M14" s="95">
        <v>2791</v>
      </c>
      <c r="N14" s="95">
        <v>7128</v>
      </c>
      <c r="O14" s="95">
        <v>139</v>
      </c>
      <c r="P14" s="95">
        <v>43</v>
      </c>
      <c r="Q14" s="95">
        <v>182</v>
      </c>
      <c r="R14" s="95">
        <v>404</v>
      </c>
      <c r="S14" s="95">
        <v>128</v>
      </c>
      <c r="T14" s="95">
        <v>532</v>
      </c>
      <c r="U14" s="95">
        <v>315</v>
      </c>
      <c r="V14" s="95">
        <v>225</v>
      </c>
      <c r="W14" s="95">
        <v>540</v>
      </c>
      <c r="X14" s="95">
        <v>71</v>
      </c>
      <c r="Y14" s="95">
        <v>22</v>
      </c>
      <c r="Z14" s="95">
        <v>93</v>
      </c>
      <c r="AA14" s="659" t="b">
        <v>0</v>
      </c>
      <c r="AB14" s="659" t="b">
        <v>0</v>
      </c>
    </row>
    <row r="15" spans="1:28" ht="29.25" customHeight="1">
      <c r="A15" s="193">
        <v>11</v>
      </c>
      <c r="B15" s="212" t="s">
        <v>26</v>
      </c>
      <c r="C15" s="95">
        <v>29721</v>
      </c>
      <c r="D15" s="95">
        <v>11813</v>
      </c>
      <c r="E15" s="95">
        <v>41534</v>
      </c>
      <c r="F15" s="95">
        <v>5063</v>
      </c>
      <c r="G15" s="95">
        <v>2145</v>
      </c>
      <c r="H15" s="95">
        <v>7208</v>
      </c>
      <c r="I15" s="95">
        <v>174</v>
      </c>
      <c r="J15" s="95">
        <v>69</v>
      </c>
      <c r="K15" s="95">
        <v>243</v>
      </c>
      <c r="L15" s="95">
        <v>3855</v>
      </c>
      <c r="M15" s="95">
        <v>1713</v>
      </c>
      <c r="N15" s="95">
        <v>5568</v>
      </c>
      <c r="O15" s="95">
        <v>214</v>
      </c>
      <c r="P15" s="95">
        <v>53</v>
      </c>
      <c r="Q15" s="95">
        <v>267</v>
      </c>
      <c r="R15" s="95">
        <v>311</v>
      </c>
      <c r="S15" s="95">
        <v>54</v>
      </c>
      <c r="T15" s="95">
        <v>365</v>
      </c>
      <c r="U15" s="95">
        <v>338</v>
      </c>
      <c r="V15" s="95">
        <v>144</v>
      </c>
      <c r="W15" s="95">
        <v>482</v>
      </c>
      <c r="X15" s="95">
        <v>54</v>
      </c>
      <c r="Y15" s="95">
        <v>10</v>
      </c>
      <c r="Z15" s="95">
        <v>64</v>
      </c>
      <c r="AA15" s="659" t="b">
        <v>0</v>
      </c>
      <c r="AB15" s="659" t="b">
        <v>0</v>
      </c>
    </row>
    <row r="16" spans="1:28" ht="29.25" customHeight="1">
      <c r="A16" s="193">
        <v>12</v>
      </c>
      <c r="B16" s="212" t="s">
        <v>27</v>
      </c>
      <c r="C16" s="95">
        <v>9366</v>
      </c>
      <c r="D16" s="95">
        <v>4572</v>
      </c>
      <c r="E16" s="95">
        <v>13938</v>
      </c>
      <c r="F16" s="95">
        <v>1834</v>
      </c>
      <c r="G16" s="95">
        <v>978</v>
      </c>
      <c r="H16" s="95">
        <v>2812</v>
      </c>
      <c r="I16" s="95">
        <v>328</v>
      </c>
      <c r="J16" s="95">
        <v>164</v>
      </c>
      <c r="K16" s="95">
        <v>492</v>
      </c>
      <c r="L16" s="95">
        <v>701</v>
      </c>
      <c r="M16" s="95">
        <v>387</v>
      </c>
      <c r="N16" s="95">
        <v>1088</v>
      </c>
      <c r="O16" s="95">
        <v>87</v>
      </c>
      <c r="P16" s="95">
        <v>28</v>
      </c>
      <c r="Q16" s="95">
        <v>115</v>
      </c>
      <c r="R16" s="95">
        <v>44</v>
      </c>
      <c r="S16" s="95">
        <v>13</v>
      </c>
      <c r="T16" s="95">
        <v>57</v>
      </c>
      <c r="U16" s="95">
        <v>40</v>
      </c>
      <c r="V16" s="95">
        <v>9</v>
      </c>
      <c r="W16" s="95">
        <v>49</v>
      </c>
      <c r="X16" s="95">
        <v>15</v>
      </c>
      <c r="Y16" s="95">
        <v>9</v>
      </c>
      <c r="Z16" s="95">
        <v>24</v>
      </c>
      <c r="AA16" s="659" t="b">
        <v>0</v>
      </c>
      <c r="AB16" s="659" t="b">
        <v>0</v>
      </c>
    </row>
    <row r="17" spans="1:28" ht="29.25" customHeight="1">
      <c r="A17" s="193">
        <v>13</v>
      </c>
      <c r="B17" s="212" t="s">
        <v>57</v>
      </c>
      <c r="C17" s="95">
        <v>12096</v>
      </c>
      <c r="D17" s="95">
        <v>4477</v>
      </c>
      <c r="E17" s="95">
        <v>16573</v>
      </c>
      <c r="F17" s="95">
        <v>885</v>
      </c>
      <c r="G17" s="95">
        <v>325</v>
      </c>
      <c r="H17" s="95">
        <v>1210</v>
      </c>
      <c r="I17" s="95">
        <v>332</v>
      </c>
      <c r="J17" s="95">
        <v>80</v>
      </c>
      <c r="K17" s="95">
        <v>412</v>
      </c>
      <c r="L17" s="95">
        <v>255</v>
      </c>
      <c r="M17" s="95">
        <v>92</v>
      </c>
      <c r="N17" s="95">
        <v>347</v>
      </c>
      <c r="O17" s="95">
        <v>29</v>
      </c>
      <c r="P17" s="95">
        <v>15</v>
      </c>
      <c r="Q17" s="95">
        <v>44</v>
      </c>
      <c r="R17" s="95">
        <v>5896</v>
      </c>
      <c r="S17" s="95">
        <v>1958</v>
      </c>
      <c r="T17" s="95">
        <v>7854</v>
      </c>
      <c r="U17" s="95">
        <v>386</v>
      </c>
      <c r="V17" s="95">
        <v>155</v>
      </c>
      <c r="W17" s="95">
        <v>541</v>
      </c>
      <c r="X17" s="95">
        <v>6</v>
      </c>
      <c r="Y17" s="95">
        <v>14</v>
      </c>
      <c r="Z17" s="95">
        <v>20</v>
      </c>
      <c r="AA17" s="659" t="b">
        <v>0</v>
      </c>
      <c r="AB17" s="659" t="b">
        <v>0</v>
      </c>
    </row>
    <row r="18" spans="1:28" ht="29.25" customHeight="1">
      <c r="A18" s="193">
        <v>14</v>
      </c>
      <c r="B18" s="212" t="s">
        <v>29</v>
      </c>
      <c r="C18" s="95">
        <v>10257</v>
      </c>
      <c r="D18" s="95">
        <v>3890</v>
      </c>
      <c r="E18" s="95">
        <v>14147</v>
      </c>
      <c r="F18" s="95">
        <v>1139</v>
      </c>
      <c r="G18" s="95">
        <v>773</v>
      </c>
      <c r="H18" s="95">
        <v>1912</v>
      </c>
      <c r="I18" s="95">
        <v>1384</v>
      </c>
      <c r="J18" s="95">
        <v>940</v>
      </c>
      <c r="K18" s="95">
        <v>2324</v>
      </c>
      <c r="L18" s="95">
        <v>3026</v>
      </c>
      <c r="M18" s="95">
        <v>1028</v>
      </c>
      <c r="N18" s="95">
        <v>4054</v>
      </c>
      <c r="O18" s="95">
        <v>57</v>
      </c>
      <c r="P18" s="95">
        <v>23</v>
      </c>
      <c r="Q18" s="95">
        <v>80</v>
      </c>
      <c r="R18" s="95">
        <v>489</v>
      </c>
      <c r="S18" s="95">
        <v>154</v>
      </c>
      <c r="T18" s="95">
        <v>643</v>
      </c>
      <c r="U18" s="95">
        <v>189</v>
      </c>
      <c r="V18" s="95">
        <v>220</v>
      </c>
      <c r="W18" s="95">
        <v>409</v>
      </c>
      <c r="X18" s="95">
        <v>22</v>
      </c>
      <c r="Y18" s="95">
        <v>6</v>
      </c>
      <c r="Z18" s="95">
        <v>28</v>
      </c>
      <c r="AA18" s="659" t="b">
        <v>0</v>
      </c>
      <c r="AB18" s="659" t="b">
        <v>0</v>
      </c>
    </row>
    <row r="19" spans="1:28" ht="29.25" customHeight="1">
      <c r="A19" s="193">
        <v>15</v>
      </c>
      <c r="B19" s="212" t="s">
        <v>30</v>
      </c>
      <c r="C19" s="95">
        <v>77229</v>
      </c>
      <c r="D19" s="95">
        <v>61994</v>
      </c>
      <c r="E19" s="95">
        <v>139223</v>
      </c>
      <c r="F19" s="95">
        <v>9147</v>
      </c>
      <c r="G19" s="95">
        <v>7251</v>
      </c>
      <c r="H19" s="95">
        <v>16398</v>
      </c>
      <c r="I19" s="95">
        <v>3844</v>
      </c>
      <c r="J19" s="95">
        <v>2665</v>
      </c>
      <c r="K19" s="95">
        <v>6509</v>
      </c>
      <c r="L19" s="95">
        <v>24478</v>
      </c>
      <c r="M19" s="95">
        <v>23818</v>
      </c>
      <c r="N19" s="95">
        <v>48296</v>
      </c>
      <c r="O19" s="95">
        <v>377</v>
      </c>
      <c r="P19" s="95">
        <v>195</v>
      </c>
      <c r="Q19" s="95">
        <v>572</v>
      </c>
      <c r="R19" s="95">
        <v>3173</v>
      </c>
      <c r="S19" s="95">
        <v>1641</v>
      </c>
      <c r="T19" s="95">
        <v>4814</v>
      </c>
      <c r="U19" s="95">
        <v>2940</v>
      </c>
      <c r="V19" s="95">
        <v>4294</v>
      </c>
      <c r="W19" s="95">
        <v>7234</v>
      </c>
      <c r="X19" s="95">
        <v>134</v>
      </c>
      <c r="Y19" s="95">
        <v>337</v>
      </c>
      <c r="Z19" s="95">
        <v>471</v>
      </c>
      <c r="AA19" s="659" t="b">
        <v>0</v>
      </c>
      <c r="AB19" s="659" t="b">
        <v>0</v>
      </c>
    </row>
    <row r="20" spans="1:28" ht="29.25" customHeight="1">
      <c r="A20" s="193">
        <v>16</v>
      </c>
      <c r="B20" s="212" t="s">
        <v>31</v>
      </c>
      <c r="C20" s="95">
        <v>24170</v>
      </c>
      <c r="D20" s="95">
        <v>28589</v>
      </c>
      <c r="E20" s="95">
        <v>52759</v>
      </c>
      <c r="F20" s="95">
        <v>1470</v>
      </c>
      <c r="G20" s="95">
        <v>2146</v>
      </c>
      <c r="H20" s="95">
        <v>3616</v>
      </c>
      <c r="I20" s="95">
        <v>273</v>
      </c>
      <c r="J20" s="95">
        <v>314</v>
      </c>
      <c r="K20" s="95">
        <v>587</v>
      </c>
      <c r="L20" s="95">
        <v>8495</v>
      </c>
      <c r="M20" s="95">
        <v>10269</v>
      </c>
      <c r="N20" s="95">
        <v>18764</v>
      </c>
      <c r="O20" s="95">
        <v>271</v>
      </c>
      <c r="P20" s="95">
        <v>193</v>
      </c>
      <c r="Q20" s="95">
        <v>464</v>
      </c>
      <c r="R20" s="95">
        <v>2308</v>
      </c>
      <c r="S20" s="95">
        <v>1723</v>
      </c>
      <c r="T20" s="95">
        <v>4031</v>
      </c>
      <c r="U20" s="95">
        <v>2979</v>
      </c>
      <c r="V20" s="95">
        <v>3549</v>
      </c>
      <c r="W20" s="95">
        <v>6528</v>
      </c>
      <c r="X20" s="95">
        <v>41</v>
      </c>
      <c r="Y20" s="95">
        <v>60</v>
      </c>
      <c r="Z20" s="95">
        <v>101</v>
      </c>
      <c r="AA20" s="659" t="b">
        <v>0</v>
      </c>
      <c r="AB20" s="659" t="b">
        <v>0</v>
      </c>
    </row>
    <row r="21" spans="1:28" ht="29.25" customHeight="1">
      <c r="A21" s="193">
        <v>17</v>
      </c>
      <c r="B21" s="212" t="s">
        <v>172</v>
      </c>
      <c r="C21" s="95">
        <v>60</v>
      </c>
      <c r="D21" s="95">
        <v>65</v>
      </c>
      <c r="E21" s="95">
        <v>125</v>
      </c>
      <c r="F21" s="95">
        <v>1</v>
      </c>
      <c r="G21" s="95">
        <v>2</v>
      </c>
      <c r="H21" s="95">
        <v>3</v>
      </c>
      <c r="I21" s="95">
        <v>53</v>
      </c>
      <c r="J21" s="95">
        <v>62</v>
      </c>
      <c r="K21" s="95">
        <v>115</v>
      </c>
      <c r="L21" s="95">
        <v>0</v>
      </c>
      <c r="M21" s="95">
        <v>0</v>
      </c>
      <c r="N21" s="95">
        <v>0</v>
      </c>
      <c r="O21" s="95">
        <v>0</v>
      </c>
      <c r="P21" s="95">
        <v>0</v>
      </c>
      <c r="Q21" s="95">
        <v>0</v>
      </c>
      <c r="R21" s="95">
        <v>23</v>
      </c>
      <c r="S21" s="95">
        <v>9</v>
      </c>
      <c r="T21" s="95">
        <v>32</v>
      </c>
      <c r="U21" s="95">
        <v>30</v>
      </c>
      <c r="V21" s="95">
        <v>34</v>
      </c>
      <c r="W21" s="95">
        <v>64</v>
      </c>
      <c r="X21" s="95">
        <v>0</v>
      </c>
      <c r="Y21" s="95">
        <v>0</v>
      </c>
      <c r="Z21" s="95">
        <v>0</v>
      </c>
      <c r="AA21" s="659" t="b">
        <v>0</v>
      </c>
      <c r="AB21" s="659" t="b">
        <v>0</v>
      </c>
    </row>
    <row r="22" spans="1:28" ht="29.25" customHeight="1">
      <c r="A22" s="193">
        <v>18</v>
      </c>
      <c r="B22" s="212" t="s">
        <v>32</v>
      </c>
      <c r="C22" s="95">
        <v>9</v>
      </c>
      <c r="D22" s="95">
        <v>8</v>
      </c>
      <c r="E22" s="95">
        <v>17</v>
      </c>
      <c r="F22" s="95">
        <v>0</v>
      </c>
      <c r="G22" s="95">
        <v>0</v>
      </c>
      <c r="H22" s="95">
        <v>0</v>
      </c>
      <c r="I22" s="95">
        <v>6</v>
      </c>
      <c r="J22" s="95">
        <v>1</v>
      </c>
      <c r="K22" s="95">
        <v>7</v>
      </c>
      <c r="L22" s="95">
        <v>0</v>
      </c>
      <c r="M22" s="95">
        <v>0</v>
      </c>
      <c r="N22" s="95">
        <v>0</v>
      </c>
      <c r="O22" s="95">
        <v>0</v>
      </c>
      <c r="P22" s="95">
        <v>0</v>
      </c>
      <c r="Q22" s="95">
        <v>0</v>
      </c>
      <c r="R22" s="95">
        <v>6</v>
      </c>
      <c r="S22" s="95">
        <v>1</v>
      </c>
      <c r="T22" s="95">
        <v>7</v>
      </c>
      <c r="U22" s="95">
        <v>0</v>
      </c>
      <c r="V22" s="95">
        <v>0</v>
      </c>
      <c r="W22" s="95">
        <v>0</v>
      </c>
      <c r="X22" s="95">
        <v>0</v>
      </c>
      <c r="Y22" s="95">
        <v>0</v>
      </c>
      <c r="Z22" s="95">
        <v>0</v>
      </c>
      <c r="AA22" s="659" t="b">
        <v>0</v>
      </c>
      <c r="AB22" s="659" t="b">
        <v>0</v>
      </c>
    </row>
    <row r="23" spans="1:28" ht="29.25" customHeight="1">
      <c r="A23" s="193">
        <v>19</v>
      </c>
      <c r="B23" s="212" t="s">
        <v>33</v>
      </c>
      <c r="C23" s="95">
        <v>47978</v>
      </c>
      <c r="D23" s="95">
        <v>15914</v>
      </c>
      <c r="E23" s="95">
        <v>63892</v>
      </c>
      <c r="F23" s="95">
        <v>6047</v>
      </c>
      <c r="G23" s="95">
        <v>2253</v>
      </c>
      <c r="H23" s="95">
        <v>8300</v>
      </c>
      <c r="I23" s="95">
        <v>2815</v>
      </c>
      <c r="J23" s="95">
        <v>1246</v>
      </c>
      <c r="K23" s="95">
        <v>4061</v>
      </c>
      <c r="L23" s="95">
        <v>7547</v>
      </c>
      <c r="M23" s="95">
        <v>4084</v>
      </c>
      <c r="N23" s="95">
        <v>11631</v>
      </c>
      <c r="O23" s="95">
        <v>279</v>
      </c>
      <c r="P23" s="95">
        <v>64</v>
      </c>
      <c r="Q23" s="95">
        <v>343</v>
      </c>
      <c r="R23" s="95">
        <v>823</v>
      </c>
      <c r="S23" s="95">
        <v>254</v>
      </c>
      <c r="T23" s="95">
        <v>1077</v>
      </c>
      <c r="U23" s="95">
        <v>791</v>
      </c>
      <c r="V23" s="95">
        <v>482</v>
      </c>
      <c r="W23" s="95">
        <v>1273</v>
      </c>
      <c r="X23" s="95">
        <v>169</v>
      </c>
      <c r="Y23" s="95">
        <v>96</v>
      </c>
      <c r="Z23" s="95">
        <v>265</v>
      </c>
      <c r="AA23" s="659" t="b">
        <v>0</v>
      </c>
      <c r="AB23" s="659" t="b">
        <v>0</v>
      </c>
    </row>
    <row r="24" spans="1:28" ht="29.25" customHeight="1">
      <c r="A24" s="193">
        <v>20</v>
      </c>
      <c r="B24" s="212" t="s">
        <v>34</v>
      </c>
      <c r="C24" s="95">
        <v>120794</v>
      </c>
      <c r="D24" s="95">
        <v>47675</v>
      </c>
      <c r="E24" s="95">
        <v>168469</v>
      </c>
      <c r="F24" s="95">
        <v>16412</v>
      </c>
      <c r="G24" s="95">
        <v>8313</v>
      </c>
      <c r="H24" s="95">
        <v>24725</v>
      </c>
      <c r="I24" s="95">
        <v>5123</v>
      </c>
      <c r="J24" s="95">
        <v>2222</v>
      </c>
      <c r="K24" s="95">
        <v>7345</v>
      </c>
      <c r="L24" s="95">
        <v>19096</v>
      </c>
      <c r="M24" s="95">
        <v>9715</v>
      </c>
      <c r="N24" s="95">
        <v>28811</v>
      </c>
      <c r="O24" s="95">
        <v>1028</v>
      </c>
      <c r="P24" s="95">
        <v>263</v>
      </c>
      <c r="Q24" s="95">
        <v>1291</v>
      </c>
      <c r="R24" s="95">
        <v>3513</v>
      </c>
      <c r="S24" s="95">
        <v>1020</v>
      </c>
      <c r="T24" s="95">
        <v>4533</v>
      </c>
      <c r="U24" s="95">
        <v>1439</v>
      </c>
      <c r="V24" s="95">
        <v>1225</v>
      </c>
      <c r="W24" s="95">
        <v>2664</v>
      </c>
      <c r="X24" s="95">
        <v>182</v>
      </c>
      <c r="Y24" s="95">
        <v>74</v>
      </c>
      <c r="Z24" s="95">
        <v>256</v>
      </c>
      <c r="AA24" s="659" t="b">
        <v>0</v>
      </c>
      <c r="AB24" s="659" t="b">
        <v>0</v>
      </c>
    </row>
    <row r="25" spans="1:28" ht="29.25" customHeight="1">
      <c r="A25" s="193">
        <v>21</v>
      </c>
      <c r="B25" s="212" t="s">
        <v>35</v>
      </c>
      <c r="C25" s="95">
        <v>3233</v>
      </c>
      <c r="D25" s="95">
        <v>2288</v>
      </c>
      <c r="E25" s="95">
        <v>5521</v>
      </c>
      <c r="F25" s="95">
        <v>131</v>
      </c>
      <c r="G25" s="95">
        <v>52</v>
      </c>
      <c r="H25" s="95">
        <v>183</v>
      </c>
      <c r="I25" s="95">
        <v>605</v>
      </c>
      <c r="J25" s="95">
        <v>511</v>
      </c>
      <c r="K25" s="95">
        <v>1116</v>
      </c>
      <c r="L25" s="95">
        <v>382</v>
      </c>
      <c r="M25" s="95">
        <v>251</v>
      </c>
      <c r="N25" s="95">
        <v>633</v>
      </c>
      <c r="O25" s="95">
        <v>9</v>
      </c>
      <c r="P25" s="95">
        <v>10</v>
      </c>
      <c r="Q25" s="95">
        <v>19</v>
      </c>
      <c r="R25" s="95">
        <v>74</v>
      </c>
      <c r="S25" s="95">
        <v>10</v>
      </c>
      <c r="T25" s="95">
        <v>84</v>
      </c>
      <c r="U25" s="95">
        <v>195</v>
      </c>
      <c r="V25" s="95">
        <v>117</v>
      </c>
      <c r="W25" s="95">
        <v>312</v>
      </c>
      <c r="X25" s="95">
        <v>0</v>
      </c>
      <c r="Y25" s="95">
        <v>0</v>
      </c>
      <c r="Z25" s="95">
        <v>0</v>
      </c>
      <c r="AA25" s="659" t="b">
        <v>0</v>
      </c>
      <c r="AB25" s="659" t="b">
        <v>0</v>
      </c>
    </row>
    <row r="26" spans="1:28" ht="29.25" customHeight="1">
      <c r="A26" s="193">
        <v>22</v>
      </c>
      <c r="B26" s="212" t="s">
        <v>36</v>
      </c>
      <c r="C26" s="95">
        <v>1639</v>
      </c>
      <c r="D26" s="95">
        <v>1130</v>
      </c>
      <c r="E26" s="95">
        <v>2769</v>
      </c>
      <c r="F26" s="95">
        <v>51</v>
      </c>
      <c r="G26" s="95">
        <v>13</v>
      </c>
      <c r="H26" s="95">
        <v>64</v>
      </c>
      <c r="I26" s="95">
        <v>930</v>
      </c>
      <c r="J26" s="95">
        <v>846</v>
      </c>
      <c r="K26" s="95">
        <v>1776</v>
      </c>
      <c r="L26" s="95">
        <v>140</v>
      </c>
      <c r="M26" s="95">
        <v>58</v>
      </c>
      <c r="N26" s="95">
        <v>198</v>
      </c>
      <c r="O26" s="95">
        <v>6</v>
      </c>
      <c r="P26" s="95">
        <v>2</v>
      </c>
      <c r="Q26" s="95">
        <v>8</v>
      </c>
      <c r="R26" s="95">
        <v>109</v>
      </c>
      <c r="S26" s="95">
        <v>22</v>
      </c>
      <c r="T26" s="95">
        <v>131</v>
      </c>
      <c r="U26" s="95">
        <v>252</v>
      </c>
      <c r="V26" s="95">
        <v>291</v>
      </c>
      <c r="W26" s="95">
        <v>543</v>
      </c>
      <c r="X26" s="95">
        <v>16</v>
      </c>
      <c r="Y26" s="95">
        <v>8</v>
      </c>
      <c r="Z26" s="95">
        <v>24</v>
      </c>
      <c r="AA26" s="659" t="b">
        <v>0</v>
      </c>
      <c r="AB26" s="659" t="b">
        <v>0</v>
      </c>
    </row>
    <row r="27" spans="1:28" ht="29.25" customHeight="1">
      <c r="A27" s="193">
        <v>23</v>
      </c>
      <c r="B27" s="212" t="s">
        <v>37</v>
      </c>
      <c r="C27" s="95">
        <v>1019</v>
      </c>
      <c r="D27" s="95">
        <v>755</v>
      </c>
      <c r="E27" s="95">
        <v>1774</v>
      </c>
      <c r="F27" s="95">
        <v>9</v>
      </c>
      <c r="G27" s="95">
        <v>3</v>
      </c>
      <c r="H27" s="95">
        <v>12</v>
      </c>
      <c r="I27" s="95">
        <v>813</v>
      </c>
      <c r="J27" s="95">
        <v>630</v>
      </c>
      <c r="K27" s="95">
        <v>1443</v>
      </c>
      <c r="L27" s="95">
        <v>26</v>
      </c>
      <c r="M27" s="95">
        <v>1</v>
      </c>
      <c r="N27" s="95">
        <v>27</v>
      </c>
      <c r="O27" s="95">
        <v>11</v>
      </c>
      <c r="P27" s="95">
        <v>5</v>
      </c>
      <c r="Q27" s="95">
        <v>16</v>
      </c>
      <c r="R27" s="95">
        <v>2</v>
      </c>
      <c r="S27" s="95">
        <v>0</v>
      </c>
      <c r="T27" s="95">
        <v>2</v>
      </c>
      <c r="U27" s="95">
        <v>618</v>
      </c>
      <c r="V27" s="95">
        <v>374</v>
      </c>
      <c r="W27" s="95">
        <v>992</v>
      </c>
      <c r="X27" s="95">
        <v>0</v>
      </c>
      <c r="Y27" s="95">
        <v>0</v>
      </c>
      <c r="Z27" s="95">
        <v>0</v>
      </c>
      <c r="AA27" s="659" t="b">
        <v>0</v>
      </c>
      <c r="AB27" s="659" t="b">
        <v>0</v>
      </c>
    </row>
    <row r="28" spans="1:28" ht="29.25" customHeight="1">
      <c r="A28" s="193">
        <v>24</v>
      </c>
      <c r="B28" s="212" t="s">
        <v>38</v>
      </c>
      <c r="C28" s="95">
        <v>1491</v>
      </c>
      <c r="D28" s="95">
        <v>831</v>
      </c>
      <c r="E28" s="95">
        <v>2322</v>
      </c>
      <c r="F28" s="95">
        <v>32</v>
      </c>
      <c r="G28" s="95">
        <v>15</v>
      </c>
      <c r="H28" s="95">
        <v>47</v>
      </c>
      <c r="I28" s="95">
        <v>1230</v>
      </c>
      <c r="J28" s="95">
        <v>741</v>
      </c>
      <c r="K28" s="95">
        <v>1971</v>
      </c>
      <c r="L28" s="95">
        <v>44</v>
      </c>
      <c r="M28" s="95">
        <v>15</v>
      </c>
      <c r="N28" s="95">
        <v>59</v>
      </c>
      <c r="O28" s="95">
        <v>7</v>
      </c>
      <c r="P28" s="95">
        <v>5</v>
      </c>
      <c r="Q28" s="95">
        <v>12</v>
      </c>
      <c r="R28" s="95">
        <v>18</v>
      </c>
      <c r="S28" s="95">
        <v>2</v>
      </c>
      <c r="T28" s="95">
        <v>20</v>
      </c>
      <c r="U28" s="95">
        <v>666</v>
      </c>
      <c r="V28" s="95">
        <v>347</v>
      </c>
      <c r="W28" s="95">
        <v>1013</v>
      </c>
      <c r="X28" s="95">
        <v>6</v>
      </c>
      <c r="Y28" s="95">
        <v>4</v>
      </c>
      <c r="Z28" s="95">
        <v>10</v>
      </c>
      <c r="AA28" s="659" t="b">
        <v>0</v>
      </c>
      <c r="AB28" s="659" t="b">
        <v>0</v>
      </c>
    </row>
    <row r="29" spans="1:28" ht="29.25" customHeight="1">
      <c r="A29" s="193">
        <v>25</v>
      </c>
      <c r="B29" s="212" t="s">
        <v>39</v>
      </c>
      <c r="C29" s="95">
        <v>30122</v>
      </c>
      <c r="D29" s="95">
        <v>12257</v>
      </c>
      <c r="E29" s="95">
        <v>42379</v>
      </c>
      <c r="F29" s="95">
        <v>2833</v>
      </c>
      <c r="G29" s="95">
        <v>1330</v>
      </c>
      <c r="H29" s="95">
        <v>4163</v>
      </c>
      <c r="I29" s="95">
        <v>1321</v>
      </c>
      <c r="J29" s="95">
        <v>692</v>
      </c>
      <c r="K29" s="95">
        <v>2013</v>
      </c>
      <c r="L29" s="95">
        <v>3795</v>
      </c>
      <c r="M29" s="95">
        <v>1779</v>
      </c>
      <c r="N29" s="95">
        <v>5574</v>
      </c>
      <c r="O29" s="95">
        <v>89</v>
      </c>
      <c r="P29" s="95">
        <v>24</v>
      </c>
      <c r="Q29" s="95">
        <v>113</v>
      </c>
      <c r="R29" s="95">
        <v>175</v>
      </c>
      <c r="S29" s="95">
        <v>49</v>
      </c>
      <c r="T29" s="95">
        <v>224</v>
      </c>
      <c r="U29" s="95">
        <v>94</v>
      </c>
      <c r="V29" s="95">
        <v>71</v>
      </c>
      <c r="W29" s="95">
        <v>165</v>
      </c>
      <c r="X29" s="95">
        <v>22</v>
      </c>
      <c r="Y29" s="95">
        <v>15</v>
      </c>
      <c r="Z29" s="95">
        <v>37</v>
      </c>
      <c r="AA29" s="659" t="b">
        <v>0</v>
      </c>
      <c r="AB29" s="659" t="b">
        <v>0</v>
      </c>
    </row>
    <row r="30" spans="1:28" ht="29.25" customHeight="1">
      <c r="A30" s="193">
        <v>26</v>
      </c>
      <c r="B30" s="212" t="s">
        <v>40</v>
      </c>
      <c r="C30" s="95">
        <v>5801</v>
      </c>
      <c r="D30" s="95">
        <v>6468</v>
      </c>
      <c r="E30" s="95">
        <v>12269</v>
      </c>
      <c r="F30" s="95">
        <v>1348</v>
      </c>
      <c r="G30" s="95">
        <v>2081</v>
      </c>
      <c r="H30" s="95">
        <v>3429</v>
      </c>
      <c r="I30" s="95">
        <v>104</v>
      </c>
      <c r="J30" s="95">
        <v>51</v>
      </c>
      <c r="K30" s="95">
        <v>155</v>
      </c>
      <c r="L30" s="95">
        <v>3117</v>
      </c>
      <c r="M30" s="95">
        <v>3247</v>
      </c>
      <c r="N30" s="95">
        <v>6364</v>
      </c>
      <c r="O30" s="95">
        <v>54</v>
      </c>
      <c r="P30" s="95">
        <v>15</v>
      </c>
      <c r="Q30" s="95">
        <v>69</v>
      </c>
      <c r="R30" s="95">
        <v>52</v>
      </c>
      <c r="S30" s="95">
        <v>28</v>
      </c>
      <c r="T30" s="95">
        <v>80</v>
      </c>
      <c r="U30" s="95">
        <v>139</v>
      </c>
      <c r="V30" s="95">
        <v>158</v>
      </c>
      <c r="W30" s="95">
        <v>297</v>
      </c>
      <c r="X30" s="95">
        <v>0</v>
      </c>
      <c r="Y30" s="95">
        <v>0</v>
      </c>
      <c r="Z30" s="95">
        <v>0</v>
      </c>
      <c r="AA30" s="659" t="b">
        <v>0</v>
      </c>
      <c r="AB30" s="659" t="b">
        <v>0</v>
      </c>
    </row>
    <row r="31" spans="1:28" ht="29.25" customHeight="1">
      <c r="A31" s="193">
        <v>27</v>
      </c>
      <c r="B31" s="212" t="s">
        <v>41</v>
      </c>
      <c r="C31" s="95">
        <v>32000</v>
      </c>
      <c r="D31" s="95">
        <v>18573</v>
      </c>
      <c r="E31" s="95">
        <v>50573</v>
      </c>
      <c r="F31" s="95">
        <v>7032</v>
      </c>
      <c r="G31" s="95">
        <v>4429</v>
      </c>
      <c r="H31" s="95">
        <v>11461</v>
      </c>
      <c r="I31" s="95">
        <v>99</v>
      </c>
      <c r="J31" s="95">
        <v>36</v>
      </c>
      <c r="K31" s="95">
        <v>135</v>
      </c>
      <c r="L31" s="95">
        <v>1934</v>
      </c>
      <c r="M31" s="95">
        <v>1501</v>
      </c>
      <c r="N31" s="95">
        <v>3435</v>
      </c>
      <c r="O31" s="95">
        <v>174</v>
      </c>
      <c r="P31" s="95">
        <v>80</v>
      </c>
      <c r="Q31" s="95">
        <v>254</v>
      </c>
      <c r="R31" s="95">
        <v>113</v>
      </c>
      <c r="S31" s="95">
        <v>53</v>
      </c>
      <c r="T31" s="95">
        <v>166</v>
      </c>
      <c r="U31" s="95">
        <v>4293</v>
      </c>
      <c r="V31" s="95">
        <v>1912</v>
      </c>
      <c r="W31" s="95">
        <v>6205</v>
      </c>
      <c r="X31" s="95">
        <v>424</v>
      </c>
      <c r="Y31" s="95">
        <v>251</v>
      </c>
      <c r="Z31" s="95">
        <v>675</v>
      </c>
      <c r="AA31" s="659" t="b">
        <v>0</v>
      </c>
      <c r="AB31" s="659" t="b">
        <v>0</v>
      </c>
    </row>
    <row r="32" spans="1:28" ht="29.25" customHeight="1">
      <c r="A32" s="193">
        <v>28</v>
      </c>
      <c r="B32" s="212" t="s">
        <v>42</v>
      </c>
      <c r="C32" s="95">
        <v>50408</v>
      </c>
      <c r="D32" s="95">
        <v>16606</v>
      </c>
      <c r="E32" s="95">
        <v>67014</v>
      </c>
      <c r="F32" s="95">
        <v>6671</v>
      </c>
      <c r="G32" s="95">
        <v>2803</v>
      </c>
      <c r="H32" s="95">
        <v>9474</v>
      </c>
      <c r="I32" s="95">
        <v>3295</v>
      </c>
      <c r="J32" s="95">
        <v>1176</v>
      </c>
      <c r="K32" s="95">
        <v>4471</v>
      </c>
      <c r="L32" s="95">
        <v>11593</v>
      </c>
      <c r="M32" s="95">
        <v>4648</v>
      </c>
      <c r="N32" s="95">
        <v>16241</v>
      </c>
      <c r="O32" s="95">
        <v>213</v>
      </c>
      <c r="P32" s="95">
        <v>50</v>
      </c>
      <c r="Q32" s="95">
        <v>263</v>
      </c>
      <c r="R32" s="95">
        <v>1020</v>
      </c>
      <c r="S32" s="95">
        <v>269</v>
      </c>
      <c r="T32" s="95">
        <v>1289</v>
      </c>
      <c r="U32" s="95">
        <v>473</v>
      </c>
      <c r="V32" s="95">
        <v>221</v>
      </c>
      <c r="W32" s="95">
        <v>694</v>
      </c>
      <c r="X32" s="95">
        <v>203</v>
      </c>
      <c r="Y32" s="95">
        <v>160</v>
      </c>
      <c r="Z32" s="95">
        <v>363</v>
      </c>
      <c r="AA32" s="659" t="b">
        <v>0</v>
      </c>
      <c r="AB32" s="659" t="b">
        <v>0</v>
      </c>
    </row>
    <row r="33" spans="1:28" ht="29.25" customHeight="1">
      <c r="A33" s="193">
        <v>29</v>
      </c>
      <c r="B33" s="212" t="s">
        <v>43</v>
      </c>
      <c r="C33" s="95">
        <v>959</v>
      </c>
      <c r="D33" s="95">
        <v>568</v>
      </c>
      <c r="E33" s="95">
        <v>1527</v>
      </c>
      <c r="F33" s="95">
        <v>91</v>
      </c>
      <c r="G33" s="95">
        <v>45</v>
      </c>
      <c r="H33" s="95">
        <v>136</v>
      </c>
      <c r="I33" s="95">
        <v>283</v>
      </c>
      <c r="J33" s="95">
        <v>167</v>
      </c>
      <c r="K33" s="95">
        <v>450</v>
      </c>
      <c r="L33" s="95">
        <v>198</v>
      </c>
      <c r="M33" s="95">
        <v>157</v>
      </c>
      <c r="N33" s="95">
        <v>355</v>
      </c>
      <c r="O33" s="95">
        <v>8</v>
      </c>
      <c r="P33" s="95">
        <v>1</v>
      </c>
      <c r="Q33" s="95">
        <v>9</v>
      </c>
      <c r="R33" s="95">
        <v>2</v>
      </c>
      <c r="S33" s="95">
        <v>0</v>
      </c>
      <c r="T33" s="95">
        <v>2</v>
      </c>
      <c r="U33" s="95">
        <v>31</v>
      </c>
      <c r="V33" s="95">
        <v>26</v>
      </c>
      <c r="W33" s="95">
        <v>57</v>
      </c>
      <c r="X33" s="95">
        <v>0</v>
      </c>
      <c r="Y33" s="95">
        <v>0</v>
      </c>
      <c r="Z33" s="95">
        <v>0</v>
      </c>
      <c r="AA33" s="659" t="b">
        <v>0</v>
      </c>
      <c r="AB33" s="659" t="b">
        <v>0</v>
      </c>
    </row>
    <row r="34" spans="1:28" ht="29.25" customHeight="1">
      <c r="A34" s="193">
        <v>30</v>
      </c>
      <c r="B34" s="212" t="s">
        <v>44</v>
      </c>
      <c r="C34" s="95">
        <v>87120</v>
      </c>
      <c r="D34" s="95">
        <v>81365</v>
      </c>
      <c r="E34" s="95">
        <v>168485</v>
      </c>
      <c r="F34" s="95">
        <v>12013</v>
      </c>
      <c r="G34" s="95">
        <v>13601</v>
      </c>
      <c r="H34" s="95">
        <v>25614</v>
      </c>
      <c r="I34" s="95">
        <v>714</v>
      </c>
      <c r="J34" s="95">
        <v>826</v>
      </c>
      <c r="K34" s="95">
        <v>1540</v>
      </c>
      <c r="L34" s="95">
        <v>41580</v>
      </c>
      <c r="M34" s="95">
        <v>34628</v>
      </c>
      <c r="N34" s="95">
        <v>76208</v>
      </c>
      <c r="O34" s="95">
        <v>554</v>
      </c>
      <c r="P34" s="95">
        <v>288</v>
      </c>
      <c r="Q34" s="95">
        <v>842</v>
      </c>
      <c r="R34" s="95">
        <v>1397</v>
      </c>
      <c r="S34" s="95">
        <v>737</v>
      </c>
      <c r="T34" s="95">
        <v>2134</v>
      </c>
      <c r="U34" s="95">
        <v>4203</v>
      </c>
      <c r="V34" s="95">
        <v>4160</v>
      </c>
      <c r="W34" s="95">
        <v>8363</v>
      </c>
      <c r="X34" s="95">
        <v>312</v>
      </c>
      <c r="Y34" s="95">
        <v>240</v>
      </c>
      <c r="Z34" s="95">
        <v>552</v>
      </c>
      <c r="AA34" s="659" t="b">
        <v>0</v>
      </c>
      <c r="AB34" s="659" t="b">
        <v>0</v>
      </c>
    </row>
    <row r="35" spans="1:28" ht="29.25" customHeight="1">
      <c r="A35" s="193">
        <v>31</v>
      </c>
      <c r="B35" s="212" t="s">
        <v>142</v>
      </c>
      <c r="C35" s="95">
        <v>35773</v>
      </c>
      <c r="D35" s="95">
        <v>24698</v>
      </c>
      <c r="E35" s="95">
        <v>60471</v>
      </c>
      <c r="F35" s="95">
        <v>5420</v>
      </c>
      <c r="G35" s="95">
        <v>4708</v>
      </c>
      <c r="H35" s="95">
        <v>10128</v>
      </c>
      <c r="I35" s="95">
        <v>1936</v>
      </c>
      <c r="J35" s="95">
        <v>1547</v>
      </c>
      <c r="K35" s="95">
        <v>3483</v>
      </c>
      <c r="L35" s="95">
        <v>11925</v>
      </c>
      <c r="M35" s="95">
        <v>8043</v>
      </c>
      <c r="N35" s="95">
        <v>19968</v>
      </c>
      <c r="O35" s="95">
        <v>240</v>
      </c>
      <c r="P35" s="95">
        <v>125</v>
      </c>
      <c r="Q35" s="95">
        <v>365</v>
      </c>
      <c r="R35" s="95">
        <v>2749</v>
      </c>
      <c r="S35" s="95">
        <v>1260</v>
      </c>
      <c r="T35" s="95">
        <v>4009</v>
      </c>
      <c r="U35" s="95">
        <v>521</v>
      </c>
      <c r="V35" s="95">
        <v>773</v>
      </c>
      <c r="W35" s="95">
        <v>1294</v>
      </c>
      <c r="X35" s="95">
        <v>67</v>
      </c>
      <c r="Y35" s="95">
        <v>102</v>
      </c>
      <c r="Z35" s="95">
        <v>169</v>
      </c>
      <c r="AA35" s="659" t="b">
        <v>0</v>
      </c>
      <c r="AB35" s="659" t="b">
        <v>0</v>
      </c>
    </row>
    <row r="36" spans="1:28" ht="48" customHeight="1">
      <c r="A36" s="193">
        <v>32</v>
      </c>
      <c r="B36" s="212" t="s">
        <v>173</v>
      </c>
      <c r="C36" s="95">
        <v>217</v>
      </c>
      <c r="D36" s="95">
        <v>191</v>
      </c>
      <c r="E36" s="95">
        <v>408</v>
      </c>
      <c r="F36" s="95">
        <v>22</v>
      </c>
      <c r="G36" s="95">
        <v>9</v>
      </c>
      <c r="H36" s="95">
        <v>31</v>
      </c>
      <c r="I36" s="95">
        <v>85</v>
      </c>
      <c r="J36" s="95">
        <v>68</v>
      </c>
      <c r="K36" s="95">
        <v>153</v>
      </c>
      <c r="L36" s="95">
        <v>8</v>
      </c>
      <c r="M36" s="95">
        <v>18</v>
      </c>
      <c r="N36" s="95">
        <v>26</v>
      </c>
      <c r="O36" s="95">
        <v>1</v>
      </c>
      <c r="P36" s="95">
        <v>0</v>
      </c>
      <c r="Q36" s="95">
        <v>1</v>
      </c>
      <c r="R36" s="95">
        <v>6</v>
      </c>
      <c r="S36" s="95">
        <v>2</v>
      </c>
      <c r="T36" s="95">
        <v>8</v>
      </c>
      <c r="U36" s="95">
        <v>12</v>
      </c>
      <c r="V36" s="95">
        <v>19</v>
      </c>
      <c r="W36" s="95">
        <v>31</v>
      </c>
      <c r="X36" s="95">
        <v>0</v>
      </c>
      <c r="Y36" s="95">
        <v>0</v>
      </c>
      <c r="Z36" s="95">
        <v>0</v>
      </c>
    </row>
    <row r="37" spans="1:28" ht="25.5" customHeight="1">
      <c r="A37" s="193">
        <v>33</v>
      </c>
      <c r="B37" s="212" t="s">
        <v>45</v>
      </c>
      <c r="C37" s="95">
        <v>1723</v>
      </c>
      <c r="D37" s="95">
        <v>1109</v>
      </c>
      <c r="E37" s="95">
        <v>2832</v>
      </c>
      <c r="F37" s="95">
        <v>244</v>
      </c>
      <c r="G37" s="95">
        <v>141</v>
      </c>
      <c r="H37" s="95">
        <v>385</v>
      </c>
      <c r="I37" s="95">
        <v>265</v>
      </c>
      <c r="J37" s="95">
        <v>169</v>
      </c>
      <c r="K37" s="95">
        <v>434</v>
      </c>
      <c r="L37" s="95">
        <v>138</v>
      </c>
      <c r="M37" s="95">
        <v>102</v>
      </c>
      <c r="N37" s="95">
        <v>240</v>
      </c>
      <c r="O37" s="95">
        <v>31</v>
      </c>
      <c r="P37" s="95">
        <v>9</v>
      </c>
      <c r="Q37" s="95">
        <v>40</v>
      </c>
      <c r="R37" s="95">
        <v>16</v>
      </c>
      <c r="S37" s="95">
        <v>4</v>
      </c>
      <c r="T37" s="95">
        <v>20</v>
      </c>
      <c r="U37" s="95">
        <v>27</v>
      </c>
      <c r="V37" s="95">
        <v>15</v>
      </c>
      <c r="W37" s="95">
        <v>42</v>
      </c>
      <c r="X37" s="95">
        <v>0</v>
      </c>
      <c r="Y37" s="95">
        <v>0</v>
      </c>
      <c r="Z37" s="95">
        <v>0</v>
      </c>
      <c r="AA37" s="659" t="b">
        <v>0</v>
      </c>
      <c r="AB37" s="659" t="b">
        <v>0</v>
      </c>
    </row>
    <row r="38" spans="1:28" ht="25.5" customHeight="1">
      <c r="A38" s="193">
        <v>34</v>
      </c>
      <c r="B38" s="212" t="s">
        <v>47</v>
      </c>
      <c r="C38" s="95">
        <v>114883</v>
      </c>
      <c r="D38" s="95">
        <v>35685</v>
      </c>
      <c r="E38" s="95">
        <v>150568</v>
      </c>
      <c r="F38" s="95">
        <v>17366</v>
      </c>
      <c r="G38" s="95">
        <v>6858</v>
      </c>
      <c r="H38" s="95">
        <v>24224</v>
      </c>
      <c r="I38" s="95">
        <v>1128</v>
      </c>
      <c r="J38" s="95">
        <v>597</v>
      </c>
      <c r="K38" s="95">
        <v>1725</v>
      </c>
      <c r="L38" s="95">
        <v>26524</v>
      </c>
      <c r="M38" s="95">
        <v>9305</v>
      </c>
      <c r="N38" s="95">
        <v>35829</v>
      </c>
      <c r="O38" s="95">
        <v>567</v>
      </c>
      <c r="P38" s="95">
        <v>205</v>
      </c>
      <c r="Q38" s="95">
        <v>772</v>
      </c>
      <c r="R38" s="95">
        <v>8638</v>
      </c>
      <c r="S38" s="95">
        <v>2147</v>
      </c>
      <c r="T38" s="95">
        <v>10785</v>
      </c>
      <c r="U38" s="95">
        <v>1575</v>
      </c>
      <c r="V38" s="95">
        <v>420</v>
      </c>
      <c r="W38" s="95">
        <v>1995</v>
      </c>
      <c r="X38" s="95">
        <v>87</v>
      </c>
      <c r="Y38" s="95">
        <v>87</v>
      </c>
      <c r="Z38" s="95">
        <v>174</v>
      </c>
      <c r="AA38" s="659" t="b">
        <v>0</v>
      </c>
      <c r="AB38" s="659" t="b">
        <v>0</v>
      </c>
    </row>
    <row r="39" spans="1:28" ht="25.5" customHeight="1">
      <c r="A39" s="193">
        <v>35</v>
      </c>
      <c r="B39" s="212" t="s">
        <v>46</v>
      </c>
      <c r="C39" s="95">
        <v>16477</v>
      </c>
      <c r="D39" s="95">
        <v>7664</v>
      </c>
      <c r="E39" s="95">
        <v>24141</v>
      </c>
      <c r="F39" s="95">
        <v>2242</v>
      </c>
      <c r="G39" s="95">
        <v>881</v>
      </c>
      <c r="H39" s="95">
        <v>3123</v>
      </c>
      <c r="I39" s="95">
        <v>356</v>
      </c>
      <c r="J39" s="95">
        <v>184</v>
      </c>
      <c r="K39" s="95">
        <v>540</v>
      </c>
      <c r="L39" s="95">
        <v>1709</v>
      </c>
      <c r="M39" s="95">
        <v>786</v>
      </c>
      <c r="N39" s="95">
        <v>2495</v>
      </c>
      <c r="O39" s="95">
        <v>46</v>
      </c>
      <c r="P39" s="95">
        <v>8</v>
      </c>
      <c r="Q39" s="95">
        <v>54</v>
      </c>
      <c r="R39" s="95">
        <v>222</v>
      </c>
      <c r="S39" s="95">
        <v>60</v>
      </c>
      <c r="T39" s="95">
        <v>282</v>
      </c>
      <c r="U39" s="95">
        <v>87</v>
      </c>
      <c r="V39" s="95">
        <v>80</v>
      </c>
      <c r="W39" s="95">
        <v>167</v>
      </c>
      <c r="X39" s="95">
        <v>3</v>
      </c>
      <c r="Y39" s="95">
        <v>15</v>
      </c>
      <c r="Z39" s="95">
        <v>18</v>
      </c>
      <c r="AA39" s="659" t="b">
        <v>0</v>
      </c>
      <c r="AB39" s="659" t="b">
        <v>0</v>
      </c>
    </row>
    <row r="40" spans="1:28" ht="25.5" customHeight="1">
      <c r="A40" s="193">
        <v>36</v>
      </c>
      <c r="B40" s="212" t="s">
        <v>48</v>
      </c>
      <c r="C40" s="95">
        <v>34892</v>
      </c>
      <c r="D40" s="95">
        <v>10695</v>
      </c>
      <c r="E40" s="95">
        <v>45587</v>
      </c>
      <c r="F40" s="95">
        <v>5130</v>
      </c>
      <c r="G40" s="95">
        <v>1164</v>
      </c>
      <c r="H40" s="95">
        <v>6294</v>
      </c>
      <c r="I40" s="95">
        <v>1036</v>
      </c>
      <c r="J40" s="95">
        <v>386</v>
      </c>
      <c r="K40" s="95">
        <v>1422</v>
      </c>
      <c r="L40" s="95">
        <v>1840</v>
      </c>
      <c r="M40" s="95">
        <v>672</v>
      </c>
      <c r="N40" s="95">
        <v>2512</v>
      </c>
      <c r="O40" s="95">
        <v>152</v>
      </c>
      <c r="P40" s="95">
        <v>18</v>
      </c>
      <c r="Q40" s="95">
        <v>170</v>
      </c>
      <c r="R40" s="95">
        <v>1973</v>
      </c>
      <c r="S40" s="95">
        <v>449</v>
      </c>
      <c r="T40" s="95">
        <v>2422</v>
      </c>
      <c r="U40" s="95">
        <v>302</v>
      </c>
      <c r="V40" s="95">
        <v>119</v>
      </c>
      <c r="W40" s="95">
        <v>421</v>
      </c>
      <c r="X40" s="95">
        <v>134</v>
      </c>
      <c r="Y40" s="95">
        <v>13</v>
      </c>
      <c r="Z40" s="95">
        <v>147</v>
      </c>
    </row>
    <row r="41" spans="1:28" s="699" customFormat="1" ht="25.5" customHeight="1">
      <c r="A41" s="1080" t="s">
        <v>49</v>
      </c>
      <c r="B41" s="1081"/>
      <c r="C41" s="539">
        <v>920193</v>
      </c>
      <c r="D41" s="539">
        <v>475675</v>
      </c>
      <c r="E41" s="539">
        <v>1395868</v>
      </c>
      <c r="F41" s="539">
        <v>125945</v>
      </c>
      <c r="G41" s="539">
        <v>75279</v>
      </c>
      <c r="H41" s="539">
        <v>201224</v>
      </c>
      <c r="I41" s="539">
        <v>38643</v>
      </c>
      <c r="J41" s="539">
        <v>22591</v>
      </c>
      <c r="K41" s="539">
        <v>61234</v>
      </c>
      <c r="L41" s="539">
        <v>209890</v>
      </c>
      <c r="M41" s="539">
        <v>134808</v>
      </c>
      <c r="N41" s="539">
        <v>344698</v>
      </c>
      <c r="O41" s="539">
        <v>5501</v>
      </c>
      <c r="P41" s="539">
        <v>2029</v>
      </c>
      <c r="Q41" s="539">
        <v>7530</v>
      </c>
      <c r="R41" s="539">
        <v>38648</v>
      </c>
      <c r="S41" s="539">
        <v>13288</v>
      </c>
      <c r="T41" s="539">
        <v>51936</v>
      </c>
      <c r="U41" s="539">
        <v>24512</v>
      </c>
      <c r="V41" s="539">
        <v>20917</v>
      </c>
      <c r="W41" s="539">
        <v>45429</v>
      </c>
      <c r="X41" s="539">
        <v>2443</v>
      </c>
      <c r="Y41" s="539">
        <v>1708</v>
      </c>
      <c r="Z41" s="539">
        <v>4151</v>
      </c>
      <c r="AA41" s="659" t="b">
        <v>0</v>
      </c>
      <c r="AB41" s="659" t="b">
        <v>0</v>
      </c>
    </row>
  </sheetData>
  <mergeCells count="13">
    <mergeCell ref="A41:B41"/>
    <mergeCell ref="A2:A3"/>
    <mergeCell ref="B2:B3"/>
    <mergeCell ref="C1:N1"/>
    <mergeCell ref="O1:Z1"/>
    <mergeCell ref="C2:E2"/>
    <mergeCell ref="F2:H2"/>
    <mergeCell ref="I2:K2"/>
    <mergeCell ref="L2:N2"/>
    <mergeCell ref="O2:Q2"/>
    <mergeCell ref="R2:T2"/>
    <mergeCell ref="U2:W2"/>
    <mergeCell ref="X2:Z2"/>
  </mergeCells>
  <pageMargins left="0.6692913385826772" right="0.19685039370078741" top="0.74803149606299213" bottom="0.74803149606299213" header="0.31496062992125984" footer="0.31496062992125984"/>
  <pageSetup paperSize="9" scale="59" firstPageNumber="24" orientation="portrait" useFirstPageNumber="1" r:id="rId1"/>
  <headerFooter>
    <oddFooter>&amp;L&amp;"Arial,Italic"&amp;9AISHE 2020-21&amp;CT-24a</oddFooter>
  </headerFooter>
  <colBreaks count="1" manualBreakCount="1">
    <brk id="14" max="39" man="1"/>
  </colBreaks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00B050"/>
  </sheetPr>
  <dimension ref="A1:N42"/>
  <sheetViews>
    <sheetView view="pageBreakPreview" zoomScaleSheetLayoutView="100" workbookViewId="0">
      <pane ySplit="4" topLeftCell="A32" activePane="bottomLeft" state="frozen"/>
      <selection activeCell="H31" sqref="H31"/>
      <selection pane="bottomLeft" activeCell="E40" sqref="E40"/>
    </sheetView>
  </sheetViews>
  <sheetFormatPr defaultRowHeight="14"/>
  <cols>
    <col min="1" max="1" width="5.1796875" style="215" customWidth="1"/>
    <col min="2" max="2" width="26.1796875" style="215" customWidth="1"/>
    <col min="3" max="8" width="15.1796875" style="215" customWidth="1"/>
    <col min="9" max="9" width="9.453125" style="215" bestFit="1" customWidth="1"/>
    <col min="10" max="253" width="9.1796875" style="215"/>
    <col min="254" max="254" width="5.1796875" style="215" customWidth="1"/>
    <col min="255" max="255" width="22.54296875" style="215" customWidth="1"/>
    <col min="256" max="256" width="17.7265625" style="215" customWidth="1"/>
    <col min="257" max="257" width="19" style="215" customWidth="1"/>
    <col min="258" max="258" width="22.1796875" style="215" customWidth="1"/>
    <col min="259" max="509" width="9.1796875" style="215"/>
    <col min="510" max="510" width="5.1796875" style="215" customWidth="1"/>
    <col min="511" max="511" width="22.54296875" style="215" customWidth="1"/>
    <col min="512" max="512" width="17.7265625" style="215" customWidth="1"/>
    <col min="513" max="513" width="19" style="215" customWidth="1"/>
    <col min="514" max="514" width="22.1796875" style="215" customWidth="1"/>
    <col min="515" max="765" width="9.1796875" style="215"/>
    <col min="766" max="766" width="5.1796875" style="215" customWidth="1"/>
    <col min="767" max="767" width="22.54296875" style="215" customWidth="1"/>
    <col min="768" max="768" width="17.7265625" style="215" customWidth="1"/>
    <col min="769" max="769" width="19" style="215" customWidth="1"/>
    <col min="770" max="770" width="22.1796875" style="215" customWidth="1"/>
    <col min="771" max="1021" width="9.1796875" style="215"/>
    <col min="1022" max="1022" width="5.1796875" style="215" customWidth="1"/>
    <col min="1023" max="1023" width="22.54296875" style="215" customWidth="1"/>
    <col min="1024" max="1024" width="17.7265625" style="215" customWidth="1"/>
    <col min="1025" max="1025" width="19" style="215" customWidth="1"/>
    <col min="1026" max="1026" width="22.1796875" style="215" customWidth="1"/>
    <col min="1027" max="1277" width="9.1796875" style="215"/>
    <col min="1278" max="1278" width="5.1796875" style="215" customWidth="1"/>
    <col min="1279" max="1279" width="22.54296875" style="215" customWidth="1"/>
    <col min="1280" max="1280" width="17.7265625" style="215" customWidth="1"/>
    <col min="1281" max="1281" width="19" style="215" customWidth="1"/>
    <col min="1282" max="1282" width="22.1796875" style="215" customWidth="1"/>
    <col min="1283" max="1533" width="9.1796875" style="215"/>
    <col min="1534" max="1534" width="5.1796875" style="215" customWidth="1"/>
    <col min="1535" max="1535" width="22.54296875" style="215" customWidth="1"/>
    <col min="1536" max="1536" width="17.7265625" style="215" customWidth="1"/>
    <col min="1537" max="1537" width="19" style="215" customWidth="1"/>
    <col min="1538" max="1538" width="22.1796875" style="215" customWidth="1"/>
    <col min="1539" max="1789" width="9.1796875" style="215"/>
    <col min="1790" max="1790" width="5.1796875" style="215" customWidth="1"/>
    <col min="1791" max="1791" width="22.54296875" style="215" customWidth="1"/>
    <col min="1792" max="1792" width="17.7265625" style="215" customWidth="1"/>
    <col min="1793" max="1793" width="19" style="215" customWidth="1"/>
    <col min="1794" max="1794" width="22.1796875" style="215" customWidth="1"/>
    <col min="1795" max="2045" width="9.1796875" style="215"/>
    <col min="2046" max="2046" width="5.1796875" style="215" customWidth="1"/>
    <col min="2047" max="2047" width="22.54296875" style="215" customWidth="1"/>
    <col min="2048" max="2048" width="17.7265625" style="215" customWidth="1"/>
    <col min="2049" max="2049" width="19" style="215" customWidth="1"/>
    <col min="2050" max="2050" width="22.1796875" style="215" customWidth="1"/>
    <col min="2051" max="2301" width="9.1796875" style="215"/>
    <col min="2302" max="2302" width="5.1796875" style="215" customWidth="1"/>
    <col min="2303" max="2303" width="22.54296875" style="215" customWidth="1"/>
    <col min="2304" max="2304" width="17.7265625" style="215" customWidth="1"/>
    <col min="2305" max="2305" width="19" style="215" customWidth="1"/>
    <col min="2306" max="2306" width="22.1796875" style="215" customWidth="1"/>
    <col min="2307" max="2557" width="9.1796875" style="215"/>
    <col min="2558" max="2558" width="5.1796875" style="215" customWidth="1"/>
    <col min="2559" max="2559" width="22.54296875" style="215" customWidth="1"/>
    <col min="2560" max="2560" width="17.7265625" style="215" customWidth="1"/>
    <col min="2561" max="2561" width="19" style="215" customWidth="1"/>
    <col min="2562" max="2562" width="22.1796875" style="215" customWidth="1"/>
    <col min="2563" max="2813" width="9.1796875" style="215"/>
    <col min="2814" max="2814" width="5.1796875" style="215" customWidth="1"/>
    <col min="2815" max="2815" width="22.54296875" style="215" customWidth="1"/>
    <col min="2816" max="2816" width="17.7265625" style="215" customWidth="1"/>
    <col min="2817" max="2817" width="19" style="215" customWidth="1"/>
    <col min="2818" max="2818" width="22.1796875" style="215" customWidth="1"/>
    <col min="2819" max="3069" width="9.1796875" style="215"/>
    <col min="3070" max="3070" width="5.1796875" style="215" customWidth="1"/>
    <col min="3071" max="3071" width="22.54296875" style="215" customWidth="1"/>
    <col min="3072" max="3072" width="17.7265625" style="215" customWidth="1"/>
    <col min="3073" max="3073" width="19" style="215" customWidth="1"/>
    <col min="3074" max="3074" width="22.1796875" style="215" customWidth="1"/>
    <col min="3075" max="3325" width="9.1796875" style="215"/>
    <col min="3326" max="3326" width="5.1796875" style="215" customWidth="1"/>
    <col min="3327" max="3327" width="22.54296875" style="215" customWidth="1"/>
    <col min="3328" max="3328" width="17.7265625" style="215" customWidth="1"/>
    <col min="3329" max="3329" width="19" style="215" customWidth="1"/>
    <col min="3330" max="3330" width="22.1796875" style="215" customWidth="1"/>
    <col min="3331" max="3581" width="9.1796875" style="215"/>
    <col min="3582" max="3582" width="5.1796875" style="215" customWidth="1"/>
    <col min="3583" max="3583" width="22.54296875" style="215" customWidth="1"/>
    <col min="3584" max="3584" width="17.7265625" style="215" customWidth="1"/>
    <col min="3585" max="3585" width="19" style="215" customWidth="1"/>
    <col min="3586" max="3586" width="22.1796875" style="215" customWidth="1"/>
    <col min="3587" max="3837" width="9.1796875" style="215"/>
    <col min="3838" max="3838" width="5.1796875" style="215" customWidth="1"/>
    <col min="3839" max="3839" width="22.54296875" style="215" customWidth="1"/>
    <col min="3840" max="3840" width="17.7265625" style="215" customWidth="1"/>
    <col min="3841" max="3841" width="19" style="215" customWidth="1"/>
    <col min="3842" max="3842" width="22.1796875" style="215" customWidth="1"/>
    <col min="3843" max="4093" width="9.1796875" style="215"/>
    <col min="4094" max="4094" width="5.1796875" style="215" customWidth="1"/>
    <col min="4095" max="4095" width="22.54296875" style="215" customWidth="1"/>
    <col min="4096" max="4096" width="17.7265625" style="215" customWidth="1"/>
    <col min="4097" max="4097" width="19" style="215" customWidth="1"/>
    <col min="4098" max="4098" width="22.1796875" style="215" customWidth="1"/>
    <col min="4099" max="4349" width="9.1796875" style="215"/>
    <col min="4350" max="4350" width="5.1796875" style="215" customWidth="1"/>
    <col min="4351" max="4351" width="22.54296875" style="215" customWidth="1"/>
    <col min="4352" max="4352" width="17.7265625" style="215" customWidth="1"/>
    <col min="4353" max="4353" width="19" style="215" customWidth="1"/>
    <col min="4354" max="4354" width="22.1796875" style="215" customWidth="1"/>
    <col min="4355" max="4605" width="9.1796875" style="215"/>
    <col min="4606" max="4606" width="5.1796875" style="215" customWidth="1"/>
    <col min="4607" max="4607" width="22.54296875" style="215" customWidth="1"/>
    <col min="4608" max="4608" width="17.7265625" style="215" customWidth="1"/>
    <col min="4609" max="4609" width="19" style="215" customWidth="1"/>
    <col min="4610" max="4610" width="22.1796875" style="215" customWidth="1"/>
    <col min="4611" max="4861" width="9.1796875" style="215"/>
    <col min="4862" max="4862" width="5.1796875" style="215" customWidth="1"/>
    <col min="4863" max="4863" width="22.54296875" style="215" customWidth="1"/>
    <col min="4864" max="4864" width="17.7265625" style="215" customWidth="1"/>
    <col min="4865" max="4865" width="19" style="215" customWidth="1"/>
    <col min="4866" max="4866" width="22.1796875" style="215" customWidth="1"/>
    <col min="4867" max="5117" width="9.1796875" style="215"/>
    <col min="5118" max="5118" width="5.1796875" style="215" customWidth="1"/>
    <col min="5119" max="5119" width="22.54296875" style="215" customWidth="1"/>
    <col min="5120" max="5120" width="17.7265625" style="215" customWidth="1"/>
    <col min="5121" max="5121" width="19" style="215" customWidth="1"/>
    <col min="5122" max="5122" width="22.1796875" style="215" customWidth="1"/>
    <col min="5123" max="5373" width="9.1796875" style="215"/>
    <col min="5374" max="5374" width="5.1796875" style="215" customWidth="1"/>
    <col min="5375" max="5375" width="22.54296875" style="215" customWidth="1"/>
    <col min="5376" max="5376" width="17.7265625" style="215" customWidth="1"/>
    <col min="5377" max="5377" width="19" style="215" customWidth="1"/>
    <col min="5378" max="5378" width="22.1796875" style="215" customWidth="1"/>
    <col min="5379" max="5629" width="9.1796875" style="215"/>
    <col min="5630" max="5630" width="5.1796875" style="215" customWidth="1"/>
    <col min="5631" max="5631" width="22.54296875" style="215" customWidth="1"/>
    <col min="5632" max="5632" width="17.7265625" style="215" customWidth="1"/>
    <col min="5633" max="5633" width="19" style="215" customWidth="1"/>
    <col min="5634" max="5634" width="22.1796875" style="215" customWidth="1"/>
    <col min="5635" max="5885" width="9.1796875" style="215"/>
    <col min="5886" max="5886" width="5.1796875" style="215" customWidth="1"/>
    <col min="5887" max="5887" width="22.54296875" style="215" customWidth="1"/>
    <col min="5888" max="5888" width="17.7265625" style="215" customWidth="1"/>
    <col min="5889" max="5889" width="19" style="215" customWidth="1"/>
    <col min="5890" max="5890" width="22.1796875" style="215" customWidth="1"/>
    <col min="5891" max="6141" width="9.1796875" style="215"/>
    <col min="6142" max="6142" width="5.1796875" style="215" customWidth="1"/>
    <col min="6143" max="6143" width="22.54296875" style="215" customWidth="1"/>
    <col min="6144" max="6144" width="17.7265625" style="215" customWidth="1"/>
    <col min="6145" max="6145" width="19" style="215" customWidth="1"/>
    <col min="6146" max="6146" width="22.1796875" style="215" customWidth="1"/>
    <col min="6147" max="6397" width="9.1796875" style="215"/>
    <col min="6398" max="6398" width="5.1796875" style="215" customWidth="1"/>
    <col min="6399" max="6399" width="22.54296875" style="215" customWidth="1"/>
    <col min="6400" max="6400" width="17.7265625" style="215" customWidth="1"/>
    <col min="6401" max="6401" width="19" style="215" customWidth="1"/>
    <col min="6402" max="6402" width="22.1796875" style="215" customWidth="1"/>
    <col min="6403" max="6653" width="9.1796875" style="215"/>
    <col min="6654" max="6654" width="5.1796875" style="215" customWidth="1"/>
    <col min="6655" max="6655" width="22.54296875" style="215" customWidth="1"/>
    <col min="6656" max="6656" width="17.7265625" style="215" customWidth="1"/>
    <col min="6657" max="6657" width="19" style="215" customWidth="1"/>
    <col min="6658" max="6658" width="22.1796875" style="215" customWidth="1"/>
    <col min="6659" max="6909" width="9.1796875" style="215"/>
    <col min="6910" max="6910" width="5.1796875" style="215" customWidth="1"/>
    <col min="6911" max="6911" width="22.54296875" style="215" customWidth="1"/>
    <col min="6912" max="6912" width="17.7265625" style="215" customWidth="1"/>
    <col min="6913" max="6913" width="19" style="215" customWidth="1"/>
    <col min="6914" max="6914" width="22.1796875" style="215" customWidth="1"/>
    <col min="6915" max="7165" width="9.1796875" style="215"/>
    <col min="7166" max="7166" width="5.1796875" style="215" customWidth="1"/>
    <col min="7167" max="7167" width="22.54296875" style="215" customWidth="1"/>
    <col min="7168" max="7168" width="17.7265625" style="215" customWidth="1"/>
    <col min="7169" max="7169" width="19" style="215" customWidth="1"/>
    <col min="7170" max="7170" width="22.1796875" style="215" customWidth="1"/>
    <col min="7171" max="7421" width="9.1796875" style="215"/>
    <col min="7422" max="7422" width="5.1796875" style="215" customWidth="1"/>
    <col min="7423" max="7423" width="22.54296875" style="215" customWidth="1"/>
    <col min="7424" max="7424" width="17.7265625" style="215" customWidth="1"/>
    <col min="7425" max="7425" width="19" style="215" customWidth="1"/>
    <col min="7426" max="7426" width="22.1796875" style="215" customWidth="1"/>
    <col min="7427" max="7677" width="9.1796875" style="215"/>
    <col min="7678" max="7678" width="5.1796875" style="215" customWidth="1"/>
    <col min="7679" max="7679" width="22.54296875" style="215" customWidth="1"/>
    <col min="7680" max="7680" width="17.7265625" style="215" customWidth="1"/>
    <col min="7681" max="7681" width="19" style="215" customWidth="1"/>
    <col min="7682" max="7682" width="22.1796875" style="215" customWidth="1"/>
    <col min="7683" max="7933" width="9.1796875" style="215"/>
    <col min="7934" max="7934" width="5.1796875" style="215" customWidth="1"/>
    <col min="7935" max="7935" width="22.54296875" style="215" customWidth="1"/>
    <col min="7936" max="7936" width="17.7265625" style="215" customWidth="1"/>
    <col min="7937" max="7937" width="19" style="215" customWidth="1"/>
    <col min="7938" max="7938" width="22.1796875" style="215" customWidth="1"/>
    <col min="7939" max="8189" width="9.1796875" style="215"/>
    <col min="8190" max="8190" width="5.1796875" style="215" customWidth="1"/>
    <col min="8191" max="8191" width="22.54296875" style="215" customWidth="1"/>
    <col min="8192" max="8192" width="17.7265625" style="215" customWidth="1"/>
    <col min="8193" max="8193" width="19" style="215" customWidth="1"/>
    <col min="8194" max="8194" width="22.1796875" style="215" customWidth="1"/>
    <col min="8195" max="8445" width="9.1796875" style="215"/>
    <col min="8446" max="8446" width="5.1796875" style="215" customWidth="1"/>
    <col min="8447" max="8447" width="22.54296875" style="215" customWidth="1"/>
    <col min="8448" max="8448" width="17.7265625" style="215" customWidth="1"/>
    <col min="8449" max="8449" width="19" style="215" customWidth="1"/>
    <col min="8450" max="8450" width="22.1796875" style="215" customWidth="1"/>
    <col min="8451" max="8701" width="9.1796875" style="215"/>
    <col min="8702" max="8702" width="5.1796875" style="215" customWidth="1"/>
    <col min="8703" max="8703" width="22.54296875" style="215" customWidth="1"/>
    <col min="8704" max="8704" width="17.7265625" style="215" customWidth="1"/>
    <col min="8705" max="8705" width="19" style="215" customWidth="1"/>
    <col min="8706" max="8706" width="22.1796875" style="215" customWidth="1"/>
    <col min="8707" max="8957" width="9.1796875" style="215"/>
    <col min="8958" max="8958" width="5.1796875" style="215" customWidth="1"/>
    <col min="8959" max="8959" width="22.54296875" style="215" customWidth="1"/>
    <col min="8960" max="8960" width="17.7265625" style="215" customWidth="1"/>
    <col min="8961" max="8961" width="19" style="215" customWidth="1"/>
    <col min="8962" max="8962" width="22.1796875" style="215" customWidth="1"/>
    <col min="8963" max="9213" width="9.1796875" style="215"/>
    <col min="9214" max="9214" width="5.1796875" style="215" customWidth="1"/>
    <col min="9215" max="9215" width="22.54296875" style="215" customWidth="1"/>
    <col min="9216" max="9216" width="17.7265625" style="215" customWidth="1"/>
    <col min="9217" max="9217" width="19" style="215" customWidth="1"/>
    <col min="9218" max="9218" width="22.1796875" style="215" customWidth="1"/>
    <col min="9219" max="9469" width="9.1796875" style="215"/>
    <col min="9470" max="9470" width="5.1796875" style="215" customWidth="1"/>
    <col min="9471" max="9471" width="22.54296875" style="215" customWidth="1"/>
    <col min="9472" max="9472" width="17.7265625" style="215" customWidth="1"/>
    <col min="9473" max="9473" width="19" style="215" customWidth="1"/>
    <col min="9474" max="9474" width="22.1796875" style="215" customWidth="1"/>
    <col min="9475" max="9725" width="9.1796875" style="215"/>
    <col min="9726" max="9726" width="5.1796875" style="215" customWidth="1"/>
    <col min="9727" max="9727" width="22.54296875" style="215" customWidth="1"/>
    <col min="9728" max="9728" width="17.7265625" style="215" customWidth="1"/>
    <col min="9729" max="9729" width="19" style="215" customWidth="1"/>
    <col min="9730" max="9730" width="22.1796875" style="215" customWidth="1"/>
    <col min="9731" max="9981" width="9.1796875" style="215"/>
    <col min="9982" max="9982" width="5.1796875" style="215" customWidth="1"/>
    <col min="9983" max="9983" width="22.54296875" style="215" customWidth="1"/>
    <col min="9984" max="9984" width="17.7265625" style="215" customWidth="1"/>
    <col min="9985" max="9985" width="19" style="215" customWidth="1"/>
    <col min="9986" max="9986" width="22.1796875" style="215" customWidth="1"/>
    <col min="9987" max="10237" width="9.1796875" style="215"/>
    <col min="10238" max="10238" width="5.1796875" style="215" customWidth="1"/>
    <col min="10239" max="10239" width="22.54296875" style="215" customWidth="1"/>
    <col min="10240" max="10240" width="17.7265625" style="215" customWidth="1"/>
    <col min="10241" max="10241" width="19" style="215" customWidth="1"/>
    <col min="10242" max="10242" width="22.1796875" style="215" customWidth="1"/>
    <col min="10243" max="10493" width="9.1796875" style="215"/>
    <col min="10494" max="10494" width="5.1796875" style="215" customWidth="1"/>
    <col min="10495" max="10495" width="22.54296875" style="215" customWidth="1"/>
    <col min="10496" max="10496" width="17.7265625" style="215" customWidth="1"/>
    <col min="10497" max="10497" width="19" style="215" customWidth="1"/>
    <col min="10498" max="10498" width="22.1796875" style="215" customWidth="1"/>
    <col min="10499" max="10749" width="9.1796875" style="215"/>
    <col min="10750" max="10750" width="5.1796875" style="215" customWidth="1"/>
    <col min="10751" max="10751" width="22.54296875" style="215" customWidth="1"/>
    <col min="10752" max="10752" width="17.7265625" style="215" customWidth="1"/>
    <col min="10753" max="10753" width="19" style="215" customWidth="1"/>
    <col min="10754" max="10754" width="22.1796875" style="215" customWidth="1"/>
    <col min="10755" max="11005" width="9.1796875" style="215"/>
    <col min="11006" max="11006" width="5.1796875" style="215" customWidth="1"/>
    <col min="11007" max="11007" width="22.54296875" style="215" customWidth="1"/>
    <col min="11008" max="11008" width="17.7265625" style="215" customWidth="1"/>
    <col min="11009" max="11009" width="19" style="215" customWidth="1"/>
    <col min="11010" max="11010" width="22.1796875" style="215" customWidth="1"/>
    <col min="11011" max="11261" width="9.1796875" style="215"/>
    <col min="11262" max="11262" width="5.1796875" style="215" customWidth="1"/>
    <col min="11263" max="11263" width="22.54296875" style="215" customWidth="1"/>
    <col min="11264" max="11264" width="17.7265625" style="215" customWidth="1"/>
    <col min="11265" max="11265" width="19" style="215" customWidth="1"/>
    <col min="11266" max="11266" width="22.1796875" style="215" customWidth="1"/>
    <col min="11267" max="11517" width="9.1796875" style="215"/>
    <col min="11518" max="11518" width="5.1796875" style="215" customWidth="1"/>
    <col min="11519" max="11519" width="22.54296875" style="215" customWidth="1"/>
    <col min="11520" max="11520" width="17.7265625" style="215" customWidth="1"/>
    <col min="11521" max="11521" width="19" style="215" customWidth="1"/>
    <col min="11522" max="11522" width="22.1796875" style="215" customWidth="1"/>
    <col min="11523" max="11773" width="9.1796875" style="215"/>
    <col min="11774" max="11774" width="5.1796875" style="215" customWidth="1"/>
    <col min="11775" max="11775" width="22.54296875" style="215" customWidth="1"/>
    <col min="11776" max="11776" width="17.7265625" style="215" customWidth="1"/>
    <col min="11777" max="11777" width="19" style="215" customWidth="1"/>
    <col min="11778" max="11778" width="22.1796875" style="215" customWidth="1"/>
    <col min="11779" max="12029" width="9.1796875" style="215"/>
    <col min="12030" max="12030" width="5.1796875" style="215" customWidth="1"/>
    <col min="12031" max="12031" width="22.54296875" style="215" customWidth="1"/>
    <col min="12032" max="12032" width="17.7265625" style="215" customWidth="1"/>
    <col min="12033" max="12033" width="19" style="215" customWidth="1"/>
    <col min="12034" max="12034" width="22.1796875" style="215" customWidth="1"/>
    <col min="12035" max="12285" width="9.1796875" style="215"/>
    <col min="12286" max="12286" width="5.1796875" style="215" customWidth="1"/>
    <col min="12287" max="12287" width="22.54296875" style="215" customWidth="1"/>
    <col min="12288" max="12288" width="17.7265625" style="215" customWidth="1"/>
    <col min="12289" max="12289" width="19" style="215" customWidth="1"/>
    <col min="12290" max="12290" width="22.1796875" style="215" customWidth="1"/>
    <col min="12291" max="12541" width="9.1796875" style="215"/>
    <col min="12542" max="12542" width="5.1796875" style="215" customWidth="1"/>
    <col min="12543" max="12543" width="22.54296875" style="215" customWidth="1"/>
    <col min="12544" max="12544" width="17.7265625" style="215" customWidth="1"/>
    <col min="12545" max="12545" width="19" style="215" customWidth="1"/>
    <col min="12546" max="12546" width="22.1796875" style="215" customWidth="1"/>
    <col min="12547" max="12797" width="9.1796875" style="215"/>
    <col min="12798" max="12798" width="5.1796875" style="215" customWidth="1"/>
    <col min="12799" max="12799" width="22.54296875" style="215" customWidth="1"/>
    <col min="12800" max="12800" width="17.7265625" style="215" customWidth="1"/>
    <col min="12801" max="12801" width="19" style="215" customWidth="1"/>
    <col min="12802" max="12802" width="22.1796875" style="215" customWidth="1"/>
    <col min="12803" max="13053" width="9.1796875" style="215"/>
    <col min="13054" max="13054" width="5.1796875" style="215" customWidth="1"/>
    <col min="13055" max="13055" width="22.54296875" style="215" customWidth="1"/>
    <col min="13056" max="13056" width="17.7265625" style="215" customWidth="1"/>
    <col min="13057" max="13057" width="19" style="215" customWidth="1"/>
    <col min="13058" max="13058" width="22.1796875" style="215" customWidth="1"/>
    <col min="13059" max="13309" width="9.1796875" style="215"/>
    <col min="13310" max="13310" width="5.1796875" style="215" customWidth="1"/>
    <col min="13311" max="13311" width="22.54296875" style="215" customWidth="1"/>
    <col min="13312" max="13312" width="17.7265625" style="215" customWidth="1"/>
    <col min="13313" max="13313" width="19" style="215" customWidth="1"/>
    <col min="13314" max="13314" width="22.1796875" style="215" customWidth="1"/>
    <col min="13315" max="13565" width="9.1796875" style="215"/>
    <col min="13566" max="13566" width="5.1796875" style="215" customWidth="1"/>
    <col min="13567" max="13567" width="22.54296875" style="215" customWidth="1"/>
    <col min="13568" max="13568" width="17.7265625" style="215" customWidth="1"/>
    <col min="13569" max="13569" width="19" style="215" customWidth="1"/>
    <col min="13570" max="13570" width="22.1796875" style="215" customWidth="1"/>
    <col min="13571" max="13821" width="9.1796875" style="215"/>
    <col min="13822" max="13822" width="5.1796875" style="215" customWidth="1"/>
    <col min="13823" max="13823" width="22.54296875" style="215" customWidth="1"/>
    <col min="13824" max="13824" width="17.7265625" style="215" customWidth="1"/>
    <col min="13825" max="13825" width="19" style="215" customWidth="1"/>
    <col min="13826" max="13826" width="22.1796875" style="215" customWidth="1"/>
    <col min="13827" max="14077" width="9.1796875" style="215"/>
    <col min="14078" max="14078" width="5.1796875" style="215" customWidth="1"/>
    <col min="14079" max="14079" width="22.54296875" style="215" customWidth="1"/>
    <col min="14080" max="14080" width="17.7265625" style="215" customWidth="1"/>
    <col min="14081" max="14081" width="19" style="215" customWidth="1"/>
    <col min="14082" max="14082" width="22.1796875" style="215" customWidth="1"/>
    <col min="14083" max="14333" width="9.1796875" style="215"/>
    <col min="14334" max="14334" width="5.1796875" style="215" customWidth="1"/>
    <col min="14335" max="14335" width="22.54296875" style="215" customWidth="1"/>
    <col min="14336" max="14336" width="17.7265625" style="215" customWidth="1"/>
    <col min="14337" max="14337" width="19" style="215" customWidth="1"/>
    <col min="14338" max="14338" width="22.1796875" style="215" customWidth="1"/>
    <col min="14339" max="14589" width="9.1796875" style="215"/>
    <col min="14590" max="14590" width="5.1796875" style="215" customWidth="1"/>
    <col min="14591" max="14591" width="22.54296875" style="215" customWidth="1"/>
    <col min="14592" max="14592" width="17.7265625" style="215" customWidth="1"/>
    <col min="14593" max="14593" width="19" style="215" customWidth="1"/>
    <col min="14594" max="14594" width="22.1796875" style="215" customWidth="1"/>
    <col min="14595" max="14845" width="9.1796875" style="215"/>
    <col min="14846" max="14846" width="5.1796875" style="215" customWidth="1"/>
    <col min="14847" max="14847" width="22.54296875" style="215" customWidth="1"/>
    <col min="14848" max="14848" width="17.7265625" style="215" customWidth="1"/>
    <col min="14849" max="14849" width="19" style="215" customWidth="1"/>
    <col min="14850" max="14850" width="22.1796875" style="215" customWidth="1"/>
    <col min="14851" max="15101" width="9.1796875" style="215"/>
    <col min="15102" max="15102" width="5.1796875" style="215" customWidth="1"/>
    <col min="15103" max="15103" width="22.54296875" style="215" customWidth="1"/>
    <col min="15104" max="15104" width="17.7265625" style="215" customWidth="1"/>
    <col min="15105" max="15105" width="19" style="215" customWidth="1"/>
    <col min="15106" max="15106" width="22.1796875" style="215" customWidth="1"/>
    <col min="15107" max="15357" width="9.1796875" style="215"/>
    <col min="15358" max="15358" width="5.1796875" style="215" customWidth="1"/>
    <col min="15359" max="15359" width="22.54296875" style="215" customWidth="1"/>
    <col min="15360" max="15360" width="17.7265625" style="215" customWidth="1"/>
    <col min="15361" max="15361" width="19" style="215" customWidth="1"/>
    <col min="15362" max="15362" width="22.1796875" style="215" customWidth="1"/>
    <col min="15363" max="15613" width="9.1796875" style="215"/>
    <col min="15614" max="15614" width="5.1796875" style="215" customWidth="1"/>
    <col min="15615" max="15615" width="22.54296875" style="215" customWidth="1"/>
    <col min="15616" max="15616" width="17.7265625" style="215" customWidth="1"/>
    <col min="15617" max="15617" width="19" style="215" customWidth="1"/>
    <col min="15618" max="15618" width="22.1796875" style="215" customWidth="1"/>
    <col min="15619" max="15869" width="9.1796875" style="215"/>
    <col min="15870" max="15870" width="5.1796875" style="215" customWidth="1"/>
    <col min="15871" max="15871" width="22.54296875" style="215" customWidth="1"/>
    <col min="15872" max="15872" width="17.7265625" style="215" customWidth="1"/>
    <col min="15873" max="15873" width="19" style="215" customWidth="1"/>
    <col min="15874" max="15874" width="22.1796875" style="215" customWidth="1"/>
    <col min="15875" max="16125" width="9.1796875" style="215"/>
    <col min="16126" max="16126" width="5.1796875" style="215" customWidth="1"/>
    <col min="16127" max="16127" width="22.54296875" style="215" customWidth="1"/>
    <col min="16128" max="16128" width="17.7265625" style="215" customWidth="1"/>
    <col min="16129" max="16129" width="19" style="215" customWidth="1"/>
    <col min="16130" max="16130" width="22.1796875" style="215" customWidth="1"/>
    <col min="16131" max="16384" width="9.1796875" style="215"/>
  </cols>
  <sheetData>
    <row r="1" spans="1:14" s="202" customFormat="1" ht="23.25" customHeight="1">
      <c r="A1" s="1084" t="s">
        <v>1049</v>
      </c>
      <c r="B1" s="1084"/>
      <c r="C1" s="1084"/>
      <c r="D1" s="1084"/>
      <c r="E1" s="1084"/>
      <c r="F1" s="1084"/>
      <c r="G1" s="1084"/>
      <c r="H1" s="1084"/>
    </row>
    <row r="2" spans="1:14" s="203" customFormat="1" ht="33" customHeight="1">
      <c r="A2" s="1085" t="s">
        <v>80</v>
      </c>
      <c r="B2" s="1085" t="s">
        <v>236</v>
      </c>
      <c r="C2" s="1087" t="s">
        <v>326</v>
      </c>
      <c r="D2" s="1088"/>
      <c r="E2" s="1087" t="s">
        <v>327</v>
      </c>
      <c r="F2" s="1088"/>
      <c r="G2" s="1087" t="s">
        <v>328</v>
      </c>
      <c r="H2" s="1088"/>
    </row>
    <row r="3" spans="1:14" s="203" customFormat="1" ht="45" customHeight="1">
      <c r="A3" s="1086"/>
      <c r="B3" s="1086"/>
      <c r="C3" s="204" t="s">
        <v>329</v>
      </c>
      <c r="D3" s="204" t="s">
        <v>330</v>
      </c>
      <c r="E3" s="204" t="s">
        <v>329</v>
      </c>
      <c r="F3" s="204" t="s">
        <v>330</v>
      </c>
      <c r="G3" s="204" t="s">
        <v>329</v>
      </c>
      <c r="H3" s="204" t="s">
        <v>330</v>
      </c>
    </row>
    <row r="4" spans="1:14" s="203" customFormat="1" ht="17.25" customHeight="1">
      <c r="A4" s="205">
        <v>1</v>
      </c>
      <c r="B4" s="205">
        <v>2</v>
      </c>
      <c r="C4" s="205">
        <v>3</v>
      </c>
      <c r="D4" s="205">
        <v>4</v>
      </c>
      <c r="E4" s="205">
        <v>5</v>
      </c>
      <c r="F4" s="205">
        <v>6</v>
      </c>
      <c r="G4" s="205">
        <v>7</v>
      </c>
      <c r="H4" s="205">
        <v>8</v>
      </c>
    </row>
    <row r="5" spans="1:14" s="210" customFormat="1" ht="29.25" customHeight="1">
      <c r="A5" s="206">
        <v>1</v>
      </c>
      <c r="B5" s="207" t="s">
        <v>171</v>
      </c>
      <c r="C5" s="120">
        <f>'6TotalEnr'!AC5/'21TeacherCategory'!E5</f>
        <v>26.41280353200883</v>
      </c>
      <c r="D5" s="120">
        <f>'6aTotalRegularEnr'!AC5/'21TeacherCategory'!E5</f>
        <v>17.079470198675498</v>
      </c>
      <c r="E5" s="120">
        <v>27</v>
      </c>
      <c r="F5" s="120">
        <v>17</v>
      </c>
      <c r="G5" s="208"/>
      <c r="H5" s="120"/>
      <c r="I5" s="209"/>
      <c r="K5" s="209"/>
      <c r="L5" s="209"/>
      <c r="N5" s="209"/>
    </row>
    <row r="6" spans="1:14" s="210" customFormat="1" ht="24.75" customHeight="1">
      <c r="A6" s="206">
        <v>2</v>
      </c>
      <c r="B6" s="211" t="s">
        <v>15</v>
      </c>
      <c r="C6" s="120">
        <f>'6TotalEnr'!AC6/'21TeacherCategory'!E6</f>
        <v>19.370229602775503</v>
      </c>
      <c r="D6" s="120">
        <f>'6aTotalRegularEnr'!AC6/'21TeacherCategory'!E6</f>
        <v>17.879468288309358</v>
      </c>
      <c r="E6" s="120">
        <v>19.09401296063449</v>
      </c>
      <c r="F6" s="120">
        <v>18</v>
      </c>
      <c r="G6" s="208">
        <v>42.904062029857656</v>
      </c>
      <c r="H6" s="120">
        <v>25.201249855340802</v>
      </c>
      <c r="I6" s="209"/>
      <c r="K6" s="209"/>
      <c r="L6" s="209"/>
      <c r="N6" s="209"/>
    </row>
    <row r="7" spans="1:14" s="210" customFormat="1" ht="24.75" customHeight="1">
      <c r="A7" s="206">
        <v>3</v>
      </c>
      <c r="B7" s="211" t="s">
        <v>16</v>
      </c>
      <c r="C7" s="120">
        <f>'6TotalEnr'!AC7/'21TeacherCategory'!E7</f>
        <v>27.66790180639185</v>
      </c>
      <c r="D7" s="120">
        <f>'6aTotalRegularEnr'!AC7/'21TeacherCategory'!F6</f>
        <v>5.9054937076476284</v>
      </c>
      <c r="E7" s="120">
        <v>28.904244817374135</v>
      </c>
      <c r="F7" s="120">
        <v>24</v>
      </c>
      <c r="G7" s="208">
        <v>32.673094582185492</v>
      </c>
      <c r="H7" s="120">
        <v>22.634527089072545</v>
      </c>
      <c r="I7" s="209"/>
      <c r="K7" s="209"/>
      <c r="L7" s="209"/>
      <c r="N7" s="209"/>
    </row>
    <row r="8" spans="1:14" s="210" customFormat="1" ht="24.75" customHeight="1">
      <c r="A8" s="206">
        <v>4</v>
      </c>
      <c r="B8" s="207" t="s">
        <v>17</v>
      </c>
      <c r="C8" s="120">
        <f>'6TotalEnr'!AC8/'21TeacherCategory'!E8</f>
        <v>29.915586644923181</v>
      </c>
      <c r="D8" s="120">
        <f>'6aTotalRegularEnr'!AC8/'21TeacherCategory'!E8</f>
        <v>27.773924984979828</v>
      </c>
      <c r="E8" s="120">
        <v>27.060708417016613</v>
      </c>
      <c r="F8" s="120">
        <v>28</v>
      </c>
      <c r="G8" s="208">
        <v>30.736760925449872</v>
      </c>
      <c r="H8" s="120">
        <v>17.907712082262211</v>
      </c>
      <c r="I8" s="209"/>
      <c r="K8" s="209"/>
      <c r="L8" s="209"/>
      <c r="N8" s="209"/>
    </row>
    <row r="9" spans="1:14" s="210" customFormat="1" ht="24.75" customHeight="1">
      <c r="A9" s="206">
        <v>5</v>
      </c>
      <c r="B9" s="207" t="s">
        <v>18</v>
      </c>
      <c r="C9" s="120">
        <f>'6TotalEnr'!AC9/'21TeacherCategory'!E9</f>
        <v>65.828551512616755</v>
      </c>
      <c r="D9" s="120">
        <f>'6aTotalRegularEnr'!AC9/'21TeacherCategory'!E9</f>
        <v>59.708768994841769</v>
      </c>
      <c r="E9" s="120">
        <v>70.044245885531808</v>
      </c>
      <c r="F9" s="120">
        <v>63</v>
      </c>
      <c r="G9" s="208">
        <v>90.301861343404369</v>
      </c>
      <c r="H9" s="120">
        <v>31.093336930132182</v>
      </c>
      <c r="I9" s="209"/>
      <c r="K9" s="209"/>
      <c r="L9" s="209"/>
      <c r="N9" s="209"/>
    </row>
    <row r="10" spans="1:14" s="210" customFormat="1" ht="24.75" customHeight="1">
      <c r="A10" s="206">
        <v>6</v>
      </c>
      <c r="B10" s="211" t="s">
        <v>19</v>
      </c>
      <c r="C10" s="120">
        <f>'6TotalEnr'!AC10/'21TeacherCategory'!E10</f>
        <v>30.156975156975157</v>
      </c>
      <c r="D10" s="120">
        <f>'6aTotalRegularEnr'!AC10/'21TeacherCategory'!E10</f>
        <v>20.26945126945127</v>
      </c>
      <c r="E10" s="120">
        <v>30.919756662804172</v>
      </c>
      <c r="F10" s="120">
        <v>20</v>
      </c>
      <c r="G10" s="208">
        <v>35.90336658354115</v>
      </c>
      <c r="H10" s="120">
        <v>13.32356608478803</v>
      </c>
      <c r="I10" s="209"/>
      <c r="K10" s="209"/>
      <c r="L10" s="209"/>
      <c r="N10" s="209"/>
    </row>
    <row r="11" spans="1:14" s="210" customFormat="1" ht="24.75" customHeight="1">
      <c r="A11" s="206">
        <v>7</v>
      </c>
      <c r="B11" s="211" t="s">
        <v>20</v>
      </c>
      <c r="C11" s="120">
        <f>'6TotalEnr'!AC11/'21TeacherCategory'!E11</f>
        <v>29.481793980959257</v>
      </c>
      <c r="D11" s="120">
        <f>'6aTotalRegularEnr'!AC11/'21TeacherCategory'!E11</f>
        <v>25.791860307720075</v>
      </c>
      <c r="E11" s="120">
        <v>28.181210235452561</v>
      </c>
      <c r="F11" s="120">
        <v>26</v>
      </c>
      <c r="G11" s="208">
        <v>48.452878621195453</v>
      </c>
      <c r="H11" s="120">
        <v>18.463879721305464</v>
      </c>
      <c r="I11" s="209"/>
      <c r="K11" s="209"/>
      <c r="L11" s="209"/>
      <c r="N11" s="209"/>
    </row>
    <row r="12" spans="1:14" s="210" customFormat="1" ht="24.75" customHeight="1">
      <c r="A12" s="206">
        <v>8</v>
      </c>
      <c r="B12" s="211" t="s">
        <v>23</v>
      </c>
      <c r="C12" s="120">
        <f>'6TotalEnr'!AC12/'21TeacherCategory'!E12</f>
        <v>50.123283947261115</v>
      </c>
      <c r="D12" s="120">
        <f>'6aTotalRegularEnr'!AC12/'21TeacherCategory'!E12</f>
        <v>20.638439581351093</v>
      </c>
      <c r="E12" s="120">
        <v>52.852258792367685</v>
      </c>
      <c r="F12" s="120">
        <v>21</v>
      </c>
      <c r="G12" s="208">
        <v>122.76481481481481</v>
      </c>
      <c r="H12" s="120">
        <v>22.338888888888889</v>
      </c>
      <c r="I12" s="209"/>
      <c r="K12" s="209"/>
      <c r="L12" s="209"/>
      <c r="N12" s="209"/>
    </row>
    <row r="13" spans="1:14" s="210" customFormat="1" ht="24.75" customHeight="1">
      <c r="A13" s="206">
        <v>9</v>
      </c>
      <c r="B13" s="211" t="s">
        <v>24</v>
      </c>
      <c r="C13" s="120">
        <f>'6TotalEnr'!AC13/'21TeacherCategory'!E13</f>
        <v>16.948271014900197</v>
      </c>
      <c r="D13" s="120">
        <f>'6aTotalRegularEnr'!AC13/'21TeacherCategory'!E13</f>
        <v>14.996907506325556</v>
      </c>
      <c r="E13" s="120">
        <v>17.062479661568499</v>
      </c>
      <c r="F13" s="120">
        <v>15</v>
      </c>
      <c r="G13" s="208">
        <v>35.812709030100336</v>
      </c>
      <c r="H13" s="120">
        <v>12.59866220735786</v>
      </c>
      <c r="I13" s="209"/>
      <c r="K13" s="209"/>
      <c r="L13" s="209"/>
      <c r="N13" s="209"/>
    </row>
    <row r="14" spans="1:14" s="210" customFormat="1" ht="24.75" customHeight="1">
      <c r="A14" s="206">
        <v>10</v>
      </c>
      <c r="B14" s="211" t="s">
        <v>25</v>
      </c>
      <c r="C14" s="120">
        <f>'6TotalEnr'!AC14/'21TeacherCategory'!E14</f>
        <v>27.277122349641118</v>
      </c>
      <c r="D14" s="120">
        <f>'6aTotalRegularEnr'!AC14/'21TeacherCategory'!E14</f>
        <v>25.837422654896461</v>
      </c>
      <c r="E14" s="120">
        <v>27.649229074889867</v>
      </c>
      <c r="F14" s="120">
        <v>26</v>
      </c>
      <c r="G14" s="208">
        <v>26.530417520491802</v>
      </c>
      <c r="H14" s="120">
        <v>20.943007172131146</v>
      </c>
      <c r="I14" s="209"/>
      <c r="K14" s="209"/>
      <c r="L14" s="209"/>
      <c r="N14" s="209"/>
    </row>
    <row r="15" spans="1:14" s="210" customFormat="1" ht="24.75" customHeight="1">
      <c r="A15" s="206">
        <v>11</v>
      </c>
      <c r="B15" s="211" t="s">
        <v>26</v>
      </c>
      <c r="C15" s="120">
        <f>'6TotalEnr'!AC15/'21TeacherCategory'!E15</f>
        <v>26.216603831261462</v>
      </c>
      <c r="D15" s="120">
        <f>'6aTotalRegularEnr'!AC15/'21TeacherCategory'!E15</f>
        <v>21.839514978601997</v>
      </c>
      <c r="E15" s="120">
        <v>27.178012840455921</v>
      </c>
      <c r="F15" s="120">
        <v>22</v>
      </c>
      <c r="G15" s="208">
        <v>38.538109219025252</v>
      </c>
      <c r="H15" s="120">
        <v>18.358778625954198</v>
      </c>
      <c r="I15" s="209"/>
      <c r="K15" s="209"/>
      <c r="L15" s="209"/>
      <c r="N15" s="209"/>
    </row>
    <row r="16" spans="1:14" s="210" customFormat="1" ht="24.75" customHeight="1">
      <c r="A16" s="206">
        <v>12</v>
      </c>
      <c r="B16" s="211" t="s">
        <v>27</v>
      </c>
      <c r="C16" s="120">
        <f>'6TotalEnr'!AC16/'21TeacherCategory'!E16</f>
        <v>26.933128720238095</v>
      </c>
      <c r="D16" s="120">
        <f>'6aTotalRegularEnr'!AC16/'21TeacherCategory'!E16</f>
        <v>22.221354166666668</v>
      </c>
      <c r="E16" s="120">
        <v>28.659572237366323</v>
      </c>
      <c r="F16" s="120">
        <v>23</v>
      </c>
      <c r="G16" s="208">
        <v>33.081146408839778</v>
      </c>
      <c r="H16" s="120">
        <v>15.587707182320441</v>
      </c>
      <c r="I16" s="209"/>
      <c r="K16" s="209"/>
      <c r="L16" s="209"/>
      <c r="N16" s="209"/>
    </row>
    <row r="17" spans="1:14" s="210" customFormat="1" ht="24.75" customHeight="1">
      <c r="A17" s="206">
        <v>13</v>
      </c>
      <c r="B17" s="211" t="s">
        <v>57</v>
      </c>
      <c r="C17" s="120">
        <f>'6TotalEnr'!AC17/'21TeacherCategory'!E17</f>
        <v>35.01176264044944</v>
      </c>
      <c r="D17" s="120">
        <f>'6aTotalRegularEnr'!AC17/'21TeacherCategory'!E17</f>
        <v>25.631408005617978</v>
      </c>
      <c r="E17" s="120">
        <v>37.578840284842322</v>
      </c>
      <c r="F17" s="120">
        <v>27</v>
      </c>
      <c r="G17" s="208">
        <v>65.453960595094486</v>
      </c>
      <c r="H17" s="120">
        <v>22.486127864897465</v>
      </c>
      <c r="I17" s="209"/>
      <c r="K17" s="209"/>
      <c r="L17" s="209"/>
      <c r="N17" s="209"/>
    </row>
    <row r="18" spans="1:14" s="210" customFormat="1" ht="24.75" customHeight="1">
      <c r="A18" s="206">
        <v>14</v>
      </c>
      <c r="B18" s="211" t="s">
        <v>29</v>
      </c>
      <c r="C18" s="120">
        <f>'6TotalEnr'!AC18/'21TeacherCategory'!E18</f>
        <v>54.684206867788127</v>
      </c>
      <c r="D18" s="120">
        <f>'6aTotalRegularEnr'!AC18/'21TeacherCategory'!E18</f>
        <v>49.911372167384961</v>
      </c>
      <c r="E18" s="120">
        <v>60.68863728265265</v>
      </c>
      <c r="F18" s="120">
        <v>55</v>
      </c>
      <c r="G18" s="208">
        <v>47.32776617954071</v>
      </c>
      <c r="H18" s="120">
        <v>26.849985087980912</v>
      </c>
      <c r="I18" s="209"/>
      <c r="K18" s="209"/>
      <c r="L18" s="209"/>
      <c r="N18" s="209"/>
    </row>
    <row r="19" spans="1:14" s="210" customFormat="1" ht="24.75" customHeight="1">
      <c r="A19" s="206">
        <v>15</v>
      </c>
      <c r="B19" s="211" t="s">
        <v>30</v>
      </c>
      <c r="C19" s="120">
        <f>'6TotalEnr'!AC19/'21TeacherCategory'!E19</f>
        <v>16.077401461200452</v>
      </c>
      <c r="D19" s="120">
        <f>'6aTotalRegularEnr'!AC19/'21TeacherCategory'!E19</f>
        <v>15.283504509430607</v>
      </c>
      <c r="E19" s="120">
        <v>15.792246954429238</v>
      </c>
      <c r="F19" s="120">
        <v>15</v>
      </c>
      <c r="G19" s="208">
        <v>18.821394870035171</v>
      </c>
      <c r="H19" s="120">
        <v>13.654027622887535</v>
      </c>
      <c r="I19" s="209"/>
      <c r="K19" s="209"/>
      <c r="L19" s="209"/>
      <c r="N19" s="209"/>
    </row>
    <row r="20" spans="1:14" s="210" customFormat="1" ht="24.75" customHeight="1">
      <c r="A20" s="206">
        <v>16</v>
      </c>
      <c r="B20" s="211" t="s">
        <v>31</v>
      </c>
      <c r="C20" s="120">
        <f>'6TotalEnr'!AC20/'21TeacherCategory'!E20</f>
        <v>22.34014407334643</v>
      </c>
      <c r="D20" s="120">
        <f>'6aTotalRegularEnr'!AC20/'21TeacherCategory'!E20</f>
        <v>16.465897184020957</v>
      </c>
      <c r="E20" s="120">
        <v>21.676242581932886</v>
      </c>
      <c r="F20" s="120">
        <v>16</v>
      </c>
      <c r="G20" s="208">
        <v>93.597114781517874</v>
      </c>
      <c r="H20" s="120">
        <v>18.581643320091992</v>
      </c>
      <c r="I20" s="209"/>
      <c r="K20" s="209"/>
      <c r="L20" s="209"/>
      <c r="N20" s="209"/>
    </row>
    <row r="21" spans="1:14" s="210" customFormat="1" ht="24.75" customHeight="1">
      <c r="A21" s="206">
        <v>17</v>
      </c>
      <c r="B21" s="212" t="s">
        <v>172</v>
      </c>
      <c r="C21" s="120">
        <f>'6TotalEnr'!AC21/'21TeacherCategory'!E21</f>
        <v>19.072727272727274</v>
      </c>
      <c r="D21" s="120">
        <f>'6aTotalRegularEnr'!AC21/'21TeacherCategory'!E21</f>
        <v>19.072727272727274</v>
      </c>
      <c r="E21" s="120">
        <v>21.658536585365855</v>
      </c>
      <c r="F21" s="120">
        <v>22</v>
      </c>
      <c r="G21" s="208">
        <v>7.7209302325581399</v>
      </c>
      <c r="H21" s="120">
        <v>7.7209302325581399</v>
      </c>
      <c r="I21" s="209"/>
      <c r="K21" s="209"/>
      <c r="L21" s="209"/>
      <c r="N21" s="209"/>
    </row>
    <row r="22" spans="1:14" s="210" customFormat="1" ht="24.75" customHeight="1">
      <c r="A22" s="206">
        <v>18</v>
      </c>
      <c r="B22" s="211" t="s">
        <v>32</v>
      </c>
      <c r="C22" s="120">
        <f>'6TotalEnr'!AC22/'21TeacherCategory'!E22</f>
        <v>22.4</v>
      </c>
      <c r="D22" s="120">
        <f>'6aTotalRegularEnr'!AC22/'21TeacherCategory'!E22</f>
        <v>22.4</v>
      </c>
      <c r="E22" s="120">
        <v>12.88</v>
      </c>
      <c r="F22" s="120">
        <v>13</v>
      </c>
      <c r="G22" s="208">
        <v>12.88</v>
      </c>
      <c r="H22" s="120">
        <v>12.88</v>
      </c>
      <c r="I22" s="209"/>
      <c r="K22" s="209"/>
      <c r="L22" s="209"/>
      <c r="N22" s="209"/>
    </row>
    <row r="23" spans="1:14" s="210" customFormat="1" ht="24.75" customHeight="1">
      <c r="A23" s="206">
        <v>19</v>
      </c>
      <c r="B23" s="211" t="s">
        <v>33</v>
      </c>
      <c r="C23" s="120">
        <f>'6TotalEnr'!AC23/'21TeacherCategory'!E23</f>
        <v>33.694159902492153</v>
      </c>
      <c r="D23" s="120">
        <f>'6aTotalRegularEnr'!AC23/'21TeacherCategory'!E23</f>
        <v>31.939991182801275</v>
      </c>
      <c r="E23" s="120">
        <v>32.426073653152663</v>
      </c>
      <c r="F23" s="120">
        <v>32</v>
      </c>
      <c r="G23" s="208">
        <v>35.417158445607392</v>
      </c>
      <c r="H23" s="120">
        <v>27.885424785658614</v>
      </c>
      <c r="I23" s="209"/>
      <c r="K23" s="209"/>
      <c r="L23" s="209"/>
      <c r="N23" s="209"/>
    </row>
    <row r="24" spans="1:14" s="210" customFormat="1" ht="24.75" customHeight="1">
      <c r="A24" s="206">
        <v>20</v>
      </c>
      <c r="B24" s="211" t="s">
        <v>34</v>
      </c>
      <c r="C24" s="120">
        <f>'6TotalEnr'!AC24/'21TeacherCategory'!E24</f>
        <v>27.946549212223296</v>
      </c>
      <c r="D24" s="120">
        <f>'6aTotalRegularEnr'!AC24/'21TeacherCategory'!E24</f>
        <v>22.9678742016192</v>
      </c>
      <c r="E24" s="120">
        <v>30.07264944821361</v>
      </c>
      <c r="F24" s="120">
        <v>24</v>
      </c>
      <c r="G24" s="208">
        <v>57.198706488589757</v>
      </c>
      <c r="H24" s="120">
        <v>14.628246923966769</v>
      </c>
      <c r="I24" s="209"/>
      <c r="K24" s="209"/>
      <c r="L24" s="209"/>
      <c r="N24" s="209"/>
    </row>
    <row r="25" spans="1:14" s="210" customFormat="1" ht="24.75" customHeight="1">
      <c r="A25" s="206">
        <v>21</v>
      </c>
      <c r="B25" s="211" t="s">
        <v>35</v>
      </c>
      <c r="C25" s="120">
        <f>'6TotalEnr'!AC25/'21TeacherCategory'!E25</f>
        <v>23.801168585667639</v>
      </c>
      <c r="D25" s="120">
        <f>'6aTotalRegularEnr'!AC25/'21TeacherCategory'!E25</f>
        <v>22.909606461591338</v>
      </c>
      <c r="E25" s="120">
        <v>23.673913043478262</v>
      </c>
      <c r="F25" s="120">
        <v>23</v>
      </c>
      <c r="G25" s="208">
        <v>18.243273542600896</v>
      </c>
      <c r="H25" s="120">
        <v>12.42713004484305</v>
      </c>
      <c r="I25" s="209"/>
      <c r="K25" s="209"/>
      <c r="L25" s="209"/>
      <c r="N25" s="209"/>
    </row>
    <row r="26" spans="1:14" s="210" customFormat="1" ht="24.75" customHeight="1">
      <c r="A26" s="206">
        <v>22</v>
      </c>
      <c r="B26" s="211" t="s">
        <v>36</v>
      </c>
      <c r="C26" s="120">
        <f>'6TotalEnr'!AC26/'21TeacherCategory'!E26</f>
        <v>27.016611295681063</v>
      </c>
      <c r="D26" s="120">
        <f>'6aTotalRegularEnr'!AC26/'21TeacherCategory'!E26</f>
        <v>25.463178294573645</v>
      </c>
      <c r="E26" s="120">
        <v>25.033333333333335</v>
      </c>
      <c r="F26" s="120">
        <v>27</v>
      </c>
      <c r="G26" s="208">
        <v>24.502380952380953</v>
      </c>
      <c r="H26" s="120">
        <v>17.822619047619046</v>
      </c>
      <c r="I26" s="209"/>
      <c r="K26" s="209"/>
      <c r="L26" s="209"/>
      <c r="N26" s="209"/>
    </row>
    <row r="27" spans="1:14" s="210" customFormat="1" ht="24.75" customHeight="1">
      <c r="A27" s="206">
        <v>23</v>
      </c>
      <c r="B27" s="211" t="s">
        <v>37</v>
      </c>
      <c r="C27" s="120">
        <f>'6TotalEnr'!AC27/'21TeacherCategory'!E27</f>
        <v>19.040826364977864</v>
      </c>
      <c r="D27" s="120">
        <f>'6aTotalRegularEnr'!AC27/'21TeacherCategory'!E27</f>
        <v>15.88047220855878</v>
      </c>
      <c r="E27" s="120">
        <v>20.312255176273084</v>
      </c>
      <c r="F27" s="120">
        <v>17</v>
      </c>
      <c r="G27" s="208">
        <v>36.072607260726073</v>
      </c>
      <c r="H27" s="120">
        <v>14.867986798679867</v>
      </c>
      <c r="I27" s="209"/>
      <c r="K27" s="209"/>
      <c r="L27" s="209"/>
      <c r="N27" s="209"/>
    </row>
    <row r="28" spans="1:14" s="210" customFormat="1" ht="24.75" customHeight="1">
      <c r="A28" s="206">
        <v>24</v>
      </c>
      <c r="B28" s="211" t="s">
        <v>38</v>
      </c>
      <c r="C28" s="120">
        <f>'6TotalEnr'!AC28/'21TeacherCategory'!E28</f>
        <v>19.298808055898068</v>
      </c>
      <c r="D28" s="120">
        <f>'6aTotalRegularEnr'!AC28/'21TeacherCategory'!E28</f>
        <v>17.941224825318535</v>
      </c>
      <c r="E28" s="120">
        <v>20.903988868274581</v>
      </c>
      <c r="F28" s="120">
        <v>19</v>
      </c>
      <c r="G28" s="208">
        <v>28.997536945812808</v>
      </c>
      <c r="H28" s="120">
        <v>20.862068965517242</v>
      </c>
      <c r="I28" s="209"/>
      <c r="K28" s="209"/>
      <c r="L28" s="209"/>
      <c r="N28" s="209"/>
    </row>
    <row r="29" spans="1:14" s="210" customFormat="1" ht="24.75" customHeight="1">
      <c r="A29" s="206">
        <v>25</v>
      </c>
      <c r="B29" s="211" t="s">
        <v>39</v>
      </c>
      <c r="C29" s="120">
        <f>'6TotalEnr'!AC29/'21TeacherCategory'!E29</f>
        <v>23.992137802873277</v>
      </c>
      <c r="D29" s="120">
        <f>'6aTotalRegularEnr'!AC29/'21TeacherCategory'!E29</f>
        <v>22.381840707121246</v>
      </c>
      <c r="E29" s="120">
        <v>26.046785895560266</v>
      </c>
      <c r="F29" s="120">
        <v>24</v>
      </c>
      <c r="G29" s="208">
        <v>28.894938527862045</v>
      </c>
      <c r="H29" s="120">
        <v>18.103145457448505</v>
      </c>
      <c r="I29" s="209"/>
      <c r="K29" s="209"/>
      <c r="L29" s="209"/>
      <c r="N29" s="209"/>
    </row>
    <row r="30" spans="1:14" s="210" customFormat="1" ht="24.75" customHeight="1">
      <c r="A30" s="206">
        <v>26</v>
      </c>
      <c r="B30" s="213" t="s">
        <v>40</v>
      </c>
      <c r="C30" s="120">
        <f>'6TotalEnr'!AC30/'21TeacherCategory'!E30</f>
        <v>13.707826348204897</v>
      </c>
      <c r="D30" s="120">
        <f>'6aTotalRegularEnr'!AC30/'21TeacherCategory'!E30</f>
        <v>11.550247859396125</v>
      </c>
      <c r="E30" s="120">
        <v>12.855784469096672</v>
      </c>
      <c r="F30" s="120">
        <v>12</v>
      </c>
      <c r="G30" s="208">
        <v>14.635691169671752</v>
      </c>
      <c r="H30" s="120">
        <v>7.9953767914932961</v>
      </c>
      <c r="I30" s="209"/>
      <c r="K30" s="209"/>
      <c r="L30" s="209"/>
      <c r="N30" s="209"/>
    </row>
    <row r="31" spans="1:14" s="210" customFormat="1" ht="24.75" customHeight="1">
      <c r="A31" s="206">
        <v>27</v>
      </c>
      <c r="B31" s="211" t="s">
        <v>41</v>
      </c>
      <c r="C31" s="120">
        <f>'6TotalEnr'!AC31/'21TeacherCategory'!E31</f>
        <v>16.50887515353223</v>
      </c>
      <c r="D31" s="120">
        <f>'6aTotalRegularEnr'!AC31/'21TeacherCategory'!E31</f>
        <v>14.85064780696541</v>
      </c>
      <c r="E31" s="120">
        <v>17.541939022717923</v>
      </c>
      <c r="F31" s="120">
        <v>16</v>
      </c>
      <c r="G31" s="208">
        <v>21.880579710144929</v>
      </c>
      <c r="H31" s="120">
        <v>14.948571428571428</v>
      </c>
      <c r="I31" s="209"/>
      <c r="K31" s="209"/>
      <c r="L31" s="209"/>
      <c r="N31" s="209"/>
    </row>
    <row r="32" spans="1:14" s="210" customFormat="1" ht="24.75" customHeight="1">
      <c r="A32" s="206">
        <v>28</v>
      </c>
      <c r="B32" s="214" t="s">
        <v>42</v>
      </c>
      <c r="C32" s="120">
        <f>'6TotalEnr'!AC32/'21TeacherCategory'!E32</f>
        <v>30.251056951007211</v>
      </c>
      <c r="D32" s="120">
        <f>'6aTotalRegularEnr'!AC32/'21TeacherCategory'!E32</f>
        <v>27.37736881372793</v>
      </c>
      <c r="E32" s="120">
        <v>30.23584229390681</v>
      </c>
      <c r="F32" s="120">
        <v>28</v>
      </c>
      <c r="G32" s="208">
        <v>34.944155844155844</v>
      </c>
      <c r="H32" s="120">
        <v>19.147710184552288</v>
      </c>
      <c r="I32" s="209"/>
      <c r="K32" s="209"/>
      <c r="L32" s="209"/>
      <c r="N32" s="209"/>
    </row>
    <row r="33" spans="1:14" s="210" customFormat="1" ht="24.75" customHeight="1">
      <c r="A33" s="206">
        <v>29</v>
      </c>
      <c r="B33" s="187" t="s">
        <v>43</v>
      </c>
      <c r="C33" s="120">
        <f>'6TotalEnr'!AC33/'21TeacherCategory'!E33</f>
        <v>20.170533642691414</v>
      </c>
      <c r="D33" s="120">
        <f>'6aTotalRegularEnr'!AC33/'21TeacherCategory'!E33</f>
        <v>16.009280742459396</v>
      </c>
      <c r="E33" s="120">
        <v>20.356608478802993</v>
      </c>
      <c r="F33" s="120">
        <v>16</v>
      </c>
      <c r="G33" s="208">
        <v>19.675813008130081</v>
      </c>
      <c r="H33" s="120">
        <v>12.385162601626016</v>
      </c>
      <c r="I33" s="209"/>
      <c r="K33" s="209"/>
      <c r="L33" s="209"/>
      <c r="N33" s="209"/>
    </row>
    <row r="34" spans="1:14" s="210" customFormat="1" ht="24.75" customHeight="1">
      <c r="A34" s="206">
        <v>30</v>
      </c>
      <c r="B34" s="773" t="s">
        <v>44</v>
      </c>
      <c r="C34" s="120">
        <f>'6TotalEnr'!AC34/'21TeacherCategory'!E34</f>
        <v>16.402128653245828</v>
      </c>
      <c r="D34" s="120">
        <f>'6aTotalRegularEnr'!AC34/'21TeacherCategory'!E34</f>
        <v>14.36472728166556</v>
      </c>
      <c r="E34" s="120">
        <v>16.923581418136468</v>
      </c>
      <c r="F34" s="120">
        <v>15</v>
      </c>
      <c r="G34" s="208">
        <v>29.358151757363409</v>
      </c>
      <c r="H34" s="120">
        <v>14.232125260045986</v>
      </c>
      <c r="I34" s="209"/>
      <c r="K34" s="209"/>
      <c r="L34" s="209"/>
      <c r="N34" s="209"/>
    </row>
    <row r="35" spans="1:14" s="210" customFormat="1" ht="24.75" customHeight="1">
      <c r="A35" s="206">
        <v>31</v>
      </c>
      <c r="B35" s="819" t="s">
        <v>142</v>
      </c>
      <c r="C35" s="120">
        <f>'6TotalEnr'!AC35/'21TeacherCategory'!E35</f>
        <v>18.935269629665278</v>
      </c>
      <c r="D35" s="120">
        <f>'6aTotalRegularEnr'!AC35/'21TeacherCategory'!E35</f>
        <v>17.191652429193638</v>
      </c>
      <c r="E35" s="120">
        <v>18.189460178044683</v>
      </c>
      <c r="F35" s="120">
        <v>17</v>
      </c>
      <c r="G35" s="208">
        <v>41.477223427331886</v>
      </c>
      <c r="H35" s="120">
        <v>15.280730296456978</v>
      </c>
      <c r="I35" s="209"/>
      <c r="K35" s="209"/>
      <c r="L35" s="209"/>
      <c r="N35" s="209"/>
    </row>
    <row r="36" spans="1:14" s="210" customFormat="1" ht="50.25" customHeight="1">
      <c r="A36" s="206">
        <v>32</v>
      </c>
      <c r="B36" s="819" t="s">
        <v>173</v>
      </c>
      <c r="C36" s="120">
        <f>'6TotalEnr'!AC36/'21TeacherCategory'!E36</f>
        <v>20.051993067590988</v>
      </c>
      <c r="D36" s="120">
        <f>'6aTotalRegularEnr'!AC36/'21TeacherCategory'!E36</f>
        <v>20.051993067590988</v>
      </c>
      <c r="E36" s="120">
        <v>19.695121951219512</v>
      </c>
      <c r="F36" s="120">
        <v>20</v>
      </c>
      <c r="G36" s="208">
        <v>19</v>
      </c>
      <c r="H36" s="120">
        <v>19</v>
      </c>
      <c r="I36" s="209"/>
      <c r="K36" s="209"/>
      <c r="L36" s="209"/>
      <c r="N36" s="209"/>
    </row>
    <row r="37" spans="1:14" s="210" customFormat="1" ht="24.75" customHeight="1">
      <c r="A37" s="206">
        <v>33</v>
      </c>
      <c r="B37" s="773" t="s">
        <v>45</v>
      </c>
      <c r="C37" s="120">
        <f>'6TotalEnr'!AC37/'21TeacherCategory'!E37</f>
        <v>37.636068237205521</v>
      </c>
      <c r="D37" s="120">
        <f>'6aTotalRegularEnr'!AC37/'21TeacherCategory'!E37</f>
        <v>32.62144597887896</v>
      </c>
      <c r="E37" s="120">
        <v>38.672340425531914</v>
      </c>
      <c r="F37" s="120">
        <v>33</v>
      </c>
      <c r="G37" s="208">
        <v>49.183864915572229</v>
      </c>
      <c r="H37" s="120">
        <v>26.02063789868668</v>
      </c>
      <c r="I37" s="209"/>
      <c r="K37" s="209"/>
      <c r="L37" s="209"/>
      <c r="N37" s="209"/>
    </row>
    <row r="38" spans="1:14" s="210" customFormat="1" ht="24.75" customHeight="1">
      <c r="A38" s="206">
        <v>34</v>
      </c>
      <c r="B38" s="211" t="s">
        <v>47</v>
      </c>
      <c r="C38" s="120">
        <f>'6TotalEnr'!AC38/'21TeacherCategory'!E38</f>
        <v>38.762294126560441</v>
      </c>
      <c r="D38" s="120">
        <f>'6aTotalRegularEnr'!AC38/'21TeacherCategory'!E38</f>
        <v>37.861789423379527</v>
      </c>
      <c r="E38" s="120">
        <v>35.99258877692283</v>
      </c>
      <c r="F38" s="120">
        <v>39</v>
      </c>
      <c r="G38" s="208">
        <v>27.136503409242835</v>
      </c>
      <c r="H38" s="120">
        <v>20.25054592450644</v>
      </c>
      <c r="I38" s="209"/>
      <c r="K38" s="209"/>
      <c r="L38" s="209"/>
      <c r="N38" s="209"/>
    </row>
    <row r="39" spans="1:14" s="210" customFormat="1" ht="24.75" customHeight="1">
      <c r="A39" s="206">
        <v>35</v>
      </c>
      <c r="B39" s="211" t="s">
        <v>46</v>
      </c>
      <c r="C39" s="120">
        <f>'6TotalEnr'!AC39/'21TeacherCategory'!E39</f>
        <v>32.673919915700736</v>
      </c>
      <c r="D39" s="120">
        <f>'6aTotalRegularEnr'!AC39/'21TeacherCategory'!E39</f>
        <v>27.256269757639622</v>
      </c>
      <c r="E39" s="120">
        <v>32.2788975730152</v>
      </c>
      <c r="F39" s="120">
        <v>29</v>
      </c>
      <c r="G39" s="208">
        <v>43.448369156771385</v>
      </c>
      <c r="H39" s="120">
        <v>27.992634901548175</v>
      </c>
      <c r="I39" s="209"/>
      <c r="K39" s="209"/>
      <c r="L39" s="209"/>
      <c r="N39" s="209"/>
    </row>
    <row r="40" spans="1:14" s="210" customFormat="1" ht="24.75" customHeight="1">
      <c r="A40" s="206">
        <v>36</v>
      </c>
      <c r="B40" s="211" t="s">
        <v>48</v>
      </c>
      <c r="C40" s="120">
        <f>'6TotalEnr'!AC40/'21TeacherCategory'!E40</f>
        <v>31.340245851781649</v>
      </c>
      <c r="D40" s="120">
        <f>'6aTotalRegularEnr'!AC40/'21TeacherCategory'!E40</f>
        <v>28.576195662936925</v>
      </c>
      <c r="E40" s="120">
        <v>32.855801582978181</v>
      </c>
      <c r="F40" s="120">
        <v>30</v>
      </c>
      <c r="G40" s="208">
        <v>43.883979206049148</v>
      </c>
      <c r="H40" s="120">
        <v>20.798086011342154</v>
      </c>
      <c r="I40" s="209"/>
      <c r="K40" s="209"/>
      <c r="L40" s="209"/>
      <c r="N40" s="209"/>
    </row>
    <row r="41" spans="1:14" s="822" customFormat="1" ht="24.75" customHeight="1">
      <c r="A41" s="1083" t="s">
        <v>49</v>
      </c>
      <c r="B41" s="1083"/>
      <c r="C41" s="820">
        <f>'6TotalEnr'!AC41/'21TeacherCategory'!E41</f>
        <v>26.678817203607831</v>
      </c>
      <c r="D41" s="820">
        <f>'6aTotalRegularEnr'!AC41/'21TeacherCategory'!E41</f>
        <v>23.731255842740818</v>
      </c>
      <c r="E41" s="820">
        <v>26.898640291319836</v>
      </c>
      <c r="F41" s="820">
        <v>24</v>
      </c>
      <c r="G41" s="821">
        <v>38.250026479572597</v>
      </c>
      <c r="H41" s="820">
        <v>18.881608771729137</v>
      </c>
      <c r="I41" s="210"/>
      <c r="K41" s="209"/>
      <c r="L41" s="209"/>
      <c r="M41" s="210"/>
      <c r="N41" s="209"/>
    </row>
    <row r="42" spans="1:14" s="823" customFormat="1" ht="16" customHeight="1">
      <c r="C42" s="215"/>
    </row>
  </sheetData>
  <mergeCells count="7">
    <mergeCell ref="A41:B41"/>
    <mergeCell ref="A1:H1"/>
    <mergeCell ref="A2:A3"/>
    <mergeCell ref="B2:B3"/>
    <mergeCell ref="C2:D2"/>
    <mergeCell ref="E2:F2"/>
    <mergeCell ref="G2:H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4" firstPageNumber="2" pageOrder="overThenDown" orientation="portrait" useFirstPageNumber="1" r:id="rId1"/>
  <headerFooter alignWithMargins="0">
    <oddFooter>&amp;LAISHE 2020-21&amp;CT-25</oddFooter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00B050"/>
  </sheetPr>
  <dimension ref="A1:AD53"/>
  <sheetViews>
    <sheetView view="pageBreakPreview" topLeftCell="A28" zoomScale="115" zoomScaleSheetLayoutView="115" workbookViewId="0">
      <pane xSplit="1" topLeftCell="T1" activePane="topRight" state="frozen"/>
      <selection activeCell="H31" sqref="H31"/>
      <selection pane="topRight" activeCell="A17" sqref="A17"/>
    </sheetView>
  </sheetViews>
  <sheetFormatPr defaultColWidth="9.1796875" defaultRowHeight="12.5"/>
  <cols>
    <col min="1" max="1" width="23.54296875" style="687" customWidth="1"/>
    <col min="2" max="3" width="7.54296875" style="687" customWidth="1"/>
    <col min="4" max="4" width="9.1796875" style="687" customWidth="1"/>
    <col min="5" max="7" width="7.54296875" style="687" customWidth="1"/>
    <col min="8" max="9" width="9.26953125" style="687" customWidth="1"/>
    <col min="10" max="10" width="9" style="687" customWidth="1"/>
    <col min="11" max="11" width="11" style="687" customWidth="1"/>
    <col min="12" max="12" width="10" style="687" customWidth="1"/>
    <col min="13" max="13" width="10.1796875" style="687" bestFit="1" customWidth="1"/>
    <col min="14" max="14" width="7.1796875" style="687" customWidth="1"/>
    <col min="15" max="16" width="7.54296875" style="687" customWidth="1"/>
    <col min="17" max="17" width="8.1796875" style="687" customWidth="1"/>
    <col min="18" max="18" width="8" style="687" customWidth="1"/>
    <col min="19" max="19" width="7.54296875" style="687" customWidth="1"/>
    <col min="20" max="20" width="7.1796875" style="687" customWidth="1"/>
    <col min="21" max="21" width="7.81640625" style="687" customWidth="1"/>
    <col min="22" max="22" width="7.54296875" style="687" customWidth="1"/>
    <col min="23" max="23" width="7.81640625" style="687" customWidth="1"/>
    <col min="24" max="24" width="7.54296875" style="687" customWidth="1"/>
    <col min="25" max="25" width="7.81640625" style="687" customWidth="1"/>
    <col min="26" max="26" width="10.7265625" style="687" customWidth="1"/>
    <col min="27" max="27" width="9.81640625" style="687" customWidth="1"/>
    <col min="28" max="28" width="10.453125" style="687" customWidth="1"/>
    <col min="29" max="16384" width="9.1796875" style="687"/>
  </cols>
  <sheetData>
    <row r="1" spans="1:30" ht="34.5" customHeight="1">
      <c r="A1" s="158" t="s">
        <v>154</v>
      </c>
      <c r="B1" s="1082" t="s">
        <v>1006</v>
      </c>
      <c r="C1" s="1082"/>
      <c r="D1" s="1082"/>
      <c r="E1" s="1082"/>
      <c r="F1" s="1082"/>
      <c r="G1" s="1082"/>
      <c r="H1" s="1082"/>
      <c r="I1" s="1082"/>
      <c r="J1" s="1082"/>
      <c r="K1" s="1082" t="str">
        <f>B1</f>
        <v>Level-wise Enrolment in various types of Universities
(a) Teaching departments and it's Constituent Units/Off-campus Centres</v>
      </c>
      <c r="L1" s="1082"/>
      <c r="M1" s="1082"/>
      <c r="N1" s="1082"/>
      <c r="O1" s="1082"/>
      <c r="P1" s="1082"/>
      <c r="Q1" s="1082"/>
      <c r="R1" s="1082"/>
      <c r="S1" s="1082"/>
      <c r="T1" s="1082" t="str">
        <f>K1</f>
        <v>Level-wise Enrolment in various types of Universities
(a) Teaching departments and it's Constituent Units/Off-campus Centres</v>
      </c>
      <c r="U1" s="1082"/>
      <c r="V1" s="1082"/>
      <c r="W1" s="1082"/>
      <c r="X1" s="1082"/>
      <c r="Y1" s="1082"/>
      <c r="Z1" s="1082"/>
      <c r="AA1" s="1082"/>
      <c r="AB1" s="1082"/>
    </row>
    <row r="2" spans="1:30" s="688" customFormat="1" ht="18" customHeight="1">
      <c r="A2" s="1089" t="s">
        <v>124</v>
      </c>
      <c r="B2" s="1089" t="s">
        <v>89</v>
      </c>
      <c r="C2" s="1089"/>
      <c r="D2" s="1089"/>
      <c r="E2" s="1089" t="s">
        <v>90</v>
      </c>
      <c r="F2" s="1089"/>
      <c r="G2" s="1089"/>
      <c r="H2" s="1089" t="s">
        <v>85</v>
      </c>
      <c r="I2" s="1089"/>
      <c r="J2" s="1089"/>
      <c r="K2" s="1089" t="s">
        <v>86</v>
      </c>
      <c r="L2" s="1089"/>
      <c r="M2" s="1089"/>
      <c r="N2" s="1089" t="s">
        <v>91</v>
      </c>
      <c r="O2" s="1089"/>
      <c r="P2" s="1089"/>
      <c r="Q2" s="1089" t="s">
        <v>92</v>
      </c>
      <c r="R2" s="1089"/>
      <c r="S2" s="1089"/>
      <c r="T2" s="1089" t="s">
        <v>93</v>
      </c>
      <c r="U2" s="1089"/>
      <c r="V2" s="1089"/>
      <c r="W2" s="1089" t="s">
        <v>94</v>
      </c>
      <c r="X2" s="1089"/>
      <c r="Y2" s="1089"/>
      <c r="Z2" s="1089" t="s">
        <v>60</v>
      </c>
      <c r="AA2" s="1089"/>
      <c r="AB2" s="1089"/>
    </row>
    <row r="3" spans="1:30" s="689" customFormat="1" ht="18" customHeight="1">
      <c r="A3" s="1089"/>
      <c r="B3" s="571" t="s">
        <v>87</v>
      </c>
      <c r="C3" s="571" t="s">
        <v>88</v>
      </c>
      <c r="D3" s="571" t="s">
        <v>12</v>
      </c>
      <c r="E3" s="571" t="s">
        <v>87</v>
      </c>
      <c r="F3" s="571" t="s">
        <v>88</v>
      </c>
      <c r="G3" s="571" t="s">
        <v>12</v>
      </c>
      <c r="H3" s="571" t="s">
        <v>87</v>
      </c>
      <c r="I3" s="571" t="s">
        <v>88</v>
      </c>
      <c r="J3" s="571" t="s">
        <v>12</v>
      </c>
      <c r="K3" s="571" t="s">
        <v>87</v>
      </c>
      <c r="L3" s="571" t="s">
        <v>88</v>
      </c>
      <c r="M3" s="571" t="s">
        <v>12</v>
      </c>
      <c r="N3" s="571" t="s">
        <v>87</v>
      </c>
      <c r="O3" s="571" t="s">
        <v>88</v>
      </c>
      <c r="P3" s="571" t="s">
        <v>12</v>
      </c>
      <c r="Q3" s="571" t="s">
        <v>87</v>
      </c>
      <c r="R3" s="571" t="s">
        <v>88</v>
      </c>
      <c r="S3" s="571" t="s">
        <v>12</v>
      </c>
      <c r="T3" s="571" t="s">
        <v>87</v>
      </c>
      <c r="U3" s="571" t="s">
        <v>88</v>
      </c>
      <c r="V3" s="571" t="s">
        <v>12</v>
      </c>
      <c r="W3" s="571" t="s">
        <v>87</v>
      </c>
      <c r="X3" s="571" t="s">
        <v>88</v>
      </c>
      <c r="Y3" s="571" t="s">
        <v>12</v>
      </c>
      <c r="Z3" s="571" t="s">
        <v>87</v>
      </c>
      <c r="AA3" s="571" t="s">
        <v>88</v>
      </c>
      <c r="AB3" s="571" t="s">
        <v>12</v>
      </c>
    </row>
    <row r="4" spans="1:30" ht="12.75" customHeight="1">
      <c r="A4" s="690">
        <v>1</v>
      </c>
      <c r="B4" s="690">
        <v>2</v>
      </c>
      <c r="C4" s="690">
        <v>3</v>
      </c>
      <c r="D4" s="690">
        <v>4</v>
      </c>
      <c r="E4" s="690">
        <v>5</v>
      </c>
      <c r="F4" s="690">
        <v>6</v>
      </c>
      <c r="G4" s="690">
        <v>7</v>
      </c>
      <c r="H4" s="690">
        <v>8</v>
      </c>
      <c r="I4" s="690">
        <v>9</v>
      </c>
      <c r="J4" s="690">
        <v>10</v>
      </c>
      <c r="K4" s="690">
        <v>11</v>
      </c>
      <c r="L4" s="690">
        <v>12</v>
      </c>
      <c r="M4" s="690">
        <v>13</v>
      </c>
      <c r="N4" s="690">
        <v>14</v>
      </c>
      <c r="O4" s="690">
        <v>15</v>
      </c>
      <c r="P4" s="690">
        <v>16</v>
      </c>
      <c r="Q4" s="690">
        <v>17</v>
      </c>
      <c r="R4" s="690">
        <v>18</v>
      </c>
      <c r="S4" s="690">
        <v>19</v>
      </c>
      <c r="T4" s="690">
        <v>20</v>
      </c>
      <c r="U4" s="690">
        <v>21</v>
      </c>
      <c r="V4" s="690">
        <v>22</v>
      </c>
      <c r="W4" s="690">
        <v>23</v>
      </c>
      <c r="X4" s="690">
        <v>24</v>
      </c>
      <c r="Y4" s="690">
        <v>25</v>
      </c>
      <c r="Z4" s="690">
        <v>26</v>
      </c>
      <c r="AA4" s="690">
        <v>27</v>
      </c>
      <c r="AB4" s="690">
        <v>28</v>
      </c>
    </row>
    <row r="5" spans="1:30" ht="40.5" customHeight="1">
      <c r="A5" s="222" t="s">
        <v>991</v>
      </c>
      <c r="B5" s="123">
        <v>12485</v>
      </c>
      <c r="C5" s="123">
        <v>10637</v>
      </c>
      <c r="D5" s="95">
        <v>23122</v>
      </c>
      <c r="E5" s="123">
        <v>1294</v>
      </c>
      <c r="F5" s="123">
        <v>1127</v>
      </c>
      <c r="G5" s="95">
        <v>2421</v>
      </c>
      <c r="H5" s="123">
        <v>67880</v>
      </c>
      <c r="I5" s="123">
        <v>65510</v>
      </c>
      <c r="J5" s="95">
        <v>133390</v>
      </c>
      <c r="K5" s="123">
        <v>266929</v>
      </c>
      <c r="L5" s="123">
        <v>249701</v>
      </c>
      <c r="M5" s="95">
        <v>516630</v>
      </c>
      <c r="N5" s="123">
        <v>2492</v>
      </c>
      <c r="O5" s="123">
        <v>1885</v>
      </c>
      <c r="P5" s="95">
        <v>4377</v>
      </c>
      <c r="Q5" s="123">
        <v>6165</v>
      </c>
      <c r="R5" s="123">
        <v>2597</v>
      </c>
      <c r="S5" s="95">
        <v>8762</v>
      </c>
      <c r="T5" s="123">
        <v>2529</v>
      </c>
      <c r="U5" s="123">
        <v>1296</v>
      </c>
      <c r="V5" s="95">
        <v>3825</v>
      </c>
      <c r="W5" s="123">
        <v>6316</v>
      </c>
      <c r="X5" s="123">
        <v>4933</v>
      </c>
      <c r="Y5" s="95">
        <v>11249</v>
      </c>
      <c r="Z5" s="95">
        <v>366090</v>
      </c>
      <c r="AA5" s="95">
        <v>337686</v>
      </c>
      <c r="AB5" s="95">
        <v>703776</v>
      </c>
      <c r="AC5" s="691">
        <v>0.33339005966985275</v>
      </c>
      <c r="AD5" s="691">
        <v>76.287769978219671</v>
      </c>
    </row>
    <row r="6" spans="1:30" ht="40.5" customHeight="1">
      <c r="A6" s="222" t="s">
        <v>180</v>
      </c>
      <c r="B6" s="123">
        <v>66</v>
      </c>
      <c r="C6" s="123">
        <v>99</v>
      </c>
      <c r="D6" s="95">
        <v>165</v>
      </c>
      <c r="E6" s="123">
        <v>0</v>
      </c>
      <c r="F6" s="123">
        <v>0</v>
      </c>
      <c r="G6" s="95">
        <v>0</v>
      </c>
      <c r="H6" s="123">
        <v>183991</v>
      </c>
      <c r="I6" s="123">
        <v>225191</v>
      </c>
      <c r="J6" s="95">
        <v>409182</v>
      </c>
      <c r="K6" s="123">
        <v>469328</v>
      </c>
      <c r="L6" s="123">
        <v>271482</v>
      </c>
      <c r="M6" s="95">
        <v>740810</v>
      </c>
      <c r="N6" s="123">
        <v>25544</v>
      </c>
      <c r="O6" s="123">
        <v>14798</v>
      </c>
      <c r="P6" s="95">
        <v>40342</v>
      </c>
      <c r="Q6" s="123">
        <v>19080</v>
      </c>
      <c r="R6" s="123">
        <v>42707</v>
      </c>
      <c r="S6" s="95">
        <v>61787</v>
      </c>
      <c r="T6" s="123">
        <v>0</v>
      </c>
      <c r="U6" s="123">
        <v>0</v>
      </c>
      <c r="V6" s="95">
        <v>0</v>
      </c>
      <c r="W6" s="123">
        <v>0</v>
      </c>
      <c r="X6" s="123">
        <v>0</v>
      </c>
      <c r="Y6" s="95">
        <v>0</v>
      </c>
      <c r="Z6" s="95">
        <v>698009</v>
      </c>
      <c r="AA6" s="95">
        <v>554277</v>
      </c>
      <c r="AB6" s="95">
        <v>1252286</v>
      </c>
      <c r="AC6" s="691">
        <v>59.156614383615242</v>
      </c>
      <c r="AD6" s="691">
        <v>44.261215089843695</v>
      </c>
    </row>
    <row r="7" spans="1:30" ht="40.5" customHeight="1">
      <c r="A7" s="692" t="s">
        <v>181</v>
      </c>
      <c r="B7" s="123">
        <v>28930</v>
      </c>
      <c r="C7" s="123">
        <v>13277</v>
      </c>
      <c r="D7" s="95">
        <v>42207</v>
      </c>
      <c r="E7" s="123">
        <v>56</v>
      </c>
      <c r="F7" s="123">
        <v>189</v>
      </c>
      <c r="G7" s="95">
        <v>245</v>
      </c>
      <c r="H7" s="123">
        <v>49411</v>
      </c>
      <c r="I7" s="123">
        <v>19698</v>
      </c>
      <c r="J7" s="95">
        <v>69109</v>
      </c>
      <c r="K7" s="123">
        <v>127616</v>
      </c>
      <c r="L7" s="123">
        <v>39382</v>
      </c>
      <c r="M7" s="95">
        <v>166998</v>
      </c>
      <c r="N7" s="123">
        <v>1230</v>
      </c>
      <c r="O7" s="123">
        <v>510</v>
      </c>
      <c r="P7" s="95">
        <v>1740</v>
      </c>
      <c r="Q7" s="123">
        <v>355</v>
      </c>
      <c r="R7" s="123">
        <v>153</v>
      </c>
      <c r="S7" s="95">
        <v>508</v>
      </c>
      <c r="T7" s="123">
        <v>2036</v>
      </c>
      <c r="U7" s="123">
        <v>740</v>
      </c>
      <c r="V7" s="95">
        <v>2776</v>
      </c>
      <c r="W7" s="123">
        <v>17467</v>
      </c>
      <c r="X7" s="123">
        <v>5463</v>
      </c>
      <c r="Y7" s="95">
        <v>22930</v>
      </c>
      <c r="Z7" s="95">
        <v>227101</v>
      </c>
      <c r="AA7" s="95">
        <v>79412</v>
      </c>
      <c r="AB7" s="95">
        <v>306513</v>
      </c>
      <c r="AC7" s="691">
        <v>54.861998219331859</v>
      </c>
      <c r="AD7" s="691">
        <v>25.863882114607929</v>
      </c>
    </row>
    <row r="8" spans="1:30" ht="40.5" customHeight="1">
      <c r="A8" s="222" t="s">
        <v>992</v>
      </c>
      <c r="B8" s="123">
        <v>25191</v>
      </c>
      <c r="C8" s="123">
        <v>22216</v>
      </c>
      <c r="D8" s="95">
        <v>47407</v>
      </c>
      <c r="E8" s="123">
        <v>2906</v>
      </c>
      <c r="F8" s="123">
        <v>5220</v>
      </c>
      <c r="G8" s="95">
        <v>8126</v>
      </c>
      <c r="H8" s="123">
        <v>399891</v>
      </c>
      <c r="I8" s="123">
        <v>587200</v>
      </c>
      <c r="J8" s="95">
        <v>987091</v>
      </c>
      <c r="K8" s="123">
        <v>810646</v>
      </c>
      <c r="L8" s="123">
        <v>737761</v>
      </c>
      <c r="M8" s="95">
        <v>1548407</v>
      </c>
      <c r="N8" s="123">
        <v>26444</v>
      </c>
      <c r="O8" s="123">
        <v>23192</v>
      </c>
      <c r="P8" s="95">
        <v>49636</v>
      </c>
      <c r="Q8" s="123">
        <v>39121</v>
      </c>
      <c r="R8" s="123">
        <v>23816</v>
      </c>
      <c r="S8" s="95">
        <v>62937</v>
      </c>
      <c r="T8" s="123">
        <v>9205</v>
      </c>
      <c r="U8" s="123">
        <v>15599</v>
      </c>
      <c r="V8" s="95">
        <v>24804</v>
      </c>
      <c r="W8" s="123">
        <v>25096</v>
      </c>
      <c r="X8" s="123">
        <v>24576</v>
      </c>
      <c r="Y8" s="95">
        <v>49672</v>
      </c>
      <c r="Z8" s="95">
        <v>1338500</v>
      </c>
      <c r="AA8" s="95">
        <v>1439580</v>
      </c>
      <c r="AB8" s="95">
        <v>2778080</v>
      </c>
      <c r="AC8" s="691">
        <v>55.401727341793688</v>
      </c>
      <c r="AD8" s="691">
        <v>52.041649667635916</v>
      </c>
    </row>
    <row r="9" spans="1:30" ht="40.5" customHeight="1">
      <c r="A9" s="222" t="s">
        <v>182</v>
      </c>
      <c r="B9" s="123">
        <v>141</v>
      </c>
      <c r="C9" s="123">
        <v>139</v>
      </c>
      <c r="D9" s="95">
        <v>280</v>
      </c>
      <c r="E9" s="123">
        <v>7</v>
      </c>
      <c r="F9" s="123">
        <v>15</v>
      </c>
      <c r="G9" s="95">
        <v>22</v>
      </c>
      <c r="H9" s="123">
        <v>165176</v>
      </c>
      <c r="I9" s="123">
        <v>150134</v>
      </c>
      <c r="J9" s="95">
        <v>315310</v>
      </c>
      <c r="K9" s="123">
        <v>667510</v>
      </c>
      <c r="L9" s="123">
        <v>398571</v>
      </c>
      <c r="M9" s="95">
        <v>1066081</v>
      </c>
      <c r="N9" s="123">
        <v>21874</v>
      </c>
      <c r="O9" s="123">
        <v>17285</v>
      </c>
      <c r="P9" s="95">
        <v>39159</v>
      </c>
      <c r="Q9" s="123">
        <v>32122</v>
      </c>
      <c r="R9" s="123">
        <v>23184</v>
      </c>
      <c r="S9" s="95">
        <v>55306</v>
      </c>
      <c r="T9" s="123">
        <v>24465</v>
      </c>
      <c r="U9" s="123">
        <v>14114</v>
      </c>
      <c r="V9" s="95">
        <v>38579</v>
      </c>
      <c r="W9" s="123">
        <v>0</v>
      </c>
      <c r="X9" s="123">
        <v>0</v>
      </c>
      <c r="Y9" s="95">
        <v>0</v>
      </c>
      <c r="Z9" s="95">
        <v>911295</v>
      </c>
      <c r="AA9" s="95">
        <v>603442</v>
      </c>
      <c r="AB9" s="95">
        <v>1514737</v>
      </c>
      <c r="AC9" s="691">
        <v>68.59782698644463</v>
      </c>
      <c r="AD9" s="691">
        <v>40.080453597002233</v>
      </c>
    </row>
    <row r="10" spans="1:30" ht="40.5" customHeight="1">
      <c r="A10" s="222" t="s">
        <v>183</v>
      </c>
      <c r="B10" s="123">
        <v>15153</v>
      </c>
      <c r="C10" s="123">
        <v>13366</v>
      </c>
      <c r="D10" s="95">
        <v>28519</v>
      </c>
      <c r="E10" s="123">
        <v>123</v>
      </c>
      <c r="F10" s="123">
        <v>267</v>
      </c>
      <c r="G10" s="95">
        <v>390</v>
      </c>
      <c r="H10" s="123">
        <v>137724</v>
      </c>
      <c r="I10" s="123">
        <v>107377</v>
      </c>
      <c r="J10" s="95">
        <v>245101</v>
      </c>
      <c r="K10" s="123">
        <v>658725</v>
      </c>
      <c r="L10" s="123">
        <v>334585</v>
      </c>
      <c r="M10" s="95">
        <v>993310</v>
      </c>
      <c r="N10" s="123">
        <v>12092</v>
      </c>
      <c r="O10" s="123">
        <v>11166</v>
      </c>
      <c r="P10" s="95">
        <v>23258</v>
      </c>
      <c r="Q10" s="123">
        <v>85036</v>
      </c>
      <c r="R10" s="123">
        <v>28264</v>
      </c>
      <c r="S10" s="95">
        <v>113300</v>
      </c>
      <c r="T10" s="123">
        <v>11254</v>
      </c>
      <c r="U10" s="123">
        <v>421</v>
      </c>
      <c r="V10" s="95">
        <v>11675</v>
      </c>
      <c r="W10" s="123">
        <v>34237</v>
      </c>
      <c r="X10" s="123">
        <v>25879</v>
      </c>
      <c r="Y10" s="95">
        <v>60116</v>
      </c>
      <c r="Z10" s="95">
        <v>954344</v>
      </c>
      <c r="AA10" s="95">
        <v>521325</v>
      </c>
      <c r="AB10" s="95">
        <v>1475669</v>
      </c>
      <c r="AC10" s="691">
        <v>67.377088785716552</v>
      </c>
      <c r="AD10" s="691">
        <v>35.328145704054791</v>
      </c>
    </row>
    <row r="11" spans="1:30" ht="40.5" customHeight="1">
      <c r="A11" s="222" t="s">
        <v>184</v>
      </c>
      <c r="B11" s="123">
        <v>32</v>
      </c>
      <c r="C11" s="123">
        <v>16</v>
      </c>
      <c r="D11" s="95">
        <v>48</v>
      </c>
      <c r="E11" s="123">
        <v>0</v>
      </c>
      <c r="F11" s="123">
        <v>0</v>
      </c>
      <c r="G11" s="95">
        <v>0</v>
      </c>
      <c r="H11" s="123">
        <v>1064</v>
      </c>
      <c r="I11" s="123">
        <v>910</v>
      </c>
      <c r="J11" s="95">
        <v>1974</v>
      </c>
      <c r="K11" s="123">
        <v>1422</v>
      </c>
      <c r="L11" s="123">
        <v>1352</v>
      </c>
      <c r="M11" s="95">
        <v>2774</v>
      </c>
      <c r="N11" s="123">
        <v>0</v>
      </c>
      <c r="O11" s="123">
        <v>0</v>
      </c>
      <c r="P11" s="95">
        <v>0</v>
      </c>
      <c r="Q11" s="123">
        <v>0</v>
      </c>
      <c r="R11" s="123">
        <v>0</v>
      </c>
      <c r="S11" s="95">
        <v>0</v>
      </c>
      <c r="T11" s="123">
        <v>0</v>
      </c>
      <c r="U11" s="123">
        <v>0</v>
      </c>
      <c r="V11" s="95">
        <v>0</v>
      </c>
      <c r="W11" s="123">
        <v>0</v>
      </c>
      <c r="X11" s="123">
        <v>0</v>
      </c>
      <c r="Y11" s="95">
        <v>0</v>
      </c>
      <c r="Z11" s="95">
        <v>2518</v>
      </c>
      <c r="AA11" s="95">
        <v>2278</v>
      </c>
      <c r="AB11" s="95">
        <v>4796</v>
      </c>
      <c r="AC11" s="691">
        <v>57.839866555462883</v>
      </c>
      <c r="AD11" s="691">
        <v>47.497914929107587</v>
      </c>
    </row>
    <row r="12" spans="1:30" ht="40.5" customHeight="1">
      <c r="A12" s="222" t="s">
        <v>185</v>
      </c>
      <c r="B12" s="123">
        <v>117</v>
      </c>
      <c r="C12" s="123">
        <v>66</v>
      </c>
      <c r="D12" s="95">
        <v>183</v>
      </c>
      <c r="E12" s="123">
        <v>0</v>
      </c>
      <c r="F12" s="123">
        <v>0</v>
      </c>
      <c r="G12" s="95">
        <v>0</v>
      </c>
      <c r="H12" s="123">
        <v>574</v>
      </c>
      <c r="I12" s="123">
        <v>789</v>
      </c>
      <c r="J12" s="95">
        <v>1363</v>
      </c>
      <c r="K12" s="123">
        <v>1035</v>
      </c>
      <c r="L12" s="123">
        <v>4283</v>
      </c>
      <c r="M12" s="95">
        <v>5318</v>
      </c>
      <c r="N12" s="123">
        <v>5</v>
      </c>
      <c r="O12" s="123">
        <v>54</v>
      </c>
      <c r="P12" s="95">
        <v>59</v>
      </c>
      <c r="Q12" s="123">
        <v>61</v>
      </c>
      <c r="R12" s="123">
        <v>237</v>
      </c>
      <c r="S12" s="95">
        <v>298</v>
      </c>
      <c r="T12" s="123">
        <v>43</v>
      </c>
      <c r="U12" s="123">
        <v>43</v>
      </c>
      <c r="V12" s="95">
        <v>86</v>
      </c>
      <c r="W12" s="123">
        <v>0</v>
      </c>
      <c r="X12" s="123">
        <v>0</v>
      </c>
      <c r="Y12" s="95">
        <v>0</v>
      </c>
      <c r="Z12" s="95">
        <v>1835</v>
      </c>
      <c r="AA12" s="95">
        <v>5472</v>
      </c>
      <c r="AB12" s="95">
        <v>7307</v>
      </c>
      <c r="AC12" s="691">
        <v>72.779526481456145</v>
      </c>
      <c r="AD12" s="691">
        <v>74.887094566853705</v>
      </c>
    </row>
    <row r="13" spans="1:30" ht="40.5" customHeight="1">
      <c r="A13" s="222" t="s">
        <v>186</v>
      </c>
      <c r="B13" s="123">
        <v>3813</v>
      </c>
      <c r="C13" s="123">
        <v>2016</v>
      </c>
      <c r="D13" s="95">
        <v>5829</v>
      </c>
      <c r="E13" s="123">
        <v>57</v>
      </c>
      <c r="F13" s="123">
        <v>54</v>
      </c>
      <c r="G13" s="95">
        <v>111</v>
      </c>
      <c r="H13" s="123">
        <v>8290</v>
      </c>
      <c r="I13" s="123">
        <v>4613</v>
      </c>
      <c r="J13" s="95">
        <v>12903</v>
      </c>
      <c r="K13" s="123">
        <v>11192</v>
      </c>
      <c r="L13" s="123">
        <v>5074</v>
      </c>
      <c r="M13" s="95">
        <v>16266</v>
      </c>
      <c r="N13" s="123">
        <v>597</v>
      </c>
      <c r="O13" s="123">
        <v>218</v>
      </c>
      <c r="P13" s="95">
        <v>815</v>
      </c>
      <c r="Q13" s="123">
        <v>1576</v>
      </c>
      <c r="R13" s="123">
        <v>460</v>
      </c>
      <c r="S13" s="95">
        <v>2036</v>
      </c>
      <c r="T13" s="123">
        <v>494</v>
      </c>
      <c r="U13" s="123">
        <v>251</v>
      </c>
      <c r="V13" s="95">
        <v>745</v>
      </c>
      <c r="W13" s="123">
        <v>973</v>
      </c>
      <c r="X13" s="123">
        <v>224</v>
      </c>
      <c r="Y13" s="95">
        <v>1197</v>
      </c>
      <c r="Z13" s="95">
        <v>26992</v>
      </c>
      <c r="AA13" s="95">
        <v>12910</v>
      </c>
      <c r="AB13" s="95">
        <v>39902</v>
      </c>
      <c r="AC13" s="691">
        <v>39.780254032572273</v>
      </c>
      <c r="AD13" s="691">
        <v>32.502142912802931</v>
      </c>
    </row>
    <row r="14" spans="1:30" ht="40.5" customHeight="1">
      <c r="A14" s="222" t="s">
        <v>187</v>
      </c>
      <c r="B14" s="123">
        <v>1148</v>
      </c>
      <c r="C14" s="123">
        <v>1671</v>
      </c>
      <c r="D14" s="95">
        <v>2819</v>
      </c>
      <c r="E14" s="123">
        <v>34</v>
      </c>
      <c r="F14" s="123">
        <v>152</v>
      </c>
      <c r="G14" s="95">
        <v>186</v>
      </c>
      <c r="H14" s="123">
        <v>5885</v>
      </c>
      <c r="I14" s="123">
        <v>7993</v>
      </c>
      <c r="J14" s="95">
        <v>13878</v>
      </c>
      <c r="K14" s="123">
        <v>15514</v>
      </c>
      <c r="L14" s="123">
        <v>17241</v>
      </c>
      <c r="M14" s="95">
        <v>32755</v>
      </c>
      <c r="N14" s="123">
        <v>391</v>
      </c>
      <c r="O14" s="123">
        <v>413</v>
      </c>
      <c r="P14" s="95">
        <v>804</v>
      </c>
      <c r="Q14" s="123">
        <v>2080</v>
      </c>
      <c r="R14" s="123">
        <v>1044</v>
      </c>
      <c r="S14" s="95">
        <v>3124</v>
      </c>
      <c r="T14" s="123">
        <v>213</v>
      </c>
      <c r="U14" s="123">
        <v>121</v>
      </c>
      <c r="V14" s="95">
        <v>334</v>
      </c>
      <c r="W14" s="123">
        <v>703</v>
      </c>
      <c r="X14" s="123">
        <v>729</v>
      </c>
      <c r="Y14" s="95">
        <v>1432</v>
      </c>
      <c r="Z14" s="95">
        <v>25968</v>
      </c>
      <c r="AA14" s="95">
        <v>29364</v>
      </c>
      <c r="AB14" s="95">
        <v>55332</v>
      </c>
      <c r="AC14" s="691">
        <v>59.197209571314964</v>
      </c>
      <c r="AD14" s="691">
        <v>53.06874864454565</v>
      </c>
    </row>
    <row r="15" spans="1:30" ht="40.5" customHeight="1">
      <c r="A15" s="222" t="s">
        <v>188</v>
      </c>
      <c r="B15" s="123">
        <v>14374</v>
      </c>
      <c r="C15" s="123">
        <v>15377</v>
      </c>
      <c r="D15" s="95">
        <v>29751</v>
      </c>
      <c r="E15" s="123">
        <v>177</v>
      </c>
      <c r="F15" s="123">
        <v>399</v>
      </c>
      <c r="G15" s="95">
        <v>576</v>
      </c>
      <c r="H15" s="123">
        <v>67998</v>
      </c>
      <c r="I15" s="123">
        <v>66886</v>
      </c>
      <c r="J15" s="95">
        <v>134884</v>
      </c>
      <c r="K15" s="123">
        <v>418217</v>
      </c>
      <c r="L15" s="123">
        <v>260587</v>
      </c>
      <c r="M15" s="95">
        <v>678804</v>
      </c>
      <c r="N15" s="123">
        <v>4408</v>
      </c>
      <c r="O15" s="123">
        <v>4040</v>
      </c>
      <c r="P15" s="95">
        <v>8448</v>
      </c>
      <c r="Q15" s="123">
        <v>2816</v>
      </c>
      <c r="R15" s="123">
        <v>1757</v>
      </c>
      <c r="S15" s="95">
        <v>4573</v>
      </c>
      <c r="T15" s="123">
        <v>603</v>
      </c>
      <c r="U15" s="123">
        <v>811</v>
      </c>
      <c r="V15" s="95">
        <v>1414</v>
      </c>
      <c r="W15" s="123">
        <v>17239</v>
      </c>
      <c r="X15" s="123">
        <v>14105</v>
      </c>
      <c r="Y15" s="95">
        <v>31344</v>
      </c>
      <c r="Z15" s="95">
        <v>525832</v>
      </c>
      <c r="AA15" s="95">
        <v>363962</v>
      </c>
      <c r="AB15" s="95">
        <v>889794</v>
      </c>
      <c r="AC15" s="691">
        <v>76.287769978219671</v>
      </c>
      <c r="AD15" s="691">
        <v>40.904074426215509</v>
      </c>
    </row>
    <row r="16" spans="1:30" s="694" customFormat="1" ht="40.5" customHeight="1">
      <c r="A16" s="222" t="s">
        <v>60</v>
      </c>
      <c r="B16" s="693">
        <v>101450</v>
      </c>
      <c r="C16" s="693">
        <v>78880</v>
      </c>
      <c r="D16" s="693">
        <v>180330</v>
      </c>
      <c r="E16" s="693">
        <v>4654</v>
      </c>
      <c r="F16" s="693">
        <v>7423</v>
      </c>
      <c r="G16" s="693">
        <v>12077</v>
      </c>
      <c r="H16" s="693">
        <v>1087884</v>
      </c>
      <c r="I16" s="693">
        <v>1236301</v>
      </c>
      <c r="J16" s="693">
        <v>2324185</v>
      </c>
      <c r="K16" s="693">
        <v>3448134</v>
      </c>
      <c r="L16" s="693">
        <v>2320019</v>
      </c>
      <c r="M16" s="693">
        <v>5768153</v>
      </c>
      <c r="N16" s="693">
        <v>95077</v>
      </c>
      <c r="O16" s="693">
        <v>73561</v>
      </c>
      <c r="P16" s="693">
        <v>168638</v>
      </c>
      <c r="Q16" s="693">
        <v>188412</v>
      </c>
      <c r="R16" s="693">
        <v>124219</v>
      </c>
      <c r="S16" s="693">
        <v>312631</v>
      </c>
      <c r="T16" s="693">
        <v>50842</v>
      </c>
      <c r="U16" s="693">
        <v>33396</v>
      </c>
      <c r="V16" s="693">
        <v>84238</v>
      </c>
      <c r="W16" s="693">
        <v>102031</v>
      </c>
      <c r="X16" s="693">
        <v>75909</v>
      </c>
      <c r="Y16" s="693">
        <v>177940</v>
      </c>
      <c r="Z16" s="693">
        <v>5078484</v>
      </c>
      <c r="AA16" s="693">
        <v>3949708</v>
      </c>
      <c r="AB16" s="693">
        <v>9028192</v>
      </c>
      <c r="AC16" s="691">
        <v>63.822066244882926</v>
      </c>
      <c r="AD16" s="691">
        <v>43.666202087392797</v>
      </c>
    </row>
    <row r="17" spans="1:30" s="694" customFormat="1" ht="54" customHeight="1">
      <c r="A17" s="158" t="s">
        <v>154</v>
      </c>
      <c r="B17" s="1082" t="s">
        <v>1007</v>
      </c>
      <c r="C17" s="1082"/>
      <c r="D17" s="1082"/>
      <c r="E17" s="1082"/>
      <c r="F17" s="1082"/>
      <c r="G17" s="1082"/>
      <c r="H17" s="1082"/>
      <c r="I17" s="1082"/>
      <c r="J17" s="1082"/>
      <c r="K17" s="1082" t="str">
        <f>B17</f>
        <v>Level-wise Enrolment in various types of Universities
(b) Affiliated and Constituent Colleges
(Based on Actual Response)</v>
      </c>
      <c r="L17" s="1082"/>
      <c r="M17" s="1082"/>
      <c r="N17" s="1082"/>
      <c r="O17" s="1082"/>
      <c r="P17" s="1082"/>
      <c r="Q17" s="1082"/>
      <c r="R17" s="1082"/>
      <c r="S17" s="1082"/>
      <c r="T17" s="1082" t="str">
        <f>K17</f>
        <v>Level-wise Enrolment in various types of Universities
(b) Affiliated and Constituent Colleges
(Based on Actual Response)</v>
      </c>
      <c r="U17" s="1082"/>
      <c r="V17" s="1082"/>
      <c r="W17" s="1082"/>
      <c r="X17" s="1082"/>
      <c r="Y17" s="1082"/>
      <c r="Z17" s="1082"/>
      <c r="AA17" s="1082"/>
      <c r="AB17" s="1082"/>
      <c r="AC17" s="691"/>
      <c r="AD17" s="691"/>
    </row>
    <row r="18" spans="1:30" ht="40.5" customHeight="1">
      <c r="A18" s="222" t="s">
        <v>125</v>
      </c>
      <c r="B18" s="123">
        <v>328</v>
      </c>
      <c r="C18" s="123">
        <v>399</v>
      </c>
      <c r="D18" s="123">
        <v>727</v>
      </c>
      <c r="E18" s="123">
        <v>2</v>
      </c>
      <c r="F18" s="123">
        <v>20</v>
      </c>
      <c r="G18" s="123">
        <v>22</v>
      </c>
      <c r="H18" s="123">
        <v>14154</v>
      </c>
      <c r="I18" s="123">
        <v>23569</v>
      </c>
      <c r="J18" s="123">
        <v>37723</v>
      </c>
      <c r="K18" s="123">
        <v>345934</v>
      </c>
      <c r="L18" s="123">
        <v>396236</v>
      </c>
      <c r="M18" s="123">
        <v>742170</v>
      </c>
      <c r="N18" s="123">
        <v>215</v>
      </c>
      <c r="O18" s="123">
        <v>259</v>
      </c>
      <c r="P18" s="123">
        <v>474</v>
      </c>
      <c r="Q18" s="123">
        <v>7200</v>
      </c>
      <c r="R18" s="123">
        <v>4045</v>
      </c>
      <c r="S18" s="123">
        <v>11245</v>
      </c>
      <c r="T18" s="123">
        <v>1054</v>
      </c>
      <c r="U18" s="123">
        <v>882</v>
      </c>
      <c r="V18" s="123">
        <v>1936</v>
      </c>
      <c r="W18" s="123">
        <v>794</v>
      </c>
      <c r="X18" s="123">
        <v>974</v>
      </c>
      <c r="Y18" s="123">
        <v>1768</v>
      </c>
      <c r="Z18" s="123">
        <v>369681</v>
      </c>
      <c r="AA18" s="123">
        <v>426384</v>
      </c>
      <c r="AB18" s="123">
        <v>796065</v>
      </c>
      <c r="AC18" s="691">
        <v>2.6821290366042E-2</v>
      </c>
      <c r="AD18" s="691">
        <v>53.494751759601399</v>
      </c>
    </row>
    <row r="19" spans="1:30" ht="40.5" customHeight="1">
      <c r="A19" s="222" t="s">
        <v>128</v>
      </c>
      <c r="B19" s="123">
        <v>12280</v>
      </c>
      <c r="C19" s="123">
        <v>14023</v>
      </c>
      <c r="D19" s="123">
        <v>26303</v>
      </c>
      <c r="E19" s="123">
        <v>1657</v>
      </c>
      <c r="F19" s="123">
        <v>2914</v>
      </c>
      <c r="G19" s="123">
        <v>4571</v>
      </c>
      <c r="H19" s="123">
        <v>883546</v>
      </c>
      <c r="I19" s="123">
        <v>1315363</v>
      </c>
      <c r="J19" s="123">
        <v>2198909</v>
      </c>
      <c r="K19" s="123">
        <v>12134720</v>
      </c>
      <c r="L19" s="123">
        <v>12318888</v>
      </c>
      <c r="M19" s="123">
        <v>24453608</v>
      </c>
      <c r="N19" s="123">
        <v>18482</v>
      </c>
      <c r="O19" s="123">
        <v>19998</v>
      </c>
      <c r="P19" s="123">
        <v>38480</v>
      </c>
      <c r="Q19" s="123">
        <v>335349</v>
      </c>
      <c r="R19" s="123">
        <v>213053</v>
      </c>
      <c r="S19" s="123">
        <v>548402</v>
      </c>
      <c r="T19" s="123">
        <v>20435</v>
      </c>
      <c r="U19" s="123">
        <v>24084</v>
      </c>
      <c r="V19" s="123">
        <v>44519</v>
      </c>
      <c r="W19" s="123">
        <v>106998</v>
      </c>
      <c r="X19" s="123">
        <v>93704</v>
      </c>
      <c r="Y19" s="123">
        <v>200702</v>
      </c>
      <c r="Z19" s="123">
        <v>13513467</v>
      </c>
      <c r="AA19" s="123">
        <v>14002027</v>
      </c>
      <c r="AB19" s="123">
        <v>27515494</v>
      </c>
      <c r="AC19" s="691">
        <v>88.886569258156669</v>
      </c>
      <c r="AD19" s="691">
        <v>50.899872655178392</v>
      </c>
    </row>
    <row r="20" spans="1:30" ht="40.5" customHeight="1">
      <c r="A20" s="222" t="s">
        <v>60</v>
      </c>
      <c r="B20" s="693">
        <v>12608</v>
      </c>
      <c r="C20" s="693">
        <v>14422</v>
      </c>
      <c r="D20" s="693">
        <v>27030</v>
      </c>
      <c r="E20" s="693">
        <v>1659</v>
      </c>
      <c r="F20" s="693">
        <v>2934</v>
      </c>
      <c r="G20" s="693">
        <v>4593</v>
      </c>
      <c r="H20" s="693">
        <v>897700</v>
      </c>
      <c r="I20" s="693">
        <v>1338932</v>
      </c>
      <c r="J20" s="693">
        <v>2236632</v>
      </c>
      <c r="K20" s="693">
        <v>12480654</v>
      </c>
      <c r="L20" s="693">
        <v>12715124</v>
      </c>
      <c r="M20" s="693">
        <v>25195778</v>
      </c>
      <c r="N20" s="693">
        <v>18697</v>
      </c>
      <c r="O20" s="693">
        <v>20257</v>
      </c>
      <c r="P20" s="693">
        <v>38954</v>
      </c>
      <c r="Q20" s="693">
        <v>342549</v>
      </c>
      <c r="R20" s="693">
        <v>217098</v>
      </c>
      <c r="S20" s="693">
        <v>559647</v>
      </c>
      <c r="T20" s="693">
        <v>21489</v>
      </c>
      <c r="U20" s="693">
        <v>24966</v>
      </c>
      <c r="V20" s="693">
        <v>46455</v>
      </c>
      <c r="W20" s="693">
        <v>107792</v>
      </c>
      <c r="X20" s="693">
        <v>94678</v>
      </c>
      <c r="Y20" s="693">
        <v>202470</v>
      </c>
      <c r="Z20" s="693">
        <v>13883148</v>
      </c>
      <c r="AA20" s="693">
        <v>14428411</v>
      </c>
      <c r="AB20" s="693">
        <v>28311559</v>
      </c>
      <c r="AC20" s="691">
        <v>89.010764884918572</v>
      </c>
      <c r="AD20" s="691">
        <v>50.973282954622455</v>
      </c>
    </row>
    <row r="21" spans="1:30" s="695" customFormat="1"/>
    <row r="22" spans="1:30" s="695" customFormat="1"/>
    <row r="23" spans="1:30">
      <c r="B23" s="695"/>
      <c r="C23" s="695"/>
      <c r="D23" s="695"/>
      <c r="E23" s="695"/>
      <c r="F23" s="695"/>
      <c r="G23" s="695"/>
      <c r="H23" s="695"/>
      <c r="I23" s="695"/>
      <c r="J23" s="695"/>
      <c r="K23" s="695"/>
      <c r="L23" s="695"/>
      <c r="M23" s="695"/>
      <c r="N23" s="695"/>
      <c r="O23" s="695"/>
      <c r="P23" s="695"/>
      <c r="Q23" s="695"/>
      <c r="R23" s="695"/>
      <c r="S23" s="695"/>
      <c r="T23" s="695"/>
      <c r="U23" s="695"/>
      <c r="V23" s="695"/>
      <c r="W23" s="695"/>
      <c r="X23" s="695"/>
      <c r="Y23" s="695"/>
      <c r="Z23" s="695"/>
      <c r="AA23" s="695"/>
      <c r="AB23" s="695"/>
    </row>
    <row r="25" spans="1:30">
      <c r="B25" s="687" t="s">
        <v>89</v>
      </c>
      <c r="C25" s="687" t="s">
        <v>90</v>
      </c>
      <c r="D25" s="687" t="s">
        <v>85</v>
      </c>
      <c r="E25" s="687" t="s">
        <v>86</v>
      </c>
      <c r="F25" s="687" t="s">
        <v>91</v>
      </c>
      <c r="G25" s="687" t="s">
        <v>92</v>
      </c>
      <c r="H25" s="687" t="s">
        <v>93</v>
      </c>
      <c r="I25" s="687" t="s">
        <v>94</v>
      </c>
    </row>
    <row r="26" spans="1:30" ht="15.5">
      <c r="A26" s="222" t="s">
        <v>125</v>
      </c>
      <c r="B26" s="687">
        <v>1263</v>
      </c>
      <c r="C26" s="687">
        <v>68508</v>
      </c>
      <c r="D26" s="687">
        <v>295444</v>
      </c>
      <c r="E26" s="687">
        <v>2488</v>
      </c>
      <c r="F26" s="687">
        <v>5887</v>
      </c>
      <c r="G26" s="687">
        <v>2404</v>
      </c>
      <c r="H26" s="687">
        <v>6769</v>
      </c>
      <c r="I26" s="687">
        <v>11941</v>
      </c>
    </row>
    <row r="27" spans="1:30" ht="31">
      <c r="A27" s="222" t="s">
        <v>126</v>
      </c>
      <c r="B27" s="687">
        <v>165</v>
      </c>
      <c r="C27" s="687">
        <v>0</v>
      </c>
      <c r="D27" s="687">
        <v>409182</v>
      </c>
      <c r="E27" s="687">
        <v>740810</v>
      </c>
      <c r="F27" s="687">
        <v>40342</v>
      </c>
      <c r="G27" s="687">
        <v>61787</v>
      </c>
      <c r="H27" s="687">
        <v>0</v>
      </c>
      <c r="I27" s="687">
        <v>0</v>
      </c>
    </row>
    <row r="28" spans="1:30" ht="31">
      <c r="A28" s="692" t="s">
        <v>127</v>
      </c>
      <c r="B28" s="687">
        <v>42341</v>
      </c>
      <c r="C28" s="687">
        <v>245</v>
      </c>
      <c r="D28" s="687">
        <v>69500</v>
      </c>
      <c r="E28" s="687">
        <v>170070</v>
      </c>
      <c r="F28" s="687">
        <v>1740</v>
      </c>
      <c r="G28" s="687">
        <v>508</v>
      </c>
      <c r="H28" s="687">
        <v>2662</v>
      </c>
      <c r="I28" s="687">
        <v>22930</v>
      </c>
    </row>
    <row r="29" spans="1:30" ht="31">
      <c r="A29" s="222" t="s">
        <v>128</v>
      </c>
      <c r="B29" s="687">
        <v>47604</v>
      </c>
      <c r="C29" s="687">
        <v>9021</v>
      </c>
      <c r="D29" s="687">
        <v>995146</v>
      </c>
      <c r="E29" s="687">
        <v>1537214</v>
      </c>
      <c r="F29" s="687">
        <v>49651</v>
      </c>
      <c r="G29" s="687">
        <v>62828</v>
      </c>
      <c r="H29" s="687">
        <v>23531</v>
      </c>
      <c r="I29" s="687">
        <v>49673</v>
      </c>
    </row>
    <row r="30" spans="1:30" ht="31">
      <c r="A30" s="222" t="s">
        <v>129</v>
      </c>
      <c r="B30" s="687">
        <v>280</v>
      </c>
      <c r="C30" s="687">
        <v>22</v>
      </c>
      <c r="D30" s="687">
        <v>412978</v>
      </c>
      <c r="E30" s="687">
        <v>1235132</v>
      </c>
      <c r="F30" s="687">
        <v>42125</v>
      </c>
      <c r="G30" s="687">
        <v>65104</v>
      </c>
      <c r="H30" s="687">
        <v>44900</v>
      </c>
      <c r="I30" s="687">
        <v>0</v>
      </c>
    </row>
    <row r="31" spans="1:30" ht="31">
      <c r="A31" s="222" t="s">
        <v>130</v>
      </c>
      <c r="B31" s="687">
        <v>28555</v>
      </c>
      <c r="C31" s="687">
        <v>390</v>
      </c>
      <c r="D31" s="687">
        <v>246537</v>
      </c>
      <c r="E31" s="687">
        <v>1001204</v>
      </c>
      <c r="F31" s="687">
        <v>23260</v>
      </c>
      <c r="G31" s="687">
        <v>114046</v>
      </c>
      <c r="H31" s="687">
        <v>11675</v>
      </c>
      <c r="I31" s="687">
        <v>60304</v>
      </c>
    </row>
    <row r="32" spans="1:30" ht="31">
      <c r="A32" s="222" t="s">
        <v>145</v>
      </c>
      <c r="B32" s="687">
        <v>48</v>
      </c>
      <c r="C32" s="687">
        <v>0</v>
      </c>
      <c r="D32" s="696">
        <v>1974</v>
      </c>
      <c r="E32" s="687">
        <v>2774</v>
      </c>
      <c r="F32" s="687">
        <v>0</v>
      </c>
      <c r="G32" s="687">
        <v>0</v>
      </c>
      <c r="H32" s="687">
        <v>0</v>
      </c>
      <c r="I32" s="687">
        <v>0</v>
      </c>
    </row>
    <row r="33" spans="1:9" ht="31">
      <c r="A33" s="222" t="s">
        <v>131</v>
      </c>
      <c r="B33" s="687">
        <v>183</v>
      </c>
      <c r="C33" s="687">
        <v>0</v>
      </c>
      <c r="D33" s="687">
        <v>1363</v>
      </c>
      <c r="E33" s="687">
        <v>5318</v>
      </c>
      <c r="F33" s="687">
        <v>59</v>
      </c>
      <c r="G33" s="687">
        <v>298</v>
      </c>
      <c r="H33" s="687">
        <v>86</v>
      </c>
      <c r="I33" s="687">
        <v>0</v>
      </c>
    </row>
    <row r="34" spans="1:9" ht="31">
      <c r="A34" s="222" t="s">
        <v>132</v>
      </c>
      <c r="B34" s="687">
        <v>5650</v>
      </c>
      <c r="C34" s="687">
        <v>111</v>
      </c>
      <c r="D34" s="687">
        <v>12630</v>
      </c>
      <c r="E34" s="687">
        <v>15315</v>
      </c>
      <c r="F34" s="687">
        <v>815</v>
      </c>
      <c r="G34" s="687">
        <v>2036</v>
      </c>
      <c r="H34" s="687">
        <v>745</v>
      </c>
      <c r="I34" s="687">
        <v>1197</v>
      </c>
    </row>
    <row r="35" spans="1:9" ht="31">
      <c r="A35" s="222" t="s">
        <v>133</v>
      </c>
      <c r="B35" s="687">
        <v>2819</v>
      </c>
      <c r="C35" s="687">
        <v>186</v>
      </c>
      <c r="D35" s="687">
        <v>13878</v>
      </c>
      <c r="E35" s="687">
        <v>32755</v>
      </c>
      <c r="F35" s="687">
        <v>804</v>
      </c>
      <c r="G35" s="687">
        <v>3124</v>
      </c>
      <c r="H35" s="687">
        <v>334</v>
      </c>
      <c r="I35" s="687">
        <v>1432</v>
      </c>
    </row>
    <row r="36" spans="1:9" ht="31">
      <c r="A36" s="222" t="s">
        <v>134</v>
      </c>
      <c r="B36" s="687">
        <v>29751</v>
      </c>
      <c r="C36" s="687">
        <v>576</v>
      </c>
      <c r="D36" s="687">
        <v>134884</v>
      </c>
      <c r="E36" s="687">
        <v>678804</v>
      </c>
      <c r="F36" s="687">
        <v>8448</v>
      </c>
      <c r="G36" s="687">
        <v>4573</v>
      </c>
      <c r="H36" s="687">
        <v>1414</v>
      </c>
      <c r="I36" s="687">
        <v>31344</v>
      </c>
    </row>
    <row r="37" spans="1:9" ht="15.5">
      <c r="A37" s="222" t="s">
        <v>11</v>
      </c>
      <c r="B37" s="687" t="e">
        <v>#REF!</v>
      </c>
      <c r="C37" s="687" t="e">
        <v>#REF!</v>
      </c>
      <c r="D37" s="687" t="e">
        <v>#REF!</v>
      </c>
      <c r="E37" s="687" t="e">
        <v>#REF!</v>
      </c>
      <c r="F37" s="687" t="e">
        <v>#REF!</v>
      </c>
      <c r="G37" s="687" t="e">
        <v>#REF!</v>
      </c>
      <c r="H37" s="687" t="e">
        <v>#REF!</v>
      </c>
      <c r="I37" s="687" t="e">
        <v>#REF!</v>
      </c>
    </row>
    <row r="41" spans="1:9">
      <c r="B41" s="687" t="s">
        <v>87</v>
      </c>
      <c r="C41" s="687" t="s">
        <v>88</v>
      </c>
    </row>
    <row r="42" spans="1:9" ht="15.5">
      <c r="A42" s="222" t="s">
        <v>125</v>
      </c>
      <c r="B42" s="687">
        <v>395388</v>
      </c>
      <c r="C42" s="687">
        <v>350885</v>
      </c>
    </row>
    <row r="43" spans="1:9" ht="31">
      <c r="A43" s="222" t="s">
        <v>126</v>
      </c>
      <c r="B43" s="687">
        <v>698009</v>
      </c>
      <c r="C43" s="687">
        <v>554277</v>
      </c>
    </row>
    <row r="44" spans="1:9" ht="31">
      <c r="A44" s="692" t="s">
        <v>127</v>
      </c>
      <c r="B44" s="687">
        <v>229819</v>
      </c>
      <c r="C44" s="687">
        <v>80177</v>
      </c>
    </row>
    <row r="45" spans="1:9" ht="31">
      <c r="A45" s="222" t="s">
        <v>128</v>
      </c>
      <c r="B45" s="687">
        <v>1330685</v>
      </c>
      <c r="C45" s="687">
        <v>1443983</v>
      </c>
    </row>
    <row r="46" spans="1:9" ht="31">
      <c r="A46" s="222" t="s">
        <v>129</v>
      </c>
      <c r="B46" s="687">
        <v>1078876</v>
      </c>
      <c r="C46" s="687">
        <v>721665</v>
      </c>
    </row>
    <row r="47" spans="1:9" ht="31">
      <c r="A47" s="222" t="s">
        <v>130</v>
      </c>
      <c r="B47" s="687">
        <v>961005</v>
      </c>
      <c r="C47" s="687">
        <v>524966</v>
      </c>
    </row>
    <row r="48" spans="1:9" ht="31">
      <c r="A48" s="222" t="s">
        <v>145</v>
      </c>
      <c r="B48" s="687">
        <v>2518</v>
      </c>
      <c r="C48" s="687">
        <v>2278</v>
      </c>
    </row>
    <row r="49" spans="1:3" ht="31">
      <c r="A49" s="222" t="s">
        <v>131</v>
      </c>
      <c r="B49" s="687">
        <v>1835</v>
      </c>
      <c r="C49" s="687">
        <v>5472</v>
      </c>
    </row>
    <row r="50" spans="1:3" ht="31">
      <c r="A50" s="222" t="s">
        <v>132</v>
      </c>
      <c r="B50" s="687">
        <v>25986</v>
      </c>
      <c r="C50" s="687">
        <v>12513</v>
      </c>
    </row>
    <row r="51" spans="1:3" ht="31">
      <c r="A51" s="222" t="s">
        <v>133</v>
      </c>
      <c r="B51" s="687">
        <v>25968</v>
      </c>
      <c r="C51" s="687">
        <v>29364</v>
      </c>
    </row>
    <row r="52" spans="1:3" ht="31">
      <c r="A52" s="222" t="s">
        <v>134</v>
      </c>
      <c r="B52" s="687">
        <v>525832</v>
      </c>
      <c r="C52" s="687">
        <v>363962</v>
      </c>
    </row>
    <row r="53" spans="1:3" ht="15.5">
      <c r="A53" s="222" t="s">
        <v>11</v>
      </c>
      <c r="B53" s="687" t="e">
        <v>#REF!</v>
      </c>
      <c r="C53" s="687" t="e">
        <v>#REF!</v>
      </c>
    </row>
  </sheetData>
  <mergeCells count="16">
    <mergeCell ref="B17:J17"/>
    <mergeCell ref="K17:S17"/>
    <mergeCell ref="T17:AB17"/>
    <mergeCell ref="B1:J1"/>
    <mergeCell ref="K1:S1"/>
    <mergeCell ref="T1:AB1"/>
    <mergeCell ref="N2:P2"/>
    <mergeCell ref="Q2:S2"/>
    <mergeCell ref="T2:V2"/>
    <mergeCell ref="W2:Y2"/>
    <mergeCell ref="Z2:AB2"/>
    <mergeCell ref="A2:A3"/>
    <mergeCell ref="B2:D2"/>
    <mergeCell ref="E2:G2"/>
    <mergeCell ref="H2:J2"/>
    <mergeCell ref="K2:M2"/>
  </mergeCells>
  <pageMargins left="0.70866141732283472" right="0.23622047244094491" top="0.55118110236220474" bottom="0.74803149606299213" header="0.31496062992125984" footer="0.31496062992125984"/>
  <pageSetup paperSize="9" scale="92" firstPageNumber="87" orientation="portrait" useFirstPageNumber="1" r:id="rId1"/>
  <headerFooter>
    <oddFooter>&amp;LAISHE 2020-21&amp;CT-26</oddFooter>
  </headerFooter>
  <colBreaks count="2" manualBreakCount="2">
    <brk id="10" max="19" man="1"/>
    <brk id="19" max="19" man="1"/>
  </colBreaks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00B050"/>
  </sheetPr>
  <dimension ref="A1:Y20"/>
  <sheetViews>
    <sheetView view="pageBreakPreview" zoomScaleSheetLayoutView="100" workbookViewId="0">
      <pane xSplit="1" ySplit="4" topLeftCell="N20" activePane="bottomRight" state="frozen"/>
      <selection activeCell="H31" sqref="H31"/>
      <selection pane="topRight" activeCell="H31" sqref="H31"/>
      <selection pane="bottomLeft" activeCell="H31" sqref="H31"/>
      <selection pane="bottomRight" activeCell="Y20" sqref="Y20"/>
    </sheetView>
  </sheetViews>
  <sheetFormatPr defaultColWidth="9.1796875" defaultRowHeight="14"/>
  <cols>
    <col min="1" max="1" width="14.453125" style="680" customWidth="1"/>
    <col min="2" max="2" width="10.26953125" style="680" customWidth="1"/>
    <col min="3" max="3" width="10.1796875" style="680" customWidth="1"/>
    <col min="4" max="4" width="9.81640625" style="680" customWidth="1"/>
    <col min="5" max="5" width="8.81640625" style="680" customWidth="1"/>
    <col min="6" max="6" width="10.7265625" style="680" customWidth="1"/>
    <col min="7" max="7" width="9" style="680" customWidth="1"/>
    <col min="8" max="8" width="7.81640625" style="680" customWidth="1"/>
    <col min="9" max="9" width="9.26953125" style="680" customWidth="1"/>
    <col min="10" max="10" width="8.81640625" style="680" customWidth="1"/>
    <col min="11" max="11" width="9" style="680" customWidth="1"/>
    <col min="12" max="12" width="9.26953125" style="680" customWidth="1"/>
    <col min="13" max="14" width="10.7265625" style="680" customWidth="1"/>
    <col min="15" max="15" width="10.26953125" style="680" customWidth="1"/>
    <col min="16" max="16" width="9.81640625" style="680" customWidth="1"/>
    <col min="17" max="17" width="10" style="680" customWidth="1"/>
    <col min="18" max="18" width="10.7265625" style="680" customWidth="1"/>
    <col min="19" max="19" width="11.7265625" style="680" customWidth="1"/>
    <col min="20" max="20" width="9.1796875" style="680"/>
    <col min="21" max="21" width="10" style="680" customWidth="1"/>
    <col min="22" max="23" width="9.1796875" style="680"/>
    <col min="24" max="24" width="9.54296875" style="680" customWidth="1"/>
    <col min="25" max="16384" width="9.1796875" style="680"/>
  </cols>
  <sheetData>
    <row r="1" spans="1:25" s="679" customFormat="1" ht="72.75" customHeight="1">
      <c r="A1" s="158" t="s">
        <v>143</v>
      </c>
      <c r="B1" s="1082" t="s">
        <v>1008</v>
      </c>
      <c r="C1" s="1082"/>
      <c r="D1" s="1082"/>
      <c r="E1" s="1082"/>
      <c r="F1" s="1082"/>
      <c r="G1" s="1082"/>
      <c r="H1" s="1082"/>
      <c r="I1" s="1082"/>
      <c r="J1" s="1082"/>
      <c r="K1" s="1082"/>
      <c r="L1" s="1082"/>
      <c r="M1" s="1082"/>
      <c r="N1" s="1082" t="s">
        <v>1009</v>
      </c>
      <c r="O1" s="1082"/>
      <c r="P1" s="1082"/>
      <c r="Q1" s="1082"/>
      <c r="R1" s="1082"/>
      <c r="S1" s="1082"/>
      <c r="T1" s="1082"/>
      <c r="U1" s="1082"/>
      <c r="V1" s="1082"/>
      <c r="W1" s="1082"/>
      <c r="X1" s="1082"/>
      <c r="Y1" s="1082"/>
    </row>
    <row r="2" spans="1:25" ht="31.5" customHeight="1">
      <c r="A2" s="1089" t="s">
        <v>124</v>
      </c>
      <c r="B2" s="1090" t="s">
        <v>152</v>
      </c>
      <c r="C2" s="1090"/>
      <c r="D2" s="1090"/>
      <c r="E2" s="1090" t="s">
        <v>538</v>
      </c>
      <c r="F2" s="1090"/>
      <c r="G2" s="1090"/>
      <c r="H2" s="1090" t="s">
        <v>315</v>
      </c>
      <c r="I2" s="1090"/>
      <c r="J2" s="1090"/>
      <c r="K2" s="1090" t="s">
        <v>1074</v>
      </c>
      <c r="L2" s="1090"/>
      <c r="M2" s="1090"/>
      <c r="N2" s="1090" t="s">
        <v>108</v>
      </c>
      <c r="O2" s="1090"/>
      <c r="P2" s="1090"/>
      <c r="Q2" s="1090" t="s">
        <v>109</v>
      </c>
      <c r="R2" s="1090"/>
      <c r="S2" s="1090"/>
      <c r="T2" s="1090" t="s">
        <v>110</v>
      </c>
      <c r="U2" s="1090"/>
      <c r="V2" s="1090"/>
      <c r="W2" s="1090" t="s">
        <v>296</v>
      </c>
      <c r="X2" s="1090"/>
      <c r="Y2" s="1090"/>
    </row>
    <row r="3" spans="1:25" ht="23.25" customHeight="1">
      <c r="A3" s="1089"/>
      <c r="B3" s="661" t="s">
        <v>87</v>
      </c>
      <c r="C3" s="661" t="s">
        <v>88</v>
      </c>
      <c r="D3" s="661" t="s">
        <v>12</v>
      </c>
      <c r="E3" s="661" t="s">
        <v>87</v>
      </c>
      <c r="F3" s="661" t="s">
        <v>88</v>
      </c>
      <c r="G3" s="661" t="s">
        <v>12</v>
      </c>
      <c r="H3" s="661" t="s">
        <v>87</v>
      </c>
      <c r="I3" s="661" t="s">
        <v>88</v>
      </c>
      <c r="J3" s="661" t="s">
        <v>12</v>
      </c>
      <c r="K3" s="661" t="s">
        <v>87</v>
      </c>
      <c r="L3" s="661" t="s">
        <v>88</v>
      </c>
      <c r="M3" s="661" t="s">
        <v>12</v>
      </c>
      <c r="N3" s="661" t="s">
        <v>87</v>
      </c>
      <c r="O3" s="661" t="s">
        <v>88</v>
      </c>
      <c r="P3" s="661" t="s">
        <v>12</v>
      </c>
      <c r="Q3" s="661" t="s">
        <v>87</v>
      </c>
      <c r="R3" s="661" t="s">
        <v>88</v>
      </c>
      <c r="S3" s="661" t="s">
        <v>12</v>
      </c>
      <c r="T3" s="661" t="s">
        <v>87</v>
      </c>
      <c r="U3" s="661" t="s">
        <v>88</v>
      </c>
      <c r="V3" s="661" t="s">
        <v>12</v>
      </c>
      <c r="W3" s="661" t="s">
        <v>87</v>
      </c>
      <c r="X3" s="661" t="s">
        <v>88</v>
      </c>
      <c r="Y3" s="661" t="s">
        <v>12</v>
      </c>
    </row>
    <row r="4" spans="1:25">
      <c r="A4" s="219">
        <v>1</v>
      </c>
      <c r="B4" s="681">
        <v>2</v>
      </c>
      <c r="C4" s="219">
        <v>3</v>
      </c>
      <c r="D4" s="681">
        <v>4</v>
      </c>
      <c r="E4" s="219">
        <v>5</v>
      </c>
      <c r="F4" s="681">
        <v>6</v>
      </c>
      <c r="G4" s="219">
        <v>7</v>
      </c>
      <c r="H4" s="681">
        <v>8</v>
      </c>
      <c r="I4" s="219">
        <v>9</v>
      </c>
      <c r="J4" s="681">
        <v>10</v>
      </c>
      <c r="K4" s="219">
        <v>11</v>
      </c>
      <c r="L4" s="681">
        <v>12</v>
      </c>
      <c r="M4" s="219">
        <v>13</v>
      </c>
      <c r="N4" s="681">
        <v>2</v>
      </c>
      <c r="O4" s="219">
        <v>3</v>
      </c>
      <c r="P4" s="681">
        <v>4</v>
      </c>
      <c r="Q4" s="219">
        <v>5</v>
      </c>
      <c r="R4" s="681">
        <v>6</v>
      </c>
      <c r="S4" s="219">
        <v>7</v>
      </c>
      <c r="T4" s="681">
        <v>8</v>
      </c>
      <c r="U4" s="219">
        <v>9</v>
      </c>
      <c r="V4" s="681">
        <v>10</v>
      </c>
      <c r="W4" s="219">
        <v>11</v>
      </c>
      <c r="X4" s="681">
        <v>12</v>
      </c>
      <c r="Y4" s="219">
        <v>13</v>
      </c>
    </row>
    <row r="5" spans="1:25" ht="54" customHeight="1">
      <c r="A5" s="682" t="s">
        <v>991</v>
      </c>
      <c r="B5" s="123">
        <v>366090</v>
      </c>
      <c r="C5" s="123">
        <v>337686</v>
      </c>
      <c r="D5" s="123">
        <v>703776</v>
      </c>
      <c r="E5" s="123">
        <v>28998</v>
      </c>
      <c r="F5" s="123">
        <v>21625</v>
      </c>
      <c r="G5" s="123">
        <v>50623</v>
      </c>
      <c r="H5" s="123">
        <v>16246</v>
      </c>
      <c r="I5" s="123">
        <v>16893</v>
      </c>
      <c r="J5" s="123">
        <v>33139</v>
      </c>
      <c r="K5" s="123">
        <v>70384</v>
      </c>
      <c r="L5" s="123">
        <v>47568</v>
      </c>
      <c r="M5" s="123">
        <v>117952</v>
      </c>
      <c r="N5" s="123">
        <v>2446</v>
      </c>
      <c r="O5" s="123">
        <v>1001</v>
      </c>
      <c r="P5" s="123">
        <v>3447</v>
      </c>
      <c r="Q5" s="123">
        <v>30505</v>
      </c>
      <c r="R5" s="123">
        <v>27501</v>
      </c>
      <c r="S5" s="123">
        <v>58006</v>
      </c>
      <c r="T5" s="123">
        <v>5429</v>
      </c>
      <c r="U5" s="123">
        <v>7221</v>
      </c>
      <c r="V5" s="123">
        <v>12650</v>
      </c>
      <c r="W5" s="683">
        <v>12215</v>
      </c>
      <c r="X5" s="683">
        <v>7511</v>
      </c>
      <c r="Y5" s="683">
        <v>19726</v>
      </c>
    </row>
    <row r="6" spans="1:25" ht="54" customHeight="1">
      <c r="A6" s="682" t="s">
        <v>180</v>
      </c>
      <c r="B6" s="123">
        <v>698009</v>
      </c>
      <c r="C6" s="123">
        <v>554277</v>
      </c>
      <c r="D6" s="123">
        <v>1252286</v>
      </c>
      <c r="E6" s="123">
        <v>114587</v>
      </c>
      <c r="F6" s="123">
        <v>76836</v>
      </c>
      <c r="G6" s="123">
        <v>191423</v>
      </c>
      <c r="H6" s="123">
        <v>47230</v>
      </c>
      <c r="I6" s="123">
        <v>42894</v>
      </c>
      <c r="J6" s="123">
        <v>90124</v>
      </c>
      <c r="K6" s="123">
        <v>161341</v>
      </c>
      <c r="L6" s="123">
        <v>108494</v>
      </c>
      <c r="M6" s="123">
        <v>269835</v>
      </c>
      <c r="N6" s="123">
        <v>1</v>
      </c>
      <c r="O6" s="123">
        <v>2</v>
      </c>
      <c r="P6" s="123">
        <v>3</v>
      </c>
      <c r="Q6" s="123">
        <v>8</v>
      </c>
      <c r="R6" s="123">
        <v>7</v>
      </c>
      <c r="S6" s="123">
        <v>15</v>
      </c>
      <c r="T6" s="123">
        <v>82</v>
      </c>
      <c r="U6" s="123">
        <v>61</v>
      </c>
      <c r="V6" s="123">
        <v>143</v>
      </c>
      <c r="W6" s="683">
        <v>7808</v>
      </c>
      <c r="X6" s="683">
        <v>4115</v>
      </c>
      <c r="Y6" s="683">
        <v>11923</v>
      </c>
    </row>
    <row r="7" spans="1:25" ht="54" customHeight="1">
      <c r="A7" s="682" t="s">
        <v>181</v>
      </c>
      <c r="B7" s="123">
        <v>227101</v>
      </c>
      <c r="C7" s="123">
        <v>79412</v>
      </c>
      <c r="D7" s="123">
        <v>306513</v>
      </c>
      <c r="E7" s="123">
        <v>30561</v>
      </c>
      <c r="F7" s="123">
        <v>9516</v>
      </c>
      <c r="G7" s="123">
        <v>40077</v>
      </c>
      <c r="H7" s="123">
        <v>14074</v>
      </c>
      <c r="I7" s="123">
        <v>4608</v>
      </c>
      <c r="J7" s="123">
        <v>18682</v>
      </c>
      <c r="K7" s="123">
        <v>61498</v>
      </c>
      <c r="L7" s="123">
        <v>17516</v>
      </c>
      <c r="M7" s="123">
        <v>79014</v>
      </c>
      <c r="N7" s="123">
        <v>2870</v>
      </c>
      <c r="O7" s="123">
        <v>563</v>
      </c>
      <c r="P7" s="123">
        <v>3433</v>
      </c>
      <c r="Q7" s="123">
        <v>4465</v>
      </c>
      <c r="R7" s="123">
        <v>1261</v>
      </c>
      <c r="S7" s="123">
        <v>5726</v>
      </c>
      <c r="T7" s="123">
        <v>6810</v>
      </c>
      <c r="U7" s="123">
        <v>3680</v>
      </c>
      <c r="V7" s="123">
        <v>10490</v>
      </c>
      <c r="W7" s="683">
        <v>10066</v>
      </c>
      <c r="X7" s="683">
        <v>2460</v>
      </c>
      <c r="Y7" s="683">
        <v>12526</v>
      </c>
    </row>
    <row r="8" spans="1:25" ht="54" customHeight="1">
      <c r="A8" s="682" t="s">
        <v>992</v>
      </c>
      <c r="B8" s="123">
        <v>1338500</v>
      </c>
      <c r="C8" s="123">
        <v>1439580</v>
      </c>
      <c r="D8" s="123">
        <v>2778080</v>
      </c>
      <c r="E8" s="123">
        <v>172604</v>
      </c>
      <c r="F8" s="123">
        <v>169900</v>
      </c>
      <c r="G8" s="123">
        <v>342504</v>
      </c>
      <c r="H8" s="123">
        <v>51544</v>
      </c>
      <c r="I8" s="123">
        <v>50688</v>
      </c>
      <c r="J8" s="123">
        <v>102232</v>
      </c>
      <c r="K8" s="123">
        <v>464874</v>
      </c>
      <c r="L8" s="123">
        <v>510104</v>
      </c>
      <c r="M8" s="123">
        <v>974978</v>
      </c>
      <c r="N8" s="123">
        <v>5336</v>
      </c>
      <c r="O8" s="123">
        <v>3173</v>
      </c>
      <c r="P8" s="123">
        <v>8509</v>
      </c>
      <c r="Q8" s="123">
        <v>57807</v>
      </c>
      <c r="R8" s="123">
        <v>61728</v>
      </c>
      <c r="S8" s="123">
        <v>119535</v>
      </c>
      <c r="T8" s="123">
        <v>25209</v>
      </c>
      <c r="U8" s="123">
        <v>22360</v>
      </c>
      <c r="V8" s="123">
        <v>47569</v>
      </c>
      <c r="W8" s="683">
        <v>10723</v>
      </c>
      <c r="X8" s="683">
        <v>9036</v>
      </c>
      <c r="Y8" s="683">
        <v>19759</v>
      </c>
    </row>
    <row r="9" spans="1:25" ht="54" customHeight="1">
      <c r="A9" s="682" t="s">
        <v>182</v>
      </c>
      <c r="B9" s="123">
        <v>911295</v>
      </c>
      <c r="C9" s="123">
        <v>603442</v>
      </c>
      <c r="D9" s="123">
        <v>1514737</v>
      </c>
      <c r="E9" s="123">
        <v>119870</v>
      </c>
      <c r="F9" s="123">
        <v>81295</v>
      </c>
      <c r="G9" s="123">
        <v>201165</v>
      </c>
      <c r="H9" s="123">
        <v>60040</v>
      </c>
      <c r="I9" s="123">
        <v>42301</v>
      </c>
      <c r="J9" s="123">
        <v>102341</v>
      </c>
      <c r="K9" s="123">
        <v>322896</v>
      </c>
      <c r="L9" s="123">
        <v>204778</v>
      </c>
      <c r="M9" s="123">
        <v>527674</v>
      </c>
      <c r="N9" s="123">
        <v>6248</v>
      </c>
      <c r="O9" s="123">
        <v>3761</v>
      </c>
      <c r="P9" s="123">
        <v>10009</v>
      </c>
      <c r="Q9" s="123">
        <v>20313</v>
      </c>
      <c r="R9" s="123">
        <v>15799</v>
      </c>
      <c r="S9" s="123">
        <v>36112</v>
      </c>
      <c r="T9" s="123">
        <v>3421</v>
      </c>
      <c r="U9" s="123">
        <v>4126</v>
      </c>
      <c r="V9" s="123">
        <v>7547</v>
      </c>
      <c r="W9" s="683">
        <v>2330</v>
      </c>
      <c r="X9" s="683">
        <v>20571</v>
      </c>
      <c r="Y9" s="683">
        <v>22901</v>
      </c>
    </row>
    <row r="10" spans="1:25" ht="54" customHeight="1">
      <c r="A10" s="682" t="s">
        <v>183</v>
      </c>
      <c r="B10" s="123">
        <v>954344</v>
      </c>
      <c r="C10" s="123">
        <v>521325</v>
      </c>
      <c r="D10" s="123">
        <v>1475669</v>
      </c>
      <c r="E10" s="123">
        <v>71729</v>
      </c>
      <c r="F10" s="123">
        <v>38134</v>
      </c>
      <c r="G10" s="123">
        <v>109863</v>
      </c>
      <c r="H10" s="123">
        <v>39254</v>
      </c>
      <c r="I10" s="123">
        <v>28259</v>
      </c>
      <c r="J10" s="123">
        <v>67513</v>
      </c>
      <c r="K10" s="123">
        <v>220190</v>
      </c>
      <c r="L10" s="123">
        <v>105857</v>
      </c>
      <c r="M10" s="123">
        <v>326047</v>
      </c>
      <c r="N10" s="123">
        <v>1209</v>
      </c>
      <c r="O10" s="123">
        <v>398</v>
      </c>
      <c r="P10" s="123">
        <v>1607</v>
      </c>
      <c r="Q10" s="123">
        <v>41019</v>
      </c>
      <c r="R10" s="123">
        <v>16155</v>
      </c>
      <c r="S10" s="123">
        <v>57174</v>
      </c>
      <c r="T10" s="123">
        <v>18405</v>
      </c>
      <c r="U10" s="123">
        <v>16282</v>
      </c>
      <c r="V10" s="123">
        <v>34687</v>
      </c>
      <c r="W10" s="683">
        <v>7226</v>
      </c>
      <c r="X10" s="683">
        <v>3323</v>
      </c>
      <c r="Y10" s="683">
        <v>10549</v>
      </c>
    </row>
    <row r="11" spans="1:25" ht="54" customHeight="1">
      <c r="A11" s="682" t="s">
        <v>184</v>
      </c>
      <c r="B11" s="123">
        <v>2518</v>
      </c>
      <c r="C11" s="123">
        <v>2278</v>
      </c>
      <c r="D11" s="123">
        <v>4796</v>
      </c>
      <c r="E11" s="123">
        <v>0</v>
      </c>
      <c r="F11" s="123">
        <v>0</v>
      </c>
      <c r="G11" s="123">
        <v>0</v>
      </c>
      <c r="H11" s="123">
        <v>1720</v>
      </c>
      <c r="I11" s="123">
        <v>1536</v>
      </c>
      <c r="J11" s="123">
        <v>3256</v>
      </c>
      <c r="K11" s="123">
        <v>0</v>
      </c>
      <c r="L11" s="123">
        <v>0</v>
      </c>
      <c r="M11" s="123">
        <v>0</v>
      </c>
      <c r="N11" s="123">
        <v>0</v>
      </c>
      <c r="O11" s="123">
        <v>0</v>
      </c>
      <c r="P11" s="123">
        <v>0</v>
      </c>
      <c r="Q11" s="123">
        <v>0</v>
      </c>
      <c r="R11" s="123">
        <v>0</v>
      </c>
      <c r="S11" s="123">
        <v>0</v>
      </c>
      <c r="T11" s="123">
        <v>0</v>
      </c>
      <c r="U11" s="123">
        <v>0</v>
      </c>
      <c r="V11" s="123">
        <v>0</v>
      </c>
      <c r="W11" s="683">
        <v>0</v>
      </c>
      <c r="X11" s="683">
        <v>0</v>
      </c>
      <c r="Y11" s="683">
        <v>0</v>
      </c>
    </row>
    <row r="12" spans="1:25" ht="54" customHeight="1">
      <c r="A12" s="682" t="s">
        <v>185</v>
      </c>
      <c r="B12" s="123">
        <v>1835</v>
      </c>
      <c r="C12" s="123">
        <v>5472</v>
      </c>
      <c r="D12" s="123">
        <v>7307</v>
      </c>
      <c r="E12" s="123">
        <v>145</v>
      </c>
      <c r="F12" s="123">
        <v>645</v>
      </c>
      <c r="G12" s="123">
        <v>790</v>
      </c>
      <c r="H12" s="123">
        <v>73</v>
      </c>
      <c r="I12" s="123">
        <v>170</v>
      </c>
      <c r="J12" s="123">
        <v>243</v>
      </c>
      <c r="K12" s="123">
        <v>349</v>
      </c>
      <c r="L12" s="123">
        <v>1601</v>
      </c>
      <c r="M12" s="123">
        <v>1950</v>
      </c>
      <c r="N12" s="123">
        <v>17</v>
      </c>
      <c r="O12" s="123">
        <v>14</v>
      </c>
      <c r="P12" s="123">
        <v>31</v>
      </c>
      <c r="Q12" s="123">
        <v>49</v>
      </c>
      <c r="R12" s="123">
        <v>159</v>
      </c>
      <c r="S12" s="123">
        <v>208</v>
      </c>
      <c r="T12" s="123">
        <v>0</v>
      </c>
      <c r="U12" s="123">
        <v>8</v>
      </c>
      <c r="V12" s="123">
        <v>8</v>
      </c>
      <c r="W12" s="683">
        <v>20</v>
      </c>
      <c r="X12" s="683">
        <v>47</v>
      </c>
      <c r="Y12" s="683">
        <v>67</v>
      </c>
    </row>
    <row r="13" spans="1:25" ht="54" customHeight="1">
      <c r="A13" s="682" t="s">
        <v>186</v>
      </c>
      <c r="B13" s="123">
        <v>26992</v>
      </c>
      <c r="C13" s="123">
        <v>12910</v>
      </c>
      <c r="D13" s="123">
        <v>39902</v>
      </c>
      <c r="E13" s="123">
        <v>3002</v>
      </c>
      <c r="F13" s="123">
        <v>1591</v>
      </c>
      <c r="G13" s="123">
        <v>4593</v>
      </c>
      <c r="H13" s="123">
        <v>2472</v>
      </c>
      <c r="I13" s="123">
        <v>1509</v>
      </c>
      <c r="J13" s="123">
        <v>3981</v>
      </c>
      <c r="K13" s="123">
        <v>6174</v>
      </c>
      <c r="L13" s="123">
        <v>2918</v>
      </c>
      <c r="M13" s="123">
        <v>9092</v>
      </c>
      <c r="N13" s="123">
        <v>118</v>
      </c>
      <c r="O13" s="123">
        <v>21</v>
      </c>
      <c r="P13" s="123">
        <v>139</v>
      </c>
      <c r="Q13" s="123">
        <v>342</v>
      </c>
      <c r="R13" s="123">
        <v>68</v>
      </c>
      <c r="S13" s="123">
        <v>410</v>
      </c>
      <c r="T13" s="123">
        <v>914</v>
      </c>
      <c r="U13" s="123">
        <v>498</v>
      </c>
      <c r="V13" s="123">
        <v>1412</v>
      </c>
      <c r="W13" s="683">
        <v>795</v>
      </c>
      <c r="X13" s="683">
        <v>204</v>
      </c>
      <c r="Y13" s="683">
        <v>999</v>
      </c>
    </row>
    <row r="14" spans="1:25" ht="54" customHeight="1">
      <c r="A14" s="682" t="s">
        <v>187</v>
      </c>
      <c r="B14" s="123">
        <v>25968</v>
      </c>
      <c r="C14" s="123">
        <v>29364</v>
      </c>
      <c r="D14" s="123">
        <v>55332</v>
      </c>
      <c r="E14" s="123">
        <v>2717</v>
      </c>
      <c r="F14" s="123">
        <v>3157</v>
      </c>
      <c r="G14" s="123">
        <v>5874</v>
      </c>
      <c r="H14" s="123">
        <v>662</v>
      </c>
      <c r="I14" s="123">
        <v>787</v>
      </c>
      <c r="J14" s="123">
        <v>1449</v>
      </c>
      <c r="K14" s="123">
        <v>6031</v>
      </c>
      <c r="L14" s="123">
        <v>7047</v>
      </c>
      <c r="M14" s="123">
        <v>13078</v>
      </c>
      <c r="N14" s="123">
        <v>47</v>
      </c>
      <c r="O14" s="123">
        <v>60</v>
      </c>
      <c r="P14" s="123">
        <v>107</v>
      </c>
      <c r="Q14" s="123">
        <v>3509</v>
      </c>
      <c r="R14" s="123">
        <v>3044</v>
      </c>
      <c r="S14" s="123">
        <v>6553</v>
      </c>
      <c r="T14" s="123">
        <v>421</v>
      </c>
      <c r="U14" s="123">
        <v>1041</v>
      </c>
      <c r="V14" s="123">
        <v>1462</v>
      </c>
      <c r="W14" s="683">
        <v>540</v>
      </c>
      <c r="X14" s="683">
        <v>484</v>
      </c>
      <c r="Y14" s="683">
        <v>1024</v>
      </c>
    </row>
    <row r="15" spans="1:25" ht="54" customHeight="1">
      <c r="A15" s="682" t="s">
        <v>188</v>
      </c>
      <c r="B15" s="123">
        <v>525832</v>
      </c>
      <c r="C15" s="123">
        <v>363962</v>
      </c>
      <c r="D15" s="123">
        <v>889794</v>
      </c>
      <c r="E15" s="123">
        <v>31258</v>
      </c>
      <c r="F15" s="123">
        <v>21225</v>
      </c>
      <c r="G15" s="123">
        <v>52483</v>
      </c>
      <c r="H15" s="123">
        <v>8251</v>
      </c>
      <c r="I15" s="123">
        <v>6074</v>
      </c>
      <c r="J15" s="123">
        <v>14325</v>
      </c>
      <c r="K15" s="123">
        <v>155341</v>
      </c>
      <c r="L15" s="123">
        <v>102144</v>
      </c>
      <c r="M15" s="123">
        <v>257485</v>
      </c>
      <c r="N15" s="123">
        <v>533</v>
      </c>
      <c r="O15" s="123">
        <v>266</v>
      </c>
      <c r="P15" s="123">
        <v>799</v>
      </c>
      <c r="Q15" s="123">
        <v>17560</v>
      </c>
      <c r="R15" s="123">
        <v>9507</v>
      </c>
      <c r="S15" s="123">
        <v>27067</v>
      </c>
      <c r="T15" s="123">
        <v>27772</v>
      </c>
      <c r="U15" s="123">
        <v>22397</v>
      </c>
      <c r="V15" s="123">
        <v>50169</v>
      </c>
      <c r="W15" s="683">
        <v>10579</v>
      </c>
      <c r="X15" s="683">
        <v>5115</v>
      </c>
      <c r="Y15" s="683">
        <v>15694</v>
      </c>
    </row>
    <row r="16" spans="1:25" s="684" customFormat="1" ht="54" customHeight="1">
      <c r="A16" s="666" t="s">
        <v>49</v>
      </c>
      <c r="B16" s="667">
        <v>5078484</v>
      </c>
      <c r="C16" s="667">
        <v>3949708</v>
      </c>
      <c r="D16" s="667">
        <v>9028192</v>
      </c>
      <c r="E16" s="667">
        <v>575471</v>
      </c>
      <c r="F16" s="667">
        <v>423924</v>
      </c>
      <c r="G16" s="667">
        <v>999395</v>
      </c>
      <c r="H16" s="667">
        <v>241566</v>
      </c>
      <c r="I16" s="667">
        <v>195719</v>
      </c>
      <c r="J16" s="667">
        <v>437285</v>
      </c>
      <c r="K16" s="667">
        <v>1469078</v>
      </c>
      <c r="L16" s="667">
        <v>1108027</v>
      </c>
      <c r="M16" s="667">
        <v>2577105</v>
      </c>
      <c r="N16" s="667">
        <v>18825</v>
      </c>
      <c r="O16" s="667">
        <v>9259</v>
      </c>
      <c r="P16" s="667">
        <v>28084</v>
      </c>
      <c r="Q16" s="667">
        <v>175577</v>
      </c>
      <c r="R16" s="667">
        <v>135229</v>
      </c>
      <c r="S16" s="667">
        <v>310806</v>
      </c>
      <c r="T16" s="667">
        <v>88463</v>
      </c>
      <c r="U16" s="667">
        <v>77674</v>
      </c>
      <c r="V16" s="667">
        <v>166137</v>
      </c>
      <c r="W16" s="667">
        <v>62302</v>
      </c>
      <c r="X16" s="667">
        <v>52866</v>
      </c>
      <c r="Y16" s="667">
        <v>115168</v>
      </c>
    </row>
    <row r="17" spans="1:25" s="679" customFormat="1" ht="54" customHeight="1">
      <c r="A17" s="158" t="s">
        <v>143</v>
      </c>
      <c r="B17" s="1082" t="s">
        <v>1010</v>
      </c>
      <c r="C17" s="1082"/>
      <c r="D17" s="1082"/>
      <c r="E17" s="1082"/>
      <c r="F17" s="1082"/>
      <c r="G17" s="1082"/>
      <c r="H17" s="1082"/>
      <c r="I17" s="1082"/>
      <c r="J17" s="1082"/>
      <c r="K17" s="1082"/>
      <c r="L17" s="1082"/>
      <c r="M17" s="1082"/>
      <c r="N17" s="1082" t="s">
        <v>1011</v>
      </c>
      <c r="O17" s="1082"/>
      <c r="P17" s="1082"/>
      <c r="Q17" s="1082"/>
      <c r="R17" s="1082"/>
      <c r="S17" s="1082"/>
      <c r="T17" s="1082"/>
      <c r="U17" s="1082"/>
      <c r="V17" s="1082"/>
      <c r="W17" s="1082"/>
      <c r="X17" s="1082"/>
      <c r="Y17" s="1082"/>
    </row>
    <row r="18" spans="1:25" ht="54" customHeight="1">
      <c r="A18" s="685" t="s">
        <v>125</v>
      </c>
      <c r="B18" s="665">
        <v>369681</v>
      </c>
      <c r="C18" s="665">
        <v>426384</v>
      </c>
      <c r="D18" s="665">
        <v>796065</v>
      </c>
      <c r="E18" s="665">
        <v>39168</v>
      </c>
      <c r="F18" s="665">
        <v>40844</v>
      </c>
      <c r="G18" s="665">
        <v>80012</v>
      </c>
      <c r="H18" s="665">
        <v>95866</v>
      </c>
      <c r="I18" s="665">
        <v>104876</v>
      </c>
      <c r="J18" s="665">
        <v>200742</v>
      </c>
      <c r="K18" s="665">
        <v>86950</v>
      </c>
      <c r="L18" s="665">
        <v>96830</v>
      </c>
      <c r="M18" s="665">
        <v>183780</v>
      </c>
      <c r="N18" s="665">
        <v>1838</v>
      </c>
      <c r="O18" s="665">
        <v>1357</v>
      </c>
      <c r="P18" s="665">
        <v>3195</v>
      </c>
      <c r="Q18" s="665">
        <v>13832</v>
      </c>
      <c r="R18" s="665">
        <v>14648</v>
      </c>
      <c r="S18" s="665">
        <v>28480</v>
      </c>
      <c r="T18" s="665">
        <v>30405</v>
      </c>
      <c r="U18" s="665">
        <v>35954</v>
      </c>
      <c r="V18" s="665">
        <v>66359</v>
      </c>
      <c r="W18" s="683">
        <v>4686</v>
      </c>
      <c r="X18" s="683">
        <v>3866</v>
      </c>
      <c r="Y18" s="683">
        <v>8552</v>
      </c>
    </row>
    <row r="19" spans="1:25" ht="54" customHeight="1">
      <c r="A19" s="682" t="s">
        <v>128</v>
      </c>
      <c r="B19" s="665">
        <v>13513467</v>
      </c>
      <c r="C19" s="665">
        <v>14002027</v>
      </c>
      <c r="D19" s="665">
        <v>27515494</v>
      </c>
      <c r="E19" s="665">
        <v>2018276</v>
      </c>
      <c r="F19" s="665">
        <v>2115374</v>
      </c>
      <c r="G19" s="665">
        <v>4133650</v>
      </c>
      <c r="H19" s="665">
        <v>737919</v>
      </c>
      <c r="I19" s="665">
        <v>776059</v>
      </c>
      <c r="J19" s="665">
        <v>1513978</v>
      </c>
      <c r="K19" s="665">
        <v>5137281</v>
      </c>
      <c r="L19" s="665">
        <v>5435952</v>
      </c>
      <c r="M19" s="665">
        <v>10573233</v>
      </c>
      <c r="N19" s="665">
        <v>21546</v>
      </c>
      <c r="O19" s="665">
        <v>15198</v>
      </c>
      <c r="P19" s="665">
        <v>36744</v>
      </c>
      <c r="Q19" s="665">
        <v>661718</v>
      </c>
      <c r="R19" s="665">
        <v>740113</v>
      </c>
      <c r="S19" s="665">
        <v>1401831</v>
      </c>
      <c r="T19" s="665">
        <v>230619</v>
      </c>
      <c r="U19" s="665">
        <v>303853</v>
      </c>
      <c r="V19" s="665">
        <v>534472</v>
      </c>
      <c r="W19" s="683">
        <v>158671</v>
      </c>
      <c r="X19" s="683">
        <v>156541</v>
      </c>
      <c r="Y19" s="683">
        <v>315212</v>
      </c>
    </row>
    <row r="20" spans="1:25" s="684" customFormat="1" ht="54" customHeight="1">
      <c r="A20" s="686" t="s">
        <v>60</v>
      </c>
      <c r="B20" s="667">
        <v>13883148</v>
      </c>
      <c r="C20" s="667">
        <v>14428411</v>
      </c>
      <c r="D20" s="667">
        <v>28311559</v>
      </c>
      <c r="E20" s="667">
        <v>2057444</v>
      </c>
      <c r="F20" s="667">
        <v>2156218</v>
      </c>
      <c r="G20" s="667">
        <v>4213662</v>
      </c>
      <c r="H20" s="667">
        <v>833785</v>
      </c>
      <c r="I20" s="667">
        <v>880935</v>
      </c>
      <c r="J20" s="667">
        <v>1714720</v>
      </c>
      <c r="K20" s="667">
        <v>5224231</v>
      </c>
      <c r="L20" s="667">
        <v>5532782</v>
      </c>
      <c r="M20" s="667">
        <v>10757013</v>
      </c>
      <c r="N20" s="667">
        <v>23384</v>
      </c>
      <c r="O20" s="667">
        <v>16555</v>
      </c>
      <c r="P20" s="667">
        <v>39939</v>
      </c>
      <c r="Q20" s="667">
        <v>675550</v>
      </c>
      <c r="R20" s="667">
        <v>754761</v>
      </c>
      <c r="S20" s="667">
        <v>1430311</v>
      </c>
      <c r="T20" s="667">
        <v>261024</v>
      </c>
      <c r="U20" s="667">
        <v>339807</v>
      </c>
      <c r="V20" s="667">
        <v>600831</v>
      </c>
      <c r="W20" s="667">
        <v>163357</v>
      </c>
      <c r="X20" s="667">
        <v>160407</v>
      </c>
      <c r="Y20" s="667">
        <v>323764</v>
      </c>
    </row>
  </sheetData>
  <mergeCells count="13">
    <mergeCell ref="W2:Y2"/>
    <mergeCell ref="N17:Y17"/>
    <mergeCell ref="B17:M17"/>
    <mergeCell ref="B1:M1"/>
    <mergeCell ref="N2:P2"/>
    <mergeCell ref="Q2:S2"/>
    <mergeCell ref="T2:V2"/>
    <mergeCell ref="N1:Y1"/>
    <mergeCell ref="A2:A3"/>
    <mergeCell ref="B2:D2"/>
    <mergeCell ref="E2:G2"/>
    <mergeCell ref="H2:J2"/>
    <mergeCell ref="K2:M2"/>
  </mergeCells>
  <printOptions horizontalCentered="1"/>
  <pageMargins left="0.27559055118110237" right="0.11811023622047245" top="0.6692913385826772" bottom="0.51181102362204722" header="0.23622047244094491" footer="0.23622047244094491"/>
  <pageSetup paperSize="9" scale="74" firstPageNumber="27" pageOrder="overThenDown" orientation="portrait" useFirstPageNumber="1" r:id="rId1"/>
  <headerFooter alignWithMargins="0">
    <oddFooter>&amp;L&amp;"Arial,Italic"&amp;9AISHE 2020-21&amp;CT-&amp;P</oddFooter>
  </headerFooter>
  <colBreaks count="1" manualBreakCount="1">
    <brk id="13" max="19" man="1"/>
  </colBreaks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00B050"/>
  </sheetPr>
  <dimension ref="A1:X20"/>
  <sheetViews>
    <sheetView view="pageBreakPreview" topLeftCell="K13" zoomScale="85" zoomScaleSheetLayoutView="85" workbookViewId="0">
      <selection activeCell="V20" sqref="V20"/>
    </sheetView>
  </sheetViews>
  <sheetFormatPr defaultColWidth="9.1796875" defaultRowHeight="14"/>
  <cols>
    <col min="1" max="1" width="22.1796875" style="239" customWidth="1"/>
    <col min="2" max="10" width="9.54296875" style="239" customWidth="1"/>
    <col min="11" max="11" width="7.54296875" style="239" customWidth="1"/>
    <col min="12" max="12" width="7.81640625" style="239" customWidth="1"/>
    <col min="13" max="14" width="7.453125" style="239" customWidth="1"/>
    <col min="15" max="15" width="8.26953125" style="239" customWidth="1"/>
    <col min="16" max="16" width="8" style="239" customWidth="1"/>
    <col min="17" max="17" width="9" style="239" customWidth="1"/>
    <col min="18" max="18" width="9.54296875" style="239" customWidth="1"/>
    <col min="19" max="19" width="10.26953125" style="239" customWidth="1"/>
    <col min="20" max="20" width="6.81640625" style="239" customWidth="1"/>
    <col min="21" max="21" width="8" style="239" customWidth="1"/>
    <col min="22" max="22" width="7.7265625" style="239" customWidth="1"/>
    <col min="23" max="16384" width="9.1796875" style="239"/>
  </cols>
  <sheetData>
    <row r="1" spans="1:23" s="233" customFormat="1" ht="53.25" customHeight="1">
      <c r="A1" s="158" t="s">
        <v>886</v>
      </c>
      <c r="B1" s="950" t="s">
        <v>1012</v>
      </c>
      <c r="C1" s="950"/>
      <c r="D1" s="950"/>
      <c r="E1" s="950"/>
      <c r="F1" s="950"/>
      <c r="G1" s="950"/>
      <c r="H1" s="950"/>
      <c r="I1" s="950"/>
      <c r="J1" s="950"/>
      <c r="K1" s="950" t="str">
        <f>B1</f>
        <v>Post-wise Number of Teachers in various types of Universities 
(Based on Actual Response)
(a) Teaching Departments and it's Constituent Units/Off-campus Centres</v>
      </c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</row>
    <row r="2" spans="1:23" s="234" customFormat="1" ht="33.75" customHeight="1">
      <c r="A2" s="946" t="s">
        <v>124</v>
      </c>
      <c r="B2" s="1073" t="s">
        <v>336</v>
      </c>
      <c r="C2" s="1073"/>
      <c r="D2" s="1073"/>
      <c r="E2" s="1073" t="s">
        <v>337</v>
      </c>
      <c r="F2" s="1074"/>
      <c r="G2" s="1074"/>
      <c r="H2" s="1073" t="s">
        <v>338</v>
      </c>
      <c r="I2" s="1074"/>
      <c r="J2" s="1074"/>
      <c r="K2" s="1073" t="s">
        <v>339</v>
      </c>
      <c r="L2" s="1074"/>
      <c r="M2" s="1074"/>
      <c r="N2" s="1073" t="s">
        <v>340</v>
      </c>
      <c r="O2" s="1074"/>
      <c r="P2" s="1074"/>
      <c r="Q2" s="1091" t="s">
        <v>60</v>
      </c>
      <c r="R2" s="1092"/>
      <c r="S2" s="1093"/>
      <c r="T2" s="1073" t="s">
        <v>342</v>
      </c>
      <c r="U2" s="1074"/>
      <c r="V2" s="1074"/>
    </row>
    <row r="3" spans="1:23" s="234" customFormat="1" ht="27" customHeight="1">
      <c r="A3" s="946"/>
      <c r="B3" s="235" t="s">
        <v>87</v>
      </c>
      <c r="C3" s="235" t="s">
        <v>88</v>
      </c>
      <c r="D3" s="235" t="s">
        <v>12</v>
      </c>
      <c r="E3" s="235" t="s">
        <v>87</v>
      </c>
      <c r="F3" s="235" t="s">
        <v>88</v>
      </c>
      <c r="G3" s="235" t="s">
        <v>12</v>
      </c>
      <c r="H3" s="235" t="s">
        <v>87</v>
      </c>
      <c r="I3" s="235" t="s">
        <v>88</v>
      </c>
      <c r="J3" s="235" t="s">
        <v>12</v>
      </c>
      <c r="K3" s="235" t="s">
        <v>87</v>
      </c>
      <c r="L3" s="235" t="s">
        <v>88</v>
      </c>
      <c r="M3" s="235" t="s">
        <v>12</v>
      </c>
      <c r="N3" s="235" t="s">
        <v>87</v>
      </c>
      <c r="O3" s="235" t="s">
        <v>88</v>
      </c>
      <c r="P3" s="235" t="s">
        <v>12</v>
      </c>
      <c r="Q3" s="235" t="s">
        <v>87</v>
      </c>
      <c r="R3" s="235" t="s">
        <v>88</v>
      </c>
      <c r="S3" s="235" t="s">
        <v>12</v>
      </c>
      <c r="T3" s="235" t="s">
        <v>87</v>
      </c>
      <c r="U3" s="235" t="s">
        <v>88</v>
      </c>
      <c r="V3" s="235" t="s">
        <v>12</v>
      </c>
    </row>
    <row r="4" spans="1:23" s="237" customFormat="1" ht="22.5" customHeight="1">
      <c r="A4" s="236">
        <v>1</v>
      </c>
      <c r="B4" s="236">
        <v>2</v>
      </c>
      <c r="C4" s="236">
        <v>3</v>
      </c>
      <c r="D4" s="236">
        <v>4</v>
      </c>
      <c r="E4" s="236">
        <v>5</v>
      </c>
      <c r="F4" s="236">
        <v>6</v>
      </c>
      <c r="G4" s="236">
        <v>7</v>
      </c>
      <c r="H4" s="236">
        <v>8</v>
      </c>
      <c r="I4" s="236">
        <v>9</v>
      </c>
      <c r="J4" s="236">
        <v>10</v>
      </c>
      <c r="K4" s="236">
        <v>11</v>
      </c>
      <c r="L4" s="236">
        <v>12</v>
      </c>
      <c r="M4" s="236">
        <v>13</v>
      </c>
      <c r="N4" s="236">
        <v>14</v>
      </c>
      <c r="O4" s="236">
        <v>15</v>
      </c>
      <c r="P4" s="236">
        <v>16</v>
      </c>
      <c r="Q4" s="236">
        <v>17</v>
      </c>
      <c r="R4" s="236">
        <v>18</v>
      </c>
      <c r="S4" s="236">
        <v>19</v>
      </c>
      <c r="T4" s="236">
        <v>20</v>
      </c>
      <c r="U4" s="236">
        <v>21</v>
      </c>
      <c r="V4" s="236">
        <v>22</v>
      </c>
    </row>
    <row r="5" spans="1:23" ht="51.75" customHeight="1">
      <c r="A5" s="201" t="s">
        <v>991</v>
      </c>
      <c r="B5" s="238">
        <v>2991</v>
      </c>
      <c r="C5" s="238">
        <v>863</v>
      </c>
      <c r="D5" s="238">
        <v>3854</v>
      </c>
      <c r="E5" s="238">
        <v>1479</v>
      </c>
      <c r="F5" s="238">
        <v>469</v>
      </c>
      <c r="G5" s="238">
        <v>1948</v>
      </c>
      <c r="H5" s="238">
        <v>4842</v>
      </c>
      <c r="I5" s="238">
        <v>2132</v>
      </c>
      <c r="J5" s="238">
        <v>6974</v>
      </c>
      <c r="K5" s="238">
        <v>49</v>
      </c>
      <c r="L5" s="238">
        <v>13</v>
      </c>
      <c r="M5" s="238">
        <v>62</v>
      </c>
      <c r="N5" s="238">
        <v>493</v>
      </c>
      <c r="O5" s="238">
        <v>276</v>
      </c>
      <c r="P5" s="238">
        <v>769</v>
      </c>
      <c r="Q5" s="238">
        <v>9874</v>
      </c>
      <c r="R5" s="238">
        <v>3762</v>
      </c>
      <c r="S5" s="238">
        <v>13636</v>
      </c>
      <c r="T5" s="238">
        <v>20</v>
      </c>
      <c r="U5" s="238">
        <v>9</v>
      </c>
      <c r="V5" s="238">
        <v>29</v>
      </c>
      <c r="W5" s="239" t="b">
        <f>S5='30TypeTeacherCategoryEstimated'!D5</f>
        <v>1</v>
      </c>
    </row>
    <row r="6" spans="1:23" ht="51.75" customHeight="1">
      <c r="A6" s="201" t="s">
        <v>180</v>
      </c>
      <c r="B6" s="238">
        <v>41</v>
      </c>
      <c r="C6" s="238">
        <v>23</v>
      </c>
      <c r="D6" s="238">
        <v>64</v>
      </c>
      <c r="E6" s="238">
        <v>49</v>
      </c>
      <c r="F6" s="238">
        <v>33</v>
      </c>
      <c r="G6" s="238">
        <v>82</v>
      </c>
      <c r="H6" s="238">
        <v>61</v>
      </c>
      <c r="I6" s="238">
        <v>52</v>
      </c>
      <c r="J6" s="238">
        <v>113</v>
      </c>
      <c r="K6" s="238">
        <v>0</v>
      </c>
      <c r="L6" s="238">
        <v>0</v>
      </c>
      <c r="M6" s="238">
        <v>0</v>
      </c>
      <c r="N6" s="238">
        <v>0</v>
      </c>
      <c r="O6" s="238">
        <v>0</v>
      </c>
      <c r="P6" s="238">
        <v>0</v>
      </c>
      <c r="Q6" s="238">
        <v>151</v>
      </c>
      <c r="R6" s="238">
        <v>108</v>
      </c>
      <c r="S6" s="238">
        <v>259</v>
      </c>
      <c r="T6" s="238">
        <v>0</v>
      </c>
      <c r="U6" s="238">
        <v>0</v>
      </c>
      <c r="V6" s="238">
        <v>0</v>
      </c>
      <c r="W6" s="239" t="b">
        <f>S6='30TypeTeacherCategoryEstimated'!D6</f>
        <v>1</v>
      </c>
    </row>
    <row r="7" spans="1:23" ht="51.75" customHeight="1">
      <c r="A7" s="201" t="s">
        <v>181</v>
      </c>
      <c r="B7" s="238">
        <v>4158</v>
      </c>
      <c r="C7" s="238">
        <v>828</v>
      </c>
      <c r="D7" s="238">
        <v>4986</v>
      </c>
      <c r="E7" s="238">
        <v>3407</v>
      </c>
      <c r="F7" s="238">
        <v>846</v>
      </c>
      <c r="G7" s="238">
        <v>4253</v>
      </c>
      <c r="H7" s="238">
        <v>6440</v>
      </c>
      <c r="I7" s="238">
        <v>1882</v>
      </c>
      <c r="J7" s="238">
        <v>8322</v>
      </c>
      <c r="K7" s="238">
        <v>79</v>
      </c>
      <c r="L7" s="238">
        <v>90</v>
      </c>
      <c r="M7" s="238">
        <v>169</v>
      </c>
      <c r="N7" s="238">
        <v>427</v>
      </c>
      <c r="O7" s="238">
        <v>259</v>
      </c>
      <c r="P7" s="238">
        <v>686</v>
      </c>
      <c r="Q7" s="238">
        <v>14617</v>
      </c>
      <c r="R7" s="238">
        <v>3922</v>
      </c>
      <c r="S7" s="238">
        <v>18539</v>
      </c>
      <c r="T7" s="238">
        <v>106</v>
      </c>
      <c r="U7" s="238">
        <v>17</v>
      </c>
      <c r="V7" s="238">
        <v>123</v>
      </c>
      <c r="W7" s="239" t="b">
        <f>S7='30TypeTeacherCategoryEstimated'!D7</f>
        <v>1</v>
      </c>
    </row>
    <row r="8" spans="1:23" ht="51.75" customHeight="1">
      <c r="A8" s="201" t="s">
        <v>992</v>
      </c>
      <c r="B8" s="238">
        <v>8900</v>
      </c>
      <c r="C8" s="238">
        <v>3136</v>
      </c>
      <c r="D8" s="238">
        <v>12036</v>
      </c>
      <c r="E8" s="238">
        <v>4286</v>
      </c>
      <c r="F8" s="238">
        <v>1994</v>
      </c>
      <c r="G8" s="238">
        <v>6280</v>
      </c>
      <c r="H8" s="238">
        <v>16977</v>
      </c>
      <c r="I8" s="238">
        <v>11622</v>
      </c>
      <c r="J8" s="238">
        <v>28599</v>
      </c>
      <c r="K8" s="238">
        <v>509</v>
      </c>
      <c r="L8" s="238">
        <v>462</v>
      </c>
      <c r="M8" s="238">
        <v>971</v>
      </c>
      <c r="N8" s="238">
        <v>3037</v>
      </c>
      <c r="O8" s="238">
        <v>2561</v>
      </c>
      <c r="P8" s="238">
        <v>5598</v>
      </c>
      <c r="Q8" s="238">
        <v>34281</v>
      </c>
      <c r="R8" s="238">
        <v>20122</v>
      </c>
      <c r="S8" s="238">
        <v>54403</v>
      </c>
      <c r="T8" s="238">
        <v>572</v>
      </c>
      <c r="U8" s="238">
        <v>347</v>
      </c>
      <c r="V8" s="238">
        <v>919</v>
      </c>
      <c r="W8" s="239" t="b">
        <f>S8='30TypeTeacherCategoryEstimated'!D8</f>
        <v>1</v>
      </c>
    </row>
    <row r="9" spans="1:23" ht="51.75" customHeight="1">
      <c r="A9" s="201" t="s">
        <v>182</v>
      </c>
      <c r="B9" s="238">
        <v>74</v>
      </c>
      <c r="C9" s="238">
        <v>10</v>
      </c>
      <c r="D9" s="238">
        <v>84</v>
      </c>
      <c r="E9" s="238">
        <v>55</v>
      </c>
      <c r="F9" s="238">
        <v>14</v>
      </c>
      <c r="G9" s="238">
        <v>69</v>
      </c>
      <c r="H9" s="238">
        <v>221</v>
      </c>
      <c r="I9" s="238">
        <v>159</v>
      </c>
      <c r="J9" s="238">
        <v>380</v>
      </c>
      <c r="K9" s="238">
        <v>1</v>
      </c>
      <c r="L9" s="238">
        <v>1</v>
      </c>
      <c r="M9" s="238">
        <v>2</v>
      </c>
      <c r="N9" s="238">
        <v>107</v>
      </c>
      <c r="O9" s="238">
        <v>57</v>
      </c>
      <c r="P9" s="238">
        <v>164</v>
      </c>
      <c r="Q9" s="238">
        <v>470</v>
      </c>
      <c r="R9" s="238">
        <v>243</v>
      </c>
      <c r="S9" s="238">
        <v>713</v>
      </c>
      <c r="T9" s="238">
        <v>12</v>
      </c>
      <c r="U9" s="238">
        <v>2</v>
      </c>
      <c r="V9" s="238">
        <v>14</v>
      </c>
      <c r="W9" s="239" t="b">
        <f>S9='30TypeTeacherCategoryEstimated'!D9</f>
        <v>1</v>
      </c>
    </row>
    <row r="10" spans="1:23" ht="51.75" customHeight="1">
      <c r="A10" s="201" t="s">
        <v>183</v>
      </c>
      <c r="B10" s="238">
        <v>7088</v>
      </c>
      <c r="C10" s="238">
        <v>2487</v>
      </c>
      <c r="D10" s="238">
        <v>9575</v>
      </c>
      <c r="E10" s="238">
        <v>6533</v>
      </c>
      <c r="F10" s="238">
        <v>3617</v>
      </c>
      <c r="G10" s="238">
        <v>10150</v>
      </c>
      <c r="H10" s="238">
        <v>32760</v>
      </c>
      <c r="I10" s="238">
        <v>24378</v>
      </c>
      <c r="J10" s="238">
        <v>57138</v>
      </c>
      <c r="K10" s="238">
        <v>1751</v>
      </c>
      <c r="L10" s="238">
        <v>2483</v>
      </c>
      <c r="M10" s="238">
        <v>4234</v>
      </c>
      <c r="N10" s="238">
        <v>289</v>
      </c>
      <c r="O10" s="238">
        <v>294</v>
      </c>
      <c r="P10" s="238">
        <v>583</v>
      </c>
      <c r="Q10" s="238">
        <v>49145</v>
      </c>
      <c r="R10" s="238">
        <v>33792</v>
      </c>
      <c r="S10" s="238">
        <v>82937</v>
      </c>
      <c r="T10" s="238">
        <v>724</v>
      </c>
      <c r="U10" s="238">
        <v>533</v>
      </c>
      <c r="V10" s="238">
        <v>1257</v>
      </c>
      <c r="W10" s="239" t="b">
        <f>S10='30TypeTeacherCategoryEstimated'!D10</f>
        <v>1</v>
      </c>
    </row>
    <row r="11" spans="1:23" ht="51.75" customHeight="1">
      <c r="A11" s="201" t="s">
        <v>185</v>
      </c>
      <c r="B11" s="238">
        <v>290</v>
      </c>
      <c r="C11" s="238">
        <v>103</v>
      </c>
      <c r="D11" s="238">
        <v>393</v>
      </c>
      <c r="E11" s="238">
        <v>146</v>
      </c>
      <c r="F11" s="238">
        <v>58</v>
      </c>
      <c r="G11" s="238">
        <v>204</v>
      </c>
      <c r="H11" s="238">
        <v>383</v>
      </c>
      <c r="I11" s="238">
        <v>207</v>
      </c>
      <c r="J11" s="238">
        <v>590</v>
      </c>
      <c r="K11" s="238">
        <v>142</v>
      </c>
      <c r="L11" s="238">
        <v>106</v>
      </c>
      <c r="M11" s="238">
        <v>248</v>
      </c>
      <c r="N11" s="238">
        <v>0</v>
      </c>
      <c r="O11" s="238">
        <v>1</v>
      </c>
      <c r="P11" s="238">
        <v>1</v>
      </c>
      <c r="Q11" s="238">
        <v>1021</v>
      </c>
      <c r="R11" s="238">
        <v>506</v>
      </c>
      <c r="S11" s="238">
        <v>1527</v>
      </c>
      <c r="T11" s="238">
        <v>60</v>
      </c>
      <c r="U11" s="238">
        <v>31</v>
      </c>
      <c r="V11" s="238">
        <v>91</v>
      </c>
      <c r="W11" s="239" t="b">
        <f>S11='30TypeTeacherCategoryEstimated'!D11</f>
        <v>1</v>
      </c>
    </row>
    <row r="12" spans="1:23" ht="51.75" customHeight="1">
      <c r="A12" s="201" t="s">
        <v>184</v>
      </c>
      <c r="B12" s="238">
        <v>5</v>
      </c>
      <c r="C12" s="238">
        <v>0</v>
      </c>
      <c r="D12" s="238">
        <v>5</v>
      </c>
      <c r="E12" s="238">
        <v>2</v>
      </c>
      <c r="F12" s="238">
        <v>3</v>
      </c>
      <c r="G12" s="238">
        <v>5</v>
      </c>
      <c r="H12" s="238">
        <v>14</v>
      </c>
      <c r="I12" s="238">
        <v>17</v>
      </c>
      <c r="J12" s="238">
        <v>31</v>
      </c>
      <c r="K12" s="238">
        <v>0</v>
      </c>
      <c r="L12" s="238">
        <v>0</v>
      </c>
      <c r="M12" s="238">
        <v>0</v>
      </c>
      <c r="N12" s="238">
        <v>0</v>
      </c>
      <c r="O12" s="238">
        <v>0</v>
      </c>
      <c r="P12" s="238">
        <v>0</v>
      </c>
      <c r="Q12" s="238">
        <v>21</v>
      </c>
      <c r="R12" s="238">
        <v>20</v>
      </c>
      <c r="S12" s="238">
        <v>41</v>
      </c>
      <c r="T12" s="238">
        <v>0</v>
      </c>
      <c r="U12" s="238">
        <v>0</v>
      </c>
      <c r="V12" s="238">
        <v>0</v>
      </c>
      <c r="W12" s="239" t="b">
        <f>S12='30TypeTeacherCategoryEstimated'!D12</f>
        <v>1</v>
      </c>
    </row>
    <row r="13" spans="1:23" ht="51.75" customHeight="1">
      <c r="A13" s="201" t="s">
        <v>186</v>
      </c>
      <c r="B13" s="238">
        <v>1299</v>
      </c>
      <c r="C13" s="238">
        <v>276</v>
      </c>
      <c r="D13" s="238">
        <v>1575</v>
      </c>
      <c r="E13" s="238">
        <v>868</v>
      </c>
      <c r="F13" s="238">
        <v>224</v>
      </c>
      <c r="G13" s="238">
        <v>1092</v>
      </c>
      <c r="H13" s="238">
        <v>1105</v>
      </c>
      <c r="I13" s="238">
        <v>418</v>
      </c>
      <c r="J13" s="238">
        <v>1523</v>
      </c>
      <c r="K13" s="238">
        <v>37</v>
      </c>
      <c r="L13" s="238">
        <v>12</v>
      </c>
      <c r="M13" s="238">
        <v>49</v>
      </c>
      <c r="N13" s="238">
        <v>54</v>
      </c>
      <c r="O13" s="238">
        <v>28</v>
      </c>
      <c r="P13" s="238">
        <v>82</v>
      </c>
      <c r="Q13" s="238">
        <v>3373</v>
      </c>
      <c r="R13" s="238">
        <v>962</v>
      </c>
      <c r="S13" s="238">
        <v>4335</v>
      </c>
      <c r="T13" s="238">
        <v>10</v>
      </c>
      <c r="U13" s="238">
        <v>4</v>
      </c>
      <c r="V13" s="238">
        <v>14</v>
      </c>
      <c r="W13" s="239" t="b">
        <f>S13='30TypeTeacherCategoryEstimated'!D13</f>
        <v>1</v>
      </c>
    </row>
    <row r="14" spans="1:23" ht="51.75" customHeight="1">
      <c r="A14" s="201" t="s">
        <v>187</v>
      </c>
      <c r="B14" s="238">
        <v>301</v>
      </c>
      <c r="C14" s="238">
        <v>214</v>
      </c>
      <c r="D14" s="238">
        <v>515</v>
      </c>
      <c r="E14" s="238">
        <v>124</v>
      </c>
      <c r="F14" s="238">
        <v>108</v>
      </c>
      <c r="G14" s="238">
        <v>232</v>
      </c>
      <c r="H14" s="238">
        <v>681</v>
      </c>
      <c r="I14" s="238">
        <v>681</v>
      </c>
      <c r="J14" s="238">
        <v>1362</v>
      </c>
      <c r="K14" s="238">
        <v>27</v>
      </c>
      <c r="L14" s="238">
        <v>25</v>
      </c>
      <c r="M14" s="238">
        <v>52</v>
      </c>
      <c r="N14" s="238">
        <v>32</v>
      </c>
      <c r="O14" s="238">
        <v>142</v>
      </c>
      <c r="P14" s="238">
        <v>174</v>
      </c>
      <c r="Q14" s="238">
        <v>1168</v>
      </c>
      <c r="R14" s="238">
        <v>1170</v>
      </c>
      <c r="S14" s="238">
        <v>2338</v>
      </c>
      <c r="T14" s="238">
        <v>3</v>
      </c>
      <c r="U14" s="238">
        <v>0</v>
      </c>
      <c r="V14" s="238">
        <v>3</v>
      </c>
      <c r="W14" s="239" t="b">
        <f>S14='30TypeTeacherCategoryEstimated'!D14</f>
        <v>1</v>
      </c>
    </row>
    <row r="15" spans="1:23" ht="51.75" customHeight="1">
      <c r="A15" s="201" t="s">
        <v>188</v>
      </c>
      <c r="B15" s="238">
        <v>6701</v>
      </c>
      <c r="C15" s="238">
        <v>3114</v>
      </c>
      <c r="D15" s="238">
        <v>9815</v>
      </c>
      <c r="E15" s="238">
        <v>6391</v>
      </c>
      <c r="F15" s="238">
        <v>4103</v>
      </c>
      <c r="G15" s="238">
        <v>10494</v>
      </c>
      <c r="H15" s="238">
        <v>17745</v>
      </c>
      <c r="I15" s="238">
        <v>15136</v>
      </c>
      <c r="J15" s="238">
        <v>32881</v>
      </c>
      <c r="K15" s="238">
        <v>1209</v>
      </c>
      <c r="L15" s="238">
        <v>1827</v>
      </c>
      <c r="M15" s="238">
        <v>3036</v>
      </c>
      <c r="N15" s="238">
        <v>278</v>
      </c>
      <c r="O15" s="238">
        <v>211</v>
      </c>
      <c r="P15" s="238">
        <v>489</v>
      </c>
      <c r="Q15" s="238">
        <v>32682</v>
      </c>
      <c r="R15" s="238">
        <v>24551</v>
      </c>
      <c r="S15" s="238">
        <v>57233</v>
      </c>
      <c r="T15" s="238">
        <v>358</v>
      </c>
      <c r="U15" s="238">
        <v>160</v>
      </c>
      <c r="V15" s="238">
        <v>518</v>
      </c>
      <c r="W15" s="239" t="b">
        <f>S15='30TypeTeacherCategoryEstimated'!D15</f>
        <v>1</v>
      </c>
    </row>
    <row r="16" spans="1:23" s="240" customFormat="1" ht="58.5" customHeight="1">
      <c r="A16" s="242" t="s">
        <v>60</v>
      </c>
      <c r="B16" s="243">
        <f>SUM(B5:B15)</f>
        <v>31848</v>
      </c>
      <c r="C16" s="243">
        <f t="shared" ref="C16:V16" si="0">SUM(C5:C15)</f>
        <v>11054</v>
      </c>
      <c r="D16" s="243">
        <f t="shared" si="0"/>
        <v>42902</v>
      </c>
      <c r="E16" s="243">
        <f t="shared" si="0"/>
        <v>23340</v>
      </c>
      <c r="F16" s="243">
        <f t="shared" si="0"/>
        <v>11469</v>
      </c>
      <c r="G16" s="243">
        <f t="shared" si="0"/>
        <v>34809</v>
      </c>
      <c r="H16" s="905">
        <f>SUM(H5:H15)</f>
        <v>81229</v>
      </c>
      <c r="I16" s="243">
        <f t="shared" si="0"/>
        <v>56684</v>
      </c>
      <c r="J16" s="243">
        <f t="shared" si="0"/>
        <v>137913</v>
      </c>
      <c r="K16" s="243">
        <f t="shared" si="0"/>
        <v>3804</v>
      </c>
      <c r="L16" s="905">
        <f>SUM(L5:L15)</f>
        <v>5019</v>
      </c>
      <c r="M16" s="243">
        <f t="shared" si="0"/>
        <v>8823</v>
      </c>
      <c r="N16" s="243">
        <f t="shared" si="0"/>
        <v>4717</v>
      </c>
      <c r="O16" s="243">
        <f t="shared" si="0"/>
        <v>3829</v>
      </c>
      <c r="P16" s="243">
        <f t="shared" si="0"/>
        <v>8546</v>
      </c>
      <c r="Q16" s="905">
        <f>SUM(Q5:Q15)</f>
        <v>146803</v>
      </c>
      <c r="R16" s="243">
        <f t="shared" si="0"/>
        <v>89158</v>
      </c>
      <c r="S16" s="243">
        <f t="shared" si="0"/>
        <v>235961</v>
      </c>
      <c r="T16" s="243">
        <f t="shared" si="0"/>
        <v>1865</v>
      </c>
      <c r="U16" s="905">
        <f>SUM(U5:U15)</f>
        <v>1103</v>
      </c>
      <c r="V16" s="243">
        <f t="shared" si="0"/>
        <v>2968</v>
      </c>
      <c r="W16" s="239" t="b">
        <f>S16='30TypeTeacherCategoryEstimated'!D16</f>
        <v>1</v>
      </c>
    </row>
    <row r="17" spans="1:24" s="233" customFormat="1" ht="58.5" customHeight="1">
      <c r="A17" s="158" t="s">
        <v>886</v>
      </c>
      <c r="B17" s="1082" t="s">
        <v>1013</v>
      </c>
      <c r="C17" s="1082"/>
      <c r="D17" s="1082"/>
      <c r="E17" s="1082"/>
      <c r="F17" s="1082"/>
      <c r="G17" s="1082"/>
      <c r="H17" s="1082"/>
      <c r="I17" s="1082"/>
      <c r="J17" s="1082"/>
      <c r="K17" s="1082" t="str">
        <f>B17</f>
        <v>Post-wise Number of Teachers in various types of Universities 
(Based on Actual Response)
(b) Affiliated and Constituent Colleges</v>
      </c>
      <c r="L17" s="1082"/>
      <c r="M17" s="1082"/>
      <c r="N17" s="1082"/>
      <c r="O17" s="1082"/>
      <c r="P17" s="1082"/>
      <c r="Q17" s="1082"/>
      <c r="R17" s="1082"/>
      <c r="S17" s="1082"/>
      <c r="T17" s="1082"/>
      <c r="U17" s="1082"/>
      <c r="V17" s="1082"/>
    </row>
    <row r="18" spans="1:24" ht="50.25" customHeight="1">
      <c r="A18" s="201" t="s">
        <v>125</v>
      </c>
      <c r="B18" s="241">
        <v>1392</v>
      </c>
      <c r="C18" s="241">
        <v>806</v>
      </c>
      <c r="D18" s="241">
        <v>2198</v>
      </c>
      <c r="E18" s="241">
        <v>2679</v>
      </c>
      <c r="F18" s="241">
        <v>3174</v>
      </c>
      <c r="G18" s="241">
        <v>5853</v>
      </c>
      <c r="H18" s="241">
        <v>10043</v>
      </c>
      <c r="I18" s="241">
        <v>11379</v>
      </c>
      <c r="J18" s="241">
        <v>21422</v>
      </c>
      <c r="K18" s="241">
        <v>427</v>
      </c>
      <c r="L18" s="241">
        <v>800</v>
      </c>
      <c r="M18" s="241">
        <v>1227</v>
      </c>
      <c r="N18" s="241">
        <v>831</v>
      </c>
      <c r="O18" s="241">
        <v>1033</v>
      </c>
      <c r="P18" s="241">
        <v>1864</v>
      </c>
      <c r="Q18" s="241">
        <v>15478</v>
      </c>
      <c r="R18" s="241">
        <v>17301</v>
      </c>
      <c r="S18" s="241">
        <v>32779</v>
      </c>
      <c r="T18" s="241">
        <v>106</v>
      </c>
      <c r="U18" s="241">
        <v>109</v>
      </c>
      <c r="V18" s="241">
        <v>215</v>
      </c>
      <c r="W18" s="239" t="b">
        <f>S18='30TypeTeacherCategoryEstimated'!D18</f>
        <v>1</v>
      </c>
    </row>
    <row r="19" spans="1:24" ht="50.25" customHeight="1">
      <c r="A19" s="201" t="s">
        <v>128</v>
      </c>
      <c r="B19" s="241">
        <v>63854</v>
      </c>
      <c r="C19" s="241">
        <v>26067</v>
      </c>
      <c r="D19" s="241">
        <v>89921</v>
      </c>
      <c r="E19" s="241">
        <v>72479</v>
      </c>
      <c r="F19" s="241">
        <v>44517</v>
      </c>
      <c r="G19" s="241">
        <v>116996</v>
      </c>
      <c r="H19" s="241">
        <v>438747</v>
      </c>
      <c r="I19" s="241">
        <v>349484</v>
      </c>
      <c r="J19" s="241">
        <v>788231</v>
      </c>
      <c r="K19" s="241">
        <v>16068</v>
      </c>
      <c r="L19" s="241">
        <v>30351</v>
      </c>
      <c r="M19" s="241">
        <v>46419</v>
      </c>
      <c r="N19" s="241">
        <v>35462</v>
      </c>
      <c r="O19" s="241">
        <v>33176</v>
      </c>
      <c r="P19" s="241">
        <v>68638</v>
      </c>
      <c r="Q19" s="241">
        <v>631471</v>
      </c>
      <c r="R19" s="241">
        <v>487884</v>
      </c>
      <c r="S19" s="241">
        <v>1119355</v>
      </c>
      <c r="T19" s="241">
        <v>4861</v>
      </c>
      <c r="U19" s="241">
        <v>4289</v>
      </c>
      <c r="V19" s="241">
        <v>9150</v>
      </c>
      <c r="W19" s="239" t="b">
        <f>S19='30TypeTeacherCategoryEstimated'!D19</f>
        <v>1</v>
      </c>
    </row>
    <row r="20" spans="1:24" s="240" customFormat="1" ht="58.5" customHeight="1">
      <c r="A20" s="242" t="s">
        <v>60</v>
      </c>
      <c r="B20" s="243">
        <f>B18+B19</f>
        <v>65246</v>
      </c>
      <c r="C20" s="243">
        <f t="shared" ref="C20:V20" si="1">C18+C19</f>
        <v>26873</v>
      </c>
      <c r="D20" s="243">
        <f>D18+D19</f>
        <v>92119</v>
      </c>
      <c r="E20" s="243">
        <f>E18+E19</f>
        <v>75158</v>
      </c>
      <c r="F20" s="243">
        <f t="shared" si="1"/>
        <v>47691</v>
      </c>
      <c r="G20" s="243">
        <f t="shared" si="1"/>
        <v>122849</v>
      </c>
      <c r="H20" s="243">
        <f>H18+H19</f>
        <v>448790</v>
      </c>
      <c r="I20" s="243">
        <f t="shared" si="1"/>
        <v>360863</v>
      </c>
      <c r="J20" s="243">
        <f t="shared" si="1"/>
        <v>809653</v>
      </c>
      <c r="K20" s="243">
        <f t="shared" si="1"/>
        <v>16495</v>
      </c>
      <c r="L20" s="243">
        <f t="shared" si="1"/>
        <v>31151</v>
      </c>
      <c r="M20" s="243">
        <f t="shared" si="1"/>
        <v>47646</v>
      </c>
      <c r="N20" s="243">
        <f t="shared" si="1"/>
        <v>36293</v>
      </c>
      <c r="O20" s="243">
        <f t="shared" si="1"/>
        <v>34209</v>
      </c>
      <c r="P20" s="243">
        <f t="shared" si="1"/>
        <v>70502</v>
      </c>
      <c r="Q20" s="243">
        <f t="shared" si="1"/>
        <v>646949</v>
      </c>
      <c r="R20" s="243">
        <f t="shared" si="1"/>
        <v>505185</v>
      </c>
      <c r="S20" s="243">
        <f t="shared" si="1"/>
        <v>1152134</v>
      </c>
      <c r="T20" s="243">
        <f t="shared" si="1"/>
        <v>4967</v>
      </c>
      <c r="U20" s="243">
        <f t="shared" si="1"/>
        <v>4398</v>
      </c>
      <c r="V20" s="243">
        <f t="shared" si="1"/>
        <v>9365</v>
      </c>
      <c r="W20" s="239" t="b">
        <f>S20='30TypeTeacherCategoryEstimated'!D20</f>
        <v>1</v>
      </c>
      <c r="X20" s="239"/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rintOptions horizontalCentered="1"/>
  <pageMargins left="0.39370078740157483" right="0.39370078740157483" top="0.43307086614173229" bottom="0.39370078740157483" header="0.27559055118110237" footer="0.23622047244094491"/>
  <pageSetup paperSize="9" scale="76" firstPageNumber="2" pageOrder="overThenDown" orientation="portrait" useFirstPageNumber="1" r:id="rId1"/>
  <headerFooter alignWithMargins="0">
    <oddFooter>&amp;LAISHE 2020-21&amp;CT-29</oddFooter>
  </headerFooter>
  <colBreaks count="1" manualBreakCount="1">
    <brk id="10" max="18" man="1"/>
  </colBreaks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00B050"/>
  </sheetPr>
  <dimension ref="A1:Y20"/>
  <sheetViews>
    <sheetView view="pageBreakPreview" topLeftCell="K13" zoomScale="85" zoomScaleSheetLayoutView="85" workbookViewId="0">
      <selection activeCell="V20" sqref="V20"/>
    </sheetView>
  </sheetViews>
  <sheetFormatPr defaultColWidth="9.1796875" defaultRowHeight="14"/>
  <cols>
    <col min="1" max="1" width="22.7265625" style="239" customWidth="1"/>
    <col min="2" max="5" width="9.453125" style="239" customWidth="1"/>
    <col min="6" max="6" width="10.1796875" style="239" customWidth="1"/>
    <col min="7" max="7" width="10" style="239" customWidth="1"/>
    <col min="8" max="8" width="10.1796875" style="239" customWidth="1"/>
    <col min="9" max="9" width="9.54296875" style="239" customWidth="1"/>
    <col min="10" max="10" width="10.1796875" style="239" customWidth="1"/>
    <col min="11" max="13" width="7.81640625" style="239" customWidth="1"/>
    <col min="14" max="14" width="7.26953125" style="239" customWidth="1"/>
    <col min="15" max="15" width="8.26953125" style="239" bestFit="1" customWidth="1"/>
    <col min="16" max="17" width="7.26953125" style="239" customWidth="1"/>
    <col min="18" max="18" width="8.26953125" style="239" bestFit="1" customWidth="1"/>
    <col min="19" max="20" width="7.26953125" style="239" customWidth="1"/>
    <col min="21" max="21" width="8.26953125" style="239" bestFit="1" customWidth="1"/>
    <col min="22" max="22" width="9" style="239" customWidth="1"/>
    <col min="23" max="16384" width="9.1796875" style="239"/>
  </cols>
  <sheetData>
    <row r="1" spans="1:25" s="233" customFormat="1" ht="69.75" customHeight="1">
      <c r="A1" s="158" t="s">
        <v>887</v>
      </c>
      <c r="B1" s="950" t="s">
        <v>1036</v>
      </c>
      <c r="C1" s="950"/>
      <c r="D1" s="950"/>
      <c r="E1" s="950"/>
      <c r="F1" s="950"/>
      <c r="G1" s="950"/>
      <c r="H1" s="950"/>
      <c r="I1" s="950"/>
      <c r="J1" s="950"/>
      <c r="K1" s="950" t="str">
        <f>B1</f>
        <v>Social Group-wise Number of Teachers in various types of Universities
(Based on Actual Response)
(a) Teaching Departments and it's Constituent Units/Off-campus Centres</v>
      </c>
      <c r="L1" s="950"/>
      <c r="M1" s="950"/>
      <c r="N1" s="950"/>
      <c r="O1" s="950"/>
      <c r="P1" s="950"/>
      <c r="Q1" s="950"/>
      <c r="R1" s="950"/>
      <c r="S1" s="950"/>
      <c r="T1" s="950"/>
      <c r="U1" s="950"/>
      <c r="V1" s="950"/>
    </row>
    <row r="2" spans="1:25" s="234" customFormat="1" ht="36" customHeight="1">
      <c r="A2" s="1094" t="s">
        <v>124</v>
      </c>
      <c r="B2" s="1095" t="s">
        <v>152</v>
      </c>
      <c r="C2" s="1095"/>
      <c r="D2" s="1095"/>
      <c r="E2" s="1095" t="s">
        <v>538</v>
      </c>
      <c r="F2" s="1095"/>
      <c r="G2" s="1095"/>
      <c r="H2" s="1095" t="s">
        <v>315</v>
      </c>
      <c r="I2" s="1095"/>
      <c r="J2" s="1095"/>
      <c r="K2" s="1095" t="s">
        <v>1074</v>
      </c>
      <c r="L2" s="1095"/>
      <c r="M2" s="1095"/>
      <c r="N2" s="1095" t="s">
        <v>108</v>
      </c>
      <c r="O2" s="1095"/>
      <c r="P2" s="1095"/>
      <c r="Q2" s="1095" t="s">
        <v>109</v>
      </c>
      <c r="R2" s="1095"/>
      <c r="S2" s="1095"/>
      <c r="T2" s="1095" t="s">
        <v>110</v>
      </c>
      <c r="U2" s="1095"/>
      <c r="V2" s="1095"/>
    </row>
    <row r="3" spans="1:25" s="234" customFormat="1" ht="29.25" customHeight="1">
      <c r="A3" s="1094"/>
      <c r="B3" s="572" t="s">
        <v>87</v>
      </c>
      <c r="C3" s="572" t="s">
        <v>88</v>
      </c>
      <c r="D3" s="572" t="s">
        <v>12</v>
      </c>
      <c r="E3" s="572" t="s">
        <v>87</v>
      </c>
      <c r="F3" s="572" t="s">
        <v>88</v>
      </c>
      <c r="G3" s="572" t="s">
        <v>12</v>
      </c>
      <c r="H3" s="572" t="s">
        <v>87</v>
      </c>
      <c r="I3" s="572" t="s">
        <v>88</v>
      </c>
      <c r="J3" s="572" t="s">
        <v>12</v>
      </c>
      <c r="K3" s="572" t="s">
        <v>87</v>
      </c>
      <c r="L3" s="572" t="s">
        <v>88</v>
      </c>
      <c r="M3" s="572" t="s">
        <v>12</v>
      </c>
      <c r="N3" s="572" t="s">
        <v>87</v>
      </c>
      <c r="O3" s="572" t="s">
        <v>88</v>
      </c>
      <c r="P3" s="572" t="s">
        <v>12</v>
      </c>
      <c r="Q3" s="572" t="s">
        <v>87</v>
      </c>
      <c r="R3" s="572" t="s">
        <v>88</v>
      </c>
      <c r="S3" s="572" t="s">
        <v>12</v>
      </c>
      <c r="T3" s="572" t="s">
        <v>87</v>
      </c>
      <c r="U3" s="572" t="s">
        <v>88</v>
      </c>
      <c r="V3" s="572" t="s">
        <v>12</v>
      </c>
    </row>
    <row r="4" spans="1:25" s="234" customFormat="1" ht="18" customHeight="1">
      <c r="A4" s="244">
        <v>1</v>
      </c>
      <c r="B4" s="244">
        <v>2</v>
      </c>
      <c r="C4" s="244">
        <v>3</v>
      </c>
      <c r="D4" s="244">
        <v>4</v>
      </c>
      <c r="E4" s="244">
        <v>5</v>
      </c>
      <c r="F4" s="244">
        <v>6</v>
      </c>
      <c r="G4" s="244">
        <v>7</v>
      </c>
      <c r="H4" s="244">
        <v>8</v>
      </c>
      <c r="I4" s="244">
        <v>9</v>
      </c>
      <c r="J4" s="244">
        <v>10</v>
      </c>
      <c r="K4" s="244">
        <v>2</v>
      </c>
      <c r="L4" s="244">
        <v>3</v>
      </c>
      <c r="M4" s="244">
        <v>4</v>
      </c>
      <c r="N4" s="244">
        <v>5</v>
      </c>
      <c r="O4" s="244">
        <v>6</v>
      </c>
      <c r="P4" s="244">
        <v>7</v>
      </c>
      <c r="Q4" s="244">
        <v>8</v>
      </c>
      <c r="R4" s="244">
        <v>9</v>
      </c>
      <c r="S4" s="244">
        <v>10</v>
      </c>
      <c r="T4" s="244">
        <v>11</v>
      </c>
      <c r="U4" s="244">
        <v>12</v>
      </c>
      <c r="V4" s="244">
        <v>13</v>
      </c>
      <c r="W4" s="201"/>
    </row>
    <row r="5" spans="1:25" ht="53.25" customHeight="1">
      <c r="A5" s="245" t="s">
        <v>991</v>
      </c>
      <c r="B5" s="238">
        <v>9874</v>
      </c>
      <c r="C5" s="238">
        <v>3762</v>
      </c>
      <c r="D5" s="238">
        <v>13636</v>
      </c>
      <c r="E5" s="238">
        <v>1084</v>
      </c>
      <c r="F5" s="238">
        <v>334</v>
      </c>
      <c r="G5" s="238">
        <v>1418</v>
      </c>
      <c r="H5" s="238">
        <v>562</v>
      </c>
      <c r="I5" s="238">
        <v>367</v>
      </c>
      <c r="J5" s="238">
        <v>929</v>
      </c>
      <c r="K5" s="238">
        <v>1589</v>
      </c>
      <c r="L5" s="238">
        <v>539</v>
      </c>
      <c r="M5" s="238">
        <v>2128</v>
      </c>
      <c r="N5" s="238">
        <v>140</v>
      </c>
      <c r="O5" s="238">
        <v>21</v>
      </c>
      <c r="P5" s="238">
        <v>161</v>
      </c>
      <c r="Q5" s="238">
        <v>1834</v>
      </c>
      <c r="R5" s="238">
        <v>594</v>
      </c>
      <c r="S5" s="238">
        <v>2428</v>
      </c>
      <c r="T5" s="238">
        <v>591</v>
      </c>
      <c r="U5" s="238">
        <v>486</v>
      </c>
      <c r="V5" s="238">
        <v>1077</v>
      </c>
      <c r="W5" s="246" t="b">
        <f>B5='29TypeTeacherPostEstimated'!Q5</f>
        <v>1</v>
      </c>
      <c r="X5" s="246" t="b">
        <f>C5='29TypeTeacherPostEstimated'!R5</f>
        <v>1</v>
      </c>
      <c r="Y5" s="246" t="b">
        <f>D5='29TypeTeacherPostEstimated'!S5</f>
        <v>1</v>
      </c>
    </row>
    <row r="6" spans="1:25" ht="53.25" customHeight="1">
      <c r="A6" s="245" t="s">
        <v>180</v>
      </c>
      <c r="B6" s="238">
        <v>151</v>
      </c>
      <c r="C6" s="238">
        <v>108</v>
      </c>
      <c r="D6" s="238">
        <v>259</v>
      </c>
      <c r="E6" s="238">
        <v>23</v>
      </c>
      <c r="F6" s="238">
        <v>13</v>
      </c>
      <c r="G6" s="238">
        <v>36</v>
      </c>
      <c r="H6" s="238">
        <v>8</v>
      </c>
      <c r="I6" s="238">
        <v>4</v>
      </c>
      <c r="J6" s="238">
        <v>12</v>
      </c>
      <c r="K6" s="238">
        <v>28</v>
      </c>
      <c r="L6" s="238">
        <v>3</v>
      </c>
      <c r="M6" s="238">
        <v>31</v>
      </c>
      <c r="N6" s="238">
        <v>2</v>
      </c>
      <c r="O6" s="238">
        <v>0</v>
      </c>
      <c r="P6" s="238">
        <v>2</v>
      </c>
      <c r="Q6" s="238">
        <v>8</v>
      </c>
      <c r="R6" s="238">
        <v>1</v>
      </c>
      <c r="S6" s="238">
        <v>9</v>
      </c>
      <c r="T6" s="238">
        <v>7</v>
      </c>
      <c r="U6" s="238">
        <v>8</v>
      </c>
      <c r="V6" s="238">
        <v>15</v>
      </c>
      <c r="W6" s="246" t="b">
        <f>B6='29TypeTeacherPostEstimated'!Q6</f>
        <v>1</v>
      </c>
      <c r="X6" s="246" t="b">
        <f>C6='29TypeTeacherPostEstimated'!R6</f>
        <v>1</v>
      </c>
      <c r="Y6" s="246" t="b">
        <f>D6='29TypeTeacherPostEstimated'!S6</f>
        <v>1</v>
      </c>
    </row>
    <row r="7" spans="1:25" ht="53.25" customHeight="1">
      <c r="A7" s="245" t="s">
        <v>181</v>
      </c>
      <c r="B7" s="238">
        <v>14617</v>
      </c>
      <c r="C7" s="238">
        <v>3922</v>
      </c>
      <c r="D7" s="238">
        <v>18539</v>
      </c>
      <c r="E7" s="238">
        <v>1024</v>
      </c>
      <c r="F7" s="238">
        <v>278</v>
      </c>
      <c r="G7" s="238">
        <v>1302</v>
      </c>
      <c r="H7" s="238">
        <v>234</v>
      </c>
      <c r="I7" s="238">
        <v>87</v>
      </c>
      <c r="J7" s="238">
        <v>321</v>
      </c>
      <c r="K7" s="238">
        <v>2024</v>
      </c>
      <c r="L7" s="238">
        <v>466</v>
      </c>
      <c r="M7" s="238">
        <v>2490</v>
      </c>
      <c r="N7" s="238">
        <v>60</v>
      </c>
      <c r="O7" s="238">
        <v>14</v>
      </c>
      <c r="P7" s="238">
        <v>74</v>
      </c>
      <c r="Q7" s="238">
        <v>432</v>
      </c>
      <c r="R7" s="238">
        <v>100</v>
      </c>
      <c r="S7" s="238">
        <v>532</v>
      </c>
      <c r="T7" s="238">
        <v>657</v>
      </c>
      <c r="U7" s="238">
        <v>258</v>
      </c>
      <c r="V7" s="238">
        <v>915</v>
      </c>
      <c r="W7" s="246" t="b">
        <f>B7='29TypeTeacherPostEstimated'!Q7</f>
        <v>1</v>
      </c>
      <c r="X7" s="246" t="b">
        <f>C7='29TypeTeacherPostEstimated'!R7</f>
        <v>1</v>
      </c>
      <c r="Y7" s="246" t="b">
        <f>D7='29TypeTeacherPostEstimated'!S7</f>
        <v>1</v>
      </c>
    </row>
    <row r="8" spans="1:25" ht="53.25" customHeight="1">
      <c r="A8" s="245" t="s">
        <v>992</v>
      </c>
      <c r="B8" s="238">
        <v>34281</v>
      </c>
      <c r="C8" s="238">
        <v>20122</v>
      </c>
      <c r="D8" s="238">
        <v>54403</v>
      </c>
      <c r="E8" s="238">
        <v>4689</v>
      </c>
      <c r="F8" s="238">
        <v>2036</v>
      </c>
      <c r="G8" s="238">
        <v>6725</v>
      </c>
      <c r="H8" s="238">
        <v>1127</v>
      </c>
      <c r="I8" s="238">
        <v>554</v>
      </c>
      <c r="J8" s="238">
        <v>1681</v>
      </c>
      <c r="K8" s="238">
        <v>8992</v>
      </c>
      <c r="L8" s="238">
        <v>4779</v>
      </c>
      <c r="M8" s="238">
        <v>13771</v>
      </c>
      <c r="N8" s="238">
        <v>225</v>
      </c>
      <c r="O8" s="238">
        <v>76</v>
      </c>
      <c r="P8" s="238">
        <v>301</v>
      </c>
      <c r="Q8" s="238">
        <v>2166</v>
      </c>
      <c r="R8" s="238">
        <v>1047</v>
      </c>
      <c r="S8" s="238">
        <v>3213</v>
      </c>
      <c r="T8" s="238">
        <v>2047</v>
      </c>
      <c r="U8" s="238">
        <v>2060</v>
      </c>
      <c r="V8" s="238">
        <v>4107</v>
      </c>
      <c r="W8" s="246" t="b">
        <f>B8='29TypeTeacherPostEstimated'!Q8</f>
        <v>1</v>
      </c>
      <c r="X8" s="246" t="b">
        <f>C8='29TypeTeacherPostEstimated'!R8</f>
        <v>1</v>
      </c>
      <c r="Y8" s="246" t="b">
        <f>D8='29TypeTeacherPostEstimated'!S8</f>
        <v>1</v>
      </c>
    </row>
    <row r="9" spans="1:25" ht="53.25" customHeight="1">
      <c r="A9" s="245" t="s">
        <v>182</v>
      </c>
      <c r="B9" s="238">
        <v>470</v>
      </c>
      <c r="C9" s="238">
        <v>243</v>
      </c>
      <c r="D9" s="238">
        <v>713</v>
      </c>
      <c r="E9" s="238">
        <v>71</v>
      </c>
      <c r="F9" s="238">
        <v>24</v>
      </c>
      <c r="G9" s="238">
        <v>95</v>
      </c>
      <c r="H9" s="238">
        <v>13</v>
      </c>
      <c r="I9" s="238">
        <v>6</v>
      </c>
      <c r="J9" s="238">
        <v>19</v>
      </c>
      <c r="K9" s="238">
        <v>122</v>
      </c>
      <c r="L9" s="238">
        <v>74</v>
      </c>
      <c r="M9" s="238">
        <v>196</v>
      </c>
      <c r="N9" s="238">
        <v>3</v>
      </c>
      <c r="O9" s="238">
        <v>1</v>
      </c>
      <c r="P9" s="238">
        <v>4</v>
      </c>
      <c r="Q9" s="238">
        <v>21</v>
      </c>
      <c r="R9" s="238">
        <v>5</v>
      </c>
      <c r="S9" s="238">
        <v>26</v>
      </c>
      <c r="T9" s="238">
        <v>17</v>
      </c>
      <c r="U9" s="238">
        <v>5</v>
      </c>
      <c r="V9" s="238">
        <v>22</v>
      </c>
      <c r="W9" s="246" t="b">
        <f>B9='29TypeTeacherPostEstimated'!Q9</f>
        <v>1</v>
      </c>
      <c r="X9" s="246" t="b">
        <f>C9='29TypeTeacherPostEstimated'!R9</f>
        <v>1</v>
      </c>
      <c r="Y9" s="246" t="b">
        <f>D9='29TypeTeacherPostEstimated'!S9</f>
        <v>1</v>
      </c>
    </row>
    <row r="10" spans="1:25" ht="53.25" customHeight="1">
      <c r="A10" s="245" t="s">
        <v>183</v>
      </c>
      <c r="B10" s="238">
        <v>49145</v>
      </c>
      <c r="C10" s="238">
        <v>33792</v>
      </c>
      <c r="D10" s="238">
        <v>82937</v>
      </c>
      <c r="E10" s="238">
        <v>1759</v>
      </c>
      <c r="F10" s="238">
        <v>1014</v>
      </c>
      <c r="G10" s="238">
        <v>2773</v>
      </c>
      <c r="H10" s="238">
        <v>654</v>
      </c>
      <c r="I10" s="238">
        <v>755</v>
      </c>
      <c r="J10" s="238">
        <v>1409</v>
      </c>
      <c r="K10" s="238">
        <v>7720</v>
      </c>
      <c r="L10" s="238">
        <v>4358</v>
      </c>
      <c r="M10" s="238">
        <v>12078</v>
      </c>
      <c r="N10" s="238">
        <v>209</v>
      </c>
      <c r="O10" s="238">
        <v>90</v>
      </c>
      <c r="P10" s="238">
        <v>299</v>
      </c>
      <c r="Q10" s="238">
        <v>2824</v>
      </c>
      <c r="R10" s="238">
        <v>1301</v>
      </c>
      <c r="S10" s="238">
        <v>4125</v>
      </c>
      <c r="T10" s="238">
        <v>2967</v>
      </c>
      <c r="U10" s="238">
        <v>3464</v>
      </c>
      <c r="V10" s="238">
        <v>6431</v>
      </c>
      <c r="W10" s="246" t="b">
        <f>B10='29TypeTeacherPostEstimated'!Q10</f>
        <v>1</v>
      </c>
      <c r="X10" s="246" t="b">
        <f>C10='29TypeTeacherPostEstimated'!R10</f>
        <v>1</v>
      </c>
      <c r="Y10" s="246" t="b">
        <f>D10='29TypeTeacherPostEstimated'!S10</f>
        <v>1</v>
      </c>
    </row>
    <row r="11" spans="1:25" ht="53.25" customHeight="1">
      <c r="A11" s="245" t="s">
        <v>185</v>
      </c>
      <c r="B11" s="238">
        <v>1021</v>
      </c>
      <c r="C11" s="238">
        <v>506</v>
      </c>
      <c r="D11" s="238">
        <v>1527</v>
      </c>
      <c r="E11" s="238">
        <v>82</v>
      </c>
      <c r="F11" s="238">
        <v>42</v>
      </c>
      <c r="G11" s="238">
        <v>124</v>
      </c>
      <c r="H11" s="238">
        <v>15</v>
      </c>
      <c r="I11" s="238">
        <v>6</v>
      </c>
      <c r="J11" s="238">
        <v>21</v>
      </c>
      <c r="K11" s="238">
        <v>209</v>
      </c>
      <c r="L11" s="238">
        <v>118</v>
      </c>
      <c r="M11" s="238">
        <v>327</v>
      </c>
      <c r="N11" s="238">
        <v>1</v>
      </c>
      <c r="O11" s="238">
        <v>1</v>
      </c>
      <c r="P11" s="238">
        <v>2</v>
      </c>
      <c r="Q11" s="238">
        <v>157</v>
      </c>
      <c r="R11" s="238">
        <v>45</v>
      </c>
      <c r="S11" s="238">
        <v>202</v>
      </c>
      <c r="T11" s="238">
        <v>15</v>
      </c>
      <c r="U11" s="238">
        <v>26</v>
      </c>
      <c r="V11" s="238">
        <v>41</v>
      </c>
      <c r="W11" s="246" t="b">
        <f>B11='29TypeTeacherPostEstimated'!Q11</f>
        <v>1</v>
      </c>
      <c r="X11" s="246" t="b">
        <f>C11='29TypeTeacherPostEstimated'!R11</f>
        <v>1</v>
      </c>
      <c r="Y11" s="246" t="b">
        <f>D11='29TypeTeacherPostEstimated'!S11</f>
        <v>1</v>
      </c>
    </row>
    <row r="12" spans="1:25" ht="53.25" customHeight="1">
      <c r="A12" s="245" t="s">
        <v>184</v>
      </c>
      <c r="B12" s="238">
        <v>21</v>
      </c>
      <c r="C12" s="238">
        <v>20</v>
      </c>
      <c r="D12" s="238">
        <v>41</v>
      </c>
      <c r="E12" s="238">
        <v>1</v>
      </c>
      <c r="F12" s="238">
        <v>0</v>
      </c>
      <c r="G12" s="238">
        <v>1</v>
      </c>
      <c r="H12" s="238">
        <v>2</v>
      </c>
      <c r="I12" s="238">
        <v>4</v>
      </c>
      <c r="J12" s="238">
        <v>6</v>
      </c>
      <c r="K12" s="238">
        <v>0</v>
      </c>
      <c r="L12" s="238">
        <v>0</v>
      </c>
      <c r="M12" s="238">
        <v>0</v>
      </c>
      <c r="N12" s="238">
        <v>1</v>
      </c>
      <c r="O12" s="238">
        <v>0</v>
      </c>
      <c r="P12" s="238">
        <v>1</v>
      </c>
      <c r="Q12" s="238">
        <v>0</v>
      </c>
      <c r="R12" s="238">
        <v>0</v>
      </c>
      <c r="S12" s="238">
        <v>0</v>
      </c>
      <c r="T12" s="238">
        <v>1</v>
      </c>
      <c r="U12" s="238">
        <v>3</v>
      </c>
      <c r="V12" s="238">
        <v>4</v>
      </c>
      <c r="W12" s="246" t="b">
        <f>B12='29TypeTeacherPostEstimated'!Q12</f>
        <v>1</v>
      </c>
      <c r="X12" s="246" t="b">
        <f>C12='29TypeTeacherPostEstimated'!R12</f>
        <v>1</v>
      </c>
      <c r="Y12" s="246" t="b">
        <f>D12='29TypeTeacherPostEstimated'!S12</f>
        <v>1</v>
      </c>
    </row>
    <row r="13" spans="1:25" ht="53.25" customHeight="1">
      <c r="A13" s="245" t="s">
        <v>186</v>
      </c>
      <c r="B13" s="238">
        <v>3373</v>
      </c>
      <c r="C13" s="238">
        <v>962</v>
      </c>
      <c r="D13" s="238">
        <v>4335</v>
      </c>
      <c r="E13" s="238">
        <v>212</v>
      </c>
      <c r="F13" s="238">
        <v>38</v>
      </c>
      <c r="G13" s="238">
        <v>250</v>
      </c>
      <c r="H13" s="238">
        <v>98</v>
      </c>
      <c r="I13" s="238">
        <v>26</v>
      </c>
      <c r="J13" s="238">
        <v>124</v>
      </c>
      <c r="K13" s="238">
        <v>360</v>
      </c>
      <c r="L13" s="238">
        <v>108</v>
      </c>
      <c r="M13" s="238">
        <v>468</v>
      </c>
      <c r="N13" s="238">
        <v>13</v>
      </c>
      <c r="O13" s="238">
        <v>5</v>
      </c>
      <c r="P13" s="238">
        <v>18</v>
      </c>
      <c r="Q13" s="238">
        <v>59</v>
      </c>
      <c r="R13" s="238">
        <v>16</v>
      </c>
      <c r="S13" s="238">
        <v>75</v>
      </c>
      <c r="T13" s="238">
        <v>396</v>
      </c>
      <c r="U13" s="238">
        <v>86</v>
      </c>
      <c r="V13" s="238">
        <v>482</v>
      </c>
      <c r="W13" s="246" t="b">
        <f>B13='29TypeTeacherPostEstimated'!Q13</f>
        <v>1</v>
      </c>
      <c r="X13" s="246" t="b">
        <f>C13='29TypeTeacherPostEstimated'!R13</f>
        <v>1</v>
      </c>
      <c r="Y13" s="246" t="b">
        <f>D13='29TypeTeacherPostEstimated'!S13</f>
        <v>1</v>
      </c>
    </row>
    <row r="14" spans="1:25" ht="53.25" customHeight="1">
      <c r="A14" s="245" t="s">
        <v>187</v>
      </c>
      <c r="B14" s="238">
        <v>1168</v>
      </c>
      <c r="C14" s="238">
        <v>1170</v>
      </c>
      <c r="D14" s="238">
        <v>2338</v>
      </c>
      <c r="E14" s="238">
        <v>105</v>
      </c>
      <c r="F14" s="238">
        <v>74</v>
      </c>
      <c r="G14" s="238">
        <v>179</v>
      </c>
      <c r="H14" s="238">
        <v>40</v>
      </c>
      <c r="I14" s="238">
        <v>29</v>
      </c>
      <c r="J14" s="238">
        <v>69</v>
      </c>
      <c r="K14" s="238">
        <v>173</v>
      </c>
      <c r="L14" s="238">
        <v>380</v>
      </c>
      <c r="M14" s="238">
        <v>553</v>
      </c>
      <c r="N14" s="238">
        <v>6</v>
      </c>
      <c r="O14" s="238">
        <v>5</v>
      </c>
      <c r="P14" s="238">
        <v>11</v>
      </c>
      <c r="Q14" s="238">
        <v>200</v>
      </c>
      <c r="R14" s="238">
        <v>136</v>
      </c>
      <c r="S14" s="238">
        <v>336</v>
      </c>
      <c r="T14" s="238">
        <v>186</v>
      </c>
      <c r="U14" s="238">
        <v>155</v>
      </c>
      <c r="V14" s="238">
        <v>341</v>
      </c>
      <c r="W14" s="246" t="b">
        <f>B14='29TypeTeacherPostEstimated'!Q14</f>
        <v>1</v>
      </c>
      <c r="X14" s="246" t="b">
        <f>C14='29TypeTeacherPostEstimated'!R14</f>
        <v>1</v>
      </c>
      <c r="Y14" s="246" t="b">
        <f>D14='29TypeTeacherPostEstimated'!S14</f>
        <v>1</v>
      </c>
    </row>
    <row r="15" spans="1:25" ht="53.25" customHeight="1">
      <c r="A15" s="245" t="s">
        <v>188</v>
      </c>
      <c r="B15" s="238">
        <v>32682</v>
      </c>
      <c r="C15" s="238">
        <v>24551</v>
      </c>
      <c r="D15" s="238">
        <v>57233</v>
      </c>
      <c r="E15" s="238">
        <v>1376</v>
      </c>
      <c r="F15" s="238">
        <v>940</v>
      </c>
      <c r="G15" s="238">
        <v>2316</v>
      </c>
      <c r="H15" s="238">
        <v>164</v>
      </c>
      <c r="I15" s="238">
        <v>126</v>
      </c>
      <c r="J15" s="238">
        <v>290</v>
      </c>
      <c r="K15" s="238">
        <v>10406</v>
      </c>
      <c r="L15" s="238">
        <v>8016</v>
      </c>
      <c r="M15" s="238">
        <v>18422</v>
      </c>
      <c r="N15" s="238">
        <v>96</v>
      </c>
      <c r="O15" s="238">
        <v>56</v>
      </c>
      <c r="P15" s="238">
        <v>152</v>
      </c>
      <c r="Q15" s="238">
        <v>1072</v>
      </c>
      <c r="R15" s="238">
        <v>594</v>
      </c>
      <c r="S15" s="238">
        <v>1666</v>
      </c>
      <c r="T15" s="238">
        <v>2415</v>
      </c>
      <c r="U15" s="238">
        <v>2759</v>
      </c>
      <c r="V15" s="238">
        <v>5174</v>
      </c>
      <c r="W15" s="246" t="b">
        <f>B15='29TypeTeacherPostEstimated'!Q15</f>
        <v>1</v>
      </c>
      <c r="X15" s="246" t="b">
        <f>C15='29TypeTeacherPostEstimated'!R15</f>
        <v>1</v>
      </c>
      <c r="Y15" s="246" t="b">
        <f>D15='29TypeTeacherPostEstimated'!S15</f>
        <v>1</v>
      </c>
    </row>
    <row r="16" spans="1:25" s="247" customFormat="1" ht="53.25" customHeight="1">
      <c r="A16" s="249" t="s">
        <v>60</v>
      </c>
      <c r="B16" s="508">
        <v>146803</v>
      </c>
      <c r="C16" s="508">
        <v>89158</v>
      </c>
      <c r="D16" s="508">
        <v>235961</v>
      </c>
      <c r="E16" s="508">
        <v>10426</v>
      </c>
      <c r="F16" s="508">
        <v>4793</v>
      </c>
      <c r="G16" s="508">
        <v>15219</v>
      </c>
      <c r="H16" s="508">
        <v>2917</v>
      </c>
      <c r="I16" s="508">
        <v>1964</v>
      </c>
      <c r="J16" s="508">
        <v>4881</v>
      </c>
      <c r="K16" s="508">
        <v>31623</v>
      </c>
      <c r="L16" s="508">
        <v>18841</v>
      </c>
      <c r="M16" s="508">
        <v>50464</v>
      </c>
      <c r="N16" s="508">
        <v>756</v>
      </c>
      <c r="O16" s="508">
        <v>269</v>
      </c>
      <c r="P16" s="508">
        <v>1025</v>
      </c>
      <c r="Q16" s="508">
        <v>8773</v>
      </c>
      <c r="R16" s="508">
        <v>3839</v>
      </c>
      <c r="S16" s="508">
        <v>12612</v>
      </c>
      <c r="T16" s="508">
        <v>9299</v>
      </c>
      <c r="U16" s="508">
        <v>9310</v>
      </c>
      <c r="V16" s="508">
        <v>18609</v>
      </c>
      <c r="W16" s="246" t="b">
        <f>B16='29TypeTeacherPostEstimated'!Q16</f>
        <v>1</v>
      </c>
      <c r="X16" s="246" t="b">
        <f>C16='29TypeTeacherPostEstimated'!R16</f>
        <v>1</v>
      </c>
      <c r="Y16" s="246" t="b">
        <f>D16='29TypeTeacherPostEstimated'!S16</f>
        <v>1</v>
      </c>
    </row>
    <row r="17" spans="1:22" s="233" customFormat="1" ht="53.25" customHeight="1">
      <c r="A17" s="158" t="s">
        <v>887</v>
      </c>
      <c r="B17" s="1082" t="s">
        <v>1037</v>
      </c>
      <c r="C17" s="1082"/>
      <c r="D17" s="1082"/>
      <c r="E17" s="1082"/>
      <c r="F17" s="1082"/>
      <c r="G17" s="1082"/>
      <c r="H17" s="1082"/>
      <c r="I17" s="1082"/>
      <c r="J17" s="1082"/>
      <c r="K17" s="1082" t="str">
        <f>B17</f>
        <v>Social Group-wise Number of Teachers in various types of Universities (Based on Actual Response)
(b) Affiliated and Constituent Colleges</v>
      </c>
      <c r="L17" s="1082"/>
      <c r="M17" s="1082"/>
      <c r="N17" s="1082"/>
      <c r="O17" s="1082"/>
      <c r="P17" s="1082"/>
      <c r="Q17" s="1082"/>
      <c r="R17" s="1082"/>
      <c r="S17" s="1082"/>
      <c r="T17" s="1082"/>
      <c r="U17" s="1082"/>
      <c r="V17" s="1082"/>
    </row>
    <row r="18" spans="1:22" ht="53.25" customHeight="1">
      <c r="A18" s="245" t="s">
        <v>125</v>
      </c>
      <c r="B18" s="248">
        <v>15478</v>
      </c>
      <c r="C18" s="248">
        <v>17301</v>
      </c>
      <c r="D18" s="248">
        <v>32779</v>
      </c>
      <c r="E18" s="248">
        <v>1510</v>
      </c>
      <c r="F18" s="248">
        <v>1151</v>
      </c>
      <c r="G18" s="248">
        <v>2661</v>
      </c>
      <c r="H18" s="248">
        <v>3191</v>
      </c>
      <c r="I18" s="248">
        <v>4242</v>
      </c>
      <c r="J18" s="248">
        <v>7433</v>
      </c>
      <c r="K18" s="248">
        <v>3439</v>
      </c>
      <c r="L18" s="248">
        <v>2980</v>
      </c>
      <c r="M18" s="248">
        <v>6419</v>
      </c>
      <c r="N18" s="248">
        <v>196</v>
      </c>
      <c r="O18" s="248">
        <v>81</v>
      </c>
      <c r="P18" s="248">
        <v>277</v>
      </c>
      <c r="Q18" s="248">
        <v>883</v>
      </c>
      <c r="R18" s="248">
        <v>465</v>
      </c>
      <c r="S18" s="248">
        <v>1348</v>
      </c>
      <c r="T18" s="248">
        <v>3342</v>
      </c>
      <c r="U18" s="248">
        <v>4789</v>
      </c>
      <c r="V18" s="248">
        <v>8131</v>
      </c>
    </row>
    <row r="19" spans="1:22" ht="53.25" customHeight="1">
      <c r="A19" s="245" t="s">
        <v>128</v>
      </c>
      <c r="B19" s="248">
        <v>631471</v>
      </c>
      <c r="C19" s="248">
        <v>487884</v>
      </c>
      <c r="D19" s="248">
        <v>1119355</v>
      </c>
      <c r="E19" s="248">
        <v>66545</v>
      </c>
      <c r="F19" s="248">
        <v>39016</v>
      </c>
      <c r="G19" s="248">
        <v>105561</v>
      </c>
      <c r="H19" s="248">
        <v>13813</v>
      </c>
      <c r="I19" s="248">
        <v>8160</v>
      </c>
      <c r="J19" s="248">
        <v>21973</v>
      </c>
      <c r="K19" s="248">
        <v>221612</v>
      </c>
      <c r="L19" s="248">
        <v>162561</v>
      </c>
      <c r="M19" s="248">
        <v>384173</v>
      </c>
      <c r="N19" s="248">
        <v>4179</v>
      </c>
      <c r="O19" s="248">
        <v>2044</v>
      </c>
      <c r="P19" s="248">
        <v>6223</v>
      </c>
      <c r="Q19" s="248">
        <v>38623</v>
      </c>
      <c r="R19" s="248">
        <v>24613</v>
      </c>
      <c r="S19" s="248">
        <v>63236</v>
      </c>
      <c r="T19" s="248">
        <v>34459</v>
      </c>
      <c r="U19" s="248">
        <v>57850</v>
      </c>
      <c r="V19" s="248">
        <v>92309</v>
      </c>
    </row>
    <row r="20" spans="1:22" s="247" customFormat="1" ht="53.25" customHeight="1">
      <c r="A20" s="249" t="s">
        <v>60</v>
      </c>
      <c r="B20" s="250">
        <v>646949</v>
      </c>
      <c r="C20" s="250">
        <v>505185</v>
      </c>
      <c r="D20" s="250">
        <v>1152134</v>
      </c>
      <c r="E20" s="250">
        <v>68055</v>
      </c>
      <c r="F20" s="250">
        <v>40167</v>
      </c>
      <c r="G20" s="250">
        <v>108222</v>
      </c>
      <c r="H20" s="250">
        <v>17004</v>
      </c>
      <c r="I20" s="250">
        <v>12402</v>
      </c>
      <c r="J20" s="250">
        <v>29406</v>
      </c>
      <c r="K20" s="250">
        <v>225051</v>
      </c>
      <c r="L20" s="250">
        <v>165541</v>
      </c>
      <c r="M20" s="250">
        <v>390592</v>
      </c>
      <c r="N20" s="250">
        <v>4375</v>
      </c>
      <c r="O20" s="250">
        <v>2125</v>
      </c>
      <c r="P20" s="250">
        <v>6500</v>
      </c>
      <c r="Q20" s="250">
        <v>39506</v>
      </c>
      <c r="R20" s="250">
        <v>25078</v>
      </c>
      <c r="S20" s="250">
        <v>64584</v>
      </c>
      <c r="T20" s="250">
        <v>37801</v>
      </c>
      <c r="U20" s="250">
        <v>62639</v>
      </c>
      <c r="V20" s="250">
        <v>100440</v>
      </c>
    </row>
  </sheetData>
  <mergeCells count="12">
    <mergeCell ref="B17:J17"/>
    <mergeCell ref="K17:V17"/>
    <mergeCell ref="B1:J1"/>
    <mergeCell ref="K1:V1"/>
    <mergeCell ref="A2:A3"/>
    <mergeCell ref="B2:D2"/>
    <mergeCell ref="E2:G2"/>
    <mergeCell ref="H2:J2"/>
    <mergeCell ref="K2:M2"/>
    <mergeCell ref="N2:P2"/>
    <mergeCell ref="Q2:S2"/>
    <mergeCell ref="T2:V2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6" firstPageNumber="2" pageOrder="overThenDown" orientation="portrait" useFirstPageNumber="1" r:id="rId1"/>
  <headerFooter alignWithMargins="0">
    <oddFooter>&amp;LAISHE 2020-21&amp;CT-30</oddFooter>
  </headerFooter>
  <colBreaks count="1" manualBreakCount="1">
    <brk id="10" max="18" man="1"/>
  </colBreaks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00B050"/>
  </sheetPr>
  <dimension ref="A1:N41"/>
  <sheetViews>
    <sheetView view="pageBreakPreview" topLeftCell="A25" zoomScaleSheetLayoutView="100" workbookViewId="0">
      <selection activeCell="N41" sqref="N41"/>
    </sheetView>
  </sheetViews>
  <sheetFormatPr defaultColWidth="9.1796875" defaultRowHeight="15.5"/>
  <cols>
    <col min="1" max="1" width="7.26953125" style="669" bestFit="1" customWidth="1"/>
    <col min="2" max="2" width="27.81640625" style="678" customWidth="1"/>
    <col min="3" max="3" width="8" style="669" customWidth="1"/>
    <col min="4" max="5" width="10.26953125" style="669" bestFit="1" customWidth="1"/>
    <col min="6" max="6" width="8.26953125" style="669" customWidth="1"/>
    <col min="7" max="8" width="10.26953125" style="669" bestFit="1" customWidth="1"/>
    <col min="9" max="9" width="7.81640625" style="669" customWidth="1"/>
    <col min="10" max="10" width="9" style="669" bestFit="1" customWidth="1"/>
    <col min="11" max="11" width="8.81640625" style="669" customWidth="1"/>
    <col min="12" max="12" width="8" style="669" customWidth="1"/>
    <col min="13" max="14" width="10.26953125" style="669" bestFit="1" customWidth="1"/>
    <col min="15" max="16384" width="9.1796875" style="669"/>
  </cols>
  <sheetData>
    <row r="1" spans="1:14" ht="38.25" customHeight="1">
      <c r="B1" s="784" t="s">
        <v>1072</v>
      </c>
      <c r="C1" s="1062" t="s">
        <v>1071</v>
      </c>
      <c r="D1" s="1062"/>
      <c r="E1" s="1062"/>
      <c r="F1" s="1062"/>
      <c r="G1" s="1062"/>
      <c r="H1" s="1062"/>
      <c r="I1" s="1062"/>
      <c r="J1" s="1062"/>
      <c r="K1" s="1062"/>
      <c r="L1" s="1062"/>
      <c r="M1" s="1062"/>
      <c r="N1" s="1062"/>
    </row>
    <row r="2" spans="1:14" ht="17.25" customHeight="1">
      <c r="A2" s="1097" t="s">
        <v>235</v>
      </c>
      <c r="B2" s="1097" t="s">
        <v>281</v>
      </c>
      <c r="C2" s="1098" t="s">
        <v>282</v>
      </c>
      <c r="D2" s="1098"/>
      <c r="E2" s="1098"/>
      <c r="F2" s="1098" t="s">
        <v>283</v>
      </c>
      <c r="G2" s="1098"/>
      <c r="H2" s="1098"/>
      <c r="I2" s="1098" t="s">
        <v>284</v>
      </c>
      <c r="J2" s="1098"/>
      <c r="K2" s="1098"/>
      <c r="L2" s="1098" t="s">
        <v>285</v>
      </c>
      <c r="M2" s="1098"/>
      <c r="N2" s="1098"/>
    </row>
    <row r="3" spans="1:14" ht="13">
      <c r="A3" s="1097"/>
      <c r="B3" s="1097"/>
      <c r="C3" s="670" t="s">
        <v>273</v>
      </c>
      <c r="D3" s="670" t="s">
        <v>286</v>
      </c>
      <c r="E3" s="670" t="s">
        <v>287</v>
      </c>
      <c r="F3" s="670" t="s">
        <v>273</v>
      </c>
      <c r="G3" s="670" t="s">
        <v>286</v>
      </c>
      <c r="H3" s="670" t="s">
        <v>287</v>
      </c>
      <c r="I3" s="670" t="s">
        <v>273</v>
      </c>
      <c r="J3" s="670" t="s">
        <v>286</v>
      </c>
      <c r="K3" s="670" t="s">
        <v>287</v>
      </c>
      <c r="L3" s="670" t="s">
        <v>273</v>
      </c>
      <c r="M3" s="670" t="s">
        <v>286</v>
      </c>
      <c r="N3" s="670" t="s">
        <v>287</v>
      </c>
    </row>
    <row r="4" spans="1:14" ht="12.5">
      <c r="A4" s="671">
        <v>1</v>
      </c>
      <c r="B4" s="672">
        <v>2</v>
      </c>
      <c r="C4" s="671">
        <v>3</v>
      </c>
      <c r="D4" s="672">
        <v>4</v>
      </c>
      <c r="E4" s="671">
        <v>5</v>
      </c>
      <c r="F4" s="672">
        <v>6</v>
      </c>
      <c r="G4" s="671">
        <v>7</v>
      </c>
      <c r="H4" s="672">
        <v>8</v>
      </c>
      <c r="I4" s="671">
        <v>9</v>
      </c>
      <c r="J4" s="672">
        <v>10</v>
      </c>
      <c r="K4" s="671">
        <v>11</v>
      </c>
      <c r="L4" s="672">
        <v>12</v>
      </c>
      <c r="M4" s="671">
        <v>13</v>
      </c>
      <c r="N4" s="672">
        <v>14</v>
      </c>
    </row>
    <row r="5" spans="1:14" s="676" customFormat="1" ht="30" customHeight="1">
      <c r="A5" s="673">
        <v>1</v>
      </c>
      <c r="B5" s="674" t="s">
        <v>171</v>
      </c>
      <c r="C5" s="675">
        <v>10</v>
      </c>
      <c r="D5" s="675">
        <v>951</v>
      </c>
      <c r="E5" s="675">
        <v>738</v>
      </c>
      <c r="F5" s="675">
        <v>9</v>
      </c>
      <c r="G5" s="675">
        <v>886</v>
      </c>
      <c r="H5" s="675">
        <v>1091</v>
      </c>
      <c r="I5" s="675">
        <v>0</v>
      </c>
      <c r="J5" s="675">
        <v>0</v>
      </c>
      <c r="K5" s="675">
        <v>0</v>
      </c>
      <c r="L5" s="675">
        <v>19</v>
      </c>
      <c r="M5" s="675">
        <v>1837</v>
      </c>
      <c r="N5" s="675">
        <v>1829</v>
      </c>
    </row>
    <row r="6" spans="1:14" ht="28.5" customHeight="1">
      <c r="A6" s="673">
        <v>2</v>
      </c>
      <c r="B6" s="674" t="s">
        <v>15</v>
      </c>
      <c r="C6" s="675">
        <v>927</v>
      </c>
      <c r="D6" s="675">
        <v>229064</v>
      </c>
      <c r="E6" s="675">
        <v>157247</v>
      </c>
      <c r="F6" s="675">
        <v>1334</v>
      </c>
      <c r="G6" s="675">
        <v>313126</v>
      </c>
      <c r="H6" s="675">
        <v>206906</v>
      </c>
      <c r="I6" s="675">
        <v>27</v>
      </c>
      <c r="J6" s="675">
        <v>5452</v>
      </c>
      <c r="K6" s="675">
        <v>3374</v>
      </c>
      <c r="L6" s="675">
        <v>2288</v>
      </c>
      <c r="M6" s="675">
        <v>547642</v>
      </c>
      <c r="N6" s="675">
        <v>367527</v>
      </c>
    </row>
    <row r="7" spans="1:14" ht="28.5" customHeight="1">
      <c r="A7" s="673">
        <v>3</v>
      </c>
      <c r="B7" s="674" t="s">
        <v>16</v>
      </c>
      <c r="C7" s="675">
        <v>62</v>
      </c>
      <c r="D7" s="675">
        <v>5062</v>
      </c>
      <c r="E7" s="675">
        <v>3954</v>
      </c>
      <c r="F7" s="675">
        <v>62</v>
      </c>
      <c r="G7" s="675">
        <v>5069</v>
      </c>
      <c r="H7" s="675">
        <v>3744</v>
      </c>
      <c r="I7" s="675">
        <v>1</v>
      </c>
      <c r="J7" s="675">
        <v>58</v>
      </c>
      <c r="K7" s="675">
        <v>58</v>
      </c>
      <c r="L7" s="675">
        <v>125</v>
      </c>
      <c r="M7" s="675">
        <v>10189</v>
      </c>
      <c r="N7" s="675">
        <v>7756</v>
      </c>
    </row>
    <row r="8" spans="1:14" ht="28.5" customHeight="1">
      <c r="A8" s="673">
        <v>4</v>
      </c>
      <c r="B8" s="674" t="s">
        <v>17</v>
      </c>
      <c r="C8" s="675">
        <v>351</v>
      </c>
      <c r="D8" s="675">
        <v>34493</v>
      </c>
      <c r="E8" s="675">
        <v>25109</v>
      </c>
      <c r="F8" s="675">
        <v>578</v>
      </c>
      <c r="G8" s="675">
        <v>48161</v>
      </c>
      <c r="H8" s="675">
        <v>32609</v>
      </c>
      <c r="I8" s="675">
        <v>8</v>
      </c>
      <c r="J8" s="675">
        <v>479</v>
      </c>
      <c r="K8" s="675">
        <v>514</v>
      </c>
      <c r="L8" s="675">
        <v>937</v>
      </c>
      <c r="M8" s="675">
        <v>83133</v>
      </c>
      <c r="N8" s="675">
        <v>58232</v>
      </c>
    </row>
    <row r="9" spans="1:14" s="676" customFormat="1" ht="28.5" customHeight="1">
      <c r="A9" s="673">
        <v>5</v>
      </c>
      <c r="B9" s="674" t="s">
        <v>18</v>
      </c>
      <c r="C9" s="675">
        <v>581</v>
      </c>
      <c r="D9" s="675">
        <v>68341</v>
      </c>
      <c r="E9" s="675">
        <v>38264</v>
      </c>
      <c r="F9" s="675">
        <v>677</v>
      </c>
      <c r="G9" s="675">
        <v>61948</v>
      </c>
      <c r="H9" s="675">
        <v>31012</v>
      </c>
      <c r="I9" s="675">
        <v>29</v>
      </c>
      <c r="J9" s="675">
        <v>2851</v>
      </c>
      <c r="K9" s="675">
        <v>1628</v>
      </c>
      <c r="L9" s="675">
        <v>1287</v>
      </c>
      <c r="M9" s="675">
        <v>133140</v>
      </c>
      <c r="N9" s="675">
        <v>70904</v>
      </c>
    </row>
    <row r="10" spans="1:14" ht="28.5" customHeight="1">
      <c r="A10" s="673">
        <v>6</v>
      </c>
      <c r="B10" s="674" t="s">
        <v>19</v>
      </c>
      <c r="C10" s="675">
        <v>32</v>
      </c>
      <c r="D10" s="675">
        <v>7175</v>
      </c>
      <c r="E10" s="675">
        <v>6104</v>
      </c>
      <c r="F10" s="675">
        <v>57</v>
      </c>
      <c r="G10" s="675">
        <v>10534</v>
      </c>
      <c r="H10" s="675">
        <v>7706</v>
      </c>
      <c r="I10" s="675">
        <v>8</v>
      </c>
      <c r="J10" s="675">
        <v>568</v>
      </c>
      <c r="K10" s="675">
        <v>530</v>
      </c>
      <c r="L10" s="675">
        <v>97</v>
      </c>
      <c r="M10" s="675">
        <v>18277</v>
      </c>
      <c r="N10" s="675">
        <v>14340</v>
      </c>
    </row>
    <row r="11" spans="1:14" ht="28.5" customHeight="1">
      <c r="A11" s="673">
        <v>7</v>
      </c>
      <c r="B11" s="674" t="s">
        <v>20</v>
      </c>
      <c r="C11" s="675">
        <v>337</v>
      </c>
      <c r="D11" s="675">
        <v>35743</v>
      </c>
      <c r="E11" s="675">
        <v>16780</v>
      </c>
      <c r="F11" s="675">
        <v>487</v>
      </c>
      <c r="G11" s="675">
        <v>53100</v>
      </c>
      <c r="H11" s="675">
        <v>26471</v>
      </c>
      <c r="I11" s="675">
        <v>8</v>
      </c>
      <c r="J11" s="675">
        <v>783</v>
      </c>
      <c r="K11" s="675">
        <v>407</v>
      </c>
      <c r="L11" s="675">
        <v>832</v>
      </c>
      <c r="M11" s="675">
        <v>89626</v>
      </c>
      <c r="N11" s="675">
        <v>43658</v>
      </c>
    </row>
    <row r="12" spans="1:14" ht="28.5" customHeight="1">
      <c r="A12" s="673">
        <v>8</v>
      </c>
      <c r="B12" s="674" t="s">
        <v>23</v>
      </c>
      <c r="C12" s="675">
        <v>142</v>
      </c>
      <c r="D12" s="675">
        <v>24179</v>
      </c>
      <c r="E12" s="675">
        <v>16439</v>
      </c>
      <c r="F12" s="675">
        <v>171</v>
      </c>
      <c r="G12" s="675">
        <v>27110</v>
      </c>
      <c r="H12" s="675">
        <v>15673</v>
      </c>
      <c r="I12" s="675">
        <v>29</v>
      </c>
      <c r="J12" s="675">
        <v>4390</v>
      </c>
      <c r="K12" s="675">
        <v>3895</v>
      </c>
      <c r="L12" s="675">
        <v>342</v>
      </c>
      <c r="M12" s="675">
        <v>55679</v>
      </c>
      <c r="N12" s="675">
        <v>36007</v>
      </c>
    </row>
    <row r="13" spans="1:14" ht="28.5" customHeight="1">
      <c r="A13" s="673">
        <v>9</v>
      </c>
      <c r="B13" s="674" t="s">
        <v>24</v>
      </c>
      <c r="C13" s="675">
        <v>33</v>
      </c>
      <c r="D13" s="675">
        <v>4312</v>
      </c>
      <c r="E13" s="675">
        <v>2290</v>
      </c>
      <c r="F13" s="675">
        <v>31</v>
      </c>
      <c r="G13" s="675">
        <v>2168</v>
      </c>
      <c r="H13" s="675">
        <v>1012</v>
      </c>
      <c r="I13" s="675">
        <v>8</v>
      </c>
      <c r="J13" s="675">
        <v>409</v>
      </c>
      <c r="K13" s="675">
        <v>384</v>
      </c>
      <c r="L13" s="675">
        <v>72</v>
      </c>
      <c r="M13" s="675">
        <v>6889</v>
      </c>
      <c r="N13" s="675">
        <v>3686</v>
      </c>
    </row>
    <row r="14" spans="1:14" ht="28.5" customHeight="1">
      <c r="A14" s="673">
        <v>10</v>
      </c>
      <c r="B14" s="674" t="s">
        <v>25</v>
      </c>
      <c r="C14" s="675">
        <v>1619</v>
      </c>
      <c r="D14" s="675">
        <v>263704</v>
      </c>
      <c r="E14" s="675">
        <v>101008</v>
      </c>
      <c r="F14" s="675">
        <v>1742</v>
      </c>
      <c r="G14" s="675">
        <v>294016</v>
      </c>
      <c r="H14" s="675">
        <v>114883</v>
      </c>
      <c r="I14" s="675">
        <v>109</v>
      </c>
      <c r="J14" s="675">
        <v>18080</v>
      </c>
      <c r="K14" s="675">
        <v>7490</v>
      </c>
      <c r="L14" s="675">
        <v>3471</v>
      </c>
      <c r="M14" s="675">
        <v>575800</v>
      </c>
      <c r="N14" s="675">
        <v>223381</v>
      </c>
    </row>
    <row r="15" spans="1:14" ht="28.5" customHeight="1">
      <c r="A15" s="673">
        <v>11</v>
      </c>
      <c r="B15" s="674" t="s">
        <v>26</v>
      </c>
      <c r="C15" s="675">
        <v>528</v>
      </c>
      <c r="D15" s="675">
        <v>95378</v>
      </c>
      <c r="E15" s="675">
        <v>36748</v>
      </c>
      <c r="F15" s="675">
        <v>608</v>
      </c>
      <c r="G15" s="675">
        <v>93333</v>
      </c>
      <c r="H15" s="675">
        <v>35166</v>
      </c>
      <c r="I15" s="675">
        <v>30</v>
      </c>
      <c r="J15" s="675">
        <v>3124</v>
      </c>
      <c r="K15" s="675">
        <v>1182</v>
      </c>
      <c r="L15" s="675">
        <v>1166</v>
      </c>
      <c r="M15" s="675">
        <v>191835</v>
      </c>
      <c r="N15" s="675">
        <v>73096</v>
      </c>
    </row>
    <row r="16" spans="1:14" ht="28.5" customHeight="1">
      <c r="A16" s="673">
        <v>12</v>
      </c>
      <c r="B16" s="674" t="s">
        <v>27</v>
      </c>
      <c r="C16" s="675">
        <v>207</v>
      </c>
      <c r="D16" s="675">
        <v>27450</v>
      </c>
      <c r="E16" s="675">
        <v>12893</v>
      </c>
      <c r="F16" s="675">
        <v>344</v>
      </c>
      <c r="G16" s="675">
        <v>36816</v>
      </c>
      <c r="H16" s="675">
        <v>19770</v>
      </c>
      <c r="I16" s="675">
        <v>10</v>
      </c>
      <c r="J16" s="675">
        <v>1134</v>
      </c>
      <c r="K16" s="675">
        <v>205</v>
      </c>
      <c r="L16" s="675">
        <v>561</v>
      </c>
      <c r="M16" s="675">
        <v>65400</v>
      </c>
      <c r="N16" s="675">
        <v>32868</v>
      </c>
    </row>
    <row r="17" spans="1:14" ht="28.5" customHeight="1">
      <c r="A17" s="673">
        <v>13</v>
      </c>
      <c r="B17" s="674" t="s">
        <v>57</v>
      </c>
      <c r="C17" s="675">
        <v>214</v>
      </c>
      <c r="D17" s="675">
        <v>23468</v>
      </c>
      <c r="E17" s="675">
        <v>11840</v>
      </c>
      <c r="F17" s="675">
        <v>257</v>
      </c>
      <c r="G17" s="675">
        <v>24997</v>
      </c>
      <c r="H17" s="675">
        <v>10562</v>
      </c>
      <c r="I17" s="675">
        <v>19</v>
      </c>
      <c r="J17" s="675">
        <v>1547</v>
      </c>
      <c r="K17" s="675">
        <v>637</v>
      </c>
      <c r="L17" s="675">
        <v>490</v>
      </c>
      <c r="M17" s="675">
        <v>50012</v>
      </c>
      <c r="N17" s="675">
        <v>23039</v>
      </c>
    </row>
    <row r="18" spans="1:14" ht="28.5" customHeight="1">
      <c r="A18" s="673">
        <v>14</v>
      </c>
      <c r="B18" s="674" t="s">
        <v>29</v>
      </c>
      <c r="C18" s="675">
        <v>355</v>
      </c>
      <c r="D18" s="675">
        <v>54426</v>
      </c>
      <c r="E18" s="675">
        <v>35067</v>
      </c>
      <c r="F18" s="675">
        <v>287</v>
      </c>
      <c r="G18" s="675">
        <v>39372</v>
      </c>
      <c r="H18" s="675">
        <v>22939</v>
      </c>
      <c r="I18" s="675">
        <v>12</v>
      </c>
      <c r="J18" s="675">
        <v>627</v>
      </c>
      <c r="K18" s="675">
        <v>344</v>
      </c>
      <c r="L18" s="675">
        <v>654</v>
      </c>
      <c r="M18" s="675">
        <v>94425</v>
      </c>
      <c r="N18" s="675">
        <v>58350</v>
      </c>
    </row>
    <row r="19" spans="1:14" ht="28.5" customHeight="1">
      <c r="A19" s="673">
        <v>15</v>
      </c>
      <c r="B19" s="674" t="s">
        <v>30</v>
      </c>
      <c r="C19" s="675">
        <v>2960</v>
      </c>
      <c r="D19" s="675">
        <v>475002</v>
      </c>
      <c r="E19" s="675">
        <v>217369</v>
      </c>
      <c r="F19" s="675">
        <v>3308</v>
      </c>
      <c r="G19" s="675">
        <v>568034</v>
      </c>
      <c r="H19" s="675">
        <v>278080</v>
      </c>
      <c r="I19" s="675">
        <v>101</v>
      </c>
      <c r="J19" s="675">
        <v>12505</v>
      </c>
      <c r="K19" s="675">
        <v>7874</v>
      </c>
      <c r="L19" s="675">
        <v>6369</v>
      </c>
      <c r="M19" s="675">
        <v>1055541</v>
      </c>
      <c r="N19" s="675">
        <v>503323</v>
      </c>
    </row>
    <row r="20" spans="1:14" ht="28.5" customHeight="1">
      <c r="A20" s="673">
        <v>16</v>
      </c>
      <c r="B20" s="674" t="s">
        <v>31</v>
      </c>
      <c r="C20" s="675">
        <v>799</v>
      </c>
      <c r="D20" s="675">
        <v>96446</v>
      </c>
      <c r="E20" s="675">
        <v>51857</v>
      </c>
      <c r="F20" s="675">
        <v>1391</v>
      </c>
      <c r="G20" s="675">
        <v>192169</v>
      </c>
      <c r="H20" s="675">
        <v>119667</v>
      </c>
      <c r="I20" s="675">
        <v>33</v>
      </c>
      <c r="J20" s="675">
        <v>2866</v>
      </c>
      <c r="K20" s="675">
        <v>1881</v>
      </c>
      <c r="L20" s="675">
        <v>2223</v>
      </c>
      <c r="M20" s="675">
        <v>291481</v>
      </c>
      <c r="N20" s="675">
        <v>173405</v>
      </c>
    </row>
    <row r="21" spans="1:14" s="676" customFormat="1" ht="28.5" customHeight="1">
      <c r="A21" s="673">
        <v>17</v>
      </c>
      <c r="B21" s="674" t="s">
        <v>172</v>
      </c>
      <c r="C21" s="675">
        <v>5</v>
      </c>
      <c r="D21" s="675">
        <v>314</v>
      </c>
      <c r="E21" s="675">
        <v>251</v>
      </c>
      <c r="F21" s="675">
        <v>3</v>
      </c>
      <c r="G21" s="675">
        <v>174</v>
      </c>
      <c r="H21" s="675">
        <v>159</v>
      </c>
      <c r="I21" s="675">
        <v>1</v>
      </c>
      <c r="J21" s="675">
        <v>50</v>
      </c>
      <c r="K21" s="675">
        <v>40</v>
      </c>
      <c r="L21" s="675">
        <v>9</v>
      </c>
      <c r="M21" s="675">
        <v>538</v>
      </c>
      <c r="N21" s="675">
        <v>450</v>
      </c>
    </row>
    <row r="22" spans="1:14" ht="28.5" customHeight="1">
      <c r="A22" s="673">
        <v>18</v>
      </c>
      <c r="B22" s="674" t="s">
        <v>32</v>
      </c>
      <c r="C22" s="675">
        <v>2</v>
      </c>
      <c r="D22" s="675">
        <v>125</v>
      </c>
      <c r="E22" s="675">
        <v>30</v>
      </c>
      <c r="F22" s="675">
        <v>2</v>
      </c>
      <c r="G22" s="675">
        <v>150</v>
      </c>
      <c r="H22" s="675">
        <v>75</v>
      </c>
      <c r="I22" s="675">
        <v>0</v>
      </c>
      <c r="J22" s="675">
        <v>0</v>
      </c>
      <c r="K22" s="675">
        <v>0</v>
      </c>
      <c r="L22" s="675">
        <v>4</v>
      </c>
      <c r="M22" s="675">
        <v>275</v>
      </c>
      <c r="N22" s="675">
        <v>105</v>
      </c>
    </row>
    <row r="23" spans="1:14" ht="28.5" customHeight="1">
      <c r="A23" s="673">
        <v>19</v>
      </c>
      <c r="B23" s="674" t="s">
        <v>33</v>
      </c>
      <c r="C23" s="675">
        <v>717</v>
      </c>
      <c r="D23" s="675">
        <v>93361</v>
      </c>
      <c r="E23" s="675">
        <v>39680</v>
      </c>
      <c r="F23" s="675">
        <v>733</v>
      </c>
      <c r="G23" s="675">
        <v>85327</v>
      </c>
      <c r="H23" s="675">
        <v>39220</v>
      </c>
      <c r="I23" s="675">
        <v>36</v>
      </c>
      <c r="J23" s="675">
        <v>5715</v>
      </c>
      <c r="K23" s="675">
        <v>2556</v>
      </c>
      <c r="L23" s="675">
        <v>1486</v>
      </c>
      <c r="M23" s="675">
        <v>184403</v>
      </c>
      <c r="N23" s="675">
        <v>81456</v>
      </c>
    </row>
    <row r="24" spans="1:14" ht="28.5" customHeight="1">
      <c r="A24" s="673">
        <v>20</v>
      </c>
      <c r="B24" s="674" t="s">
        <v>34</v>
      </c>
      <c r="C24" s="675">
        <v>2496</v>
      </c>
      <c r="D24" s="675">
        <v>328121</v>
      </c>
      <c r="E24" s="675">
        <v>118563</v>
      </c>
      <c r="F24" s="675">
        <v>3346</v>
      </c>
      <c r="G24" s="675">
        <v>374858</v>
      </c>
      <c r="H24" s="675">
        <v>144201</v>
      </c>
      <c r="I24" s="675">
        <v>151</v>
      </c>
      <c r="J24" s="675">
        <v>15757</v>
      </c>
      <c r="K24" s="675">
        <v>9640</v>
      </c>
      <c r="L24" s="675">
        <v>5994</v>
      </c>
      <c r="M24" s="675">
        <v>718736</v>
      </c>
      <c r="N24" s="675">
        <v>272404</v>
      </c>
    </row>
    <row r="25" spans="1:14" ht="28.5" customHeight="1">
      <c r="A25" s="673">
        <v>21</v>
      </c>
      <c r="B25" s="674" t="s">
        <v>35</v>
      </c>
      <c r="C25" s="675">
        <v>110</v>
      </c>
      <c r="D25" s="675">
        <v>6671</v>
      </c>
      <c r="E25" s="675">
        <v>5047</v>
      </c>
      <c r="F25" s="675">
        <v>151</v>
      </c>
      <c r="G25" s="675">
        <v>10204</v>
      </c>
      <c r="H25" s="675">
        <v>7497</v>
      </c>
      <c r="I25" s="675">
        <v>6</v>
      </c>
      <c r="J25" s="675">
        <v>559</v>
      </c>
      <c r="K25" s="675">
        <v>406</v>
      </c>
      <c r="L25" s="675">
        <v>267</v>
      </c>
      <c r="M25" s="675">
        <v>17434</v>
      </c>
      <c r="N25" s="675">
        <v>12950</v>
      </c>
    </row>
    <row r="26" spans="1:14" ht="28.5" customHeight="1">
      <c r="A26" s="673">
        <v>22</v>
      </c>
      <c r="B26" s="674" t="s">
        <v>36</v>
      </c>
      <c r="C26" s="675">
        <v>66</v>
      </c>
      <c r="D26" s="675">
        <v>5673</v>
      </c>
      <c r="E26" s="675">
        <v>4101</v>
      </c>
      <c r="F26" s="675">
        <v>82</v>
      </c>
      <c r="G26" s="675">
        <v>6356</v>
      </c>
      <c r="H26" s="675">
        <v>4440</v>
      </c>
      <c r="I26" s="675">
        <v>8</v>
      </c>
      <c r="J26" s="675">
        <v>362</v>
      </c>
      <c r="K26" s="675">
        <v>260</v>
      </c>
      <c r="L26" s="675">
        <v>156</v>
      </c>
      <c r="M26" s="675">
        <v>12391</v>
      </c>
      <c r="N26" s="675">
        <v>8801</v>
      </c>
    </row>
    <row r="27" spans="1:14" ht="28.5" customHeight="1">
      <c r="A27" s="673">
        <v>23</v>
      </c>
      <c r="B27" s="674" t="s">
        <v>37</v>
      </c>
      <c r="C27" s="675">
        <v>46</v>
      </c>
      <c r="D27" s="675">
        <v>2580</v>
      </c>
      <c r="E27" s="675">
        <v>2149</v>
      </c>
      <c r="F27" s="675">
        <v>56</v>
      </c>
      <c r="G27" s="675">
        <v>3266</v>
      </c>
      <c r="H27" s="675">
        <v>2531</v>
      </c>
      <c r="I27" s="675">
        <v>1</v>
      </c>
      <c r="J27" s="675">
        <v>60</v>
      </c>
      <c r="K27" s="675">
        <v>60</v>
      </c>
      <c r="L27" s="675">
        <v>103</v>
      </c>
      <c r="M27" s="675">
        <v>5906</v>
      </c>
      <c r="N27" s="675">
        <v>4740</v>
      </c>
    </row>
    <row r="28" spans="1:14" ht="28.5" customHeight="1">
      <c r="A28" s="673">
        <v>24</v>
      </c>
      <c r="B28" s="674" t="s">
        <v>38</v>
      </c>
      <c r="C28" s="675">
        <v>91</v>
      </c>
      <c r="D28" s="675">
        <v>5308</v>
      </c>
      <c r="E28" s="675">
        <v>3607</v>
      </c>
      <c r="F28" s="675">
        <v>85</v>
      </c>
      <c r="G28" s="675">
        <v>5493</v>
      </c>
      <c r="H28" s="675">
        <v>4068</v>
      </c>
      <c r="I28" s="675">
        <v>2</v>
      </c>
      <c r="J28" s="675">
        <v>126</v>
      </c>
      <c r="K28" s="675">
        <v>15</v>
      </c>
      <c r="L28" s="675">
        <v>178</v>
      </c>
      <c r="M28" s="675">
        <v>10927</v>
      </c>
      <c r="N28" s="675">
        <v>7690</v>
      </c>
    </row>
    <row r="29" spans="1:14" ht="28.5" customHeight="1">
      <c r="A29" s="673">
        <v>25</v>
      </c>
      <c r="B29" s="674" t="s">
        <v>39</v>
      </c>
      <c r="C29" s="675">
        <v>1244</v>
      </c>
      <c r="D29" s="675">
        <v>165040</v>
      </c>
      <c r="E29" s="675">
        <v>122468</v>
      </c>
      <c r="F29" s="675">
        <v>1428</v>
      </c>
      <c r="G29" s="675">
        <v>153938</v>
      </c>
      <c r="H29" s="675">
        <v>110005</v>
      </c>
      <c r="I29" s="675">
        <v>24</v>
      </c>
      <c r="J29" s="675">
        <v>3595</v>
      </c>
      <c r="K29" s="675">
        <v>1324</v>
      </c>
      <c r="L29" s="675">
        <v>2696</v>
      </c>
      <c r="M29" s="675">
        <v>322573</v>
      </c>
      <c r="N29" s="675">
        <v>233797</v>
      </c>
    </row>
    <row r="30" spans="1:14" s="676" customFormat="1" ht="28.5" customHeight="1">
      <c r="A30" s="673">
        <v>26</v>
      </c>
      <c r="B30" s="674" t="s">
        <v>40</v>
      </c>
      <c r="C30" s="675">
        <v>81</v>
      </c>
      <c r="D30" s="675">
        <v>13638</v>
      </c>
      <c r="E30" s="675">
        <v>9780</v>
      </c>
      <c r="F30" s="675">
        <v>83</v>
      </c>
      <c r="G30" s="675">
        <v>12547</v>
      </c>
      <c r="H30" s="675">
        <v>9002</v>
      </c>
      <c r="I30" s="675">
        <v>4</v>
      </c>
      <c r="J30" s="675">
        <v>360</v>
      </c>
      <c r="K30" s="675">
        <v>216</v>
      </c>
      <c r="L30" s="675">
        <v>168</v>
      </c>
      <c r="M30" s="675">
        <v>26545</v>
      </c>
      <c r="N30" s="675">
        <v>18998</v>
      </c>
    </row>
    <row r="31" spans="1:14" ht="28.5" customHeight="1">
      <c r="A31" s="673">
        <v>27</v>
      </c>
      <c r="B31" s="674" t="s">
        <v>41</v>
      </c>
      <c r="C31" s="675">
        <v>699</v>
      </c>
      <c r="D31" s="675">
        <v>151822</v>
      </c>
      <c r="E31" s="675">
        <v>56494</v>
      </c>
      <c r="F31" s="675">
        <v>910</v>
      </c>
      <c r="G31" s="675">
        <v>154344</v>
      </c>
      <c r="H31" s="675">
        <v>58764</v>
      </c>
      <c r="I31" s="675">
        <v>31</v>
      </c>
      <c r="J31" s="675">
        <v>5861</v>
      </c>
      <c r="K31" s="675">
        <v>3000</v>
      </c>
      <c r="L31" s="675">
        <v>1640</v>
      </c>
      <c r="M31" s="675">
        <v>312027</v>
      </c>
      <c r="N31" s="675">
        <v>118258</v>
      </c>
    </row>
    <row r="32" spans="1:14" ht="28.5" customHeight="1">
      <c r="A32" s="673">
        <v>28</v>
      </c>
      <c r="B32" s="674" t="s">
        <v>42</v>
      </c>
      <c r="C32" s="675">
        <v>996</v>
      </c>
      <c r="D32" s="677">
        <v>127893</v>
      </c>
      <c r="E32" s="675">
        <v>58964</v>
      </c>
      <c r="F32" s="675">
        <v>1055</v>
      </c>
      <c r="G32" s="675">
        <v>124139</v>
      </c>
      <c r="H32" s="675">
        <v>47202</v>
      </c>
      <c r="I32" s="675">
        <v>48</v>
      </c>
      <c r="J32" s="675">
        <v>5520</v>
      </c>
      <c r="K32" s="675">
        <v>2946</v>
      </c>
      <c r="L32" s="675">
        <v>2099</v>
      </c>
      <c r="M32" s="675">
        <v>257552</v>
      </c>
      <c r="N32" s="675">
        <v>109112</v>
      </c>
    </row>
    <row r="33" spans="1:14" ht="28.5" customHeight="1">
      <c r="A33" s="673">
        <v>29</v>
      </c>
      <c r="B33" s="674" t="s">
        <v>43</v>
      </c>
      <c r="C33" s="675">
        <v>34</v>
      </c>
      <c r="D33" s="675">
        <v>6282</v>
      </c>
      <c r="E33" s="675">
        <v>4113</v>
      </c>
      <c r="F33" s="675">
        <v>31</v>
      </c>
      <c r="G33" s="675">
        <v>4057</v>
      </c>
      <c r="H33" s="675">
        <v>2673</v>
      </c>
      <c r="I33" s="675">
        <v>2</v>
      </c>
      <c r="J33" s="675">
        <v>530</v>
      </c>
      <c r="K33" s="675">
        <v>530</v>
      </c>
      <c r="L33" s="675">
        <v>67</v>
      </c>
      <c r="M33" s="675">
        <v>10869</v>
      </c>
      <c r="N33" s="675">
        <v>7316</v>
      </c>
    </row>
    <row r="34" spans="1:14" ht="28.5" customHeight="1">
      <c r="A34" s="673">
        <v>30</v>
      </c>
      <c r="B34" s="674" t="s">
        <v>44</v>
      </c>
      <c r="C34" s="675">
        <v>2443</v>
      </c>
      <c r="D34" s="675">
        <v>591633</v>
      </c>
      <c r="E34" s="675">
        <v>265479</v>
      </c>
      <c r="F34" s="675">
        <v>2783</v>
      </c>
      <c r="G34" s="675">
        <v>576595</v>
      </c>
      <c r="H34" s="675">
        <v>258071</v>
      </c>
      <c r="I34" s="675">
        <v>59</v>
      </c>
      <c r="J34" s="675">
        <v>9014</v>
      </c>
      <c r="K34" s="675">
        <v>4888</v>
      </c>
      <c r="L34" s="675">
        <v>5285</v>
      </c>
      <c r="M34" s="675">
        <v>1177242</v>
      </c>
      <c r="N34" s="675">
        <v>528438</v>
      </c>
    </row>
    <row r="35" spans="1:14" ht="28.5" customHeight="1">
      <c r="A35" s="673">
        <v>31</v>
      </c>
      <c r="B35" s="674" t="s">
        <v>142</v>
      </c>
      <c r="C35" s="675">
        <v>556</v>
      </c>
      <c r="D35" s="675">
        <v>119984</v>
      </c>
      <c r="E35" s="675">
        <v>79990</v>
      </c>
      <c r="F35" s="675">
        <v>767</v>
      </c>
      <c r="G35" s="675">
        <v>182749</v>
      </c>
      <c r="H35" s="675">
        <v>128861</v>
      </c>
      <c r="I35" s="675">
        <v>25</v>
      </c>
      <c r="J35" s="675">
        <v>3022</v>
      </c>
      <c r="K35" s="675">
        <v>2104</v>
      </c>
      <c r="L35" s="675">
        <v>1348</v>
      </c>
      <c r="M35" s="675">
        <v>305755</v>
      </c>
      <c r="N35" s="675">
        <v>210955</v>
      </c>
    </row>
    <row r="36" spans="1:14" ht="36.75" customHeight="1">
      <c r="A36" s="673">
        <v>32</v>
      </c>
      <c r="B36" s="674" t="s">
        <v>173</v>
      </c>
      <c r="C36" s="675">
        <v>11</v>
      </c>
      <c r="D36" s="675">
        <v>1501</v>
      </c>
      <c r="E36" s="675">
        <v>570</v>
      </c>
      <c r="F36" s="675">
        <v>11</v>
      </c>
      <c r="G36" s="675">
        <v>1724</v>
      </c>
      <c r="H36" s="675">
        <v>809</v>
      </c>
      <c r="I36" s="675">
        <v>0</v>
      </c>
      <c r="J36" s="675">
        <v>0</v>
      </c>
      <c r="K36" s="675">
        <v>0</v>
      </c>
      <c r="L36" s="675">
        <v>22</v>
      </c>
      <c r="M36" s="675">
        <v>3225</v>
      </c>
      <c r="N36" s="675">
        <v>1379</v>
      </c>
    </row>
    <row r="37" spans="1:14" ht="28.5" customHeight="1">
      <c r="A37" s="673">
        <v>33</v>
      </c>
      <c r="B37" s="674" t="s">
        <v>45</v>
      </c>
      <c r="C37" s="675">
        <v>41</v>
      </c>
      <c r="D37" s="675">
        <v>5811</v>
      </c>
      <c r="E37" s="675">
        <v>2238</v>
      </c>
      <c r="F37" s="675">
        <v>35</v>
      </c>
      <c r="G37" s="675">
        <v>3791</v>
      </c>
      <c r="H37" s="675">
        <v>2191</v>
      </c>
      <c r="I37" s="675">
        <v>5</v>
      </c>
      <c r="J37" s="675">
        <v>360</v>
      </c>
      <c r="K37" s="675">
        <v>271</v>
      </c>
      <c r="L37" s="675">
        <v>81</v>
      </c>
      <c r="M37" s="675">
        <v>9962</v>
      </c>
      <c r="N37" s="675">
        <v>4700</v>
      </c>
    </row>
    <row r="38" spans="1:14" ht="28.5" customHeight="1">
      <c r="A38" s="673">
        <v>34</v>
      </c>
      <c r="B38" s="674" t="s">
        <v>47</v>
      </c>
      <c r="C38" s="675">
        <v>2068</v>
      </c>
      <c r="D38" s="675">
        <v>304968</v>
      </c>
      <c r="E38" s="675">
        <v>167818</v>
      </c>
      <c r="F38" s="675">
        <v>1778</v>
      </c>
      <c r="G38" s="675">
        <v>213780</v>
      </c>
      <c r="H38" s="675">
        <v>106081</v>
      </c>
      <c r="I38" s="675">
        <v>104</v>
      </c>
      <c r="J38" s="675">
        <v>12037</v>
      </c>
      <c r="K38" s="675">
        <v>7019</v>
      </c>
      <c r="L38" s="675">
        <v>3950</v>
      </c>
      <c r="M38" s="675">
        <v>530785</v>
      </c>
      <c r="N38" s="675">
        <v>280918</v>
      </c>
    </row>
    <row r="39" spans="1:14" ht="28.5" customHeight="1">
      <c r="A39" s="673">
        <v>35</v>
      </c>
      <c r="B39" s="674" t="s">
        <v>46</v>
      </c>
      <c r="C39" s="675">
        <v>366</v>
      </c>
      <c r="D39" s="675">
        <v>54728</v>
      </c>
      <c r="E39" s="675">
        <v>29247</v>
      </c>
      <c r="F39" s="675">
        <v>317</v>
      </c>
      <c r="G39" s="675">
        <v>46003</v>
      </c>
      <c r="H39" s="675">
        <v>26129</v>
      </c>
      <c r="I39" s="675">
        <v>18</v>
      </c>
      <c r="J39" s="675">
        <v>2370</v>
      </c>
      <c r="K39" s="675">
        <v>1455</v>
      </c>
      <c r="L39" s="675">
        <v>701</v>
      </c>
      <c r="M39" s="675">
        <v>103101</v>
      </c>
      <c r="N39" s="675">
        <v>56831</v>
      </c>
    </row>
    <row r="40" spans="1:14" ht="28.5" customHeight="1">
      <c r="A40" s="673">
        <v>36</v>
      </c>
      <c r="B40" s="674" t="s">
        <v>48</v>
      </c>
      <c r="C40" s="675">
        <v>1169</v>
      </c>
      <c r="D40" s="675">
        <v>122575</v>
      </c>
      <c r="E40" s="675">
        <v>72163</v>
      </c>
      <c r="F40" s="675">
        <v>1226</v>
      </c>
      <c r="G40" s="675">
        <v>107351</v>
      </c>
      <c r="H40" s="675">
        <v>59335</v>
      </c>
      <c r="I40" s="675">
        <v>58</v>
      </c>
      <c r="J40" s="675">
        <v>6243</v>
      </c>
      <c r="K40" s="675">
        <v>4723</v>
      </c>
      <c r="L40" s="675">
        <v>2453</v>
      </c>
      <c r="M40" s="675">
        <v>236169</v>
      </c>
      <c r="N40" s="675">
        <v>136221</v>
      </c>
    </row>
    <row r="41" spans="1:14" ht="21.75" customHeight="1">
      <c r="A41" s="1096" t="s">
        <v>49</v>
      </c>
      <c r="B41" s="1096"/>
      <c r="C41" s="818">
        <v>22398</v>
      </c>
      <c r="D41" s="818">
        <v>3553222</v>
      </c>
      <c r="E41" s="818">
        <v>1776459</v>
      </c>
      <c r="F41" s="818">
        <v>26225</v>
      </c>
      <c r="G41" s="818">
        <v>3837685</v>
      </c>
      <c r="H41" s="818">
        <v>1938605</v>
      </c>
      <c r="I41" s="818">
        <v>1015</v>
      </c>
      <c r="J41" s="818">
        <v>126414</v>
      </c>
      <c r="K41" s="818">
        <v>71856</v>
      </c>
      <c r="L41" s="818">
        <v>49640</v>
      </c>
      <c r="M41" s="818">
        <v>7517321</v>
      </c>
      <c r="N41" s="818">
        <v>3786920</v>
      </c>
    </row>
  </sheetData>
  <mergeCells count="8">
    <mergeCell ref="C1:N1"/>
    <mergeCell ref="A41:B41"/>
    <mergeCell ref="A2:A3"/>
    <mergeCell ref="B2:B3"/>
    <mergeCell ref="C2:E2"/>
    <mergeCell ref="F2:H2"/>
    <mergeCell ref="I2:K2"/>
    <mergeCell ref="L2:N2"/>
  </mergeCells>
  <pageMargins left="0.31496062992125984" right="0.19685039370078741" top="0.51181102362204722" bottom="0.47244094488188981" header="0.31496062992125984" footer="0.19685039370078741"/>
  <pageSetup paperSize="9" scale="67" firstPageNumber="31" orientation="portrait" useFirstPageNumber="1" r:id="rId1"/>
  <headerFooter>
    <oddFooter>&amp;L&amp;"Arial,Italic"&amp;9AISHE 2020-21&amp;CT-31</oddFooter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00B050"/>
  </sheetPr>
  <dimension ref="A1:M32"/>
  <sheetViews>
    <sheetView view="pageBreakPreview" topLeftCell="A10" zoomScaleSheetLayoutView="100" workbookViewId="0">
      <selection activeCell="M19" sqref="M19"/>
    </sheetView>
  </sheetViews>
  <sheetFormatPr defaultColWidth="9.1796875" defaultRowHeight="14"/>
  <cols>
    <col min="1" max="1" width="19.81640625" style="660" customWidth="1"/>
    <col min="2" max="3" width="9.1796875" style="660"/>
    <col min="4" max="4" width="10" style="660" bestFit="1" customWidth="1"/>
    <col min="5" max="6" width="9.1796875" style="660"/>
    <col min="7" max="7" width="10" style="660" bestFit="1" customWidth="1"/>
    <col min="8" max="8" width="9.1796875" style="660"/>
    <col min="9" max="9" width="8.26953125" style="660" customWidth="1"/>
    <col min="10" max="10" width="10" style="660" bestFit="1" customWidth="1"/>
    <col min="11" max="12" width="9.1796875" style="660"/>
    <col min="13" max="13" width="10" style="660" bestFit="1" customWidth="1"/>
    <col min="14" max="16384" width="9.1796875" style="660"/>
  </cols>
  <sheetData>
    <row r="1" spans="1:13" ht="39.75" customHeight="1">
      <c r="A1" s="158" t="s">
        <v>288</v>
      </c>
      <c r="B1" s="950" t="s">
        <v>1014</v>
      </c>
      <c r="C1" s="950"/>
      <c r="D1" s="950"/>
      <c r="E1" s="950"/>
      <c r="F1" s="950"/>
      <c r="G1" s="950"/>
      <c r="H1" s="950"/>
      <c r="I1" s="950"/>
      <c r="J1" s="950"/>
      <c r="K1" s="950"/>
      <c r="L1" s="950"/>
      <c r="M1" s="950"/>
    </row>
    <row r="2" spans="1:13" ht="27" customHeight="1">
      <c r="A2" s="1089" t="s">
        <v>124</v>
      </c>
      <c r="B2" s="1099" t="s">
        <v>282</v>
      </c>
      <c r="C2" s="1100"/>
      <c r="D2" s="1101"/>
      <c r="E2" s="1099" t="s">
        <v>283</v>
      </c>
      <c r="F2" s="1100"/>
      <c r="G2" s="1101"/>
      <c r="H2" s="1099" t="s">
        <v>284</v>
      </c>
      <c r="I2" s="1100"/>
      <c r="J2" s="1101"/>
      <c r="K2" s="1099" t="s">
        <v>285</v>
      </c>
      <c r="L2" s="1100"/>
      <c r="M2" s="1101"/>
    </row>
    <row r="3" spans="1:13" ht="27" customHeight="1">
      <c r="A3" s="1089"/>
      <c r="B3" s="661" t="s">
        <v>273</v>
      </c>
      <c r="C3" s="661" t="s">
        <v>286</v>
      </c>
      <c r="D3" s="661" t="s">
        <v>287</v>
      </c>
      <c r="E3" s="661" t="s">
        <v>273</v>
      </c>
      <c r="F3" s="661" t="s">
        <v>286</v>
      </c>
      <c r="G3" s="661" t="s">
        <v>287</v>
      </c>
      <c r="H3" s="661" t="s">
        <v>273</v>
      </c>
      <c r="I3" s="661" t="s">
        <v>286</v>
      </c>
      <c r="J3" s="661" t="s">
        <v>287</v>
      </c>
      <c r="K3" s="661" t="s">
        <v>273</v>
      </c>
      <c r="L3" s="661" t="s">
        <v>286</v>
      </c>
      <c r="M3" s="661" t="s">
        <v>287</v>
      </c>
    </row>
    <row r="4" spans="1:13">
      <c r="A4" s="662">
        <v>1</v>
      </c>
      <c r="B4" s="663">
        <v>2</v>
      </c>
      <c r="C4" s="662">
        <v>3</v>
      </c>
      <c r="D4" s="663">
        <v>4</v>
      </c>
      <c r="E4" s="662">
        <v>5</v>
      </c>
      <c r="F4" s="663">
        <v>6</v>
      </c>
      <c r="G4" s="662">
        <v>7</v>
      </c>
      <c r="H4" s="663">
        <v>8</v>
      </c>
      <c r="I4" s="662">
        <v>9</v>
      </c>
      <c r="J4" s="663">
        <v>10</v>
      </c>
      <c r="K4" s="662">
        <v>11</v>
      </c>
      <c r="L4" s="663">
        <v>12</v>
      </c>
      <c r="M4" s="662">
        <v>13</v>
      </c>
    </row>
    <row r="5" spans="1:13" ht="49.5" customHeight="1">
      <c r="A5" s="664" t="s">
        <v>125</v>
      </c>
      <c r="B5" s="665">
        <v>286</v>
      </c>
      <c r="C5" s="665">
        <v>57892</v>
      </c>
      <c r="D5" s="665">
        <v>48646</v>
      </c>
      <c r="E5" s="665">
        <v>255</v>
      </c>
      <c r="F5" s="665">
        <v>42339</v>
      </c>
      <c r="G5" s="665">
        <v>34537</v>
      </c>
      <c r="H5" s="665">
        <v>21</v>
      </c>
      <c r="I5" s="665">
        <v>3724</v>
      </c>
      <c r="J5" s="665">
        <v>3506</v>
      </c>
      <c r="K5" s="665">
        <v>562</v>
      </c>
      <c r="L5" s="665">
        <v>103955</v>
      </c>
      <c r="M5" s="665">
        <v>86689</v>
      </c>
    </row>
    <row r="6" spans="1:13" ht="49.5" customHeight="1">
      <c r="A6" s="664" t="s">
        <v>127</v>
      </c>
      <c r="B6" s="665">
        <v>697</v>
      </c>
      <c r="C6" s="665">
        <v>184445</v>
      </c>
      <c r="D6" s="665">
        <v>123323</v>
      </c>
      <c r="E6" s="665">
        <v>343</v>
      </c>
      <c r="F6" s="665">
        <v>68562</v>
      </c>
      <c r="G6" s="665">
        <v>45051</v>
      </c>
      <c r="H6" s="665">
        <v>90</v>
      </c>
      <c r="I6" s="665">
        <v>13733</v>
      </c>
      <c r="J6" s="665">
        <v>10514</v>
      </c>
      <c r="K6" s="665">
        <v>1130</v>
      </c>
      <c r="L6" s="665">
        <v>266740</v>
      </c>
      <c r="M6" s="665">
        <v>178888</v>
      </c>
    </row>
    <row r="7" spans="1:13" ht="49.5" customHeight="1">
      <c r="A7" s="664" t="s">
        <v>128</v>
      </c>
      <c r="B7" s="665">
        <v>1420</v>
      </c>
      <c r="C7" s="665">
        <v>224025</v>
      </c>
      <c r="D7" s="665">
        <v>160425</v>
      </c>
      <c r="E7" s="665">
        <v>1231</v>
      </c>
      <c r="F7" s="665">
        <v>210262</v>
      </c>
      <c r="G7" s="665">
        <v>160240</v>
      </c>
      <c r="H7" s="665">
        <v>47</v>
      </c>
      <c r="I7" s="665">
        <v>3240</v>
      </c>
      <c r="J7" s="665">
        <v>1845</v>
      </c>
      <c r="K7" s="665">
        <v>2698</v>
      </c>
      <c r="L7" s="665">
        <v>437527</v>
      </c>
      <c r="M7" s="665">
        <v>322510</v>
      </c>
    </row>
    <row r="8" spans="1:13" ht="49.5" customHeight="1">
      <c r="A8" s="664" t="s">
        <v>182</v>
      </c>
      <c r="B8" s="665">
        <v>1</v>
      </c>
      <c r="C8" s="665">
        <v>200</v>
      </c>
      <c r="D8" s="665">
        <v>0</v>
      </c>
      <c r="E8" s="665">
        <v>1</v>
      </c>
      <c r="F8" s="665">
        <v>150</v>
      </c>
      <c r="G8" s="665">
        <v>0</v>
      </c>
      <c r="H8" s="665">
        <v>1</v>
      </c>
      <c r="I8" s="665">
        <v>250</v>
      </c>
      <c r="J8" s="665">
        <v>0</v>
      </c>
      <c r="K8" s="665">
        <v>3</v>
      </c>
      <c r="L8" s="665">
        <v>600</v>
      </c>
      <c r="M8" s="665">
        <v>0</v>
      </c>
    </row>
    <row r="9" spans="1:13" ht="49.5" customHeight="1">
      <c r="A9" s="664" t="s">
        <v>130</v>
      </c>
      <c r="B9" s="665">
        <v>1085</v>
      </c>
      <c r="C9" s="665">
        <v>304585</v>
      </c>
      <c r="D9" s="665">
        <v>149559</v>
      </c>
      <c r="E9" s="665">
        <v>878</v>
      </c>
      <c r="F9" s="665">
        <v>205888</v>
      </c>
      <c r="G9" s="665">
        <v>107779</v>
      </c>
      <c r="H9" s="665">
        <v>55</v>
      </c>
      <c r="I9" s="665">
        <v>13598</v>
      </c>
      <c r="J9" s="665">
        <v>6477</v>
      </c>
      <c r="K9" s="665">
        <v>2018</v>
      </c>
      <c r="L9" s="665">
        <v>524071</v>
      </c>
      <c r="M9" s="665">
        <v>263815</v>
      </c>
    </row>
    <row r="10" spans="1:13" ht="49.5" customHeight="1">
      <c r="A10" s="664" t="s">
        <v>131</v>
      </c>
      <c r="B10" s="665">
        <v>12</v>
      </c>
      <c r="C10" s="665">
        <v>1009</v>
      </c>
      <c r="D10" s="665">
        <v>945</v>
      </c>
      <c r="E10" s="665">
        <v>19</v>
      </c>
      <c r="F10" s="665">
        <v>2993</v>
      </c>
      <c r="G10" s="665">
        <v>2988</v>
      </c>
      <c r="H10" s="665">
        <v>13</v>
      </c>
      <c r="I10" s="665">
        <v>1129</v>
      </c>
      <c r="J10" s="665">
        <v>985</v>
      </c>
      <c r="K10" s="665">
        <v>44</v>
      </c>
      <c r="L10" s="665">
        <v>5131</v>
      </c>
      <c r="M10" s="665">
        <v>4918</v>
      </c>
    </row>
    <row r="11" spans="1:13" ht="49.5" customHeight="1">
      <c r="A11" s="664" t="s">
        <v>132</v>
      </c>
      <c r="B11" s="665">
        <v>121</v>
      </c>
      <c r="C11" s="665">
        <v>19058</v>
      </c>
      <c r="D11" s="665">
        <v>16736</v>
      </c>
      <c r="E11" s="665">
        <v>60</v>
      </c>
      <c r="F11" s="665">
        <v>7836</v>
      </c>
      <c r="G11" s="665">
        <v>6530</v>
      </c>
      <c r="H11" s="665">
        <v>54</v>
      </c>
      <c r="I11" s="665">
        <v>4869</v>
      </c>
      <c r="J11" s="665">
        <v>2478</v>
      </c>
      <c r="K11" s="665">
        <v>235</v>
      </c>
      <c r="L11" s="665">
        <v>31763</v>
      </c>
      <c r="M11" s="665">
        <v>25744</v>
      </c>
    </row>
    <row r="12" spans="1:13" ht="49.5" customHeight="1">
      <c r="A12" s="664" t="s">
        <v>133</v>
      </c>
      <c r="B12" s="665">
        <v>29</v>
      </c>
      <c r="C12" s="665">
        <v>4519</v>
      </c>
      <c r="D12" s="665">
        <v>3201</v>
      </c>
      <c r="E12" s="665">
        <v>30</v>
      </c>
      <c r="F12" s="665">
        <v>7889</v>
      </c>
      <c r="G12" s="665">
        <v>5491</v>
      </c>
      <c r="H12" s="665">
        <v>2</v>
      </c>
      <c r="I12" s="665">
        <v>101</v>
      </c>
      <c r="J12" s="665">
        <v>82</v>
      </c>
      <c r="K12" s="665">
        <v>61</v>
      </c>
      <c r="L12" s="665">
        <v>12509</v>
      </c>
      <c r="M12" s="665">
        <v>8774</v>
      </c>
    </row>
    <row r="13" spans="1:13" ht="49.5" customHeight="1">
      <c r="A13" s="664" t="s">
        <v>134</v>
      </c>
      <c r="B13" s="665">
        <v>657</v>
      </c>
      <c r="C13" s="665">
        <v>242893</v>
      </c>
      <c r="D13" s="665">
        <v>121166</v>
      </c>
      <c r="E13" s="665">
        <v>629</v>
      </c>
      <c r="F13" s="665">
        <v>200669</v>
      </c>
      <c r="G13" s="665">
        <v>97742</v>
      </c>
      <c r="H13" s="665">
        <v>33</v>
      </c>
      <c r="I13" s="665">
        <v>4414</v>
      </c>
      <c r="J13" s="665">
        <v>2561</v>
      </c>
      <c r="K13" s="665">
        <v>1319</v>
      </c>
      <c r="L13" s="665">
        <v>447976</v>
      </c>
      <c r="M13" s="665">
        <v>221469</v>
      </c>
    </row>
    <row r="14" spans="1:13" ht="49.5" customHeight="1">
      <c r="A14" s="664" t="s">
        <v>145</v>
      </c>
      <c r="B14" s="665">
        <v>0</v>
      </c>
      <c r="C14" s="665">
        <v>0</v>
      </c>
      <c r="D14" s="665">
        <v>0</v>
      </c>
      <c r="E14" s="665">
        <v>1</v>
      </c>
      <c r="F14" s="665">
        <v>40</v>
      </c>
      <c r="G14" s="665">
        <v>25</v>
      </c>
      <c r="H14" s="665">
        <v>0</v>
      </c>
      <c r="I14" s="665">
        <v>0</v>
      </c>
      <c r="J14" s="665">
        <v>0</v>
      </c>
      <c r="K14" s="665">
        <v>1</v>
      </c>
      <c r="L14" s="665">
        <v>40</v>
      </c>
      <c r="M14" s="665">
        <v>25</v>
      </c>
    </row>
    <row r="15" spans="1:13" ht="49.5" customHeight="1">
      <c r="A15" s="666" t="s">
        <v>49</v>
      </c>
      <c r="B15" s="667">
        <v>4308</v>
      </c>
      <c r="C15" s="667">
        <v>1038626</v>
      </c>
      <c r="D15" s="667">
        <v>624001</v>
      </c>
      <c r="E15" s="667">
        <v>3447</v>
      </c>
      <c r="F15" s="667">
        <v>746628</v>
      </c>
      <c r="G15" s="667">
        <v>460383</v>
      </c>
      <c r="H15" s="667">
        <v>316</v>
      </c>
      <c r="I15" s="667">
        <v>45058</v>
      </c>
      <c r="J15" s="667">
        <v>28448</v>
      </c>
      <c r="K15" s="667">
        <v>8071</v>
      </c>
      <c r="L15" s="667">
        <v>1830312</v>
      </c>
      <c r="M15" s="667">
        <v>1112832</v>
      </c>
    </row>
    <row r="16" spans="1:13" ht="49.5" customHeight="1">
      <c r="A16" s="158" t="s">
        <v>288</v>
      </c>
      <c r="B16" s="950" t="s">
        <v>289</v>
      </c>
      <c r="C16" s="950"/>
      <c r="D16" s="950"/>
      <c r="E16" s="950"/>
      <c r="F16" s="950"/>
      <c r="G16" s="950"/>
      <c r="H16" s="950"/>
      <c r="I16" s="950"/>
      <c r="J16" s="950"/>
      <c r="K16" s="950"/>
      <c r="L16" s="950"/>
      <c r="M16" s="950"/>
    </row>
    <row r="17" spans="1:13" ht="49.5" customHeight="1">
      <c r="A17" s="664" t="s">
        <v>125</v>
      </c>
      <c r="B17" s="665">
        <v>389</v>
      </c>
      <c r="C17" s="665">
        <v>38819</v>
      </c>
      <c r="D17" s="665">
        <v>22879</v>
      </c>
      <c r="E17" s="665">
        <v>481</v>
      </c>
      <c r="F17" s="665">
        <v>42840</v>
      </c>
      <c r="G17" s="665">
        <v>27352</v>
      </c>
      <c r="H17" s="665">
        <v>15</v>
      </c>
      <c r="I17" s="665">
        <v>1378</v>
      </c>
      <c r="J17" s="665">
        <v>919</v>
      </c>
      <c r="K17" s="665">
        <v>885</v>
      </c>
      <c r="L17" s="665">
        <v>83037</v>
      </c>
      <c r="M17" s="665">
        <v>51150</v>
      </c>
    </row>
    <row r="18" spans="1:13" ht="49.5" customHeight="1">
      <c r="A18" s="664" t="s">
        <v>128</v>
      </c>
      <c r="B18" s="665">
        <v>13773</v>
      </c>
      <c r="C18" s="665">
        <v>2025020</v>
      </c>
      <c r="D18" s="665">
        <v>944823</v>
      </c>
      <c r="E18" s="665">
        <v>16532</v>
      </c>
      <c r="F18" s="665">
        <v>2434692</v>
      </c>
      <c r="G18" s="665">
        <v>1166073</v>
      </c>
      <c r="H18" s="665">
        <v>569</v>
      </c>
      <c r="I18" s="665">
        <v>68713</v>
      </c>
      <c r="J18" s="665">
        <v>36995</v>
      </c>
      <c r="K18" s="665">
        <v>30874</v>
      </c>
      <c r="L18" s="665">
        <v>4528425</v>
      </c>
      <c r="M18" s="665">
        <v>2147891</v>
      </c>
    </row>
    <row r="19" spans="1:13" ht="49.5" customHeight="1">
      <c r="A19" s="666" t="s">
        <v>60</v>
      </c>
      <c r="B19" s="667">
        <v>14162</v>
      </c>
      <c r="C19" s="667">
        <v>2063839</v>
      </c>
      <c r="D19" s="667">
        <v>967702</v>
      </c>
      <c r="E19" s="667">
        <v>17013</v>
      </c>
      <c r="F19" s="667">
        <v>2477532</v>
      </c>
      <c r="G19" s="667">
        <v>1193425</v>
      </c>
      <c r="H19" s="667">
        <v>584</v>
      </c>
      <c r="I19" s="667">
        <v>70091</v>
      </c>
      <c r="J19" s="667">
        <v>37914</v>
      </c>
      <c r="K19" s="667">
        <v>31759</v>
      </c>
      <c r="L19" s="667">
        <v>4611462</v>
      </c>
      <c r="M19" s="667">
        <v>2199041</v>
      </c>
    </row>
    <row r="32" spans="1:13">
      <c r="D32" s="668"/>
    </row>
  </sheetData>
  <mergeCells count="7">
    <mergeCell ref="B16:M16"/>
    <mergeCell ref="B1:M1"/>
    <mergeCell ref="A2:A3"/>
    <mergeCell ref="B2:D2"/>
    <mergeCell ref="E2:G2"/>
    <mergeCell ref="H2:J2"/>
    <mergeCell ref="K2:M2"/>
  </mergeCells>
  <pageMargins left="0.70866141732283472" right="0.70866141732283472" top="0.74803149606299213" bottom="0.74803149606299213" header="0.31496062992125984" footer="0.31496062992125984"/>
  <pageSetup paperSize="9" scale="67" orientation="portrait" r:id="rId1"/>
  <headerFooter>
    <oddFooter>&amp;LAISHE 2020-21&amp;CT-32</oddFooter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50"/>
  </sheetPr>
  <dimension ref="A1:AC41"/>
  <sheetViews>
    <sheetView view="pageBreakPreview" zoomScale="90" zoomScaleSheetLayoutView="90" workbookViewId="0">
      <pane xSplit="2" ySplit="3" topLeftCell="U28" activePane="bottomRight" state="frozen"/>
      <selection activeCell="H31" sqref="H31"/>
      <selection pane="topRight" activeCell="H31" sqref="H31"/>
      <selection pane="bottomLeft" activeCell="H31" sqref="H31"/>
      <selection pane="bottomRight" activeCell="AC41" sqref="AC41"/>
    </sheetView>
  </sheetViews>
  <sheetFormatPr defaultColWidth="9.1796875" defaultRowHeight="15.5"/>
  <cols>
    <col min="1" max="1" width="5.1796875" style="216" customWidth="1"/>
    <col min="2" max="2" width="25.81640625" style="216" customWidth="1"/>
    <col min="3" max="3" width="7.7265625" style="216" customWidth="1"/>
    <col min="4" max="4" width="8.54296875" style="216" customWidth="1"/>
    <col min="5" max="5" width="8.1796875" style="216" customWidth="1"/>
    <col min="6" max="6" width="7.26953125" style="216" customWidth="1"/>
    <col min="7" max="7" width="8.54296875" style="216" customWidth="1"/>
    <col min="8" max="8" width="7.7265625" style="216" customWidth="1"/>
    <col min="9" max="10" width="9.26953125" style="216" customWidth="1"/>
    <col min="11" max="11" width="9.81640625" style="216" customWidth="1"/>
    <col min="12" max="12" width="10" style="216" customWidth="1"/>
    <col min="13" max="13" width="9.81640625" style="216" customWidth="1"/>
    <col min="14" max="14" width="10.1796875" style="216" customWidth="1"/>
    <col min="15" max="15" width="7.7265625" style="216" customWidth="1"/>
    <col min="16" max="16" width="8.453125" style="216" customWidth="1"/>
    <col min="17" max="19" width="8.7265625" style="216" customWidth="1"/>
    <col min="20" max="20" width="8.81640625" style="216" customWidth="1"/>
    <col min="21" max="21" width="7.26953125" style="216" customWidth="1"/>
    <col min="22" max="22" width="8.453125" style="216" customWidth="1"/>
    <col min="23" max="23" width="7.54296875" style="216" customWidth="1"/>
    <col min="24" max="24" width="7.81640625" style="216" customWidth="1"/>
    <col min="25" max="25" width="8.7265625" style="216" customWidth="1"/>
    <col min="26" max="26" width="7.54296875" style="216" customWidth="1"/>
    <col min="27" max="27" width="9.81640625" style="216" customWidth="1"/>
    <col min="28" max="28" width="10" style="216" customWidth="1"/>
    <col min="29" max="29" width="12.7265625" style="216" customWidth="1"/>
    <col min="30" max="16384" width="9.1796875" style="216"/>
  </cols>
  <sheetData>
    <row r="1" spans="1:29" ht="36.65" customHeight="1">
      <c r="B1" s="158" t="s">
        <v>878</v>
      </c>
      <c r="C1" s="950" t="s">
        <v>1038</v>
      </c>
      <c r="D1" s="950"/>
      <c r="E1" s="950"/>
      <c r="F1" s="950"/>
      <c r="G1" s="950"/>
      <c r="H1" s="950"/>
      <c r="I1" s="950"/>
      <c r="J1" s="950"/>
      <c r="K1" s="950"/>
      <c r="L1" s="950" t="str">
        <f>C1</f>
        <v>State-wise Out-turn/Pass-Out at various levels
(Based on Actual Response)</v>
      </c>
      <c r="M1" s="950"/>
      <c r="N1" s="950"/>
      <c r="O1" s="950"/>
      <c r="P1" s="950"/>
      <c r="Q1" s="950"/>
      <c r="R1" s="950"/>
      <c r="S1" s="950"/>
      <c r="T1" s="950"/>
      <c r="U1" s="950" t="str">
        <f>C1</f>
        <v>State-wise Out-turn/Pass-Out at various levels
(Based on Actual Response)</v>
      </c>
      <c r="V1" s="950"/>
      <c r="W1" s="950"/>
      <c r="X1" s="950"/>
      <c r="Y1" s="950"/>
      <c r="Z1" s="950"/>
      <c r="AA1" s="950"/>
      <c r="AB1" s="950"/>
      <c r="AC1" s="950"/>
    </row>
    <row r="2" spans="1:29" s="217" customFormat="1" ht="31.5" customHeight="1">
      <c r="A2" s="1104" t="s">
        <v>235</v>
      </c>
      <c r="B2" s="1094" t="s">
        <v>236</v>
      </c>
      <c r="C2" s="1106" t="s">
        <v>89</v>
      </c>
      <c r="D2" s="1107"/>
      <c r="E2" s="1108"/>
      <c r="F2" s="1106" t="s">
        <v>90</v>
      </c>
      <c r="G2" s="1107"/>
      <c r="H2" s="1108"/>
      <c r="I2" s="1106" t="s">
        <v>85</v>
      </c>
      <c r="J2" s="1107"/>
      <c r="K2" s="1108"/>
      <c r="L2" s="1106" t="s">
        <v>86</v>
      </c>
      <c r="M2" s="1107"/>
      <c r="N2" s="1108"/>
      <c r="O2" s="1106" t="s">
        <v>91</v>
      </c>
      <c r="P2" s="1107"/>
      <c r="Q2" s="1108"/>
      <c r="R2" s="1106" t="s">
        <v>92</v>
      </c>
      <c r="S2" s="1107"/>
      <c r="T2" s="1108"/>
      <c r="U2" s="1106" t="s">
        <v>93</v>
      </c>
      <c r="V2" s="1107"/>
      <c r="W2" s="1108"/>
      <c r="X2" s="1106" t="s">
        <v>94</v>
      </c>
      <c r="Y2" s="1107"/>
      <c r="Z2" s="1108"/>
      <c r="AA2" s="1106" t="s">
        <v>60</v>
      </c>
      <c r="AB2" s="1107"/>
      <c r="AC2" s="1108"/>
    </row>
    <row r="3" spans="1:29" s="218" customFormat="1" ht="24.75" customHeight="1">
      <c r="A3" s="1105"/>
      <c r="B3" s="1094"/>
      <c r="C3" s="571" t="s">
        <v>87</v>
      </c>
      <c r="D3" s="571" t="s">
        <v>88</v>
      </c>
      <c r="E3" s="571" t="s">
        <v>12</v>
      </c>
      <c r="F3" s="571" t="s">
        <v>87</v>
      </c>
      <c r="G3" s="571" t="s">
        <v>88</v>
      </c>
      <c r="H3" s="571" t="s">
        <v>12</v>
      </c>
      <c r="I3" s="571" t="s">
        <v>87</v>
      </c>
      <c r="J3" s="571" t="s">
        <v>88</v>
      </c>
      <c r="K3" s="571" t="s">
        <v>12</v>
      </c>
      <c r="L3" s="571" t="s">
        <v>87</v>
      </c>
      <c r="M3" s="571" t="s">
        <v>88</v>
      </c>
      <c r="N3" s="571" t="s">
        <v>12</v>
      </c>
      <c r="O3" s="571" t="s">
        <v>87</v>
      </c>
      <c r="P3" s="571" t="s">
        <v>88</v>
      </c>
      <c r="Q3" s="571" t="s">
        <v>12</v>
      </c>
      <c r="R3" s="571" t="s">
        <v>87</v>
      </c>
      <c r="S3" s="571" t="s">
        <v>88</v>
      </c>
      <c r="T3" s="571" t="s">
        <v>12</v>
      </c>
      <c r="U3" s="571" t="s">
        <v>87</v>
      </c>
      <c r="V3" s="571" t="s">
        <v>88</v>
      </c>
      <c r="W3" s="571" t="s">
        <v>12</v>
      </c>
      <c r="X3" s="571" t="s">
        <v>87</v>
      </c>
      <c r="Y3" s="571" t="s">
        <v>88</v>
      </c>
      <c r="Z3" s="571" t="s">
        <v>12</v>
      </c>
      <c r="AA3" s="571" t="s">
        <v>87</v>
      </c>
      <c r="AB3" s="571" t="s">
        <v>88</v>
      </c>
      <c r="AC3" s="571" t="s">
        <v>12</v>
      </c>
    </row>
    <row r="4" spans="1:29" s="220" customFormat="1" ht="15" customHeight="1">
      <c r="A4" s="219">
        <v>1</v>
      </c>
      <c r="B4" s="219">
        <v>2</v>
      </c>
      <c r="C4" s="219">
        <v>3</v>
      </c>
      <c r="D4" s="219">
        <v>4</v>
      </c>
      <c r="E4" s="219">
        <v>5</v>
      </c>
      <c r="F4" s="219">
        <v>6</v>
      </c>
      <c r="G4" s="219">
        <v>7</v>
      </c>
      <c r="H4" s="219">
        <v>8</v>
      </c>
      <c r="I4" s="219">
        <v>9</v>
      </c>
      <c r="J4" s="219">
        <v>10</v>
      </c>
      <c r="K4" s="219">
        <v>11</v>
      </c>
      <c r="L4" s="219">
        <v>12</v>
      </c>
      <c r="M4" s="219">
        <v>13</v>
      </c>
      <c r="N4" s="219">
        <v>14</v>
      </c>
      <c r="O4" s="219">
        <v>15</v>
      </c>
      <c r="P4" s="219">
        <v>16</v>
      </c>
      <c r="Q4" s="219">
        <v>17</v>
      </c>
      <c r="R4" s="219">
        <v>18</v>
      </c>
      <c r="S4" s="219">
        <v>19</v>
      </c>
      <c r="T4" s="219">
        <v>20</v>
      </c>
      <c r="U4" s="219">
        <v>21</v>
      </c>
      <c r="V4" s="219">
        <v>22</v>
      </c>
      <c r="W4" s="219">
        <v>23</v>
      </c>
      <c r="X4" s="219">
        <v>24</v>
      </c>
      <c r="Y4" s="219">
        <v>25</v>
      </c>
      <c r="Z4" s="219">
        <v>26</v>
      </c>
      <c r="AA4" s="219">
        <v>27</v>
      </c>
      <c r="AB4" s="219">
        <v>28</v>
      </c>
      <c r="AC4" s="219">
        <v>29</v>
      </c>
    </row>
    <row r="5" spans="1:29" s="220" customFormat="1" ht="30.75" customHeight="1">
      <c r="A5" s="221">
        <v>1</v>
      </c>
      <c r="B5" s="222" t="s">
        <v>171</v>
      </c>
      <c r="C5" s="223">
        <v>4</v>
      </c>
      <c r="D5" s="223">
        <v>4</v>
      </c>
      <c r="E5" s="223">
        <v>8</v>
      </c>
      <c r="F5" s="223"/>
      <c r="G5" s="223"/>
      <c r="H5" s="223"/>
      <c r="I5" s="223">
        <v>28</v>
      </c>
      <c r="J5" s="223">
        <v>124</v>
      </c>
      <c r="K5" s="223">
        <v>152</v>
      </c>
      <c r="L5" s="223">
        <v>535</v>
      </c>
      <c r="M5" s="223">
        <v>925</v>
      </c>
      <c r="N5" s="223">
        <v>1460</v>
      </c>
      <c r="O5" s="223">
        <v>11</v>
      </c>
      <c r="P5" s="223">
        <v>0</v>
      </c>
      <c r="Q5" s="223">
        <v>11</v>
      </c>
      <c r="R5" s="223">
        <v>156</v>
      </c>
      <c r="S5" s="223">
        <v>161</v>
      </c>
      <c r="T5" s="223">
        <v>317</v>
      </c>
      <c r="U5" s="223">
        <v>25</v>
      </c>
      <c r="V5" s="223">
        <v>20</v>
      </c>
      <c r="W5" s="223">
        <v>45</v>
      </c>
      <c r="X5" s="223">
        <v>68</v>
      </c>
      <c r="Y5" s="223">
        <v>43</v>
      </c>
      <c r="Z5" s="223">
        <v>111</v>
      </c>
      <c r="AA5" s="223">
        <v>827</v>
      </c>
      <c r="AB5" s="223">
        <v>1277</v>
      </c>
      <c r="AC5" s="224">
        <v>2104</v>
      </c>
    </row>
    <row r="6" spans="1:29" s="220" customFormat="1" ht="21.75" customHeight="1">
      <c r="A6" s="221">
        <v>2</v>
      </c>
      <c r="B6" s="225" t="s">
        <v>15</v>
      </c>
      <c r="C6" s="223">
        <v>353</v>
      </c>
      <c r="D6" s="223">
        <v>188</v>
      </c>
      <c r="E6" s="223">
        <v>541</v>
      </c>
      <c r="F6" s="223">
        <v>18</v>
      </c>
      <c r="G6" s="223">
        <v>13</v>
      </c>
      <c r="H6" s="223">
        <v>31</v>
      </c>
      <c r="I6" s="223">
        <v>32818</v>
      </c>
      <c r="J6" s="223">
        <v>34841</v>
      </c>
      <c r="K6" s="223">
        <v>67659</v>
      </c>
      <c r="L6" s="223">
        <v>167355</v>
      </c>
      <c r="M6" s="223">
        <v>159629</v>
      </c>
      <c r="N6" s="223">
        <v>326984</v>
      </c>
      <c r="O6" s="223">
        <v>31</v>
      </c>
      <c r="P6" s="223">
        <v>61</v>
      </c>
      <c r="Q6" s="223">
        <v>92</v>
      </c>
      <c r="R6" s="223">
        <v>20906</v>
      </c>
      <c r="S6" s="223">
        <v>18828</v>
      </c>
      <c r="T6" s="223">
        <v>39734</v>
      </c>
      <c r="U6" s="223">
        <v>103</v>
      </c>
      <c r="V6" s="223">
        <v>155</v>
      </c>
      <c r="W6" s="223">
        <v>258</v>
      </c>
      <c r="X6" s="223">
        <v>1396</v>
      </c>
      <c r="Y6" s="223">
        <v>697</v>
      </c>
      <c r="Z6" s="223">
        <v>2093</v>
      </c>
      <c r="AA6" s="223">
        <v>222980</v>
      </c>
      <c r="AB6" s="223">
        <v>214412</v>
      </c>
      <c r="AC6" s="224">
        <v>437392</v>
      </c>
    </row>
    <row r="7" spans="1:29" s="220" customFormat="1" ht="21.75" customHeight="1">
      <c r="A7" s="221">
        <v>3</v>
      </c>
      <c r="B7" s="225" t="s">
        <v>16</v>
      </c>
      <c r="C7" s="223">
        <v>24</v>
      </c>
      <c r="D7" s="223">
        <v>12</v>
      </c>
      <c r="E7" s="223">
        <v>36</v>
      </c>
      <c r="F7" s="223"/>
      <c r="G7" s="223"/>
      <c r="H7" s="223"/>
      <c r="I7" s="223">
        <v>1880</v>
      </c>
      <c r="J7" s="223">
        <v>1249</v>
      </c>
      <c r="K7" s="223">
        <v>3129</v>
      </c>
      <c r="L7" s="223">
        <v>4888</v>
      </c>
      <c r="M7" s="223">
        <v>4223</v>
      </c>
      <c r="N7" s="223">
        <v>9111</v>
      </c>
      <c r="O7" s="223">
        <v>30</v>
      </c>
      <c r="P7" s="223">
        <v>10</v>
      </c>
      <c r="Q7" s="223">
        <v>40</v>
      </c>
      <c r="R7" s="223">
        <v>360</v>
      </c>
      <c r="S7" s="223">
        <v>216</v>
      </c>
      <c r="T7" s="223">
        <v>576</v>
      </c>
      <c r="U7" s="223">
        <v>143</v>
      </c>
      <c r="V7" s="223">
        <v>57</v>
      </c>
      <c r="W7" s="223">
        <v>200</v>
      </c>
      <c r="X7" s="223">
        <v>110</v>
      </c>
      <c r="Y7" s="223">
        <v>73</v>
      </c>
      <c r="Z7" s="223">
        <v>183</v>
      </c>
      <c r="AA7" s="223">
        <v>7435</v>
      </c>
      <c r="AB7" s="223">
        <v>5840</v>
      </c>
      <c r="AC7" s="224">
        <v>13275</v>
      </c>
    </row>
    <row r="8" spans="1:29" s="220" customFormat="1" ht="21.75" customHeight="1">
      <c r="A8" s="221">
        <v>4</v>
      </c>
      <c r="B8" s="225" t="s">
        <v>17</v>
      </c>
      <c r="C8" s="223">
        <v>653</v>
      </c>
      <c r="D8" s="223">
        <v>456</v>
      </c>
      <c r="E8" s="223">
        <v>1109</v>
      </c>
      <c r="F8" s="223">
        <v>39</v>
      </c>
      <c r="G8" s="223">
        <v>68</v>
      </c>
      <c r="H8" s="223">
        <v>107</v>
      </c>
      <c r="I8" s="223">
        <v>5770</v>
      </c>
      <c r="J8" s="223">
        <v>9201</v>
      </c>
      <c r="K8" s="223">
        <v>14971</v>
      </c>
      <c r="L8" s="223">
        <v>41883</v>
      </c>
      <c r="M8" s="223">
        <v>49711</v>
      </c>
      <c r="N8" s="223">
        <v>91594</v>
      </c>
      <c r="O8" s="223">
        <v>326</v>
      </c>
      <c r="P8" s="223">
        <v>434</v>
      </c>
      <c r="Q8" s="223">
        <v>760</v>
      </c>
      <c r="R8" s="223">
        <v>2989</v>
      </c>
      <c r="S8" s="223">
        <v>2938</v>
      </c>
      <c r="T8" s="223">
        <v>5927</v>
      </c>
      <c r="U8" s="223">
        <v>112</v>
      </c>
      <c r="V8" s="223">
        <v>293</v>
      </c>
      <c r="W8" s="223">
        <v>405</v>
      </c>
      <c r="X8" s="223">
        <v>318</v>
      </c>
      <c r="Y8" s="223">
        <v>275</v>
      </c>
      <c r="Z8" s="223">
        <v>593</v>
      </c>
      <c r="AA8" s="223">
        <v>52090</v>
      </c>
      <c r="AB8" s="223">
        <v>63376</v>
      </c>
      <c r="AC8" s="224">
        <v>115466</v>
      </c>
    </row>
    <row r="9" spans="1:29" s="220" customFormat="1" ht="21.75" customHeight="1">
      <c r="A9" s="221">
        <v>5</v>
      </c>
      <c r="B9" s="225" t="s">
        <v>18</v>
      </c>
      <c r="C9" s="223">
        <v>1130</v>
      </c>
      <c r="D9" s="223">
        <v>429</v>
      </c>
      <c r="E9" s="223">
        <v>1559</v>
      </c>
      <c r="F9" s="223">
        <v>31</v>
      </c>
      <c r="G9" s="223">
        <v>9</v>
      </c>
      <c r="H9" s="223">
        <v>40</v>
      </c>
      <c r="I9" s="223">
        <v>22647</v>
      </c>
      <c r="J9" s="223">
        <v>16879</v>
      </c>
      <c r="K9" s="223">
        <v>39526</v>
      </c>
      <c r="L9" s="223">
        <v>175312</v>
      </c>
      <c r="M9" s="223">
        <v>136373</v>
      </c>
      <c r="N9" s="223">
        <v>311685</v>
      </c>
      <c r="O9" s="223">
        <v>391</v>
      </c>
      <c r="P9" s="223">
        <v>229</v>
      </c>
      <c r="Q9" s="223">
        <v>620</v>
      </c>
      <c r="R9" s="223">
        <v>12943</v>
      </c>
      <c r="S9" s="223">
        <v>10470</v>
      </c>
      <c r="T9" s="223">
        <v>23413</v>
      </c>
      <c r="U9" s="223">
        <v>999</v>
      </c>
      <c r="V9" s="223">
        <v>888</v>
      </c>
      <c r="W9" s="223">
        <v>1887</v>
      </c>
      <c r="X9" s="223">
        <v>246</v>
      </c>
      <c r="Y9" s="223">
        <v>105</v>
      </c>
      <c r="Z9" s="223">
        <v>351</v>
      </c>
      <c r="AA9" s="223">
        <v>213699</v>
      </c>
      <c r="AB9" s="223">
        <v>165382</v>
      </c>
      <c r="AC9" s="224">
        <v>379081</v>
      </c>
    </row>
    <row r="10" spans="1:29" s="220" customFormat="1" ht="21.75" customHeight="1">
      <c r="A10" s="221">
        <v>6</v>
      </c>
      <c r="B10" s="225" t="s">
        <v>19</v>
      </c>
      <c r="C10" s="223">
        <v>47</v>
      </c>
      <c r="D10" s="223">
        <v>122</v>
      </c>
      <c r="E10" s="223">
        <v>169</v>
      </c>
      <c r="F10" s="223">
        <v>21</v>
      </c>
      <c r="G10" s="223">
        <v>23</v>
      </c>
      <c r="H10" s="223">
        <v>44</v>
      </c>
      <c r="I10" s="223">
        <v>2024</v>
      </c>
      <c r="J10" s="223">
        <v>4539</v>
      </c>
      <c r="K10" s="223">
        <v>6563</v>
      </c>
      <c r="L10" s="223">
        <v>7517</v>
      </c>
      <c r="M10" s="223">
        <v>8845</v>
      </c>
      <c r="N10" s="223">
        <v>16362</v>
      </c>
      <c r="O10" s="223">
        <v>402</v>
      </c>
      <c r="P10" s="223">
        <v>653</v>
      </c>
      <c r="Q10" s="223">
        <v>1055</v>
      </c>
      <c r="R10" s="223">
        <v>665</v>
      </c>
      <c r="S10" s="223">
        <v>611</v>
      </c>
      <c r="T10" s="223">
        <v>1276</v>
      </c>
      <c r="U10" s="223">
        <v>215</v>
      </c>
      <c r="V10" s="223">
        <v>203</v>
      </c>
      <c r="W10" s="223">
        <v>418</v>
      </c>
      <c r="X10" s="223">
        <v>179</v>
      </c>
      <c r="Y10" s="223">
        <v>164</v>
      </c>
      <c r="Z10" s="223">
        <v>343</v>
      </c>
      <c r="AA10" s="223">
        <v>11070</v>
      </c>
      <c r="AB10" s="223">
        <v>15160</v>
      </c>
      <c r="AC10" s="224">
        <v>26230</v>
      </c>
    </row>
    <row r="11" spans="1:29" s="220" customFormat="1" ht="21.75" customHeight="1">
      <c r="A11" s="221">
        <v>7</v>
      </c>
      <c r="B11" s="225" t="s">
        <v>20</v>
      </c>
      <c r="C11" s="223">
        <v>140</v>
      </c>
      <c r="D11" s="223">
        <v>105</v>
      </c>
      <c r="E11" s="223">
        <v>245</v>
      </c>
      <c r="F11" s="223">
        <v>37</v>
      </c>
      <c r="G11" s="223">
        <v>38</v>
      </c>
      <c r="H11" s="223">
        <v>75</v>
      </c>
      <c r="I11" s="223">
        <v>10344</v>
      </c>
      <c r="J11" s="223">
        <v>15255</v>
      </c>
      <c r="K11" s="223">
        <v>25599</v>
      </c>
      <c r="L11" s="223">
        <v>46520</v>
      </c>
      <c r="M11" s="223">
        <v>61724</v>
      </c>
      <c r="N11" s="223">
        <v>108244</v>
      </c>
      <c r="O11" s="223">
        <v>11243</v>
      </c>
      <c r="P11" s="223">
        <v>12465</v>
      </c>
      <c r="Q11" s="223">
        <v>23708</v>
      </c>
      <c r="R11" s="223">
        <v>21269</v>
      </c>
      <c r="S11" s="223">
        <v>16220</v>
      </c>
      <c r="T11" s="223">
        <v>37489</v>
      </c>
      <c r="U11" s="223">
        <v>124</v>
      </c>
      <c r="V11" s="223">
        <v>296</v>
      </c>
      <c r="W11" s="223">
        <v>420</v>
      </c>
      <c r="X11" s="223">
        <v>201</v>
      </c>
      <c r="Y11" s="223">
        <v>167</v>
      </c>
      <c r="Z11" s="223">
        <v>368</v>
      </c>
      <c r="AA11" s="223">
        <v>89878</v>
      </c>
      <c r="AB11" s="223">
        <v>106270</v>
      </c>
      <c r="AC11" s="224">
        <v>196148</v>
      </c>
    </row>
    <row r="12" spans="1:29" s="220" customFormat="1" ht="21.75" customHeight="1">
      <c r="A12" s="221">
        <v>8</v>
      </c>
      <c r="B12" s="225" t="s">
        <v>23</v>
      </c>
      <c r="C12" s="223">
        <v>1228</v>
      </c>
      <c r="D12" s="223">
        <v>827</v>
      </c>
      <c r="E12" s="223">
        <v>2055</v>
      </c>
      <c r="F12" s="223">
        <v>190</v>
      </c>
      <c r="G12" s="223">
        <v>195</v>
      </c>
      <c r="H12" s="223">
        <v>385</v>
      </c>
      <c r="I12" s="223">
        <v>41343</v>
      </c>
      <c r="J12" s="223">
        <v>62181</v>
      </c>
      <c r="K12" s="223">
        <v>103524</v>
      </c>
      <c r="L12" s="223">
        <v>149948</v>
      </c>
      <c r="M12" s="223">
        <v>130351</v>
      </c>
      <c r="N12" s="223">
        <v>280299</v>
      </c>
      <c r="O12" s="223">
        <v>12053</v>
      </c>
      <c r="P12" s="223">
        <v>13931</v>
      </c>
      <c r="Q12" s="223">
        <v>25984</v>
      </c>
      <c r="R12" s="223">
        <v>6762</v>
      </c>
      <c r="S12" s="223">
        <v>14813</v>
      </c>
      <c r="T12" s="223">
        <v>21575</v>
      </c>
      <c r="U12" s="223">
        <v>876</v>
      </c>
      <c r="V12" s="223">
        <v>898</v>
      </c>
      <c r="W12" s="223">
        <v>1774</v>
      </c>
      <c r="X12" s="223">
        <v>569</v>
      </c>
      <c r="Y12" s="223">
        <v>328</v>
      </c>
      <c r="Z12" s="223">
        <v>897</v>
      </c>
      <c r="AA12" s="223">
        <v>212969</v>
      </c>
      <c r="AB12" s="223">
        <v>223524</v>
      </c>
      <c r="AC12" s="224">
        <v>436493</v>
      </c>
    </row>
    <row r="13" spans="1:29" s="220" customFormat="1" ht="21.75" customHeight="1">
      <c r="A13" s="221">
        <v>9</v>
      </c>
      <c r="B13" s="225" t="s">
        <v>24</v>
      </c>
      <c r="C13" s="223">
        <v>22</v>
      </c>
      <c r="D13" s="223">
        <v>19</v>
      </c>
      <c r="E13" s="223">
        <v>41</v>
      </c>
      <c r="F13" s="223">
        <v>0</v>
      </c>
      <c r="G13" s="223">
        <v>0</v>
      </c>
      <c r="H13" s="223">
        <v>0</v>
      </c>
      <c r="I13" s="223">
        <v>745</v>
      </c>
      <c r="J13" s="223">
        <v>1375</v>
      </c>
      <c r="K13" s="223">
        <v>2120</v>
      </c>
      <c r="L13" s="223">
        <v>4052</v>
      </c>
      <c r="M13" s="223">
        <v>6063</v>
      </c>
      <c r="N13" s="223">
        <v>10115</v>
      </c>
      <c r="O13" s="223">
        <v>49</v>
      </c>
      <c r="P13" s="223">
        <v>43</v>
      </c>
      <c r="Q13" s="223">
        <v>92</v>
      </c>
      <c r="R13" s="223">
        <v>837</v>
      </c>
      <c r="S13" s="223">
        <v>564</v>
      </c>
      <c r="T13" s="223">
        <v>1401</v>
      </c>
      <c r="U13" s="223">
        <v>8</v>
      </c>
      <c r="V13" s="223">
        <v>0</v>
      </c>
      <c r="W13" s="223">
        <v>8</v>
      </c>
      <c r="X13" s="223">
        <v>61</v>
      </c>
      <c r="Y13" s="223">
        <v>147</v>
      </c>
      <c r="Z13" s="223">
        <v>208</v>
      </c>
      <c r="AA13" s="223">
        <v>5774</v>
      </c>
      <c r="AB13" s="223">
        <v>8211</v>
      </c>
      <c r="AC13" s="224">
        <v>13985</v>
      </c>
    </row>
    <row r="14" spans="1:29" s="220" customFormat="1" ht="21.75" customHeight="1">
      <c r="A14" s="221">
        <v>10</v>
      </c>
      <c r="B14" s="225" t="s">
        <v>25</v>
      </c>
      <c r="C14" s="223">
        <v>700</v>
      </c>
      <c r="D14" s="223">
        <v>414</v>
      </c>
      <c r="E14" s="223">
        <v>1114</v>
      </c>
      <c r="F14" s="223">
        <v>96</v>
      </c>
      <c r="G14" s="223">
        <v>169</v>
      </c>
      <c r="H14" s="223">
        <v>265</v>
      </c>
      <c r="I14" s="223">
        <v>26888</v>
      </c>
      <c r="J14" s="223">
        <v>33522</v>
      </c>
      <c r="K14" s="223">
        <v>60410</v>
      </c>
      <c r="L14" s="223">
        <v>143237</v>
      </c>
      <c r="M14" s="223">
        <v>122828</v>
      </c>
      <c r="N14" s="223">
        <v>266065</v>
      </c>
      <c r="O14" s="223">
        <v>1515</v>
      </c>
      <c r="P14" s="223">
        <v>1608</v>
      </c>
      <c r="Q14" s="223">
        <v>3123</v>
      </c>
      <c r="R14" s="223">
        <v>23098</v>
      </c>
      <c r="S14" s="223">
        <v>13496</v>
      </c>
      <c r="T14" s="223">
        <v>36594</v>
      </c>
      <c r="U14" s="223">
        <v>3525</v>
      </c>
      <c r="V14" s="223">
        <v>2361</v>
      </c>
      <c r="W14" s="223">
        <v>5886</v>
      </c>
      <c r="X14" s="223">
        <v>1158</v>
      </c>
      <c r="Y14" s="223">
        <v>1137</v>
      </c>
      <c r="Z14" s="223">
        <v>2295</v>
      </c>
      <c r="AA14" s="223">
        <v>200217</v>
      </c>
      <c r="AB14" s="223">
        <v>175535</v>
      </c>
      <c r="AC14" s="224">
        <v>375752</v>
      </c>
    </row>
    <row r="15" spans="1:29" s="220" customFormat="1" ht="21.75" customHeight="1">
      <c r="A15" s="221">
        <v>11</v>
      </c>
      <c r="B15" s="225" t="s">
        <v>26</v>
      </c>
      <c r="C15" s="223">
        <v>298</v>
      </c>
      <c r="D15" s="223">
        <v>288</v>
      </c>
      <c r="E15" s="223">
        <v>586</v>
      </c>
      <c r="F15" s="223">
        <v>19</v>
      </c>
      <c r="G15" s="223">
        <v>34</v>
      </c>
      <c r="H15" s="223">
        <v>53</v>
      </c>
      <c r="I15" s="223">
        <v>12523</v>
      </c>
      <c r="J15" s="223">
        <v>24771</v>
      </c>
      <c r="K15" s="223">
        <v>37294</v>
      </c>
      <c r="L15" s="223">
        <v>62876</v>
      </c>
      <c r="M15" s="223">
        <v>99757</v>
      </c>
      <c r="N15" s="223">
        <v>162633</v>
      </c>
      <c r="O15" s="223">
        <v>635</v>
      </c>
      <c r="P15" s="223">
        <v>758</v>
      </c>
      <c r="Q15" s="223">
        <v>1393</v>
      </c>
      <c r="R15" s="223">
        <v>11863</v>
      </c>
      <c r="S15" s="223">
        <v>6587</v>
      </c>
      <c r="T15" s="223">
        <v>18450</v>
      </c>
      <c r="U15" s="223">
        <v>313</v>
      </c>
      <c r="V15" s="223">
        <v>398</v>
      </c>
      <c r="W15" s="223">
        <v>711</v>
      </c>
      <c r="X15" s="223">
        <v>1189</v>
      </c>
      <c r="Y15" s="223">
        <v>752</v>
      </c>
      <c r="Z15" s="223">
        <v>1941</v>
      </c>
      <c r="AA15" s="223">
        <v>89716</v>
      </c>
      <c r="AB15" s="223">
        <v>133345</v>
      </c>
      <c r="AC15" s="224">
        <v>223061</v>
      </c>
    </row>
    <row r="16" spans="1:29" s="220" customFormat="1" ht="21.75" customHeight="1">
      <c r="A16" s="221">
        <v>12</v>
      </c>
      <c r="B16" s="225" t="s">
        <v>27</v>
      </c>
      <c r="C16" s="223">
        <v>102</v>
      </c>
      <c r="D16" s="223">
        <v>74</v>
      </c>
      <c r="E16" s="223">
        <v>176</v>
      </c>
      <c r="F16" s="223">
        <v>33</v>
      </c>
      <c r="G16" s="223">
        <v>68</v>
      </c>
      <c r="H16" s="223">
        <v>101</v>
      </c>
      <c r="I16" s="223">
        <v>2820</v>
      </c>
      <c r="J16" s="223">
        <v>4281</v>
      </c>
      <c r="K16" s="223">
        <v>7101</v>
      </c>
      <c r="L16" s="223">
        <v>16493</v>
      </c>
      <c r="M16" s="223">
        <v>26800</v>
      </c>
      <c r="N16" s="223">
        <v>43293</v>
      </c>
      <c r="O16" s="223">
        <v>169</v>
      </c>
      <c r="P16" s="223">
        <v>338</v>
      </c>
      <c r="Q16" s="223">
        <v>507</v>
      </c>
      <c r="R16" s="223">
        <v>1958</v>
      </c>
      <c r="S16" s="223">
        <v>2725</v>
      </c>
      <c r="T16" s="223">
        <v>4683</v>
      </c>
      <c r="U16" s="223">
        <v>153</v>
      </c>
      <c r="V16" s="223">
        <v>179</v>
      </c>
      <c r="W16" s="223">
        <v>332</v>
      </c>
      <c r="X16" s="223">
        <v>147</v>
      </c>
      <c r="Y16" s="223">
        <v>72</v>
      </c>
      <c r="Z16" s="223">
        <v>219</v>
      </c>
      <c r="AA16" s="223">
        <v>21875</v>
      </c>
      <c r="AB16" s="223">
        <v>34537</v>
      </c>
      <c r="AC16" s="224">
        <v>56412</v>
      </c>
    </row>
    <row r="17" spans="1:29" s="220" customFormat="1" ht="21.75" customHeight="1">
      <c r="A17" s="221">
        <v>13</v>
      </c>
      <c r="B17" s="225" t="s">
        <v>57</v>
      </c>
      <c r="C17" s="223">
        <v>217</v>
      </c>
      <c r="D17" s="223">
        <v>296</v>
      </c>
      <c r="E17" s="223">
        <v>513</v>
      </c>
      <c r="F17" s="223">
        <v>39</v>
      </c>
      <c r="G17" s="223">
        <v>63</v>
      </c>
      <c r="H17" s="223">
        <v>102</v>
      </c>
      <c r="I17" s="223">
        <v>4116</v>
      </c>
      <c r="J17" s="223">
        <v>6328</v>
      </c>
      <c r="K17" s="223">
        <v>10444</v>
      </c>
      <c r="L17" s="223">
        <v>25373</v>
      </c>
      <c r="M17" s="223">
        <v>32574</v>
      </c>
      <c r="N17" s="223">
        <v>57947</v>
      </c>
      <c r="O17" s="223">
        <v>300</v>
      </c>
      <c r="P17" s="223">
        <v>193</v>
      </c>
      <c r="Q17" s="223">
        <v>493</v>
      </c>
      <c r="R17" s="223">
        <v>3909</v>
      </c>
      <c r="S17" s="223">
        <v>4304</v>
      </c>
      <c r="T17" s="223">
        <v>8213</v>
      </c>
      <c r="U17" s="223">
        <v>573</v>
      </c>
      <c r="V17" s="223">
        <v>450</v>
      </c>
      <c r="W17" s="223">
        <v>1023</v>
      </c>
      <c r="X17" s="223">
        <v>277</v>
      </c>
      <c r="Y17" s="223">
        <v>461</v>
      </c>
      <c r="Z17" s="223">
        <v>738</v>
      </c>
      <c r="AA17" s="223">
        <v>34804</v>
      </c>
      <c r="AB17" s="223">
        <v>44669</v>
      </c>
      <c r="AC17" s="224">
        <v>79473</v>
      </c>
    </row>
    <row r="18" spans="1:29" s="220" customFormat="1" ht="21.75" customHeight="1">
      <c r="A18" s="221">
        <v>14</v>
      </c>
      <c r="B18" s="225" t="s">
        <v>29</v>
      </c>
      <c r="C18" s="223">
        <v>184</v>
      </c>
      <c r="D18" s="223">
        <v>104</v>
      </c>
      <c r="E18" s="223">
        <v>288</v>
      </c>
      <c r="F18" s="223">
        <v>8</v>
      </c>
      <c r="G18" s="223">
        <v>17</v>
      </c>
      <c r="H18" s="223">
        <v>25</v>
      </c>
      <c r="I18" s="223">
        <v>11189</v>
      </c>
      <c r="J18" s="223">
        <v>18260</v>
      </c>
      <c r="K18" s="223">
        <v>29449</v>
      </c>
      <c r="L18" s="223">
        <v>59324</v>
      </c>
      <c r="M18" s="223">
        <v>65826</v>
      </c>
      <c r="N18" s="223">
        <v>125150</v>
      </c>
      <c r="O18" s="223">
        <v>558</v>
      </c>
      <c r="P18" s="223">
        <v>242</v>
      </c>
      <c r="Q18" s="223">
        <v>800</v>
      </c>
      <c r="R18" s="223">
        <v>7234</v>
      </c>
      <c r="S18" s="223">
        <v>2915</v>
      </c>
      <c r="T18" s="223">
        <v>10149</v>
      </c>
      <c r="U18" s="223">
        <v>372</v>
      </c>
      <c r="V18" s="223">
        <v>359</v>
      </c>
      <c r="W18" s="223">
        <v>731</v>
      </c>
      <c r="X18" s="223">
        <v>352</v>
      </c>
      <c r="Y18" s="223">
        <v>173</v>
      </c>
      <c r="Z18" s="223">
        <v>525</v>
      </c>
      <c r="AA18" s="223">
        <v>79221</v>
      </c>
      <c r="AB18" s="223">
        <v>87896</v>
      </c>
      <c r="AC18" s="224">
        <v>167117</v>
      </c>
    </row>
    <row r="19" spans="1:29" s="220" customFormat="1" ht="21.75" customHeight="1">
      <c r="A19" s="221">
        <v>15</v>
      </c>
      <c r="B19" s="225" t="s">
        <v>30</v>
      </c>
      <c r="C19" s="223">
        <v>1162</v>
      </c>
      <c r="D19" s="223">
        <v>963</v>
      </c>
      <c r="E19" s="223">
        <v>2125</v>
      </c>
      <c r="F19" s="223">
        <v>31</v>
      </c>
      <c r="G19" s="223">
        <v>87</v>
      </c>
      <c r="H19" s="223">
        <v>118</v>
      </c>
      <c r="I19" s="223">
        <v>38563</v>
      </c>
      <c r="J19" s="223">
        <v>53134</v>
      </c>
      <c r="K19" s="223">
        <v>91697</v>
      </c>
      <c r="L19" s="223">
        <v>172227</v>
      </c>
      <c r="M19" s="223">
        <v>205188</v>
      </c>
      <c r="N19" s="223">
        <v>377415</v>
      </c>
      <c r="O19" s="223">
        <v>1039</v>
      </c>
      <c r="P19" s="223">
        <v>843</v>
      </c>
      <c r="Q19" s="223">
        <v>1882</v>
      </c>
      <c r="R19" s="223">
        <v>25726</v>
      </c>
      <c r="S19" s="223">
        <v>22053</v>
      </c>
      <c r="T19" s="223">
        <v>47779</v>
      </c>
      <c r="U19" s="223">
        <v>1063</v>
      </c>
      <c r="V19" s="223">
        <v>827</v>
      </c>
      <c r="W19" s="223">
        <v>1890</v>
      </c>
      <c r="X19" s="223">
        <v>657</v>
      </c>
      <c r="Y19" s="223">
        <v>730</v>
      </c>
      <c r="Z19" s="223">
        <v>1387</v>
      </c>
      <c r="AA19" s="223">
        <v>240468</v>
      </c>
      <c r="AB19" s="223">
        <v>283825</v>
      </c>
      <c r="AC19" s="224">
        <v>524293</v>
      </c>
    </row>
    <row r="20" spans="1:29" s="220" customFormat="1" ht="21.75" customHeight="1">
      <c r="A20" s="221">
        <v>16</v>
      </c>
      <c r="B20" s="225" t="s">
        <v>31</v>
      </c>
      <c r="C20" s="223">
        <v>668</v>
      </c>
      <c r="D20" s="223">
        <v>1276</v>
      </c>
      <c r="E20" s="223">
        <v>1944</v>
      </c>
      <c r="F20" s="223">
        <v>138</v>
      </c>
      <c r="G20" s="223">
        <v>524</v>
      </c>
      <c r="H20" s="223">
        <v>662</v>
      </c>
      <c r="I20" s="223">
        <v>10587</v>
      </c>
      <c r="J20" s="223">
        <v>29686</v>
      </c>
      <c r="K20" s="223">
        <v>40273</v>
      </c>
      <c r="L20" s="223">
        <v>49359</v>
      </c>
      <c r="M20" s="223">
        <v>101150</v>
      </c>
      <c r="N20" s="223">
        <v>150509</v>
      </c>
      <c r="O20" s="223">
        <v>434</v>
      </c>
      <c r="P20" s="223">
        <v>308</v>
      </c>
      <c r="Q20" s="223">
        <v>742</v>
      </c>
      <c r="R20" s="223">
        <v>6590</v>
      </c>
      <c r="S20" s="223">
        <v>8770</v>
      </c>
      <c r="T20" s="223">
        <v>15360</v>
      </c>
      <c r="U20" s="223">
        <v>668</v>
      </c>
      <c r="V20" s="223">
        <v>803</v>
      </c>
      <c r="W20" s="223">
        <v>1471</v>
      </c>
      <c r="X20" s="223">
        <v>367</v>
      </c>
      <c r="Y20" s="223">
        <v>617</v>
      </c>
      <c r="Z20" s="223">
        <v>984</v>
      </c>
      <c r="AA20" s="223">
        <v>68811</v>
      </c>
      <c r="AB20" s="223">
        <v>143134</v>
      </c>
      <c r="AC20" s="224">
        <v>211945</v>
      </c>
    </row>
    <row r="21" spans="1:29" s="220" customFormat="1" ht="21.75" customHeight="1">
      <c r="A21" s="221">
        <v>17</v>
      </c>
      <c r="B21" s="225" t="s">
        <v>172</v>
      </c>
      <c r="C21" s="223">
        <v>0</v>
      </c>
      <c r="D21" s="223">
        <v>0</v>
      </c>
      <c r="E21" s="223">
        <v>0</v>
      </c>
      <c r="F21" s="223"/>
      <c r="G21" s="223"/>
      <c r="H21" s="223"/>
      <c r="I21" s="223">
        <v>13</v>
      </c>
      <c r="J21" s="223">
        <v>14</v>
      </c>
      <c r="K21" s="223">
        <v>27</v>
      </c>
      <c r="L21" s="223">
        <v>46</v>
      </c>
      <c r="M21" s="223">
        <v>176</v>
      </c>
      <c r="N21" s="223">
        <v>222</v>
      </c>
      <c r="O21" s="223"/>
      <c r="P21" s="223"/>
      <c r="Q21" s="223"/>
      <c r="R21" s="223">
        <v>57</v>
      </c>
      <c r="S21" s="223">
        <v>22</v>
      </c>
      <c r="T21" s="223">
        <v>79</v>
      </c>
      <c r="U21" s="223"/>
      <c r="V21" s="223"/>
      <c r="W21" s="223"/>
      <c r="X21" s="223">
        <v>0</v>
      </c>
      <c r="Y21" s="223">
        <v>0</v>
      </c>
      <c r="Z21" s="223">
        <v>0</v>
      </c>
      <c r="AA21" s="223">
        <v>116</v>
      </c>
      <c r="AB21" s="223">
        <v>212</v>
      </c>
      <c r="AC21" s="224">
        <v>328</v>
      </c>
    </row>
    <row r="22" spans="1:29" s="220" customFormat="1" ht="21.75" customHeight="1">
      <c r="A22" s="221">
        <v>18</v>
      </c>
      <c r="B22" s="225" t="s">
        <v>32</v>
      </c>
      <c r="C22" s="223"/>
      <c r="D22" s="223"/>
      <c r="E22" s="223"/>
      <c r="F22" s="223"/>
      <c r="G22" s="223"/>
      <c r="H22" s="223"/>
      <c r="I22" s="223">
        <v>0</v>
      </c>
      <c r="J22" s="223">
        <v>5</v>
      </c>
      <c r="K22" s="223">
        <v>5</v>
      </c>
      <c r="L22" s="223">
        <v>10</v>
      </c>
      <c r="M22" s="223">
        <v>104</v>
      </c>
      <c r="N22" s="223">
        <v>114</v>
      </c>
      <c r="O22" s="223"/>
      <c r="P22" s="223"/>
      <c r="Q22" s="223"/>
      <c r="R22" s="223"/>
      <c r="S22" s="223"/>
      <c r="T22" s="223"/>
      <c r="U22" s="223"/>
      <c r="V22" s="223"/>
      <c r="W22" s="223"/>
      <c r="X22" s="223"/>
      <c r="Y22" s="223"/>
      <c r="Z22" s="223"/>
      <c r="AA22" s="223">
        <v>10</v>
      </c>
      <c r="AB22" s="223">
        <v>109</v>
      </c>
      <c r="AC22" s="224">
        <v>119</v>
      </c>
    </row>
    <row r="23" spans="1:29" s="220" customFormat="1" ht="21.75" customHeight="1">
      <c r="A23" s="221">
        <v>19</v>
      </c>
      <c r="B23" s="225" t="s">
        <v>33</v>
      </c>
      <c r="C23" s="223">
        <v>642</v>
      </c>
      <c r="D23" s="223">
        <v>426</v>
      </c>
      <c r="E23" s="223">
        <v>1068</v>
      </c>
      <c r="F23" s="223">
        <v>314</v>
      </c>
      <c r="G23" s="223">
        <v>382</v>
      </c>
      <c r="H23" s="223">
        <v>696</v>
      </c>
      <c r="I23" s="223">
        <v>46766</v>
      </c>
      <c r="J23" s="223">
        <v>57033</v>
      </c>
      <c r="K23" s="223">
        <v>103799</v>
      </c>
      <c r="L23" s="223">
        <v>236949</v>
      </c>
      <c r="M23" s="223">
        <v>226488</v>
      </c>
      <c r="N23" s="223">
        <v>463437</v>
      </c>
      <c r="O23" s="223">
        <v>13544</v>
      </c>
      <c r="P23" s="223">
        <v>13168</v>
      </c>
      <c r="Q23" s="223">
        <v>26712</v>
      </c>
      <c r="R23" s="223">
        <v>37457</v>
      </c>
      <c r="S23" s="223">
        <v>22713</v>
      </c>
      <c r="T23" s="223">
        <v>60170</v>
      </c>
      <c r="U23" s="223">
        <v>1772</v>
      </c>
      <c r="V23" s="223">
        <v>922</v>
      </c>
      <c r="W23" s="223">
        <v>2694</v>
      </c>
      <c r="X23" s="223">
        <v>1760</v>
      </c>
      <c r="Y23" s="223">
        <v>1434</v>
      </c>
      <c r="Z23" s="223">
        <v>3194</v>
      </c>
      <c r="AA23" s="223">
        <v>339204</v>
      </c>
      <c r="AB23" s="223">
        <v>322566</v>
      </c>
      <c r="AC23" s="224">
        <v>661770</v>
      </c>
    </row>
    <row r="24" spans="1:29" s="220" customFormat="1" ht="21.75" customHeight="1">
      <c r="A24" s="221">
        <v>20</v>
      </c>
      <c r="B24" s="225" t="s">
        <v>34</v>
      </c>
      <c r="C24" s="223">
        <v>852</v>
      </c>
      <c r="D24" s="223">
        <v>605</v>
      </c>
      <c r="E24" s="223">
        <v>1457</v>
      </c>
      <c r="F24" s="223">
        <v>149</v>
      </c>
      <c r="G24" s="223">
        <v>150</v>
      </c>
      <c r="H24" s="223">
        <v>299</v>
      </c>
      <c r="I24" s="223">
        <v>81587</v>
      </c>
      <c r="J24" s="223">
        <v>88524</v>
      </c>
      <c r="K24" s="223">
        <v>170111</v>
      </c>
      <c r="L24" s="223">
        <v>410974</v>
      </c>
      <c r="M24" s="223">
        <v>359225</v>
      </c>
      <c r="N24" s="223">
        <v>770199</v>
      </c>
      <c r="O24" s="223">
        <v>6794</v>
      </c>
      <c r="P24" s="223">
        <v>5941</v>
      </c>
      <c r="Q24" s="223">
        <v>12735</v>
      </c>
      <c r="R24" s="223">
        <v>82453</v>
      </c>
      <c r="S24" s="223">
        <v>51796</v>
      </c>
      <c r="T24" s="223">
        <v>134249</v>
      </c>
      <c r="U24" s="223">
        <v>20251</v>
      </c>
      <c r="V24" s="223">
        <v>14555</v>
      </c>
      <c r="W24" s="223">
        <v>34806</v>
      </c>
      <c r="X24" s="223">
        <v>1472</v>
      </c>
      <c r="Y24" s="223">
        <v>1298</v>
      </c>
      <c r="Z24" s="223">
        <v>2770</v>
      </c>
      <c r="AA24" s="223">
        <v>604532</v>
      </c>
      <c r="AB24" s="223">
        <v>522094</v>
      </c>
      <c r="AC24" s="224">
        <v>1126626</v>
      </c>
    </row>
    <row r="25" spans="1:29" s="220" customFormat="1" ht="21.75" customHeight="1">
      <c r="A25" s="221">
        <v>21</v>
      </c>
      <c r="B25" s="225" t="s">
        <v>35</v>
      </c>
      <c r="C25" s="223">
        <v>69</v>
      </c>
      <c r="D25" s="223">
        <v>78</v>
      </c>
      <c r="E25" s="223">
        <v>147</v>
      </c>
      <c r="F25" s="223">
        <v>1</v>
      </c>
      <c r="G25" s="223">
        <v>5</v>
      </c>
      <c r="H25" s="223">
        <v>6</v>
      </c>
      <c r="I25" s="223">
        <v>1068</v>
      </c>
      <c r="J25" s="223">
        <v>1295</v>
      </c>
      <c r="K25" s="223">
        <v>2363</v>
      </c>
      <c r="L25" s="223">
        <v>12333</v>
      </c>
      <c r="M25" s="223">
        <v>11070</v>
      </c>
      <c r="N25" s="223">
        <v>23403</v>
      </c>
      <c r="O25" s="223">
        <v>128</v>
      </c>
      <c r="P25" s="223">
        <v>119</v>
      </c>
      <c r="Q25" s="223">
        <v>247</v>
      </c>
      <c r="R25" s="223">
        <v>408</v>
      </c>
      <c r="S25" s="223">
        <v>992</v>
      </c>
      <c r="T25" s="223">
        <v>1400</v>
      </c>
      <c r="U25" s="223">
        <v>121</v>
      </c>
      <c r="V25" s="223">
        <v>166</v>
      </c>
      <c r="W25" s="223">
        <v>287</v>
      </c>
      <c r="X25" s="223"/>
      <c r="Y25" s="223"/>
      <c r="Z25" s="223"/>
      <c r="AA25" s="223">
        <v>14128</v>
      </c>
      <c r="AB25" s="223">
        <v>13725</v>
      </c>
      <c r="AC25" s="224">
        <v>27853</v>
      </c>
    </row>
    <row r="26" spans="1:29" s="220" customFormat="1" ht="21.75" customHeight="1">
      <c r="A26" s="221">
        <v>22</v>
      </c>
      <c r="B26" s="225" t="s">
        <v>36</v>
      </c>
      <c r="C26" s="223">
        <v>37</v>
      </c>
      <c r="D26" s="223">
        <v>14</v>
      </c>
      <c r="E26" s="223">
        <v>51</v>
      </c>
      <c r="F26" s="223"/>
      <c r="G26" s="223"/>
      <c r="H26" s="223"/>
      <c r="I26" s="223">
        <v>1466</v>
      </c>
      <c r="J26" s="223">
        <v>2085</v>
      </c>
      <c r="K26" s="223">
        <v>3551</v>
      </c>
      <c r="L26" s="223">
        <v>5636</v>
      </c>
      <c r="M26" s="223">
        <v>7454</v>
      </c>
      <c r="N26" s="223">
        <v>13090</v>
      </c>
      <c r="O26" s="223">
        <v>34</v>
      </c>
      <c r="P26" s="223">
        <v>35</v>
      </c>
      <c r="Q26" s="223">
        <v>69</v>
      </c>
      <c r="R26" s="223">
        <v>357</v>
      </c>
      <c r="S26" s="223">
        <v>639</v>
      </c>
      <c r="T26" s="223">
        <v>996</v>
      </c>
      <c r="U26" s="223">
        <v>125</v>
      </c>
      <c r="V26" s="223">
        <v>142</v>
      </c>
      <c r="W26" s="223">
        <v>267</v>
      </c>
      <c r="X26" s="223"/>
      <c r="Y26" s="223"/>
      <c r="Z26" s="223"/>
      <c r="AA26" s="223">
        <v>7655</v>
      </c>
      <c r="AB26" s="223">
        <v>10369</v>
      </c>
      <c r="AC26" s="224">
        <v>18024</v>
      </c>
    </row>
    <row r="27" spans="1:29" s="220" customFormat="1" ht="21.75" customHeight="1">
      <c r="A27" s="221">
        <v>23</v>
      </c>
      <c r="B27" s="225" t="s">
        <v>37</v>
      </c>
      <c r="C27" s="223">
        <v>68</v>
      </c>
      <c r="D27" s="223">
        <v>74</v>
      </c>
      <c r="E27" s="223">
        <v>142</v>
      </c>
      <c r="F27" s="223">
        <v>37</v>
      </c>
      <c r="G27" s="223">
        <v>65</v>
      </c>
      <c r="H27" s="223">
        <v>102</v>
      </c>
      <c r="I27" s="223">
        <v>500</v>
      </c>
      <c r="J27" s="223">
        <v>532</v>
      </c>
      <c r="K27" s="223">
        <v>1032</v>
      </c>
      <c r="L27" s="223">
        <v>1919</v>
      </c>
      <c r="M27" s="223">
        <v>2137</v>
      </c>
      <c r="N27" s="223">
        <v>4056</v>
      </c>
      <c r="O27" s="223"/>
      <c r="P27" s="223"/>
      <c r="Q27" s="223"/>
      <c r="R27" s="223">
        <v>214</v>
      </c>
      <c r="S27" s="223">
        <v>462</v>
      </c>
      <c r="T27" s="223">
        <v>676</v>
      </c>
      <c r="U27" s="223"/>
      <c r="V27" s="223"/>
      <c r="W27" s="223"/>
      <c r="X27" s="223">
        <v>12</v>
      </c>
      <c r="Y27" s="223">
        <v>5</v>
      </c>
      <c r="Z27" s="223">
        <v>17</v>
      </c>
      <c r="AA27" s="223">
        <v>2750</v>
      </c>
      <c r="AB27" s="223">
        <v>3275</v>
      </c>
      <c r="AC27" s="224">
        <v>6025</v>
      </c>
    </row>
    <row r="28" spans="1:29" s="220" customFormat="1" ht="21.75" customHeight="1">
      <c r="A28" s="221">
        <v>24</v>
      </c>
      <c r="B28" s="225" t="s">
        <v>38</v>
      </c>
      <c r="C28" s="223">
        <v>25</v>
      </c>
      <c r="D28" s="223">
        <v>18</v>
      </c>
      <c r="E28" s="223">
        <v>43</v>
      </c>
      <c r="F28" s="223"/>
      <c r="G28" s="223"/>
      <c r="H28" s="223"/>
      <c r="I28" s="223">
        <v>811</v>
      </c>
      <c r="J28" s="223">
        <v>1065</v>
      </c>
      <c r="K28" s="223">
        <v>1876</v>
      </c>
      <c r="L28" s="223">
        <v>3271</v>
      </c>
      <c r="M28" s="223">
        <v>4097</v>
      </c>
      <c r="N28" s="223">
        <v>7368</v>
      </c>
      <c r="O28" s="223">
        <v>4</v>
      </c>
      <c r="P28" s="223">
        <v>14</v>
      </c>
      <c r="Q28" s="223">
        <v>18</v>
      </c>
      <c r="R28" s="223">
        <v>228</v>
      </c>
      <c r="S28" s="223">
        <v>325</v>
      </c>
      <c r="T28" s="223">
        <v>553</v>
      </c>
      <c r="U28" s="223">
        <v>33</v>
      </c>
      <c r="V28" s="223">
        <v>23</v>
      </c>
      <c r="W28" s="223">
        <v>56</v>
      </c>
      <c r="X28" s="223">
        <v>2</v>
      </c>
      <c r="Y28" s="223">
        <v>0</v>
      </c>
      <c r="Z28" s="223">
        <v>2</v>
      </c>
      <c r="AA28" s="223">
        <v>4374</v>
      </c>
      <c r="AB28" s="223">
        <v>5542</v>
      </c>
      <c r="AC28" s="224">
        <v>9916</v>
      </c>
    </row>
    <row r="29" spans="1:29" s="220" customFormat="1" ht="21.75" customHeight="1">
      <c r="A29" s="221">
        <v>25</v>
      </c>
      <c r="B29" s="225" t="s">
        <v>39</v>
      </c>
      <c r="C29" s="223">
        <v>344</v>
      </c>
      <c r="D29" s="223">
        <v>281</v>
      </c>
      <c r="E29" s="223">
        <v>625</v>
      </c>
      <c r="F29" s="223">
        <v>287</v>
      </c>
      <c r="G29" s="223">
        <v>332</v>
      </c>
      <c r="H29" s="223">
        <v>619</v>
      </c>
      <c r="I29" s="223">
        <v>11930</v>
      </c>
      <c r="J29" s="223">
        <v>12141</v>
      </c>
      <c r="K29" s="223">
        <v>24071</v>
      </c>
      <c r="L29" s="223">
        <v>78961</v>
      </c>
      <c r="M29" s="223">
        <v>79746</v>
      </c>
      <c r="N29" s="223">
        <v>158707</v>
      </c>
      <c r="O29" s="223">
        <v>597</v>
      </c>
      <c r="P29" s="223">
        <v>309</v>
      </c>
      <c r="Q29" s="223">
        <v>906</v>
      </c>
      <c r="R29" s="223">
        <v>21348</v>
      </c>
      <c r="S29" s="223">
        <v>10207</v>
      </c>
      <c r="T29" s="223">
        <v>31555</v>
      </c>
      <c r="U29" s="223">
        <v>222</v>
      </c>
      <c r="V29" s="223">
        <v>337</v>
      </c>
      <c r="W29" s="223">
        <v>559</v>
      </c>
      <c r="X29" s="223">
        <v>716</v>
      </c>
      <c r="Y29" s="223">
        <v>875</v>
      </c>
      <c r="Z29" s="223">
        <v>1591</v>
      </c>
      <c r="AA29" s="223">
        <v>114405</v>
      </c>
      <c r="AB29" s="223">
        <v>104228</v>
      </c>
      <c r="AC29" s="224">
        <v>218633</v>
      </c>
    </row>
    <row r="30" spans="1:29" s="220" customFormat="1" ht="21.75" customHeight="1">
      <c r="A30" s="221">
        <v>26</v>
      </c>
      <c r="B30" s="225" t="s">
        <v>40</v>
      </c>
      <c r="C30" s="223">
        <v>6</v>
      </c>
      <c r="D30" s="223">
        <v>2</v>
      </c>
      <c r="E30" s="223">
        <v>8</v>
      </c>
      <c r="F30" s="223">
        <v>10</v>
      </c>
      <c r="G30" s="223">
        <v>12</v>
      </c>
      <c r="H30" s="223">
        <v>22</v>
      </c>
      <c r="I30" s="223">
        <v>988</v>
      </c>
      <c r="J30" s="223">
        <v>1728</v>
      </c>
      <c r="K30" s="223">
        <v>2716</v>
      </c>
      <c r="L30" s="223">
        <v>5380</v>
      </c>
      <c r="M30" s="223">
        <v>7886</v>
      </c>
      <c r="N30" s="223">
        <v>13266</v>
      </c>
      <c r="O30" s="223">
        <v>25</v>
      </c>
      <c r="P30" s="223">
        <v>39</v>
      </c>
      <c r="Q30" s="223">
        <v>64</v>
      </c>
      <c r="R30" s="223">
        <v>693</v>
      </c>
      <c r="S30" s="223">
        <v>287</v>
      </c>
      <c r="T30" s="223">
        <v>980</v>
      </c>
      <c r="U30" s="223">
        <v>5</v>
      </c>
      <c r="V30" s="223">
        <v>19</v>
      </c>
      <c r="W30" s="223">
        <v>24</v>
      </c>
      <c r="X30" s="223">
        <v>0</v>
      </c>
      <c r="Y30" s="223">
        <v>0</v>
      </c>
      <c r="Z30" s="223">
        <v>0</v>
      </c>
      <c r="AA30" s="223">
        <v>7107</v>
      </c>
      <c r="AB30" s="223">
        <v>9973</v>
      </c>
      <c r="AC30" s="224">
        <v>17080</v>
      </c>
    </row>
    <row r="31" spans="1:29" s="220" customFormat="1" ht="21.75" customHeight="1">
      <c r="A31" s="221">
        <v>27</v>
      </c>
      <c r="B31" s="225" t="s">
        <v>41</v>
      </c>
      <c r="C31" s="223">
        <v>476</v>
      </c>
      <c r="D31" s="223">
        <v>446</v>
      </c>
      <c r="E31" s="223">
        <v>922</v>
      </c>
      <c r="F31" s="223">
        <v>46</v>
      </c>
      <c r="G31" s="223">
        <v>55</v>
      </c>
      <c r="H31" s="223">
        <v>101</v>
      </c>
      <c r="I31" s="223">
        <v>14957</v>
      </c>
      <c r="J31" s="223">
        <v>26972</v>
      </c>
      <c r="K31" s="223">
        <v>41929</v>
      </c>
      <c r="L31" s="223">
        <v>69085</v>
      </c>
      <c r="M31" s="223">
        <v>87265</v>
      </c>
      <c r="N31" s="223">
        <v>156350</v>
      </c>
      <c r="O31" s="223">
        <v>1356</v>
      </c>
      <c r="P31" s="223">
        <v>1865</v>
      </c>
      <c r="Q31" s="223">
        <v>3221</v>
      </c>
      <c r="R31" s="223">
        <v>15985</v>
      </c>
      <c r="S31" s="223">
        <v>12130</v>
      </c>
      <c r="T31" s="223">
        <v>28115</v>
      </c>
      <c r="U31" s="223">
        <v>309</v>
      </c>
      <c r="V31" s="223">
        <v>427</v>
      </c>
      <c r="W31" s="223">
        <v>736</v>
      </c>
      <c r="X31" s="223">
        <v>1127</v>
      </c>
      <c r="Y31" s="223">
        <v>1289</v>
      </c>
      <c r="Z31" s="223">
        <v>2416</v>
      </c>
      <c r="AA31" s="223">
        <v>103341</v>
      </c>
      <c r="AB31" s="223">
        <v>130449</v>
      </c>
      <c r="AC31" s="224">
        <v>233790</v>
      </c>
    </row>
    <row r="32" spans="1:29" s="220" customFormat="1" ht="21.75" customHeight="1">
      <c r="A32" s="221">
        <v>28</v>
      </c>
      <c r="B32" s="225" t="s">
        <v>42</v>
      </c>
      <c r="C32" s="223">
        <v>490</v>
      </c>
      <c r="D32" s="259">
        <v>524</v>
      </c>
      <c r="E32" s="223">
        <v>1014</v>
      </c>
      <c r="F32" s="223">
        <v>0</v>
      </c>
      <c r="G32" s="223">
        <v>76</v>
      </c>
      <c r="H32" s="223">
        <v>76</v>
      </c>
      <c r="I32" s="223">
        <v>22491</v>
      </c>
      <c r="J32" s="223">
        <v>36573</v>
      </c>
      <c r="K32" s="223">
        <v>59064</v>
      </c>
      <c r="L32" s="223">
        <v>220249</v>
      </c>
      <c r="M32" s="223">
        <v>237916</v>
      </c>
      <c r="N32" s="223">
        <v>458165</v>
      </c>
      <c r="O32" s="223">
        <v>2370</v>
      </c>
      <c r="P32" s="223">
        <v>1490</v>
      </c>
      <c r="Q32" s="223">
        <v>3860</v>
      </c>
      <c r="R32" s="223">
        <v>19761</v>
      </c>
      <c r="S32" s="223">
        <v>10203</v>
      </c>
      <c r="T32" s="223">
        <v>29964</v>
      </c>
      <c r="U32" s="223">
        <v>1733</v>
      </c>
      <c r="V32" s="223">
        <v>1526</v>
      </c>
      <c r="W32" s="223">
        <v>3259</v>
      </c>
      <c r="X32" s="223">
        <v>5708</v>
      </c>
      <c r="Y32" s="223">
        <v>5568</v>
      </c>
      <c r="Z32" s="223">
        <v>11276</v>
      </c>
      <c r="AA32" s="223">
        <v>272802</v>
      </c>
      <c r="AB32" s="223">
        <v>293876</v>
      </c>
      <c r="AC32" s="224">
        <v>566678</v>
      </c>
    </row>
    <row r="33" spans="1:29" s="220" customFormat="1" ht="21.75" customHeight="1">
      <c r="A33" s="221">
        <v>29</v>
      </c>
      <c r="B33" s="225" t="s">
        <v>43</v>
      </c>
      <c r="C33" s="223">
        <v>26</v>
      </c>
      <c r="D33" s="223">
        <v>28</v>
      </c>
      <c r="E33" s="223">
        <v>54</v>
      </c>
      <c r="F33" s="223">
        <v>14</v>
      </c>
      <c r="G33" s="223">
        <v>9</v>
      </c>
      <c r="H33" s="223">
        <v>23</v>
      </c>
      <c r="I33" s="223">
        <v>4339</v>
      </c>
      <c r="J33" s="223">
        <v>2765</v>
      </c>
      <c r="K33" s="223">
        <v>7104</v>
      </c>
      <c r="L33" s="223">
        <v>2723</v>
      </c>
      <c r="M33" s="223">
        <v>2430</v>
      </c>
      <c r="N33" s="223">
        <v>5153</v>
      </c>
      <c r="O33" s="223"/>
      <c r="P33" s="223"/>
      <c r="Q33" s="223"/>
      <c r="R33" s="223">
        <v>271</v>
      </c>
      <c r="S33" s="223">
        <v>258</v>
      </c>
      <c r="T33" s="223">
        <v>529</v>
      </c>
      <c r="U33" s="223"/>
      <c r="V33" s="223"/>
      <c r="W33" s="223"/>
      <c r="X33" s="223">
        <v>3</v>
      </c>
      <c r="Y33" s="223">
        <v>3</v>
      </c>
      <c r="Z33" s="223">
        <v>6</v>
      </c>
      <c r="AA33" s="223">
        <v>7376</v>
      </c>
      <c r="AB33" s="223">
        <v>5493</v>
      </c>
      <c r="AC33" s="224">
        <v>12869</v>
      </c>
    </row>
    <row r="34" spans="1:29" s="220" customFormat="1" ht="21.75" customHeight="1">
      <c r="A34" s="221">
        <v>30</v>
      </c>
      <c r="B34" s="225" t="s">
        <v>44</v>
      </c>
      <c r="C34" s="223">
        <v>1713</v>
      </c>
      <c r="D34" s="223">
        <v>1493</v>
      </c>
      <c r="E34" s="223">
        <v>3206</v>
      </c>
      <c r="F34" s="223">
        <v>1246</v>
      </c>
      <c r="G34" s="223">
        <v>3703</v>
      </c>
      <c r="H34" s="223">
        <v>4949</v>
      </c>
      <c r="I34" s="223">
        <v>57447</v>
      </c>
      <c r="J34" s="223">
        <v>106150</v>
      </c>
      <c r="K34" s="223">
        <v>163597</v>
      </c>
      <c r="L34" s="223">
        <v>284470</v>
      </c>
      <c r="M34" s="223">
        <v>362887</v>
      </c>
      <c r="N34" s="223">
        <v>647357</v>
      </c>
      <c r="O34" s="223">
        <v>3450</v>
      </c>
      <c r="P34" s="223">
        <v>3472</v>
      </c>
      <c r="Q34" s="223">
        <v>6922</v>
      </c>
      <c r="R34" s="223">
        <v>83336</v>
      </c>
      <c r="S34" s="223">
        <v>16812</v>
      </c>
      <c r="T34" s="223">
        <v>100148</v>
      </c>
      <c r="U34" s="223">
        <v>6026</v>
      </c>
      <c r="V34" s="223">
        <v>9094</v>
      </c>
      <c r="W34" s="223">
        <v>15120</v>
      </c>
      <c r="X34" s="223">
        <v>1373</v>
      </c>
      <c r="Y34" s="223">
        <v>1231</v>
      </c>
      <c r="Z34" s="223">
        <v>2604</v>
      </c>
      <c r="AA34" s="223">
        <v>439061</v>
      </c>
      <c r="AB34" s="223">
        <v>504842</v>
      </c>
      <c r="AC34" s="224">
        <v>943903</v>
      </c>
    </row>
    <row r="35" spans="1:29" s="220" customFormat="1" ht="21.75" customHeight="1">
      <c r="A35" s="221">
        <v>31</v>
      </c>
      <c r="B35" s="225" t="s">
        <v>142</v>
      </c>
      <c r="C35" s="223">
        <v>222</v>
      </c>
      <c r="D35" s="223">
        <v>106</v>
      </c>
      <c r="E35" s="223">
        <v>328</v>
      </c>
      <c r="F35" s="223">
        <v>1</v>
      </c>
      <c r="G35" s="223">
        <v>10</v>
      </c>
      <c r="H35" s="223">
        <v>11</v>
      </c>
      <c r="I35" s="223">
        <v>24495</v>
      </c>
      <c r="J35" s="223">
        <v>31163</v>
      </c>
      <c r="K35" s="223">
        <v>55658</v>
      </c>
      <c r="L35" s="223">
        <v>108498</v>
      </c>
      <c r="M35" s="223">
        <v>129980</v>
      </c>
      <c r="N35" s="223">
        <v>238478</v>
      </c>
      <c r="O35" s="223">
        <v>2099</v>
      </c>
      <c r="P35" s="223">
        <v>1369</v>
      </c>
      <c r="Q35" s="223">
        <v>3468</v>
      </c>
      <c r="R35" s="223">
        <v>14523</v>
      </c>
      <c r="S35" s="223">
        <v>13731</v>
      </c>
      <c r="T35" s="223">
        <v>28254</v>
      </c>
      <c r="U35" s="223">
        <v>954</v>
      </c>
      <c r="V35" s="223">
        <v>296</v>
      </c>
      <c r="W35" s="223">
        <v>1250</v>
      </c>
      <c r="X35" s="223">
        <v>511</v>
      </c>
      <c r="Y35" s="223">
        <v>354</v>
      </c>
      <c r="Z35" s="223">
        <v>865</v>
      </c>
      <c r="AA35" s="223">
        <v>151303</v>
      </c>
      <c r="AB35" s="223">
        <v>177009</v>
      </c>
      <c r="AC35" s="224">
        <v>328312</v>
      </c>
    </row>
    <row r="36" spans="1:29" s="220" customFormat="1" ht="47.25" customHeight="1">
      <c r="A36" s="221">
        <v>32</v>
      </c>
      <c r="B36" s="222" t="s">
        <v>173</v>
      </c>
      <c r="C36" s="223"/>
      <c r="D36" s="223"/>
      <c r="E36" s="223"/>
      <c r="F36" s="223"/>
      <c r="G36" s="223"/>
      <c r="H36" s="223"/>
      <c r="I36" s="223">
        <v>83</v>
      </c>
      <c r="J36" s="223">
        <v>195</v>
      </c>
      <c r="K36" s="223">
        <v>278</v>
      </c>
      <c r="L36" s="223">
        <v>720</v>
      </c>
      <c r="M36" s="223">
        <v>1143</v>
      </c>
      <c r="N36" s="223">
        <v>1863</v>
      </c>
      <c r="O36" s="223"/>
      <c r="P36" s="223"/>
      <c r="Q36" s="223"/>
      <c r="R36" s="223">
        <v>248</v>
      </c>
      <c r="S36" s="223">
        <v>91</v>
      </c>
      <c r="T36" s="223">
        <v>339</v>
      </c>
      <c r="U36" s="223"/>
      <c r="V36" s="223"/>
      <c r="W36" s="223"/>
      <c r="X36" s="223"/>
      <c r="Y36" s="223"/>
      <c r="Z36" s="223"/>
      <c r="AA36" s="223">
        <v>1051</v>
      </c>
      <c r="AB36" s="223">
        <v>1429</v>
      </c>
      <c r="AC36" s="224">
        <v>2480</v>
      </c>
    </row>
    <row r="37" spans="1:29" s="220" customFormat="1" ht="21.75" customHeight="1">
      <c r="A37" s="221">
        <v>33</v>
      </c>
      <c r="B37" s="225" t="s">
        <v>45</v>
      </c>
      <c r="C37" s="223">
        <v>19</v>
      </c>
      <c r="D37" s="223">
        <v>15</v>
      </c>
      <c r="E37" s="223">
        <v>34</v>
      </c>
      <c r="F37" s="223">
        <v>3</v>
      </c>
      <c r="G37" s="223">
        <v>3</v>
      </c>
      <c r="H37" s="223">
        <v>6</v>
      </c>
      <c r="I37" s="223">
        <v>1229</v>
      </c>
      <c r="J37" s="223">
        <v>1312</v>
      </c>
      <c r="K37" s="223">
        <v>2541</v>
      </c>
      <c r="L37" s="223">
        <v>8784</v>
      </c>
      <c r="M37" s="223">
        <v>9013</v>
      </c>
      <c r="N37" s="223">
        <v>17797</v>
      </c>
      <c r="O37" s="223">
        <v>18</v>
      </c>
      <c r="P37" s="223">
        <v>57</v>
      </c>
      <c r="Q37" s="223">
        <v>75</v>
      </c>
      <c r="R37" s="223">
        <v>711</v>
      </c>
      <c r="S37" s="223">
        <v>680</v>
      </c>
      <c r="T37" s="223">
        <v>1391</v>
      </c>
      <c r="U37" s="223">
        <v>18</v>
      </c>
      <c r="V37" s="223">
        <v>14</v>
      </c>
      <c r="W37" s="223">
        <v>32</v>
      </c>
      <c r="X37" s="223">
        <v>53</v>
      </c>
      <c r="Y37" s="223">
        <v>67</v>
      </c>
      <c r="Z37" s="223">
        <v>120</v>
      </c>
      <c r="AA37" s="223">
        <v>10835</v>
      </c>
      <c r="AB37" s="223">
        <v>11161</v>
      </c>
      <c r="AC37" s="224">
        <v>21996</v>
      </c>
    </row>
    <row r="38" spans="1:29" s="220" customFormat="1" ht="21.75" customHeight="1">
      <c r="A38" s="221">
        <v>34</v>
      </c>
      <c r="B38" s="225" t="s">
        <v>47</v>
      </c>
      <c r="C38" s="223">
        <v>1483</v>
      </c>
      <c r="D38" s="223">
        <v>734</v>
      </c>
      <c r="E38" s="223">
        <v>2217</v>
      </c>
      <c r="F38" s="223">
        <v>129</v>
      </c>
      <c r="G38" s="223">
        <v>170</v>
      </c>
      <c r="H38" s="223">
        <v>299</v>
      </c>
      <c r="I38" s="223">
        <v>81049</v>
      </c>
      <c r="J38" s="223">
        <v>104492</v>
      </c>
      <c r="K38" s="223">
        <v>185541</v>
      </c>
      <c r="L38" s="223">
        <v>539517</v>
      </c>
      <c r="M38" s="223">
        <v>560746</v>
      </c>
      <c r="N38" s="223">
        <v>1100263</v>
      </c>
      <c r="O38" s="223">
        <v>5819</v>
      </c>
      <c r="P38" s="223">
        <v>3818</v>
      </c>
      <c r="Q38" s="223">
        <v>9637</v>
      </c>
      <c r="R38" s="223">
        <v>61312</v>
      </c>
      <c r="S38" s="223">
        <v>33369</v>
      </c>
      <c r="T38" s="223">
        <v>94681</v>
      </c>
      <c r="U38" s="223">
        <v>2332</v>
      </c>
      <c r="V38" s="223">
        <v>3070</v>
      </c>
      <c r="W38" s="223">
        <v>5402</v>
      </c>
      <c r="X38" s="223">
        <v>4203</v>
      </c>
      <c r="Y38" s="223">
        <v>2318</v>
      </c>
      <c r="Z38" s="223">
        <v>6521</v>
      </c>
      <c r="AA38" s="223">
        <v>695844</v>
      </c>
      <c r="AB38" s="223">
        <v>708717</v>
      </c>
      <c r="AC38" s="224">
        <v>1404561</v>
      </c>
    </row>
    <row r="39" spans="1:29" s="220" customFormat="1" ht="21.75" customHeight="1">
      <c r="A39" s="221">
        <v>35</v>
      </c>
      <c r="B39" s="225" t="s">
        <v>46</v>
      </c>
      <c r="C39" s="223">
        <v>169</v>
      </c>
      <c r="D39" s="223">
        <v>97</v>
      </c>
      <c r="E39" s="223">
        <v>266</v>
      </c>
      <c r="F39" s="223"/>
      <c r="G39" s="223"/>
      <c r="H39" s="223"/>
      <c r="I39" s="223">
        <v>11443</v>
      </c>
      <c r="J39" s="223">
        <v>16256</v>
      </c>
      <c r="K39" s="223">
        <v>27699</v>
      </c>
      <c r="L39" s="223">
        <v>40376</v>
      </c>
      <c r="M39" s="223">
        <v>51203</v>
      </c>
      <c r="N39" s="223">
        <v>91579</v>
      </c>
      <c r="O39" s="223">
        <v>433</v>
      </c>
      <c r="P39" s="223">
        <v>430</v>
      </c>
      <c r="Q39" s="223">
        <v>863</v>
      </c>
      <c r="R39" s="223">
        <v>7168</v>
      </c>
      <c r="S39" s="223">
        <v>2889</v>
      </c>
      <c r="T39" s="223">
        <v>10057</v>
      </c>
      <c r="U39" s="223">
        <v>150</v>
      </c>
      <c r="V39" s="223">
        <v>37</v>
      </c>
      <c r="W39" s="223">
        <v>187</v>
      </c>
      <c r="X39" s="223">
        <v>513</v>
      </c>
      <c r="Y39" s="223">
        <v>386</v>
      </c>
      <c r="Z39" s="223">
        <v>899</v>
      </c>
      <c r="AA39" s="223">
        <v>60252</v>
      </c>
      <c r="AB39" s="223">
        <v>71298</v>
      </c>
      <c r="AC39" s="224">
        <v>131550</v>
      </c>
    </row>
    <row r="40" spans="1:29" s="220" customFormat="1" ht="21.75" customHeight="1">
      <c r="A40" s="221">
        <v>36</v>
      </c>
      <c r="B40" s="225" t="s">
        <v>48</v>
      </c>
      <c r="C40" s="223">
        <v>849</v>
      </c>
      <c r="D40" s="223">
        <v>610</v>
      </c>
      <c r="E40" s="223">
        <v>1459</v>
      </c>
      <c r="F40" s="223">
        <v>362</v>
      </c>
      <c r="G40" s="223">
        <v>318</v>
      </c>
      <c r="H40" s="223">
        <v>680</v>
      </c>
      <c r="I40" s="223">
        <v>33717</v>
      </c>
      <c r="J40" s="223">
        <v>57238</v>
      </c>
      <c r="K40" s="223">
        <v>90955</v>
      </c>
      <c r="L40" s="223">
        <v>192749</v>
      </c>
      <c r="M40" s="223">
        <v>207364</v>
      </c>
      <c r="N40" s="223">
        <v>400113</v>
      </c>
      <c r="O40" s="223">
        <v>661</v>
      </c>
      <c r="P40" s="223">
        <v>410</v>
      </c>
      <c r="Q40" s="223">
        <v>1071</v>
      </c>
      <c r="R40" s="223">
        <v>32530</v>
      </c>
      <c r="S40" s="223">
        <v>18448</v>
      </c>
      <c r="T40" s="223">
        <v>50978</v>
      </c>
      <c r="U40" s="223">
        <v>1868</v>
      </c>
      <c r="V40" s="223">
        <v>1286</v>
      </c>
      <c r="W40" s="223">
        <v>3154</v>
      </c>
      <c r="X40" s="223">
        <v>1107</v>
      </c>
      <c r="Y40" s="223">
        <v>779</v>
      </c>
      <c r="Z40" s="223">
        <v>1886</v>
      </c>
      <c r="AA40" s="223">
        <v>263843</v>
      </c>
      <c r="AB40" s="223">
        <v>286453</v>
      </c>
      <c r="AC40" s="224">
        <v>550296</v>
      </c>
    </row>
    <row r="41" spans="1:29" s="806" customFormat="1" ht="26.25" customHeight="1">
      <c r="A41" s="1102" t="s">
        <v>49</v>
      </c>
      <c r="B41" s="1103"/>
      <c r="C41" s="817">
        <f>SUM(C5:C40)</f>
        <v>14422</v>
      </c>
      <c r="D41" s="817">
        <f>SUM(D5:D40)</f>
        <v>11128</v>
      </c>
      <c r="E41" s="225">
        <f t="shared" ref="E41:Z41" si="0">SUM(E5:E40)</f>
        <v>25550</v>
      </c>
      <c r="F41" s="225">
        <f t="shared" si="0"/>
        <v>3299</v>
      </c>
      <c r="G41" s="225">
        <f t="shared" si="0"/>
        <v>6598</v>
      </c>
      <c r="H41" s="225">
        <f t="shared" si="0"/>
        <v>9897</v>
      </c>
      <c r="I41" s="225">
        <f t="shared" si="0"/>
        <v>620664</v>
      </c>
      <c r="J41" s="225">
        <f t="shared" si="0"/>
        <v>863164</v>
      </c>
      <c r="K41" s="225">
        <f t="shared" si="0"/>
        <v>1483828</v>
      </c>
      <c r="L41" s="225">
        <f t="shared" si="0"/>
        <v>3349549</v>
      </c>
      <c r="M41" s="225">
        <f t="shared" si="0"/>
        <v>3560297</v>
      </c>
      <c r="N41" s="817">
        <f>SUM(N5:N40)</f>
        <v>6909846</v>
      </c>
      <c r="O41" s="225">
        <f t="shared" si="0"/>
        <v>66518</v>
      </c>
      <c r="P41" s="225">
        <f t="shared" si="0"/>
        <v>64652</v>
      </c>
      <c r="Q41" s="225">
        <f t="shared" si="0"/>
        <v>131170</v>
      </c>
      <c r="R41" s="225">
        <f t="shared" si="0"/>
        <v>526325</v>
      </c>
      <c r="S41" s="225">
        <f t="shared" si="0"/>
        <v>321725</v>
      </c>
      <c r="T41" s="225">
        <f t="shared" si="0"/>
        <v>848050</v>
      </c>
      <c r="U41" s="225">
        <f t="shared" si="0"/>
        <v>45191</v>
      </c>
      <c r="V41" s="225">
        <f t="shared" si="0"/>
        <v>40101</v>
      </c>
      <c r="W41" s="225">
        <f t="shared" si="0"/>
        <v>85292</v>
      </c>
      <c r="X41" s="225">
        <f t="shared" si="0"/>
        <v>25855</v>
      </c>
      <c r="Y41" s="225">
        <f t="shared" si="0"/>
        <v>21548</v>
      </c>
      <c r="Z41" s="225">
        <f t="shared" si="0"/>
        <v>47403</v>
      </c>
      <c r="AA41" s="224">
        <f t="shared" ref="AA41:AB41" si="1">C41+F41+I41+L41+O41+R41+U41+X41</f>
        <v>4651823</v>
      </c>
      <c r="AB41" s="224">
        <f t="shared" si="1"/>
        <v>4889213</v>
      </c>
      <c r="AC41" s="224">
        <f t="shared" ref="AC41" si="2">AA41+AB41</f>
        <v>9541036</v>
      </c>
    </row>
  </sheetData>
  <mergeCells count="15">
    <mergeCell ref="A41:B41"/>
    <mergeCell ref="C1:K1"/>
    <mergeCell ref="L1:T1"/>
    <mergeCell ref="U1:AC1"/>
    <mergeCell ref="A2:A3"/>
    <mergeCell ref="B2:B3"/>
    <mergeCell ref="C2:E2"/>
    <mergeCell ref="F2:H2"/>
    <mergeCell ref="I2:K2"/>
    <mergeCell ref="L2:N2"/>
    <mergeCell ref="O2:Q2"/>
    <mergeCell ref="R2:T2"/>
    <mergeCell ref="U2:W2"/>
    <mergeCell ref="X2:Z2"/>
    <mergeCell ref="AA2:AC2"/>
  </mergeCells>
  <printOptions horizontalCentered="1"/>
  <pageMargins left="0.51181102362204722" right="0.31496062992125984" top="0.39370078740157483" bottom="0.39370078740157483" header="0.19685039370078741" footer="0.15748031496062992"/>
  <pageSetup paperSize="9" scale="85" firstPageNumber="104" orientation="portrait" useFirstPageNumber="1" r:id="rId1"/>
  <headerFooter>
    <oddFooter>&amp;L     AISHE 2020-21&amp;CT-33</oddFooter>
  </headerFooter>
  <colBreaks count="2" manualBreakCount="2">
    <brk id="11" max="38" man="1"/>
    <brk id="20" max="1048575" man="1"/>
  </colBreaks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50"/>
  </sheetPr>
  <dimension ref="A1:Z49"/>
  <sheetViews>
    <sheetView view="pageBreakPreview" zoomScaleSheetLayoutView="100" workbookViewId="0">
      <pane xSplit="2" ySplit="4" topLeftCell="O32" activePane="bottomRight" state="frozen"/>
      <selection activeCell="H31" sqref="H31"/>
      <selection pane="topRight" activeCell="H31" sqref="H31"/>
      <selection pane="bottomLeft" activeCell="H31" sqref="H31"/>
      <selection pane="bottomRight" activeCell="Z41" sqref="Z41"/>
    </sheetView>
  </sheetViews>
  <sheetFormatPr defaultColWidth="9.1796875" defaultRowHeight="14"/>
  <cols>
    <col min="1" max="1" width="5.1796875" style="658" customWidth="1"/>
    <col min="2" max="2" width="18.54296875" style="658" customWidth="1"/>
    <col min="3" max="3" width="9.26953125" style="658" customWidth="1"/>
    <col min="4" max="4" width="9.1796875" style="658" customWidth="1"/>
    <col min="5" max="5" width="9" style="658" customWidth="1"/>
    <col min="6" max="6" width="9.26953125" style="658" customWidth="1"/>
    <col min="7" max="7" width="10.7265625" style="658" bestFit="1" customWidth="1"/>
    <col min="8" max="8" width="9.1796875" style="658" customWidth="1"/>
    <col min="9" max="9" width="8.26953125" style="658" customWidth="1"/>
    <col min="10" max="10" width="8.54296875" style="658" customWidth="1"/>
    <col min="11" max="11" width="7.81640625" style="658" customWidth="1"/>
    <col min="12" max="12" width="9" style="658" customWidth="1"/>
    <col min="13" max="13" width="9.1796875" style="658" customWidth="1"/>
    <col min="14" max="14" width="9.26953125" style="658" customWidth="1"/>
    <col min="15" max="23" width="9.1796875" style="658"/>
    <col min="24" max="24" width="7.453125" style="658" customWidth="1"/>
    <col min="25" max="25" width="10.26953125" style="658" bestFit="1" customWidth="1"/>
    <col min="26" max="16384" width="9.1796875" style="658"/>
  </cols>
  <sheetData>
    <row r="1" spans="1:26" s="216" customFormat="1" ht="27" customHeight="1">
      <c r="B1" s="158" t="s">
        <v>53</v>
      </c>
      <c r="C1" s="1020" t="s">
        <v>977</v>
      </c>
      <c r="D1" s="1020"/>
      <c r="E1" s="1020"/>
      <c r="F1" s="1020"/>
      <c r="G1" s="1020"/>
      <c r="H1" s="1020"/>
      <c r="I1" s="1020"/>
      <c r="J1" s="1020"/>
      <c r="K1" s="1020"/>
      <c r="L1" s="1020"/>
      <c r="M1" s="1020"/>
      <c r="N1" s="1020"/>
      <c r="O1" s="1020" t="s">
        <v>978</v>
      </c>
      <c r="P1" s="1020"/>
      <c r="Q1" s="1020"/>
      <c r="R1" s="1020"/>
      <c r="S1" s="1020"/>
      <c r="T1" s="1020"/>
      <c r="U1" s="1020"/>
      <c r="V1" s="1020"/>
      <c r="W1" s="1020"/>
      <c r="X1" s="648"/>
      <c r="Y1" s="648"/>
    </row>
    <row r="2" spans="1:26" s="649" customFormat="1" ht="37.5" customHeight="1">
      <c r="A2" s="1021" t="s">
        <v>84</v>
      </c>
      <c r="B2" s="1018" t="s">
        <v>2</v>
      </c>
      <c r="C2" s="1023" t="s">
        <v>152</v>
      </c>
      <c r="D2" s="1024"/>
      <c r="E2" s="1025"/>
      <c r="F2" s="1023" t="s">
        <v>538</v>
      </c>
      <c r="G2" s="1024"/>
      <c r="H2" s="1025"/>
      <c r="I2" s="1023" t="s">
        <v>315</v>
      </c>
      <c r="J2" s="1024"/>
      <c r="K2" s="1025"/>
      <c r="L2" s="1023" t="s">
        <v>316</v>
      </c>
      <c r="M2" s="1024"/>
      <c r="N2" s="1025"/>
      <c r="O2" s="1026" t="s">
        <v>108</v>
      </c>
      <c r="P2" s="1027"/>
      <c r="Q2" s="1028"/>
      <c r="R2" s="1026" t="s">
        <v>109</v>
      </c>
      <c r="S2" s="1027"/>
      <c r="T2" s="1028"/>
      <c r="U2" s="1023" t="s">
        <v>110</v>
      </c>
      <c r="V2" s="1024"/>
      <c r="W2" s="1025"/>
      <c r="X2" s="1026" t="s">
        <v>296</v>
      </c>
      <c r="Y2" s="1027"/>
      <c r="Z2" s="1028"/>
    </row>
    <row r="3" spans="1:26" s="651" customFormat="1" ht="24.75" customHeight="1">
      <c r="A3" s="1022"/>
      <c r="B3" s="1018"/>
      <c r="C3" s="650" t="s">
        <v>87</v>
      </c>
      <c r="D3" s="650" t="s">
        <v>88</v>
      </c>
      <c r="E3" s="650" t="s">
        <v>12</v>
      </c>
      <c r="F3" s="650" t="s">
        <v>87</v>
      </c>
      <c r="G3" s="650" t="s">
        <v>88</v>
      </c>
      <c r="H3" s="650" t="s">
        <v>12</v>
      </c>
      <c r="I3" s="650" t="s">
        <v>87</v>
      </c>
      <c r="J3" s="650" t="s">
        <v>88</v>
      </c>
      <c r="K3" s="650" t="s">
        <v>12</v>
      </c>
      <c r="L3" s="650" t="s">
        <v>87</v>
      </c>
      <c r="M3" s="650" t="s">
        <v>88</v>
      </c>
      <c r="N3" s="650" t="s">
        <v>12</v>
      </c>
      <c r="O3" s="650" t="s">
        <v>87</v>
      </c>
      <c r="P3" s="650" t="s">
        <v>88</v>
      </c>
      <c r="Q3" s="650" t="s">
        <v>12</v>
      </c>
      <c r="R3" s="650" t="s">
        <v>87</v>
      </c>
      <c r="S3" s="650" t="s">
        <v>88</v>
      </c>
      <c r="T3" s="650" t="s">
        <v>12</v>
      </c>
      <c r="U3" s="650" t="s">
        <v>87</v>
      </c>
      <c r="V3" s="650" t="s">
        <v>88</v>
      </c>
      <c r="W3" s="650" t="s">
        <v>12</v>
      </c>
      <c r="X3" s="650" t="s">
        <v>87</v>
      </c>
      <c r="Y3" s="650" t="s">
        <v>88</v>
      </c>
      <c r="Z3" s="650" t="s">
        <v>12</v>
      </c>
    </row>
    <row r="4" spans="1:26" s="651" customFormat="1" ht="13.5" customHeight="1">
      <c r="A4" s="652">
        <v>1</v>
      </c>
      <c r="B4" s="653">
        <v>2</v>
      </c>
      <c r="C4" s="653">
        <v>3</v>
      </c>
      <c r="D4" s="653">
        <v>4</v>
      </c>
      <c r="E4" s="653">
        <v>5</v>
      </c>
      <c r="F4" s="653">
        <v>6</v>
      </c>
      <c r="G4" s="653">
        <v>7</v>
      </c>
      <c r="H4" s="653">
        <v>8</v>
      </c>
      <c r="I4" s="653">
        <v>9</v>
      </c>
      <c r="J4" s="653">
        <v>10</v>
      </c>
      <c r="K4" s="653">
        <v>11</v>
      </c>
      <c r="L4" s="653">
        <v>12</v>
      </c>
      <c r="M4" s="653">
        <v>13</v>
      </c>
      <c r="N4" s="653">
        <v>14</v>
      </c>
      <c r="O4" s="653">
        <v>3</v>
      </c>
      <c r="P4" s="653">
        <v>4</v>
      </c>
      <c r="Q4" s="653">
        <v>5</v>
      </c>
      <c r="R4" s="653">
        <v>6</v>
      </c>
      <c r="S4" s="653">
        <v>7</v>
      </c>
      <c r="T4" s="653">
        <v>8</v>
      </c>
      <c r="U4" s="653">
        <v>9</v>
      </c>
      <c r="V4" s="653">
        <v>10</v>
      </c>
      <c r="W4" s="653">
        <v>11</v>
      </c>
      <c r="X4" s="653">
        <v>12</v>
      </c>
      <c r="Y4" s="653">
        <v>13</v>
      </c>
      <c r="Z4" s="653">
        <v>14</v>
      </c>
    </row>
    <row r="5" spans="1:26" s="651" customFormat="1" ht="30.75" customHeight="1">
      <c r="A5" s="654">
        <v>1</v>
      </c>
      <c r="B5" s="655" t="s">
        <v>171</v>
      </c>
      <c r="C5" s="656">
        <v>827</v>
      </c>
      <c r="D5" s="656">
        <v>1277</v>
      </c>
      <c r="E5" s="656">
        <v>2104</v>
      </c>
      <c r="F5" s="656">
        <v>0</v>
      </c>
      <c r="G5" s="656">
        <v>0</v>
      </c>
      <c r="H5" s="656">
        <v>0</v>
      </c>
      <c r="I5" s="656">
        <v>1</v>
      </c>
      <c r="J5" s="656">
        <v>5</v>
      </c>
      <c r="K5" s="656">
        <v>6</v>
      </c>
      <c r="L5" s="656">
        <v>43</v>
      </c>
      <c r="M5" s="656">
        <v>49</v>
      </c>
      <c r="N5" s="656">
        <v>92</v>
      </c>
      <c r="O5" s="656">
        <v>0</v>
      </c>
      <c r="P5" s="656">
        <v>0</v>
      </c>
      <c r="Q5" s="656">
        <v>0</v>
      </c>
      <c r="R5" s="656">
        <v>10</v>
      </c>
      <c r="S5" s="656">
        <v>8</v>
      </c>
      <c r="T5" s="656">
        <v>18</v>
      </c>
      <c r="U5" s="656">
        <v>5</v>
      </c>
      <c r="V5" s="656">
        <v>6</v>
      </c>
      <c r="W5" s="656">
        <v>11</v>
      </c>
      <c r="X5" s="656">
        <v>1</v>
      </c>
      <c r="Y5" s="656">
        <v>5</v>
      </c>
      <c r="Z5" s="656">
        <v>6</v>
      </c>
    </row>
    <row r="6" spans="1:26" s="651" customFormat="1" ht="21.75" customHeight="1">
      <c r="A6" s="654">
        <v>2</v>
      </c>
      <c r="B6" s="657" t="s">
        <v>15</v>
      </c>
      <c r="C6" s="656">
        <v>222980</v>
      </c>
      <c r="D6" s="656">
        <v>214412</v>
      </c>
      <c r="E6" s="656">
        <v>437392</v>
      </c>
      <c r="F6" s="656">
        <v>29318</v>
      </c>
      <c r="G6" s="656">
        <v>30057</v>
      </c>
      <c r="H6" s="656">
        <v>59375</v>
      </c>
      <c r="I6" s="656">
        <v>8481</v>
      </c>
      <c r="J6" s="656">
        <v>7958</v>
      </c>
      <c r="K6" s="656">
        <v>16439</v>
      </c>
      <c r="L6" s="656">
        <v>89563</v>
      </c>
      <c r="M6" s="656">
        <v>80353</v>
      </c>
      <c r="N6" s="656">
        <v>169916</v>
      </c>
      <c r="O6" s="656">
        <v>78</v>
      </c>
      <c r="P6" s="656">
        <v>123</v>
      </c>
      <c r="Q6" s="656">
        <v>201</v>
      </c>
      <c r="R6" s="656">
        <v>3748</v>
      </c>
      <c r="S6" s="656">
        <v>3371</v>
      </c>
      <c r="T6" s="656">
        <v>7119</v>
      </c>
      <c r="U6" s="656">
        <v>625</v>
      </c>
      <c r="V6" s="656">
        <v>744</v>
      </c>
      <c r="W6" s="656">
        <v>1369</v>
      </c>
      <c r="X6" s="656">
        <v>1889</v>
      </c>
      <c r="Y6" s="656">
        <v>1856</v>
      </c>
      <c r="Z6" s="656">
        <v>3745</v>
      </c>
    </row>
    <row r="7" spans="1:26" s="651" customFormat="1" ht="21.75" customHeight="1">
      <c r="A7" s="654">
        <v>3</v>
      </c>
      <c r="B7" s="657" t="s">
        <v>16</v>
      </c>
      <c r="C7" s="656">
        <v>7435</v>
      </c>
      <c r="D7" s="656">
        <v>5840</v>
      </c>
      <c r="E7" s="656">
        <v>13275</v>
      </c>
      <c r="F7" s="656">
        <v>76</v>
      </c>
      <c r="G7" s="656">
        <v>41</v>
      </c>
      <c r="H7" s="656">
        <v>117</v>
      </c>
      <c r="I7" s="656">
        <v>4009</v>
      </c>
      <c r="J7" s="656">
        <v>3697</v>
      </c>
      <c r="K7" s="656">
        <v>7706</v>
      </c>
      <c r="L7" s="656">
        <v>249</v>
      </c>
      <c r="M7" s="656">
        <v>194</v>
      </c>
      <c r="N7" s="656">
        <v>443</v>
      </c>
      <c r="O7" s="656">
        <v>0</v>
      </c>
      <c r="P7" s="656">
        <v>0</v>
      </c>
      <c r="Q7" s="656">
        <v>0</v>
      </c>
      <c r="R7" s="656">
        <v>9</v>
      </c>
      <c r="S7" s="656">
        <v>10</v>
      </c>
      <c r="T7" s="656">
        <v>19</v>
      </c>
      <c r="U7" s="656">
        <v>280</v>
      </c>
      <c r="V7" s="656">
        <v>194</v>
      </c>
      <c r="W7" s="656">
        <v>474</v>
      </c>
      <c r="X7" s="656">
        <v>20</v>
      </c>
      <c r="Y7" s="656">
        <v>7</v>
      </c>
      <c r="Z7" s="656">
        <v>27</v>
      </c>
    </row>
    <row r="8" spans="1:26" s="651" customFormat="1" ht="21.75" customHeight="1">
      <c r="A8" s="654">
        <v>4</v>
      </c>
      <c r="B8" s="657" t="s">
        <v>17</v>
      </c>
      <c r="C8" s="656">
        <v>52090</v>
      </c>
      <c r="D8" s="656">
        <v>63376</v>
      </c>
      <c r="E8" s="656">
        <v>115466</v>
      </c>
      <c r="F8" s="656">
        <v>3103</v>
      </c>
      <c r="G8" s="656">
        <v>3456</v>
      </c>
      <c r="H8" s="656">
        <v>6559</v>
      </c>
      <c r="I8" s="656">
        <v>6169</v>
      </c>
      <c r="J8" s="656">
        <v>7761</v>
      </c>
      <c r="K8" s="656">
        <v>13930</v>
      </c>
      <c r="L8" s="656">
        <v>9462</v>
      </c>
      <c r="M8" s="656">
        <v>12912</v>
      </c>
      <c r="N8" s="656">
        <v>22374</v>
      </c>
      <c r="O8" s="656">
        <v>33</v>
      </c>
      <c r="P8" s="656">
        <v>15</v>
      </c>
      <c r="Q8" s="656">
        <v>48</v>
      </c>
      <c r="R8" s="656">
        <v>4976</v>
      </c>
      <c r="S8" s="656">
        <v>5487</v>
      </c>
      <c r="T8" s="656">
        <v>10463</v>
      </c>
      <c r="U8" s="656">
        <v>765</v>
      </c>
      <c r="V8" s="656">
        <v>1026</v>
      </c>
      <c r="W8" s="656">
        <v>1791</v>
      </c>
      <c r="X8" s="656">
        <v>744</v>
      </c>
      <c r="Y8" s="656">
        <v>938</v>
      </c>
      <c r="Z8" s="656">
        <v>1682</v>
      </c>
    </row>
    <row r="9" spans="1:26" s="651" customFormat="1" ht="21.75" customHeight="1">
      <c r="A9" s="654">
        <v>5</v>
      </c>
      <c r="B9" s="657" t="s">
        <v>18</v>
      </c>
      <c r="C9" s="656">
        <v>213699</v>
      </c>
      <c r="D9" s="656">
        <v>165382</v>
      </c>
      <c r="E9" s="656">
        <v>379081</v>
      </c>
      <c r="F9" s="656">
        <v>16118</v>
      </c>
      <c r="G9" s="656">
        <v>10840</v>
      </c>
      <c r="H9" s="656">
        <v>26958</v>
      </c>
      <c r="I9" s="656">
        <v>2299</v>
      </c>
      <c r="J9" s="656">
        <v>1601</v>
      </c>
      <c r="K9" s="656">
        <v>3900</v>
      </c>
      <c r="L9" s="656">
        <v>68341</v>
      </c>
      <c r="M9" s="656">
        <v>52715</v>
      </c>
      <c r="N9" s="656">
        <v>121056</v>
      </c>
      <c r="O9" s="656">
        <v>228</v>
      </c>
      <c r="P9" s="656">
        <v>65</v>
      </c>
      <c r="Q9" s="656">
        <v>293</v>
      </c>
      <c r="R9" s="656">
        <v>12161</v>
      </c>
      <c r="S9" s="656">
        <v>11192</v>
      </c>
      <c r="T9" s="656">
        <v>23353</v>
      </c>
      <c r="U9" s="656">
        <v>238</v>
      </c>
      <c r="V9" s="656">
        <v>379</v>
      </c>
      <c r="W9" s="656">
        <v>617</v>
      </c>
      <c r="X9" s="656">
        <v>1400</v>
      </c>
      <c r="Y9" s="656">
        <v>1200</v>
      </c>
      <c r="Z9" s="656">
        <v>2600</v>
      </c>
    </row>
    <row r="10" spans="1:26" s="651" customFormat="1" ht="21.75" customHeight="1">
      <c r="A10" s="654">
        <v>6</v>
      </c>
      <c r="B10" s="657" t="s">
        <v>19</v>
      </c>
      <c r="C10" s="656">
        <v>11070</v>
      </c>
      <c r="D10" s="656">
        <v>15160</v>
      </c>
      <c r="E10" s="656">
        <v>26230</v>
      </c>
      <c r="F10" s="656">
        <v>1051</v>
      </c>
      <c r="G10" s="656">
        <v>1345</v>
      </c>
      <c r="H10" s="656">
        <v>2396</v>
      </c>
      <c r="I10" s="656">
        <v>218</v>
      </c>
      <c r="J10" s="656">
        <v>241</v>
      </c>
      <c r="K10" s="656">
        <v>459</v>
      </c>
      <c r="L10" s="656">
        <v>787</v>
      </c>
      <c r="M10" s="656">
        <v>667</v>
      </c>
      <c r="N10" s="656">
        <v>1454</v>
      </c>
      <c r="O10" s="656">
        <v>28</v>
      </c>
      <c r="P10" s="656">
        <v>8</v>
      </c>
      <c r="Q10" s="656">
        <v>36</v>
      </c>
      <c r="R10" s="656">
        <v>53</v>
      </c>
      <c r="S10" s="656">
        <v>65</v>
      </c>
      <c r="T10" s="656">
        <v>118</v>
      </c>
      <c r="U10" s="656">
        <v>360</v>
      </c>
      <c r="V10" s="656">
        <v>548</v>
      </c>
      <c r="W10" s="656">
        <v>908</v>
      </c>
      <c r="X10" s="656">
        <v>106</v>
      </c>
      <c r="Y10" s="656">
        <v>110</v>
      </c>
      <c r="Z10" s="656">
        <v>216</v>
      </c>
    </row>
    <row r="11" spans="1:26" s="651" customFormat="1" ht="21.75" customHeight="1">
      <c r="A11" s="654">
        <v>7</v>
      </c>
      <c r="B11" s="657" t="s">
        <v>20</v>
      </c>
      <c r="C11" s="656">
        <v>89878</v>
      </c>
      <c r="D11" s="656">
        <v>106270</v>
      </c>
      <c r="E11" s="656">
        <v>196148</v>
      </c>
      <c r="F11" s="656">
        <v>10875</v>
      </c>
      <c r="G11" s="656">
        <v>11586</v>
      </c>
      <c r="H11" s="656">
        <v>22461</v>
      </c>
      <c r="I11" s="656">
        <v>13683</v>
      </c>
      <c r="J11" s="656">
        <v>18994</v>
      </c>
      <c r="K11" s="656">
        <v>32677</v>
      </c>
      <c r="L11" s="656">
        <v>38335</v>
      </c>
      <c r="M11" s="656">
        <v>43351</v>
      </c>
      <c r="N11" s="656">
        <v>81686</v>
      </c>
      <c r="O11" s="656">
        <v>19</v>
      </c>
      <c r="P11" s="656">
        <v>13</v>
      </c>
      <c r="Q11" s="656">
        <v>32</v>
      </c>
      <c r="R11" s="656">
        <v>327</v>
      </c>
      <c r="S11" s="656">
        <v>399</v>
      </c>
      <c r="T11" s="656">
        <v>726</v>
      </c>
      <c r="U11" s="656">
        <v>215</v>
      </c>
      <c r="V11" s="656">
        <v>535</v>
      </c>
      <c r="W11" s="656">
        <v>750</v>
      </c>
      <c r="X11" s="656">
        <v>60</v>
      </c>
      <c r="Y11" s="656">
        <v>60</v>
      </c>
      <c r="Z11" s="656">
        <v>120</v>
      </c>
    </row>
    <row r="12" spans="1:26" s="651" customFormat="1" ht="21.75" customHeight="1">
      <c r="A12" s="654">
        <v>8</v>
      </c>
      <c r="B12" s="657" t="s">
        <v>23</v>
      </c>
      <c r="C12" s="656">
        <v>212969</v>
      </c>
      <c r="D12" s="656">
        <v>223524</v>
      </c>
      <c r="E12" s="656">
        <v>436493</v>
      </c>
      <c r="F12" s="656">
        <v>4364</v>
      </c>
      <c r="G12" s="656">
        <v>4582</v>
      </c>
      <c r="H12" s="656">
        <v>8946</v>
      </c>
      <c r="I12" s="656">
        <v>1218</v>
      </c>
      <c r="J12" s="656">
        <v>1109</v>
      </c>
      <c r="K12" s="656">
        <v>2327</v>
      </c>
      <c r="L12" s="656">
        <v>7976</v>
      </c>
      <c r="M12" s="656">
        <v>6796</v>
      </c>
      <c r="N12" s="656">
        <v>14772</v>
      </c>
      <c r="O12" s="656">
        <v>299</v>
      </c>
      <c r="P12" s="656">
        <v>179</v>
      </c>
      <c r="Q12" s="656">
        <v>478</v>
      </c>
      <c r="R12" s="656">
        <v>2977</v>
      </c>
      <c r="S12" s="656">
        <v>1925</v>
      </c>
      <c r="T12" s="656">
        <v>4902</v>
      </c>
      <c r="U12" s="656">
        <v>762</v>
      </c>
      <c r="V12" s="656">
        <v>996</v>
      </c>
      <c r="W12" s="656">
        <v>1758</v>
      </c>
      <c r="X12" s="656">
        <v>2451</v>
      </c>
      <c r="Y12" s="656">
        <v>1526</v>
      </c>
      <c r="Z12" s="656">
        <v>3977</v>
      </c>
    </row>
    <row r="13" spans="1:26" s="651" customFormat="1" ht="21.75" customHeight="1">
      <c r="A13" s="654">
        <v>9</v>
      </c>
      <c r="B13" s="657" t="s">
        <v>24</v>
      </c>
      <c r="C13" s="656">
        <v>5774</v>
      </c>
      <c r="D13" s="656">
        <v>8211</v>
      </c>
      <c r="E13" s="656">
        <v>13985</v>
      </c>
      <c r="F13" s="656">
        <v>102</v>
      </c>
      <c r="G13" s="656">
        <v>91</v>
      </c>
      <c r="H13" s="656">
        <v>193</v>
      </c>
      <c r="I13" s="656">
        <v>357</v>
      </c>
      <c r="J13" s="656">
        <v>599</v>
      </c>
      <c r="K13" s="656">
        <v>956</v>
      </c>
      <c r="L13" s="656">
        <v>779</v>
      </c>
      <c r="M13" s="656">
        <v>1096</v>
      </c>
      <c r="N13" s="656">
        <v>1875</v>
      </c>
      <c r="O13" s="656">
        <v>0</v>
      </c>
      <c r="P13" s="656">
        <v>1</v>
      </c>
      <c r="Q13" s="656">
        <v>1</v>
      </c>
      <c r="R13" s="656">
        <v>200</v>
      </c>
      <c r="S13" s="656">
        <v>231</v>
      </c>
      <c r="T13" s="656">
        <v>431</v>
      </c>
      <c r="U13" s="656">
        <v>607</v>
      </c>
      <c r="V13" s="656">
        <v>997</v>
      </c>
      <c r="W13" s="656">
        <v>1604</v>
      </c>
      <c r="X13" s="656">
        <v>1</v>
      </c>
      <c r="Y13" s="656">
        <v>1</v>
      </c>
      <c r="Z13" s="656">
        <v>2</v>
      </c>
    </row>
    <row r="14" spans="1:26" s="651" customFormat="1" ht="21.75" customHeight="1">
      <c r="A14" s="654">
        <v>10</v>
      </c>
      <c r="B14" s="657" t="s">
        <v>25</v>
      </c>
      <c r="C14" s="656">
        <v>200217</v>
      </c>
      <c r="D14" s="656">
        <v>175535</v>
      </c>
      <c r="E14" s="656">
        <v>375752</v>
      </c>
      <c r="F14" s="656">
        <v>14253</v>
      </c>
      <c r="G14" s="656">
        <v>13199</v>
      </c>
      <c r="H14" s="656">
        <v>27452</v>
      </c>
      <c r="I14" s="656">
        <v>15167</v>
      </c>
      <c r="J14" s="656">
        <v>17200</v>
      </c>
      <c r="K14" s="656">
        <v>32367</v>
      </c>
      <c r="L14" s="656">
        <v>44393</v>
      </c>
      <c r="M14" s="656">
        <v>37327</v>
      </c>
      <c r="N14" s="656">
        <v>81720</v>
      </c>
      <c r="O14" s="656">
        <v>123</v>
      </c>
      <c r="P14" s="656">
        <v>126</v>
      </c>
      <c r="Q14" s="656">
        <v>249</v>
      </c>
      <c r="R14" s="656">
        <v>2275</v>
      </c>
      <c r="S14" s="656">
        <v>1991</v>
      </c>
      <c r="T14" s="656">
        <v>4266</v>
      </c>
      <c r="U14" s="656">
        <v>677</v>
      </c>
      <c r="V14" s="656">
        <v>519</v>
      </c>
      <c r="W14" s="656">
        <v>1196</v>
      </c>
      <c r="X14" s="656">
        <v>2485</v>
      </c>
      <c r="Y14" s="656">
        <v>1853</v>
      </c>
      <c r="Z14" s="656">
        <v>4338</v>
      </c>
    </row>
    <row r="15" spans="1:26" s="651" customFormat="1" ht="21.75" customHeight="1">
      <c r="A15" s="654">
        <v>11</v>
      </c>
      <c r="B15" s="657" t="s">
        <v>26</v>
      </c>
      <c r="C15" s="656">
        <v>89716</v>
      </c>
      <c r="D15" s="656">
        <v>133345</v>
      </c>
      <c r="E15" s="656">
        <v>223061</v>
      </c>
      <c r="F15" s="656">
        <v>8609</v>
      </c>
      <c r="G15" s="656">
        <v>12619</v>
      </c>
      <c r="H15" s="656">
        <v>21228</v>
      </c>
      <c r="I15" s="656">
        <v>325</v>
      </c>
      <c r="J15" s="656">
        <v>314</v>
      </c>
      <c r="K15" s="656">
        <v>639</v>
      </c>
      <c r="L15" s="656">
        <v>14030</v>
      </c>
      <c r="M15" s="656">
        <v>22405</v>
      </c>
      <c r="N15" s="656">
        <v>36435</v>
      </c>
      <c r="O15" s="656">
        <v>37</v>
      </c>
      <c r="P15" s="656">
        <v>18</v>
      </c>
      <c r="Q15" s="656">
        <v>55</v>
      </c>
      <c r="R15" s="656">
        <v>1198</v>
      </c>
      <c r="S15" s="656">
        <v>403</v>
      </c>
      <c r="T15" s="656">
        <v>1601</v>
      </c>
      <c r="U15" s="656">
        <v>515</v>
      </c>
      <c r="V15" s="656">
        <v>1306</v>
      </c>
      <c r="W15" s="656">
        <v>1821</v>
      </c>
      <c r="X15" s="656">
        <v>490</v>
      </c>
      <c r="Y15" s="656">
        <v>519</v>
      </c>
      <c r="Z15" s="656">
        <v>1009</v>
      </c>
    </row>
    <row r="16" spans="1:26" s="651" customFormat="1" ht="21.75" customHeight="1">
      <c r="A16" s="654">
        <v>12</v>
      </c>
      <c r="B16" s="657" t="s">
        <v>27</v>
      </c>
      <c r="C16" s="656">
        <v>21875</v>
      </c>
      <c r="D16" s="656">
        <v>34537</v>
      </c>
      <c r="E16" s="656">
        <v>56412</v>
      </c>
      <c r="F16" s="656">
        <v>2778</v>
      </c>
      <c r="G16" s="656">
        <v>4824</v>
      </c>
      <c r="H16" s="656">
        <v>7602</v>
      </c>
      <c r="I16" s="656">
        <v>890</v>
      </c>
      <c r="J16" s="656">
        <v>1496</v>
      </c>
      <c r="K16" s="656">
        <v>2386</v>
      </c>
      <c r="L16" s="656">
        <v>2041</v>
      </c>
      <c r="M16" s="656">
        <v>3700</v>
      </c>
      <c r="N16" s="656">
        <v>5741</v>
      </c>
      <c r="O16" s="656">
        <v>11</v>
      </c>
      <c r="P16" s="656">
        <v>2</v>
      </c>
      <c r="Q16" s="656">
        <v>13</v>
      </c>
      <c r="R16" s="656">
        <v>176</v>
      </c>
      <c r="S16" s="656">
        <v>113</v>
      </c>
      <c r="T16" s="656">
        <v>289</v>
      </c>
      <c r="U16" s="656">
        <v>350</v>
      </c>
      <c r="V16" s="656">
        <v>243</v>
      </c>
      <c r="W16" s="656">
        <v>593</v>
      </c>
      <c r="X16" s="656">
        <v>167</v>
      </c>
      <c r="Y16" s="656">
        <v>124</v>
      </c>
      <c r="Z16" s="656">
        <v>291</v>
      </c>
    </row>
    <row r="17" spans="1:26" s="651" customFormat="1" ht="21.75" customHeight="1">
      <c r="A17" s="654">
        <v>13</v>
      </c>
      <c r="B17" s="655" t="s">
        <v>57</v>
      </c>
      <c r="C17" s="656">
        <v>34804</v>
      </c>
      <c r="D17" s="656">
        <v>44669</v>
      </c>
      <c r="E17" s="656">
        <v>79473</v>
      </c>
      <c r="F17" s="656">
        <v>750</v>
      </c>
      <c r="G17" s="656">
        <v>1591</v>
      </c>
      <c r="H17" s="656">
        <v>2341</v>
      </c>
      <c r="I17" s="656">
        <v>969</v>
      </c>
      <c r="J17" s="656">
        <v>1034</v>
      </c>
      <c r="K17" s="656">
        <v>2003</v>
      </c>
      <c r="L17" s="656">
        <v>1394</v>
      </c>
      <c r="M17" s="656">
        <v>1301</v>
      </c>
      <c r="N17" s="656">
        <v>2695</v>
      </c>
      <c r="O17" s="656">
        <v>19</v>
      </c>
      <c r="P17" s="656">
        <v>69</v>
      </c>
      <c r="Q17" s="656">
        <v>88</v>
      </c>
      <c r="R17" s="656">
        <v>14909</v>
      </c>
      <c r="S17" s="656">
        <v>15752</v>
      </c>
      <c r="T17" s="656">
        <v>30661</v>
      </c>
      <c r="U17" s="656">
        <v>378</v>
      </c>
      <c r="V17" s="656">
        <v>459</v>
      </c>
      <c r="W17" s="656">
        <v>837</v>
      </c>
      <c r="X17" s="656">
        <v>230</v>
      </c>
      <c r="Y17" s="656">
        <v>330</v>
      </c>
      <c r="Z17" s="656">
        <v>560</v>
      </c>
    </row>
    <row r="18" spans="1:26" s="651" customFormat="1" ht="21.75" customHeight="1">
      <c r="A18" s="654">
        <v>14</v>
      </c>
      <c r="B18" s="657" t="s">
        <v>29</v>
      </c>
      <c r="C18" s="656">
        <v>79221</v>
      </c>
      <c r="D18" s="656">
        <v>87896</v>
      </c>
      <c r="E18" s="656">
        <v>167117</v>
      </c>
      <c r="F18" s="656">
        <v>6129</v>
      </c>
      <c r="G18" s="656">
        <v>6240</v>
      </c>
      <c r="H18" s="656">
        <v>12369</v>
      </c>
      <c r="I18" s="656">
        <v>10594</v>
      </c>
      <c r="J18" s="656">
        <v>16547</v>
      </c>
      <c r="K18" s="656">
        <v>27141</v>
      </c>
      <c r="L18" s="656">
        <v>25711</v>
      </c>
      <c r="M18" s="656">
        <v>28029</v>
      </c>
      <c r="N18" s="656">
        <v>53740</v>
      </c>
      <c r="O18" s="656">
        <v>66</v>
      </c>
      <c r="P18" s="656">
        <v>12</v>
      </c>
      <c r="Q18" s="656">
        <v>78</v>
      </c>
      <c r="R18" s="656">
        <v>2963</v>
      </c>
      <c r="S18" s="656">
        <v>2655</v>
      </c>
      <c r="T18" s="656">
        <v>5618</v>
      </c>
      <c r="U18" s="656">
        <v>674</v>
      </c>
      <c r="V18" s="656">
        <v>1341</v>
      </c>
      <c r="W18" s="656">
        <v>2015</v>
      </c>
      <c r="X18" s="656">
        <v>213</v>
      </c>
      <c r="Y18" s="656">
        <v>144</v>
      </c>
      <c r="Z18" s="656">
        <v>357</v>
      </c>
    </row>
    <row r="19" spans="1:26" s="651" customFormat="1" ht="21.75" customHeight="1">
      <c r="A19" s="654">
        <v>15</v>
      </c>
      <c r="B19" s="657" t="s">
        <v>30</v>
      </c>
      <c r="C19" s="656">
        <v>240468</v>
      </c>
      <c r="D19" s="656">
        <v>283825</v>
      </c>
      <c r="E19" s="656">
        <v>524293</v>
      </c>
      <c r="F19" s="656">
        <v>26243</v>
      </c>
      <c r="G19" s="656">
        <v>30533</v>
      </c>
      <c r="H19" s="656">
        <v>56776</v>
      </c>
      <c r="I19" s="656">
        <v>9860</v>
      </c>
      <c r="J19" s="656">
        <v>11197</v>
      </c>
      <c r="K19" s="656">
        <v>21057</v>
      </c>
      <c r="L19" s="656">
        <v>97732</v>
      </c>
      <c r="M19" s="656">
        <v>125356</v>
      </c>
      <c r="N19" s="656">
        <v>223088</v>
      </c>
      <c r="O19" s="656">
        <v>309</v>
      </c>
      <c r="P19" s="656">
        <v>235</v>
      </c>
      <c r="Q19" s="656">
        <v>544</v>
      </c>
      <c r="R19" s="656">
        <v>9723</v>
      </c>
      <c r="S19" s="656">
        <v>11515</v>
      </c>
      <c r="T19" s="656">
        <v>21238</v>
      </c>
      <c r="U19" s="656">
        <v>4617</v>
      </c>
      <c r="V19" s="656">
        <v>7685</v>
      </c>
      <c r="W19" s="656">
        <v>12302</v>
      </c>
      <c r="X19" s="656">
        <v>2678</v>
      </c>
      <c r="Y19" s="656">
        <v>3564</v>
      </c>
      <c r="Z19" s="656">
        <v>6242</v>
      </c>
    </row>
    <row r="20" spans="1:26" s="651" customFormat="1" ht="21.75" customHeight="1">
      <c r="A20" s="654">
        <v>16</v>
      </c>
      <c r="B20" s="657" t="s">
        <v>31</v>
      </c>
      <c r="C20" s="656">
        <v>68811</v>
      </c>
      <c r="D20" s="656">
        <v>143134</v>
      </c>
      <c r="E20" s="656">
        <v>211945</v>
      </c>
      <c r="F20" s="656">
        <v>2273</v>
      </c>
      <c r="G20" s="656">
        <v>7360</v>
      </c>
      <c r="H20" s="656">
        <v>9633</v>
      </c>
      <c r="I20" s="656">
        <v>416</v>
      </c>
      <c r="J20" s="656">
        <v>825</v>
      </c>
      <c r="K20" s="656">
        <v>1241</v>
      </c>
      <c r="L20" s="656">
        <v>21057</v>
      </c>
      <c r="M20" s="656">
        <v>51576</v>
      </c>
      <c r="N20" s="656">
        <v>72633</v>
      </c>
      <c r="O20" s="656">
        <v>152</v>
      </c>
      <c r="P20" s="656">
        <v>126</v>
      </c>
      <c r="Q20" s="656">
        <v>278</v>
      </c>
      <c r="R20" s="656">
        <v>7680</v>
      </c>
      <c r="S20" s="656">
        <v>16082</v>
      </c>
      <c r="T20" s="656">
        <v>23762</v>
      </c>
      <c r="U20" s="656">
        <v>5850</v>
      </c>
      <c r="V20" s="656">
        <v>11627</v>
      </c>
      <c r="W20" s="656">
        <v>17477</v>
      </c>
      <c r="X20" s="656">
        <v>716</v>
      </c>
      <c r="Y20" s="656">
        <v>2257</v>
      </c>
      <c r="Z20" s="656">
        <v>2973</v>
      </c>
    </row>
    <row r="21" spans="1:26" s="651" customFormat="1" ht="21.75" customHeight="1">
      <c r="A21" s="654">
        <v>17</v>
      </c>
      <c r="B21" s="182" t="s">
        <v>172</v>
      </c>
      <c r="C21" s="656">
        <v>116</v>
      </c>
      <c r="D21" s="656">
        <v>212</v>
      </c>
      <c r="E21" s="656">
        <v>328</v>
      </c>
      <c r="F21" s="656">
        <v>0</v>
      </c>
      <c r="G21" s="656">
        <v>0</v>
      </c>
      <c r="H21" s="656">
        <v>0</v>
      </c>
      <c r="I21" s="656">
        <v>30</v>
      </c>
      <c r="J21" s="656">
        <v>164</v>
      </c>
      <c r="K21" s="656">
        <v>194</v>
      </c>
      <c r="L21" s="656">
        <v>9</v>
      </c>
      <c r="M21" s="656">
        <v>0</v>
      </c>
      <c r="N21" s="656">
        <v>9</v>
      </c>
      <c r="O21" s="656">
        <v>0</v>
      </c>
      <c r="P21" s="656">
        <v>0</v>
      </c>
      <c r="Q21" s="656">
        <v>0</v>
      </c>
      <c r="R21" s="656">
        <v>52</v>
      </c>
      <c r="S21" s="656">
        <v>108</v>
      </c>
      <c r="T21" s="656">
        <v>160</v>
      </c>
      <c r="U21" s="656">
        <v>2</v>
      </c>
      <c r="V21" s="656">
        <v>57</v>
      </c>
      <c r="W21" s="656">
        <v>59</v>
      </c>
      <c r="X21" s="656">
        <v>0</v>
      </c>
      <c r="Y21" s="656">
        <v>0</v>
      </c>
      <c r="Z21" s="656">
        <v>0</v>
      </c>
    </row>
    <row r="22" spans="1:26" s="651" customFormat="1" ht="21.75" customHeight="1">
      <c r="A22" s="654">
        <v>18</v>
      </c>
      <c r="B22" s="657" t="s">
        <v>32</v>
      </c>
      <c r="C22" s="656">
        <v>10</v>
      </c>
      <c r="D22" s="656">
        <v>109</v>
      </c>
      <c r="E22" s="656">
        <v>119</v>
      </c>
      <c r="F22" s="656">
        <v>0</v>
      </c>
      <c r="G22" s="656">
        <v>0</v>
      </c>
      <c r="H22" s="656">
        <v>0</v>
      </c>
      <c r="I22" s="656">
        <v>0</v>
      </c>
      <c r="J22" s="656">
        <v>0</v>
      </c>
      <c r="K22" s="656">
        <v>0</v>
      </c>
      <c r="L22" s="656">
        <v>0</v>
      </c>
      <c r="M22" s="656">
        <v>0</v>
      </c>
      <c r="N22" s="656">
        <v>0</v>
      </c>
      <c r="O22" s="656">
        <v>0</v>
      </c>
      <c r="P22" s="656">
        <v>0</v>
      </c>
      <c r="Q22" s="656">
        <v>0</v>
      </c>
      <c r="R22" s="656">
        <v>0</v>
      </c>
      <c r="S22" s="656">
        <v>0</v>
      </c>
      <c r="T22" s="656">
        <v>0</v>
      </c>
      <c r="U22" s="656">
        <v>0</v>
      </c>
      <c r="V22" s="656">
        <v>0</v>
      </c>
      <c r="W22" s="656">
        <v>0</v>
      </c>
      <c r="X22" s="656">
        <v>0</v>
      </c>
      <c r="Y22" s="656">
        <v>0</v>
      </c>
      <c r="Z22" s="656">
        <v>0</v>
      </c>
    </row>
    <row r="23" spans="1:26" s="651" customFormat="1" ht="21.75" customHeight="1">
      <c r="A23" s="654">
        <v>19</v>
      </c>
      <c r="B23" s="657" t="s">
        <v>33</v>
      </c>
      <c r="C23" s="656">
        <v>339204</v>
      </c>
      <c r="D23" s="656">
        <v>322566</v>
      </c>
      <c r="E23" s="656">
        <v>661770</v>
      </c>
      <c r="F23" s="656">
        <v>45649</v>
      </c>
      <c r="G23" s="656">
        <v>42044</v>
      </c>
      <c r="H23" s="656">
        <v>87693</v>
      </c>
      <c r="I23" s="656">
        <v>29224</v>
      </c>
      <c r="J23" s="656">
        <v>31285</v>
      </c>
      <c r="K23" s="656">
        <v>60509</v>
      </c>
      <c r="L23" s="656">
        <v>118192</v>
      </c>
      <c r="M23" s="656">
        <v>121174</v>
      </c>
      <c r="N23" s="656">
        <v>239366</v>
      </c>
      <c r="O23" s="656">
        <v>181</v>
      </c>
      <c r="P23" s="656">
        <v>114</v>
      </c>
      <c r="Q23" s="656">
        <v>295</v>
      </c>
      <c r="R23" s="656">
        <v>3942</v>
      </c>
      <c r="S23" s="656">
        <v>3960</v>
      </c>
      <c r="T23" s="656">
        <v>7902</v>
      </c>
      <c r="U23" s="656">
        <v>1666</v>
      </c>
      <c r="V23" s="656">
        <v>2272</v>
      </c>
      <c r="W23" s="656">
        <v>3938</v>
      </c>
      <c r="X23" s="656">
        <v>717</v>
      </c>
      <c r="Y23" s="656">
        <v>709</v>
      </c>
      <c r="Z23" s="656">
        <v>1426</v>
      </c>
    </row>
    <row r="24" spans="1:26" s="651" customFormat="1" ht="21.75" customHeight="1">
      <c r="A24" s="654">
        <v>20</v>
      </c>
      <c r="B24" s="657" t="s">
        <v>34</v>
      </c>
      <c r="C24" s="656">
        <v>604532</v>
      </c>
      <c r="D24" s="656">
        <v>522094</v>
      </c>
      <c r="E24" s="656">
        <v>1126626</v>
      </c>
      <c r="F24" s="656">
        <v>60108</v>
      </c>
      <c r="G24" s="656">
        <v>57888</v>
      </c>
      <c r="H24" s="656">
        <v>117996</v>
      </c>
      <c r="I24" s="656">
        <v>21721</v>
      </c>
      <c r="J24" s="656">
        <v>18241</v>
      </c>
      <c r="K24" s="656">
        <v>39962</v>
      </c>
      <c r="L24" s="656">
        <v>156528</v>
      </c>
      <c r="M24" s="656">
        <v>134732</v>
      </c>
      <c r="N24" s="656">
        <v>291260</v>
      </c>
      <c r="O24" s="656">
        <v>742</v>
      </c>
      <c r="P24" s="656">
        <v>347</v>
      </c>
      <c r="Q24" s="656">
        <v>1089</v>
      </c>
      <c r="R24" s="656">
        <v>14696</v>
      </c>
      <c r="S24" s="656">
        <v>13547</v>
      </c>
      <c r="T24" s="656">
        <v>28243</v>
      </c>
      <c r="U24" s="656">
        <v>7904</v>
      </c>
      <c r="V24" s="656">
        <v>7510</v>
      </c>
      <c r="W24" s="656">
        <v>15414</v>
      </c>
      <c r="X24" s="656">
        <v>4099</v>
      </c>
      <c r="Y24" s="656">
        <v>3137</v>
      </c>
      <c r="Z24" s="656">
        <v>7236</v>
      </c>
    </row>
    <row r="25" spans="1:26" s="651" customFormat="1" ht="21.75" customHeight="1">
      <c r="A25" s="654">
        <v>21</v>
      </c>
      <c r="B25" s="657" t="s">
        <v>35</v>
      </c>
      <c r="C25" s="656">
        <v>14128</v>
      </c>
      <c r="D25" s="656">
        <v>13725</v>
      </c>
      <c r="E25" s="656">
        <v>27853</v>
      </c>
      <c r="F25" s="656">
        <v>872</v>
      </c>
      <c r="G25" s="656">
        <v>903</v>
      </c>
      <c r="H25" s="656">
        <v>1775</v>
      </c>
      <c r="I25" s="656">
        <v>2822</v>
      </c>
      <c r="J25" s="656">
        <v>3126</v>
      </c>
      <c r="K25" s="656">
        <v>5948</v>
      </c>
      <c r="L25" s="656">
        <v>3162</v>
      </c>
      <c r="M25" s="656">
        <v>3508</v>
      </c>
      <c r="N25" s="656">
        <v>6670</v>
      </c>
      <c r="O25" s="656">
        <v>73</v>
      </c>
      <c r="P25" s="656">
        <v>75</v>
      </c>
      <c r="Q25" s="656">
        <v>148</v>
      </c>
      <c r="R25" s="656">
        <v>325</v>
      </c>
      <c r="S25" s="656">
        <v>435</v>
      </c>
      <c r="T25" s="656">
        <v>760</v>
      </c>
      <c r="U25" s="656">
        <v>953</v>
      </c>
      <c r="V25" s="656">
        <v>819</v>
      </c>
      <c r="W25" s="656">
        <v>1772</v>
      </c>
      <c r="X25" s="656">
        <v>38</v>
      </c>
      <c r="Y25" s="656">
        <v>31</v>
      </c>
      <c r="Z25" s="656">
        <v>69</v>
      </c>
    </row>
    <row r="26" spans="1:26" s="651" customFormat="1" ht="21.75" customHeight="1">
      <c r="A26" s="654">
        <v>22</v>
      </c>
      <c r="B26" s="657" t="s">
        <v>36</v>
      </c>
      <c r="C26" s="656">
        <v>7655</v>
      </c>
      <c r="D26" s="656">
        <v>10369</v>
      </c>
      <c r="E26" s="656">
        <v>18024</v>
      </c>
      <c r="F26" s="656">
        <v>73</v>
      </c>
      <c r="G26" s="656">
        <v>85</v>
      </c>
      <c r="H26" s="656">
        <v>158</v>
      </c>
      <c r="I26" s="656">
        <v>4994</v>
      </c>
      <c r="J26" s="656">
        <v>7879</v>
      </c>
      <c r="K26" s="656">
        <v>12873</v>
      </c>
      <c r="L26" s="656">
        <v>221</v>
      </c>
      <c r="M26" s="656">
        <v>254</v>
      </c>
      <c r="N26" s="656">
        <v>475</v>
      </c>
      <c r="O26" s="656">
        <v>0</v>
      </c>
      <c r="P26" s="656">
        <v>2</v>
      </c>
      <c r="Q26" s="656">
        <v>2</v>
      </c>
      <c r="R26" s="656">
        <v>239</v>
      </c>
      <c r="S26" s="656">
        <v>180</v>
      </c>
      <c r="T26" s="656">
        <v>419</v>
      </c>
      <c r="U26" s="656">
        <v>1912</v>
      </c>
      <c r="V26" s="656">
        <v>3465</v>
      </c>
      <c r="W26" s="656">
        <v>5377</v>
      </c>
      <c r="X26" s="656">
        <v>3</v>
      </c>
      <c r="Y26" s="656">
        <v>11</v>
      </c>
      <c r="Z26" s="656">
        <v>14</v>
      </c>
    </row>
    <row r="27" spans="1:26" s="651" customFormat="1" ht="21.75" customHeight="1">
      <c r="A27" s="654">
        <v>23</v>
      </c>
      <c r="B27" s="657" t="s">
        <v>37</v>
      </c>
      <c r="C27" s="656">
        <v>2750</v>
      </c>
      <c r="D27" s="656">
        <v>3275</v>
      </c>
      <c r="E27" s="656">
        <v>6025</v>
      </c>
      <c r="F27" s="656">
        <v>21</v>
      </c>
      <c r="G27" s="656">
        <v>12</v>
      </c>
      <c r="H27" s="656">
        <v>33</v>
      </c>
      <c r="I27" s="656">
        <v>2264</v>
      </c>
      <c r="J27" s="656">
        <v>2790</v>
      </c>
      <c r="K27" s="656">
        <v>5054</v>
      </c>
      <c r="L27" s="656">
        <v>49</v>
      </c>
      <c r="M27" s="656">
        <v>32</v>
      </c>
      <c r="N27" s="656">
        <v>81</v>
      </c>
      <c r="O27" s="656">
        <v>2</v>
      </c>
      <c r="P27" s="656">
        <v>1</v>
      </c>
      <c r="Q27" s="656">
        <v>3</v>
      </c>
      <c r="R27" s="656">
        <v>15</v>
      </c>
      <c r="S27" s="656">
        <v>4</v>
      </c>
      <c r="T27" s="656">
        <v>19</v>
      </c>
      <c r="U27" s="656">
        <v>1590</v>
      </c>
      <c r="V27" s="656">
        <v>1757</v>
      </c>
      <c r="W27" s="656">
        <v>3347</v>
      </c>
      <c r="X27" s="656">
        <v>0</v>
      </c>
      <c r="Y27" s="656">
        <v>0</v>
      </c>
      <c r="Z27" s="656">
        <v>0</v>
      </c>
    </row>
    <row r="28" spans="1:26" s="651" customFormat="1" ht="21.75" customHeight="1">
      <c r="A28" s="654">
        <v>24</v>
      </c>
      <c r="B28" s="657" t="s">
        <v>38</v>
      </c>
      <c r="C28" s="656">
        <v>4374</v>
      </c>
      <c r="D28" s="656">
        <v>5542</v>
      </c>
      <c r="E28" s="656">
        <v>9916</v>
      </c>
      <c r="F28" s="656">
        <v>56</v>
      </c>
      <c r="G28" s="656">
        <v>47</v>
      </c>
      <c r="H28" s="656">
        <v>103</v>
      </c>
      <c r="I28" s="656">
        <v>3669</v>
      </c>
      <c r="J28" s="656">
        <v>4926</v>
      </c>
      <c r="K28" s="656">
        <v>8595</v>
      </c>
      <c r="L28" s="656">
        <v>101</v>
      </c>
      <c r="M28" s="656">
        <v>86</v>
      </c>
      <c r="N28" s="656">
        <v>187</v>
      </c>
      <c r="O28" s="656">
        <v>0</v>
      </c>
      <c r="P28" s="656">
        <v>0</v>
      </c>
      <c r="Q28" s="656">
        <v>0</v>
      </c>
      <c r="R28" s="656">
        <v>23</v>
      </c>
      <c r="S28" s="656">
        <v>36</v>
      </c>
      <c r="T28" s="656">
        <v>59</v>
      </c>
      <c r="U28" s="656">
        <v>1232</v>
      </c>
      <c r="V28" s="656">
        <v>1920</v>
      </c>
      <c r="W28" s="656">
        <v>3152</v>
      </c>
      <c r="X28" s="656">
        <v>36</v>
      </c>
      <c r="Y28" s="656">
        <v>11</v>
      </c>
      <c r="Z28" s="656">
        <v>47</v>
      </c>
    </row>
    <row r="29" spans="1:26" s="651" customFormat="1" ht="21.75" customHeight="1">
      <c r="A29" s="654">
        <v>25</v>
      </c>
      <c r="B29" s="657" t="s">
        <v>39</v>
      </c>
      <c r="C29" s="656">
        <v>114405</v>
      </c>
      <c r="D29" s="656">
        <v>104228</v>
      </c>
      <c r="E29" s="656">
        <v>218633</v>
      </c>
      <c r="F29" s="656">
        <v>16142</v>
      </c>
      <c r="G29" s="656">
        <v>14130</v>
      </c>
      <c r="H29" s="656">
        <v>30272</v>
      </c>
      <c r="I29" s="656">
        <v>12297</v>
      </c>
      <c r="J29" s="656">
        <v>12026</v>
      </c>
      <c r="K29" s="656">
        <v>24323</v>
      </c>
      <c r="L29" s="656">
        <v>19960</v>
      </c>
      <c r="M29" s="656">
        <v>19976</v>
      </c>
      <c r="N29" s="656">
        <v>39936</v>
      </c>
      <c r="O29" s="656">
        <v>58</v>
      </c>
      <c r="P29" s="656">
        <v>47</v>
      </c>
      <c r="Q29" s="656">
        <v>105</v>
      </c>
      <c r="R29" s="656">
        <v>781</v>
      </c>
      <c r="S29" s="656">
        <v>668</v>
      </c>
      <c r="T29" s="656">
        <v>1449</v>
      </c>
      <c r="U29" s="656">
        <v>215</v>
      </c>
      <c r="V29" s="656">
        <v>246</v>
      </c>
      <c r="W29" s="656">
        <v>461</v>
      </c>
      <c r="X29" s="656">
        <v>856</v>
      </c>
      <c r="Y29" s="656">
        <v>1119</v>
      </c>
      <c r="Z29" s="656">
        <v>1975</v>
      </c>
    </row>
    <row r="30" spans="1:26" s="651" customFormat="1" ht="21.75" customHeight="1">
      <c r="A30" s="654">
        <v>26</v>
      </c>
      <c r="B30" s="657" t="s">
        <v>40</v>
      </c>
      <c r="C30" s="656">
        <v>7107</v>
      </c>
      <c r="D30" s="656">
        <v>9973</v>
      </c>
      <c r="E30" s="656">
        <v>17080</v>
      </c>
      <c r="F30" s="656">
        <v>715</v>
      </c>
      <c r="G30" s="656">
        <v>766</v>
      </c>
      <c r="H30" s="656">
        <v>1481</v>
      </c>
      <c r="I30" s="656">
        <v>57</v>
      </c>
      <c r="J30" s="656">
        <v>57</v>
      </c>
      <c r="K30" s="656">
        <v>114</v>
      </c>
      <c r="L30" s="656">
        <v>4289</v>
      </c>
      <c r="M30" s="656">
        <v>4734</v>
      </c>
      <c r="N30" s="656">
        <v>9023</v>
      </c>
      <c r="O30" s="656">
        <v>11</v>
      </c>
      <c r="P30" s="656">
        <v>2</v>
      </c>
      <c r="Q30" s="656">
        <v>13</v>
      </c>
      <c r="R30" s="656">
        <v>160</v>
      </c>
      <c r="S30" s="656">
        <v>86</v>
      </c>
      <c r="T30" s="656">
        <v>246</v>
      </c>
      <c r="U30" s="656">
        <v>142</v>
      </c>
      <c r="V30" s="656">
        <v>262</v>
      </c>
      <c r="W30" s="656">
        <v>404</v>
      </c>
      <c r="X30" s="656">
        <v>15</v>
      </c>
      <c r="Y30" s="656">
        <v>18</v>
      </c>
      <c r="Z30" s="656">
        <v>33</v>
      </c>
    </row>
    <row r="31" spans="1:26" s="651" customFormat="1" ht="21.75" customHeight="1">
      <c r="A31" s="654">
        <v>27</v>
      </c>
      <c r="B31" s="657" t="s">
        <v>41</v>
      </c>
      <c r="C31" s="656">
        <v>103341</v>
      </c>
      <c r="D31" s="656">
        <v>130449</v>
      </c>
      <c r="E31" s="656">
        <v>233790</v>
      </c>
      <c r="F31" s="656">
        <v>16108</v>
      </c>
      <c r="G31" s="656">
        <v>26025</v>
      </c>
      <c r="H31" s="656">
        <v>42133</v>
      </c>
      <c r="I31" s="656">
        <v>411</v>
      </c>
      <c r="J31" s="656">
        <v>239</v>
      </c>
      <c r="K31" s="656">
        <v>650</v>
      </c>
      <c r="L31" s="656">
        <v>10353</v>
      </c>
      <c r="M31" s="656">
        <v>14876</v>
      </c>
      <c r="N31" s="656">
        <v>25229</v>
      </c>
      <c r="O31" s="656">
        <v>37</v>
      </c>
      <c r="P31" s="656">
        <v>21</v>
      </c>
      <c r="Q31" s="656">
        <v>58</v>
      </c>
      <c r="R31" s="656">
        <v>2172</v>
      </c>
      <c r="S31" s="656">
        <v>700</v>
      </c>
      <c r="T31" s="656">
        <v>2872</v>
      </c>
      <c r="U31" s="656">
        <v>7872</v>
      </c>
      <c r="V31" s="656">
        <v>13841</v>
      </c>
      <c r="W31" s="656">
        <v>21713</v>
      </c>
      <c r="X31" s="656">
        <v>1041</v>
      </c>
      <c r="Y31" s="656">
        <v>697</v>
      </c>
      <c r="Z31" s="656">
        <v>1738</v>
      </c>
    </row>
    <row r="32" spans="1:26" s="651" customFormat="1" ht="21.75" customHeight="1">
      <c r="A32" s="654">
        <v>28</v>
      </c>
      <c r="B32" s="657" t="s">
        <v>42</v>
      </c>
      <c r="C32" s="656">
        <v>272802</v>
      </c>
      <c r="D32" s="656">
        <v>293876</v>
      </c>
      <c r="E32" s="656">
        <v>566678</v>
      </c>
      <c r="F32" s="656">
        <v>37717</v>
      </c>
      <c r="G32" s="656">
        <v>41221</v>
      </c>
      <c r="H32" s="656">
        <v>78938</v>
      </c>
      <c r="I32" s="656">
        <v>29326</v>
      </c>
      <c r="J32" s="656">
        <v>33182</v>
      </c>
      <c r="K32" s="656">
        <v>62508</v>
      </c>
      <c r="L32" s="656">
        <v>92111</v>
      </c>
      <c r="M32" s="656">
        <v>113426</v>
      </c>
      <c r="N32" s="656">
        <v>205537</v>
      </c>
      <c r="O32" s="656">
        <v>244</v>
      </c>
      <c r="P32" s="656">
        <v>123</v>
      </c>
      <c r="Q32" s="656">
        <v>367</v>
      </c>
      <c r="R32" s="656">
        <v>2973</v>
      </c>
      <c r="S32" s="656">
        <v>3682</v>
      </c>
      <c r="T32" s="656">
        <v>6655</v>
      </c>
      <c r="U32" s="656">
        <v>1139</v>
      </c>
      <c r="V32" s="656">
        <v>2190</v>
      </c>
      <c r="W32" s="656">
        <v>3329</v>
      </c>
      <c r="X32" s="656">
        <v>1952</v>
      </c>
      <c r="Y32" s="656">
        <v>2230</v>
      </c>
      <c r="Z32" s="656">
        <v>4182</v>
      </c>
    </row>
    <row r="33" spans="1:26" s="651" customFormat="1" ht="21.75" customHeight="1">
      <c r="A33" s="654">
        <v>29</v>
      </c>
      <c r="B33" s="657" t="s">
        <v>43</v>
      </c>
      <c r="C33" s="656">
        <v>7376</v>
      </c>
      <c r="D33" s="656">
        <v>5493</v>
      </c>
      <c r="E33" s="656">
        <v>12869</v>
      </c>
      <c r="F33" s="656">
        <v>104</v>
      </c>
      <c r="G33" s="656">
        <v>91</v>
      </c>
      <c r="H33" s="656">
        <v>195</v>
      </c>
      <c r="I33" s="656">
        <v>387</v>
      </c>
      <c r="J33" s="656">
        <v>554</v>
      </c>
      <c r="K33" s="656">
        <v>941</v>
      </c>
      <c r="L33" s="656">
        <v>399</v>
      </c>
      <c r="M33" s="656">
        <v>594</v>
      </c>
      <c r="N33" s="656">
        <v>993</v>
      </c>
      <c r="O33" s="656">
        <v>0</v>
      </c>
      <c r="P33" s="656">
        <v>0</v>
      </c>
      <c r="Q33" s="656">
        <v>0</v>
      </c>
      <c r="R33" s="656">
        <v>15</v>
      </c>
      <c r="S33" s="656">
        <v>2</v>
      </c>
      <c r="T33" s="656">
        <v>17</v>
      </c>
      <c r="U33" s="656">
        <v>84</v>
      </c>
      <c r="V33" s="656">
        <v>97</v>
      </c>
      <c r="W33" s="656">
        <v>181</v>
      </c>
      <c r="X33" s="656">
        <v>0</v>
      </c>
      <c r="Y33" s="656">
        <v>0</v>
      </c>
      <c r="Z33" s="656">
        <v>0</v>
      </c>
    </row>
    <row r="34" spans="1:26" s="651" customFormat="1" ht="21.75" customHeight="1">
      <c r="A34" s="654">
        <v>30</v>
      </c>
      <c r="B34" s="657" t="s">
        <v>44</v>
      </c>
      <c r="C34" s="656">
        <v>439061</v>
      </c>
      <c r="D34" s="656">
        <v>504842</v>
      </c>
      <c r="E34" s="656">
        <v>943903</v>
      </c>
      <c r="F34" s="656">
        <v>62430</v>
      </c>
      <c r="G34" s="656">
        <v>78564</v>
      </c>
      <c r="H34" s="656">
        <v>140994</v>
      </c>
      <c r="I34" s="656">
        <v>3323</v>
      </c>
      <c r="J34" s="656">
        <v>3064</v>
      </c>
      <c r="K34" s="656">
        <v>6387</v>
      </c>
      <c r="L34" s="656">
        <v>234459</v>
      </c>
      <c r="M34" s="656">
        <v>278804</v>
      </c>
      <c r="N34" s="656">
        <v>513263</v>
      </c>
      <c r="O34" s="656">
        <v>523</v>
      </c>
      <c r="P34" s="656">
        <v>384</v>
      </c>
      <c r="Q34" s="656">
        <v>907</v>
      </c>
      <c r="R34" s="656">
        <v>12684</v>
      </c>
      <c r="S34" s="656">
        <v>12335</v>
      </c>
      <c r="T34" s="656">
        <v>25019</v>
      </c>
      <c r="U34" s="656">
        <v>14996</v>
      </c>
      <c r="V34" s="656">
        <v>23793</v>
      </c>
      <c r="W34" s="656">
        <v>38789</v>
      </c>
      <c r="X34" s="656">
        <v>4787</v>
      </c>
      <c r="Y34" s="656">
        <v>5327</v>
      </c>
      <c r="Z34" s="656">
        <v>10114</v>
      </c>
    </row>
    <row r="35" spans="1:26" s="651" customFormat="1" ht="21.75" customHeight="1">
      <c r="A35" s="654">
        <v>31</v>
      </c>
      <c r="B35" s="657" t="s">
        <v>142</v>
      </c>
      <c r="C35" s="656">
        <v>151303</v>
      </c>
      <c r="D35" s="656">
        <v>177009</v>
      </c>
      <c r="E35" s="656">
        <v>328312</v>
      </c>
      <c r="F35" s="656">
        <v>17861</v>
      </c>
      <c r="G35" s="656">
        <v>23359</v>
      </c>
      <c r="H35" s="656">
        <v>41220</v>
      </c>
      <c r="I35" s="656">
        <v>10152</v>
      </c>
      <c r="J35" s="656">
        <v>10601</v>
      </c>
      <c r="K35" s="656">
        <v>20753</v>
      </c>
      <c r="L35" s="656">
        <v>57057</v>
      </c>
      <c r="M35" s="656">
        <v>66536</v>
      </c>
      <c r="N35" s="656">
        <v>123593</v>
      </c>
      <c r="O35" s="656">
        <v>364</v>
      </c>
      <c r="P35" s="656">
        <v>440</v>
      </c>
      <c r="Q35" s="656">
        <v>804</v>
      </c>
      <c r="R35" s="656">
        <v>10796</v>
      </c>
      <c r="S35" s="656">
        <v>11123</v>
      </c>
      <c r="T35" s="656">
        <v>21919</v>
      </c>
      <c r="U35" s="656">
        <v>502</v>
      </c>
      <c r="V35" s="656">
        <v>1233</v>
      </c>
      <c r="W35" s="656">
        <v>1735</v>
      </c>
      <c r="X35" s="656">
        <v>1338</v>
      </c>
      <c r="Y35" s="656">
        <v>1461</v>
      </c>
      <c r="Z35" s="656">
        <v>2799</v>
      </c>
    </row>
    <row r="36" spans="1:26" s="651" customFormat="1" ht="50.25" customHeight="1">
      <c r="A36" s="654">
        <v>32</v>
      </c>
      <c r="B36" s="655" t="s">
        <v>173</v>
      </c>
      <c r="C36" s="656">
        <v>1051</v>
      </c>
      <c r="D36" s="656">
        <v>1429</v>
      </c>
      <c r="E36" s="656">
        <v>2480</v>
      </c>
      <c r="F36" s="656">
        <v>42</v>
      </c>
      <c r="G36" s="656">
        <v>71</v>
      </c>
      <c r="H36" s="656">
        <v>113</v>
      </c>
      <c r="I36" s="656">
        <v>159</v>
      </c>
      <c r="J36" s="656">
        <v>287</v>
      </c>
      <c r="K36" s="656">
        <v>446</v>
      </c>
      <c r="L36" s="656">
        <v>118</v>
      </c>
      <c r="M36" s="656">
        <v>247</v>
      </c>
      <c r="N36" s="656">
        <v>365</v>
      </c>
      <c r="O36" s="656">
        <v>2</v>
      </c>
      <c r="P36" s="656">
        <v>2</v>
      </c>
      <c r="Q36" s="656">
        <v>4</v>
      </c>
      <c r="R36" s="656">
        <v>7</v>
      </c>
      <c r="S36" s="656">
        <v>16</v>
      </c>
      <c r="T36" s="656">
        <v>23</v>
      </c>
      <c r="U36" s="656">
        <v>1</v>
      </c>
      <c r="V36" s="656">
        <v>76</v>
      </c>
      <c r="W36" s="656">
        <v>77</v>
      </c>
      <c r="X36" s="656">
        <v>0</v>
      </c>
      <c r="Y36" s="656">
        <v>1</v>
      </c>
      <c r="Z36" s="656">
        <v>1</v>
      </c>
    </row>
    <row r="37" spans="1:26" s="651" customFormat="1" ht="22.5" customHeight="1">
      <c r="A37" s="654">
        <v>33</v>
      </c>
      <c r="B37" s="657" t="s">
        <v>45</v>
      </c>
      <c r="C37" s="656">
        <v>10835</v>
      </c>
      <c r="D37" s="656">
        <v>11161</v>
      </c>
      <c r="E37" s="656">
        <v>21996</v>
      </c>
      <c r="F37" s="656">
        <v>1630</v>
      </c>
      <c r="G37" s="656">
        <v>1746</v>
      </c>
      <c r="H37" s="656">
        <v>3376</v>
      </c>
      <c r="I37" s="656">
        <v>1942</v>
      </c>
      <c r="J37" s="656">
        <v>2168</v>
      </c>
      <c r="K37" s="656">
        <v>4110</v>
      </c>
      <c r="L37" s="656">
        <v>1719</v>
      </c>
      <c r="M37" s="656">
        <v>1863</v>
      </c>
      <c r="N37" s="656">
        <v>3582</v>
      </c>
      <c r="O37" s="656">
        <v>16</v>
      </c>
      <c r="P37" s="656">
        <v>5</v>
      </c>
      <c r="Q37" s="656">
        <v>21</v>
      </c>
      <c r="R37" s="656">
        <v>137</v>
      </c>
      <c r="S37" s="656">
        <v>177</v>
      </c>
      <c r="T37" s="656">
        <v>314</v>
      </c>
      <c r="U37" s="656">
        <v>442</v>
      </c>
      <c r="V37" s="656">
        <v>361</v>
      </c>
      <c r="W37" s="656">
        <v>803</v>
      </c>
      <c r="X37" s="656">
        <v>16</v>
      </c>
      <c r="Y37" s="656">
        <v>20</v>
      </c>
      <c r="Z37" s="656">
        <v>36</v>
      </c>
    </row>
    <row r="38" spans="1:26" s="651" customFormat="1" ht="22.5" customHeight="1">
      <c r="A38" s="654">
        <v>34</v>
      </c>
      <c r="B38" s="657" t="s">
        <v>47</v>
      </c>
      <c r="C38" s="656">
        <v>695844</v>
      </c>
      <c r="D38" s="656">
        <v>708717</v>
      </c>
      <c r="E38" s="656">
        <v>1404561</v>
      </c>
      <c r="F38" s="656">
        <v>88808</v>
      </c>
      <c r="G38" s="656">
        <v>92736</v>
      </c>
      <c r="H38" s="656">
        <v>181544</v>
      </c>
      <c r="I38" s="656">
        <v>3291</v>
      </c>
      <c r="J38" s="656">
        <v>2792</v>
      </c>
      <c r="K38" s="656">
        <v>6083</v>
      </c>
      <c r="L38" s="656">
        <v>203417</v>
      </c>
      <c r="M38" s="656">
        <v>218450</v>
      </c>
      <c r="N38" s="656">
        <v>421867</v>
      </c>
      <c r="O38" s="656">
        <v>588</v>
      </c>
      <c r="P38" s="656">
        <v>196</v>
      </c>
      <c r="Q38" s="656">
        <v>784</v>
      </c>
      <c r="R38" s="656">
        <v>17840</v>
      </c>
      <c r="S38" s="656">
        <v>21939</v>
      </c>
      <c r="T38" s="656">
        <v>39779</v>
      </c>
      <c r="U38" s="656">
        <v>1327</v>
      </c>
      <c r="V38" s="656">
        <v>1633</v>
      </c>
      <c r="W38" s="656">
        <v>2960</v>
      </c>
      <c r="X38" s="656">
        <v>2588</v>
      </c>
      <c r="Y38" s="656">
        <v>1934</v>
      </c>
      <c r="Z38" s="656">
        <v>4522</v>
      </c>
    </row>
    <row r="39" spans="1:26" s="651" customFormat="1" ht="22.5" customHeight="1">
      <c r="A39" s="654">
        <v>35</v>
      </c>
      <c r="B39" s="657" t="s">
        <v>46</v>
      </c>
      <c r="C39" s="656">
        <v>60252</v>
      </c>
      <c r="D39" s="656">
        <v>71298</v>
      </c>
      <c r="E39" s="656">
        <v>131550</v>
      </c>
      <c r="F39" s="656">
        <v>5826</v>
      </c>
      <c r="G39" s="656">
        <v>8001</v>
      </c>
      <c r="H39" s="656">
        <v>13827</v>
      </c>
      <c r="I39" s="656">
        <v>1758</v>
      </c>
      <c r="J39" s="656">
        <v>2068</v>
      </c>
      <c r="K39" s="656">
        <v>3826</v>
      </c>
      <c r="L39" s="656">
        <v>7439</v>
      </c>
      <c r="M39" s="656">
        <v>8563</v>
      </c>
      <c r="N39" s="656">
        <v>16002</v>
      </c>
      <c r="O39" s="656">
        <v>172</v>
      </c>
      <c r="P39" s="656">
        <v>182</v>
      </c>
      <c r="Q39" s="656">
        <v>354</v>
      </c>
      <c r="R39" s="656">
        <v>1029</v>
      </c>
      <c r="S39" s="656">
        <v>819</v>
      </c>
      <c r="T39" s="656">
        <v>1848</v>
      </c>
      <c r="U39" s="656">
        <v>316</v>
      </c>
      <c r="V39" s="656">
        <v>400</v>
      </c>
      <c r="W39" s="656">
        <v>716</v>
      </c>
      <c r="X39" s="656">
        <v>81</v>
      </c>
      <c r="Y39" s="656">
        <v>82</v>
      </c>
      <c r="Z39" s="656">
        <v>163</v>
      </c>
    </row>
    <row r="40" spans="1:26" s="651" customFormat="1" ht="22.5" customHeight="1">
      <c r="A40" s="654">
        <v>36</v>
      </c>
      <c r="B40" s="657" t="s">
        <v>48</v>
      </c>
      <c r="C40" s="656">
        <v>263843</v>
      </c>
      <c r="D40" s="656">
        <v>286453</v>
      </c>
      <c r="E40" s="656">
        <v>550296</v>
      </c>
      <c r="F40" s="656">
        <v>41138</v>
      </c>
      <c r="G40" s="656">
        <v>40755</v>
      </c>
      <c r="H40" s="656">
        <v>81893</v>
      </c>
      <c r="I40" s="656">
        <v>7105</v>
      </c>
      <c r="J40" s="656">
        <v>7801</v>
      </c>
      <c r="K40" s="656">
        <v>14906</v>
      </c>
      <c r="L40" s="656">
        <v>40598</v>
      </c>
      <c r="M40" s="656">
        <v>39146</v>
      </c>
      <c r="N40" s="656">
        <v>79744</v>
      </c>
      <c r="O40" s="656">
        <v>300</v>
      </c>
      <c r="P40" s="656">
        <v>154</v>
      </c>
      <c r="Q40" s="656">
        <v>454</v>
      </c>
      <c r="R40" s="656">
        <v>17146</v>
      </c>
      <c r="S40" s="656">
        <v>20057</v>
      </c>
      <c r="T40" s="656">
        <v>37203</v>
      </c>
      <c r="U40" s="656">
        <v>1219</v>
      </c>
      <c r="V40" s="656">
        <v>1490</v>
      </c>
      <c r="W40" s="656">
        <v>2709</v>
      </c>
      <c r="X40" s="656">
        <v>1595</v>
      </c>
      <c r="Y40" s="656">
        <v>1505</v>
      </c>
      <c r="Z40" s="656">
        <v>3100</v>
      </c>
    </row>
    <row r="41" spans="1:26" s="812" customFormat="1" ht="22.5" customHeight="1">
      <c r="A41" s="1019" t="s">
        <v>49</v>
      </c>
      <c r="B41" s="1109"/>
      <c r="C41" s="811">
        <v>4651823</v>
      </c>
      <c r="D41" s="811">
        <v>4889213</v>
      </c>
      <c r="E41" s="811">
        <v>9541036</v>
      </c>
      <c r="F41" s="811">
        <v>521342</v>
      </c>
      <c r="G41" s="811">
        <v>566808</v>
      </c>
      <c r="H41" s="811">
        <v>1088150</v>
      </c>
      <c r="I41" s="811">
        <v>209588</v>
      </c>
      <c r="J41" s="811">
        <v>233828</v>
      </c>
      <c r="K41" s="811">
        <v>443416</v>
      </c>
      <c r="L41" s="811">
        <v>1372074</v>
      </c>
      <c r="M41" s="811">
        <v>1494828</v>
      </c>
      <c r="N41" s="811">
        <v>2866902</v>
      </c>
      <c r="O41" s="811">
        <v>4715</v>
      </c>
      <c r="P41" s="811">
        <v>3087</v>
      </c>
      <c r="Q41" s="811">
        <v>7802</v>
      </c>
      <c r="R41" s="811">
        <v>148417</v>
      </c>
      <c r="S41" s="811">
        <v>161073</v>
      </c>
      <c r="T41" s="811">
        <v>309490</v>
      </c>
      <c r="U41" s="811">
        <v>60432</v>
      </c>
      <c r="V41" s="811">
        <v>92027</v>
      </c>
      <c r="W41" s="811">
        <v>152459</v>
      </c>
      <c r="X41" s="811">
        <v>32813</v>
      </c>
      <c r="Y41" s="811">
        <v>32787</v>
      </c>
      <c r="Z41" s="811">
        <v>65600</v>
      </c>
    </row>
    <row r="42" spans="1:26" s="812" customFormat="1" ht="21.75" customHeight="1">
      <c r="A42" s="813"/>
      <c r="B42" s="813"/>
      <c r="C42" s="814" t="b">
        <f>'6TotalEnr'!AA41=C41</f>
        <v>0</v>
      </c>
      <c r="D42" s="814" t="b">
        <f>'6TotalEnr'!AB41=D41</f>
        <v>0</v>
      </c>
      <c r="E42" s="814" t="b">
        <f>'6TotalEnr'!AC41=E41</f>
        <v>0</v>
      </c>
      <c r="F42" s="814" t="b">
        <v>1</v>
      </c>
      <c r="G42" s="814" t="b">
        <v>1</v>
      </c>
      <c r="I42" s="814" t="b">
        <v>1</v>
      </c>
      <c r="J42" s="814" t="b">
        <v>1</v>
      </c>
      <c r="L42" s="814" t="b">
        <v>1</v>
      </c>
      <c r="M42" s="814" t="b">
        <v>1</v>
      </c>
      <c r="O42" s="814" t="b">
        <v>1</v>
      </c>
      <c r="P42" s="814" t="b">
        <v>1</v>
      </c>
      <c r="R42" s="814" t="b">
        <v>1</v>
      </c>
      <c r="S42" s="814" t="b">
        <v>1</v>
      </c>
      <c r="U42" s="814" t="b">
        <v>1</v>
      </c>
      <c r="V42" s="814" t="b">
        <v>1</v>
      </c>
    </row>
    <row r="43" spans="1:26">
      <c r="C43" s="658">
        <v>21119079</v>
      </c>
      <c r="D43" s="658">
        <v>19905778</v>
      </c>
      <c r="E43" s="658">
        <v>41024857</v>
      </c>
      <c r="F43" s="815">
        <v>51.20669043447591</v>
      </c>
      <c r="H43" s="816">
        <v>13.752845012963725</v>
      </c>
      <c r="I43" s="815">
        <v>49.925680726477388</v>
      </c>
      <c r="K43" s="816">
        <v>5.6347496835881721</v>
      </c>
      <c r="L43" s="815">
        <v>51.275262013750201</v>
      </c>
      <c r="N43" s="816">
        <f>N41/E41*100</f>
        <v>30.048120560492592</v>
      </c>
      <c r="O43" s="651"/>
      <c r="Q43" s="816">
        <v>0.19315606633315016</v>
      </c>
      <c r="T43" s="816">
        <v>4.4510697502248453</v>
      </c>
      <c r="W43" s="816">
        <v>1.9019590976270802</v>
      </c>
      <c r="X43" s="816"/>
      <c r="Y43" s="816"/>
    </row>
    <row r="44" spans="1:26">
      <c r="C44" s="658" t="b">
        <v>1</v>
      </c>
      <c r="D44" s="658" t="b">
        <v>1</v>
      </c>
      <c r="E44" s="658" t="b">
        <v>1</v>
      </c>
      <c r="L44" s="658">
        <v>50000</v>
      </c>
      <c r="N44" s="658">
        <v>50000</v>
      </c>
    </row>
    <row r="45" spans="1:26">
      <c r="C45" s="659"/>
      <c r="D45" s="659" t="s">
        <v>87</v>
      </c>
      <c r="E45" s="659" t="s">
        <v>88</v>
      </c>
      <c r="F45" s="659" t="s">
        <v>12</v>
      </c>
    </row>
    <row r="46" spans="1:26">
      <c r="C46" s="659" t="s">
        <v>95</v>
      </c>
      <c r="D46" s="659">
        <v>21119079</v>
      </c>
      <c r="E46" s="659">
        <v>19905778</v>
      </c>
      <c r="F46" s="659">
        <v>41024857</v>
      </c>
    </row>
    <row r="47" spans="1:26">
      <c r="C47" s="659" t="s">
        <v>112</v>
      </c>
      <c r="D47" s="659">
        <v>2889125</v>
      </c>
      <c r="E47" s="659">
        <v>2752960</v>
      </c>
      <c r="F47" s="659">
        <v>5642085</v>
      </c>
    </row>
    <row r="48" spans="1:26">
      <c r="C48" s="659" t="s">
        <v>113</v>
      </c>
      <c r="D48" s="659">
        <v>1154106</v>
      </c>
      <c r="E48" s="659">
        <v>1157542</v>
      </c>
      <c r="F48" s="659">
        <v>2311648</v>
      </c>
    </row>
    <row r="49" spans="3:6">
      <c r="C49" s="659" t="s">
        <v>114</v>
      </c>
      <c r="D49" s="659">
        <v>7253014</v>
      </c>
      <c r="E49" s="659">
        <v>6892236</v>
      </c>
      <c r="F49" s="659">
        <v>14145250</v>
      </c>
    </row>
  </sheetData>
  <mergeCells count="13">
    <mergeCell ref="U2:W2"/>
    <mergeCell ref="A41:B41"/>
    <mergeCell ref="X2:Z2"/>
    <mergeCell ref="C1:N1"/>
    <mergeCell ref="O1:W1"/>
    <mergeCell ref="A2:A3"/>
    <mergeCell ref="B2:B3"/>
    <mergeCell ref="C2:E2"/>
    <mergeCell ref="F2:H2"/>
    <mergeCell ref="I2:K2"/>
    <mergeCell ref="L2:N2"/>
    <mergeCell ref="O2:Q2"/>
    <mergeCell ref="R2:T2"/>
  </mergeCells>
  <printOptions horizontalCentered="1"/>
  <pageMargins left="0.39370078740157483" right="0.15748031496062992" top="0.51181102362204722" bottom="0.39370078740157483" header="0.19685039370078741" footer="0.15748031496062992"/>
  <pageSetup paperSize="9" scale="65" firstPageNumber="21" orientation="portrait" useFirstPageNumber="1" r:id="rId1"/>
  <headerFooter>
    <oddFooter>&amp;L&amp;"Arial,Italic"&amp;9     AISHE 2020-21&amp;CT-33a</oddFooter>
  </headerFooter>
  <colBreaks count="1" manualBreakCount="1">
    <brk id="14" max="40" man="1"/>
  </colBreaks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00B050"/>
  </sheetPr>
  <dimension ref="A1:E212"/>
  <sheetViews>
    <sheetView view="pageBreakPreview" topLeftCell="A190" zoomScaleSheetLayoutView="100" workbookViewId="0">
      <selection activeCell="E212" sqref="E212"/>
    </sheetView>
  </sheetViews>
  <sheetFormatPr defaultColWidth="9.1796875" defaultRowHeight="14"/>
  <cols>
    <col min="1" max="1" width="7.54296875" style="138" customWidth="1"/>
    <col min="2" max="2" width="54.26953125" style="142" customWidth="1"/>
    <col min="3" max="5" width="14" style="138" customWidth="1"/>
    <col min="6" max="16384" width="9.1796875" style="138"/>
  </cols>
  <sheetData>
    <row r="1" spans="1:5" s="143" customFormat="1" ht="25.9" customHeight="1">
      <c r="A1" s="1110" t="s">
        <v>1039</v>
      </c>
      <c r="B1" s="1110"/>
      <c r="C1" s="1110"/>
      <c r="D1" s="1110"/>
      <c r="E1" s="1110"/>
    </row>
    <row r="2" spans="1:5" s="227" customFormat="1" ht="28.9" customHeight="1">
      <c r="A2" s="579" t="s">
        <v>235</v>
      </c>
      <c r="B2" s="579" t="s">
        <v>537</v>
      </c>
      <c r="C2" s="226" t="s">
        <v>87</v>
      </c>
      <c r="D2" s="226" t="s">
        <v>88</v>
      </c>
      <c r="E2" s="226" t="s">
        <v>12</v>
      </c>
    </row>
    <row r="3" spans="1:5" s="134" customFormat="1" ht="12">
      <c r="A3" s="133">
        <v>1</v>
      </c>
      <c r="B3" s="133">
        <v>2</v>
      </c>
      <c r="C3" s="133">
        <v>3</v>
      </c>
      <c r="D3" s="133">
        <v>4</v>
      </c>
      <c r="E3" s="133">
        <v>5</v>
      </c>
    </row>
    <row r="4" spans="1:5" ht="18" customHeight="1">
      <c r="A4" s="135">
        <v>1</v>
      </c>
      <c r="B4" s="228" t="s">
        <v>348</v>
      </c>
      <c r="C4" s="137">
        <v>13440</v>
      </c>
      <c r="D4" s="137">
        <v>10706</v>
      </c>
      <c r="E4" s="137">
        <v>24146</v>
      </c>
    </row>
    <row r="5" spans="1:5" ht="18" customHeight="1">
      <c r="A5" s="135">
        <v>2</v>
      </c>
      <c r="B5" s="136" t="s">
        <v>350</v>
      </c>
      <c r="C5" s="137">
        <v>389</v>
      </c>
      <c r="D5" s="137">
        <v>114</v>
      </c>
      <c r="E5" s="137">
        <v>503</v>
      </c>
    </row>
    <row r="6" spans="1:5" ht="18" customHeight="1">
      <c r="A6" s="135">
        <v>3</v>
      </c>
      <c r="B6" s="136" t="s">
        <v>351</v>
      </c>
      <c r="C6" s="137">
        <v>239</v>
      </c>
      <c r="D6" s="137">
        <v>40</v>
      </c>
      <c r="E6" s="137">
        <v>279</v>
      </c>
    </row>
    <row r="7" spans="1:5" ht="18" customHeight="1">
      <c r="A7" s="135">
        <v>4</v>
      </c>
      <c r="B7" s="136" t="s">
        <v>354</v>
      </c>
      <c r="C7" s="137">
        <v>66</v>
      </c>
      <c r="D7" s="137">
        <v>110</v>
      </c>
      <c r="E7" s="137">
        <v>176</v>
      </c>
    </row>
    <row r="8" spans="1:5" ht="18" customHeight="1">
      <c r="A8" s="135">
        <v>5</v>
      </c>
      <c r="B8" s="136" t="s">
        <v>349</v>
      </c>
      <c r="C8" s="137">
        <v>104</v>
      </c>
      <c r="D8" s="137">
        <v>57</v>
      </c>
      <c r="E8" s="137">
        <v>161</v>
      </c>
    </row>
    <row r="9" spans="1:5" ht="18" customHeight="1">
      <c r="A9" s="135">
        <v>6</v>
      </c>
      <c r="B9" s="136" t="s">
        <v>352</v>
      </c>
      <c r="C9" s="137">
        <v>94</v>
      </c>
      <c r="D9" s="137">
        <v>27</v>
      </c>
      <c r="E9" s="137">
        <v>121</v>
      </c>
    </row>
    <row r="10" spans="1:5" ht="18" customHeight="1">
      <c r="A10" s="135">
        <v>7</v>
      </c>
      <c r="B10" s="136" t="s">
        <v>355</v>
      </c>
      <c r="C10" s="137">
        <v>47</v>
      </c>
      <c r="D10" s="137">
        <v>38</v>
      </c>
      <c r="E10" s="137">
        <v>85</v>
      </c>
    </row>
    <row r="11" spans="1:5" ht="18" customHeight="1">
      <c r="A11" s="135">
        <v>8</v>
      </c>
      <c r="B11" s="136" t="s">
        <v>353</v>
      </c>
      <c r="C11" s="137">
        <v>17</v>
      </c>
      <c r="D11" s="137">
        <v>25</v>
      </c>
      <c r="E11" s="137">
        <v>42</v>
      </c>
    </row>
    <row r="12" spans="1:5" ht="18" customHeight="1">
      <c r="A12" s="135">
        <v>9</v>
      </c>
      <c r="B12" s="136" t="s">
        <v>888</v>
      </c>
      <c r="C12" s="137">
        <v>26</v>
      </c>
      <c r="D12" s="137">
        <v>11</v>
      </c>
      <c r="E12" s="137">
        <v>37</v>
      </c>
    </row>
    <row r="13" spans="1:5" ht="18" customHeight="1">
      <c r="A13" s="135">
        <v>10</v>
      </c>
      <c r="B13" s="136" t="s">
        <v>356</v>
      </c>
      <c r="C13" s="137">
        <v>3299</v>
      </c>
      <c r="D13" s="137">
        <v>6598</v>
      </c>
      <c r="E13" s="137">
        <v>9897</v>
      </c>
    </row>
    <row r="14" spans="1:5" ht="18" customHeight="1">
      <c r="A14" s="135">
        <v>11</v>
      </c>
      <c r="B14" s="136" t="s">
        <v>357</v>
      </c>
      <c r="C14" s="137">
        <v>200278</v>
      </c>
      <c r="D14" s="137">
        <v>341825</v>
      </c>
      <c r="E14" s="137">
        <v>542103</v>
      </c>
    </row>
    <row r="15" spans="1:5" ht="18" customHeight="1">
      <c r="A15" s="135">
        <v>12</v>
      </c>
      <c r="B15" s="136" t="s">
        <v>358</v>
      </c>
      <c r="C15" s="137">
        <v>107158</v>
      </c>
      <c r="D15" s="137">
        <v>184894</v>
      </c>
      <c r="E15" s="137">
        <v>292052</v>
      </c>
    </row>
    <row r="16" spans="1:5" ht="18" customHeight="1">
      <c r="A16" s="135">
        <v>13</v>
      </c>
      <c r="B16" s="136" t="s">
        <v>359</v>
      </c>
      <c r="C16" s="137">
        <v>118048</v>
      </c>
      <c r="D16" s="137">
        <v>98239</v>
      </c>
      <c r="E16" s="137">
        <v>216287</v>
      </c>
    </row>
    <row r="17" spans="1:5" ht="18" customHeight="1">
      <c r="A17" s="135">
        <v>14</v>
      </c>
      <c r="B17" s="136" t="s">
        <v>360</v>
      </c>
      <c r="C17" s="137">
        <v>56935</v>
      </c>
      <c r="D17" s="137">
        <v>102919</v>
      </c>
      <c r="E17" s="137">
        <v>159854</v>
      </c>
    </row>
    <row r="18" spans="1:5" ht="18" customHeight="1">
      <c r="A18" s="135">
        <v>15</v>
      </c>
      <c r="B18" s="136" t="s">
        <v>362</v>
      </c>
      <c r="C18" s="137">
        <v>30140</v>
      </c>
      <c r="D18" s="137">
        <v>16368</v>
      </c>
      <c r="E18" s="137">
        <v>46508</v>
      </c>
    </row>
    <row r="19" spans="1:5" ht="18" customHeight="1">
      <c r="A19" s="135">
        <v>16</v>
      </c>
      <c r="B19" s="136" t="s">
        <v>361</v>
      </c>
      <c r="C19" s="137">
        <v>23679</v>
      </c>
      <c r="D19" s="137">
        <v>20490</v>
      </c>
      <c r="E19" s="137">
        <v>44169</v>
      </c>
    </row>
    <row r="20" spans="1:5" ht="18" customHeight="1">
      <c r="A20" s="135">
        <v>17</v>
      </c>
      <c r="B20" s="136" t="s">
        <v>365</v>
      </c>
      <c r="C20" s="137">
        <v>7266</v>
      </c>
      <c r="D20" s="137">
        <v>13639</v>
      </c>
      <c r="E20" s="137">
        <v>20905</v>
      </c>
    </row>
    <row r="21" spans="1:5" ht="18" customHeight="1">
      <c r="A21" s="135">
        <v>18</v>
      </c>
      <c r="B21" s="136" t="s">
        <v>364</v>
      </c>
      <c r="C21" s="137">
        <v>8997</v>
      </c>
      <c r="D21" s="137">
        <v>10845</v>
      </c>
      <c r="E21" s="137">
        <v>19842</v>
      </c>
    </row>
    <row r="22" spans="1:5" ht="18" customHeight="1">
      <c r="A22" s="135">
        <v>19</v>
      </c>
      <c r="B22" s="136" t="s">
        <v>363</v>
      </c>
      <c r="C22" s="137">
        <v>7398</v>
      </c>
      <c r="D22" s="137">
        <v>8163</v>
      </c>
      <c r="E22" s="137">
        <v>15561</v>
      </c>
    </row>
    <row r="23" spans="1:5" ht="18" customHeight="1">
      <c r="A23" s="135">
        <v>20</v>
      </c>
      <c r="B23" s="136" t="s">
        <v>366</v>
      </c>
      <c r="C23" s="137">
        <v>6014</v>
      </c>
      <c r="D23" s="137">
        <v>7753</v>
      </c>
      <c r="E23" s="137">
        <v>13767</v>
      </c>
    </row>
    <row r="24" spans="1:5" ht="18" customHeight="1">
      <c r="A24" s="135">
        <v>21</v>
      </c>
      <c r="B24" s="136" t="s">
        <v>367</v>
      </c>
      <c r="C24" s="137">
        <v>7174</v>
      </c>
      <c r="D24" s="137">
        <v>5500</v>
      </c>
      <c r="E24" s="137">
        <v>12674</v>
      </c>
    </row>
    <row r="25" spans="1:5" ht="18" customHeight="1">
      <c r="A25" s="135">
        <v>22</v>
      </c>
      <c r="B25" s="136" t="s">
        <v>369</v>
      </c>
      <c r="C25" s="137">
        <v>6244</v>
      </c>
      <c r="D25" s="137">
        <v>5578</v>
      </c>
      <c r="E25" s="137">
        <v>11822</v>
      </c>
    </row>
    <row r="26" spans="1:5" ht="18" customHeight="1">
      <c r="A26" s="135">
        <v>23</v>
      </c>
      <c r="B26" s="136" t="s">
        <v>372</v>
      </c>
      <c r="C26" s="137">
        <v>5297</v>
      </c>
      <c r="D26" s="137">
        <v>3285</v>
      </c>
      <c r="E26" s="137">
        <v>8582</v>
      </c>
    </row>
    <row r="27" spans="1:5" ht="18" customHeight="1">
      <c r="A27" s="135">
        <v>24</v>
      </c>
      <c r="B27" s="136" t="s">
        <v>371</v>
      </c>
      <c r="C27" s="137">
        <v>4797</v>
      </c>
      <c r="D27" s="137">
        <v>3380</v>
      </c>
      <c r="E27" s="137">
        <v>8177</v>
      </c>
    </row>
    <row r="28" spans="1:5" ht="18" customHeight="1">
      <c r="A28" s="135">
        <v>25</v>
      </c>
      <c r="B28" s="136" t="s">
        <v>374</v>
      </c>
      <c r="C28" s="137">
        <v>1166</v>
      </c>
      <c r="D28" s="137">
        <v>6036</v>
      </c>
      <c r="E28" s="137">
        <v>7202</v>
      </c>
    </row>
    <row r="29" spans="1:5" ht="18" customHeight="1">
      <c r="A29" s="135">
        <v>26</v>
      </c>
      <c r="B29" s="136" t="s">
        <v>375</v>
      </c>
      <c r="C29" s="137">
        <v>3236</v>
      </c>
      <c r="D29" s="137">
        <v>2661</v>
      </c>
      <c r="E29" s="137">
        <v>5897</v>
      </c>
    </row>
    <row r="30" spans="1:5" ht="28">
      <c r="A30" s="135">
        <v>27</v>
      </c>
      <c r="B30" s="136" t="s">
        <v>384</v>
      </c>
      <c r="C30" s="137">
        <v>2476</v>
      </c>
      <c r="D30" s="137">
        <v>2377</v>
      </c>
      <c r="E30" s="137">
        <v>4853</v>
      </c>
    </row>
    <row r="31" spans="1:5" ht="18" customHeight="1">
      <c r="A31" s="135">
        <v>28</v>
      </c>
      <c r="B31" s="136" t="s">
        <v>373</v>
      </c>
      <c r="C31" s="137">
        <v>1415</v>
      </c>
      <c r="D31" s="137">
        <v>3163</v>
      </c>
      <c r="E31" s="137">
        <v>4578</v>
      </c>
    </row>
    <row r="32" spans="1:5" ht="18" customHeight="1">
      <c r="A32" s="135">
        <v>29</v>
      </c>
      <c r="B32" s="136" t="s">
        <v>377</v>
      </c>
      <c r="C32" s="137">
        <v>2291</v>
      </c>
      <c r="D32" s="252">
        <v>1920</v>
      </c>
      <c r="E32" s="137">
        <v>4211</v>
      </c>
    </row>
    <row r="33" spans="1:5" ht="18" customHeight="1">
      <c r="A33" s="135">
        <v>30</v>
      </c>
      <c r="B33" s="136" t="s">
        <v>368</v>
      </c>
      <c r="C33" s="137">
        <v>1300</v>
      </c>
      <c r="D33" s="137">
        <v>2897</v>
      </c>
      <c r="E33" s="137">
        <v>4197</v>
      </c>
    </row>
    <row r="34" spans="1:5" ht="18" customHeight="1">
      <c r="A34" s="135">
        <v>31</v>
      </c>
      <c r="B34" s="136" t="s">
        <v>370</v>
      </c>
      <c r="C34" s="137">
        <v>2390</v>
      </c>
      <c r="D34" s="137">
        <v>1665</v>
      </c>
      <c r="E34" s="137">
        <v>4055</v>
      </c>
    </row>
    <row r="35" spans="1:5" ht="18" customHeight="1">
      <c r="A35" s="135">
        <v>32</v>
      </c>
      <c r="B35" s="136" t="s">
        <v>382</v>
      </c>
      <c r="C35" s="137">
        <v>1600</v>
      </c>
      <c r="D35" s="137">
        <v>1946</v>
      </c>
      <c r="E35" s="137">
        <v>3546</v>
      </c>
    </row>
    <row r="36" spans="1:5" ht="18" customHeight="1">
      <c r="A36" s="135">
        <v>33</v>
      </c>
      <c r="B36" s="136" t="s">
        <v>376</v>
      </c>
      <c r="C36" s="137">
        <v>1246</v>
      </c>
      <c r="D36" s="137">
        <v>1771</v>
      </c>
      <c r="E36" s="137">
        <v>3017</v>
      </c>
    </row>
    <row r="37" spans="1:5" ht="18" customHeight="1">
      <c r="A37" s="135">
        <v>34</v>
      </c>
      <c r="B37" s="136" t="s">
        <v>378</v>
      </c>
      <c r="C37" s="137">
        <v>1256</v>
      </c>
      <c r="D37" s="137">
        <v>1399</v>
      </c>
      <c r="E37" s="137">
        <v>2655</v>
      </c>
    </row>
    <row r="38" spans="1:5" ht="18" customHeight="1">
      <c r="A38" s="135">
        <v>35</v>
      </c>
      <c r="B38" s="136" t="s">
        <v>379</v>
      </c>
      <c r="C38" s="137">
        <v>741</v>
      </c>
      <c r="D38" s="137">
        <v>1725</v>
      </c>
      <c r="E38" s="137">
        <v>2466</v>
      </c>
    </row>
    <row r="39" spans="1:5" ht="18" customHeight="1">
      <c r="A39" s="135">
        <v>36</v>
      </c>
      <c r="B39" s="136" t="s">
        <v>380</v>
      </c>
      <c r="C39" s="137">
        <v>1307</v>
      </c>
      <c r="D39" s="137">
        <v>992</v>
      </c>
      <c r="E39" s="137">
        <v>2299</v>
      </c>
    </row>
    <row r="40" spans="1:5" ht="18" customHeight="1">
      <c r="A40" s="135">
        <v>37</v>
      </c>
      <c r="B40" s="136" t="s">
        <v>381</v>
      </c>
      <c r="C40" s="137">
        <v>924</v>
      </c>
      <c r="D40" s="137">
        <v>1305</v>
      </c>
      <c r="E40" s="137">
        <v>2229</v>
      </c>
    </row>
    <row r="41" spans="1:5" ht="18" customHeight="1">
      <c r="A41" s="135">
        <v>38</v>
      </c>
      <c r="B41" s="136" t="s">
        <v>388</v>
      </c>
      <c r="C41" s="137">
        <v>715</v>
      </c>
      <c r="D41" s="137">
        <v>821</v>
      </c>
      <c r="E41" s="137">
        <v>1536</v>
      </c>
    </row>
    <row r="42" spans="1:5" ht="18" customHeight="1">
      <c r="A42" s="135">
        <v>39</v>
      </c>
      <c r="B42" s="136" t="s">
        <v>386</v>
      </c>
      <c r="C42" s="137">
        <v>514</v>
      </c>
      <c r="D42" s="137">
        <v>852</v>
      </c>
      <c r="E42" s="137">
        <v>1366</v>
      </c>
    </row>
    <row r="43" spans="1:5" ht="18" customHeight="1">
      <c r="A43" s="135">
        <v>40</v>
      </c>
      <c r="B43" s="136" t="s">
        <v>385</v>
      </c>
      <c r="C43" s="137">
        <v>802</v>
      </c>
      <c r="D43" s="137">
        <v>520</v>
      </c>
      <c r="E43" s="137">
        <v>1322</v>
      </c>
    </row>
    <row r="44" spans="1:5" ht="18" customHeight="1">
      <c r="A44" s="135">
        <v>41</v>
      </c>
      <c r="B44" s="136" t="s">
        <v>383</v>
      </c>
      <c r="C44" s="137">
        <v>803</v>
      </c>
      <c r="D44" s="137">
        <v>469</v>
      </c>
      <c r="E44" s="137">
        <v>1272</v>
      </c>
    </row>
    <row r="45" spans="1:5" ht="18" customHeight="1">
      <c r="A45" s="135">
        <v>42</v>
      </c>
      <c r="B45" s="136" t="s">
        <v>387</v>
      </c>
      <c r="C45" s="137">
        <v>487</v>
      </c>
      <c r="D45" s="137">
        <v>660</v>
      </c>
      <c r="E45" s="137">
        <v>1147</v>
      </c>
    </row>
    <row r="46" spans="1:5" ht="18" customHeight="1">
      <c r="A46" s="135">
        <v>43</v>
      </c>
      <c r="B46" s="136" t="s">
        <v>890</v>
      </c>
      <c r="C46" s="137">
        <v>702</v>
      </c>
      <c r="D46" s="137">
        <v>437</v>
      </c>
      <c r="E46" s="137">
        <v>1139</v>
      </c>
    </row>
    <row r="47" spans="1:5" ht="18" customHeight="1">
      <c r="A47" s="135">
        <v>44</v>
      </c>
      <c r="B47" s="136" t="s">
        <v>393</v>
      </c>
      <c r="C47" s="137">
        <v>521</v>
      </c>
      <c r="D47" s="137">
        <v>391</v>
      </c>
      <c r="E47" s="137">
        <v>912</v>
      </c>
    </row>
    <row r="48" spans="1:5" ht="18" customHeight="1">
      <c r="A48" s="135">
        <v>45</v>
      </c>
      <c r="B48" s="136" t="s">
        <v>390</v>
      </c>
      <c r="C48" s="137">
        <v>318</v>
      </c>
      <c r="D48" s="137">
        <v>516</v>
      </c>
      <c r="E48" s="137">
        <v>834</v>
      </c>
    </row>
    <row r="49" spans="1:5" ht="18" customHeight="1">
      <c r="A49" s="135">
        <v>46</v>
      </c>
      <c r="B49" s="136" t="s">
        <v>395</v>
      </c>
      <c r="C49" s="137">
        <v>387</v>
      </c>
      <c r="D49" s="137">
        <v>446</v>
      </c>
      <c r="E49" s="137">
        <v>833</v>
      </c>
    </row>
    <row r="50" spans="1:5" ht="18" customHeight="1">
      <c r="A50" s="135">
        <v>47</v>
      </c>
      <c r="B50" s="136" t="s">
        <v>410</v>
      </c>
      <c r="C50" s="137">
        <v>322</v>
      </c>
      <c r="D50" s="137">
        <v>444</v>
      </c>
      <c r="E50" s="137">
        <v>766</v>
      </c>
    </row>
    <row r="51" spans="1:5" ht="18" customHeight="1">
      <c r="A51" s="135">
        <v>48</v>
      </c>
      <c r="B51" s="136" t="s">
        <v>389</v>
      </c>
      <c r="C51" s="137">
        <v>275</v>
      </c>
      <c r="D51" s="137">
        <v>466</v>
      </c>
      <c r="E51" s="137">
        <v>741</v>
      </c>
    </row>
    <row r="52" spans="1:5" ht="18" customHeight="1">
      <c r="A52" s="135">
        <v>49</v>
      </c>
      <c r="B52" s="136" t="s">
        <v>396</v>
      </c>
      <c r="C52" s="137">
        <v>227</v>
      </c>
      <c r="D52" s="137">
        <v>473</v>
      </c>
      <c r="E52" s="137">
        <v>700</v>
      </c>
    </row>
    <row r="53" spans="1:5" ht="18" customHeight="1">
      <c r="A53" s="135">
        <v>50</v>
      </c>
      <c r="B53" s="136" t="s">
        <v>392</v>
      </c>
      <c r="C53" s="137">
        <v>261</v>
      </c>
      <c r="D53" s="137">
        <v>376</v>
      </c>
      <c r="E53" s="137">
        <v>637</v>
      </c>
    </row>
    <row r="54" spans="1:5" ht="18" customHeight="1">
      <c r="A54" s="135">
        <v>51</v>
      </c>
      <c r="B54" s="136" t="s">
        <v>391</v>
      </c>
      <c r="C54" s="137">
        <v>369</v>
      </c>
      <c r="D54" s="137">
        <v>240</v>
      </c>
      <c r="E54" s="137">
        <v>609</v>
      </c>
    </row>
    <row r="55" spans="1:5" ht="18" customHeight="1">
      <c r="A55" s="135">
        <v>52</v>
      </c>
      <c r="B55" s="136" t="s">
        <v>394</v>
      </c>
      <c r="C55" s="137">
        <v>308</v>
      </c>
      <c r="D55" s="137">
        <v>281</v>
      </c>
      <c r="E55" s="137">
        <v>589</v>
      </c>
    </row>
    <row r="56" spans="1:5" ht="18" customHeight="1">
      <c r="A56" s="135">
        <v>53</v>
      </c>
      <c r="B56" s="136" t="s">
        <v>402</v>
      </c>
      <c r="C56" s="137">
        <v>326</v>
      </c>
      <c r="D56" s="137">
        <v>156</v>
      </c>
      <c r="E56" s="137">
        <v>482</v>
      </c>
    </row>
    <row r="57" spans="1:5" ht="18" customHeight="1">
      <c r="A57" s="135">
        <v>54</v>
      </c>
      <c r="B57" s="136" t="s">
        <v>398</v>
      </c>
      <c r="C57" s="137">
        <v>272</v>
      </c>
      <c r="D57" s="137">
        <v>196</v>
      </c>
      <c r="E57" s="137">
        <v>468</v>
      </c>
    </row>
    <row r="58" spans="1:5" ht="18" customHeight="1">
      <c r="A58" s="135">
        <v>55</v>
      </c>
      <c r="B58" s="136" t="s">
        <v>893</v>
      </c>
      <c r="C58" s="137">
        <v>200</v>
      </c>
      <c r="D58" s="137">
        <v>254</v>
      </c>
      <c r="E58" s="137">
        <v>454</v>
      </c>
    </row>
    <row r="59" spans="1:5" ht="18" customHeight="1">
      <c r="A59" s="135">
        <v>56</v>
      </c>
      <c r="B59" s="136" t="s">
        <v>399</v>
      </c>
      <c r="C59" s="137">
        <v>219</v>
      </c>
      <c r="D59" s="137">
        <v>226</v>
      </c>
      <c r="E59" s="137">
        <v>445</v>
      </c>
    </row>
    <row r="60" spans="1:5" ht="18" customHeight="1">
      <c r="A60" s="135">
        <v>57</v>
      </c>
      <c r="B60" s="136" t="s">
        <v>892</v>
      </c>
      <c r="C60" s="137">
        <v>317</v>
      </c>
      <c r="D60" s="137">
        <v>84</v>
      </c>
      <c r="E60" s="137">
        <v>401</v>
      </c>
    </row>
    <row r="61" spans="1:5" ht="18" customHeight="1">
      <c r="A61" s="135">
        <v>58</v>
      </c>
      <c r="B61" s="136" t="s">
        <v>400</v>
      </c>
      <c r="C61" s="137">
        <v>178</v>
      </c>
      <c r="D61" s="137">
        <v>172</v>
      </c>
      <c r="E61" s="137">
        <v>350</v>
      </c>
    </row>
    <row r="62" spans="1:5" ht="18" customHeight="1">
      <c r="A62" s="135">
        <v>59</v>
      </c>
      <c r="B62" s="136" t="s">
        <v>397</v>
      </c>
      <c r="C62" s="137">
        <v>144</v>
      </c>
      <c r="D62" s="137">
        <v>174</v>
      </c>
      <c r="E62" s="137">
        <v>318</v>
      </c>
    </row>
    <row r="63" spans="1:5" ht="18" customHeight="1">
      <c r="A63" s="135">
        <v>60</v>
      </c>
      <c r="B63" s="136" t="s">
        <v>401</v>
      </c>
      <c r="C63" s="137">
        <v>215</v>
      </c>
      <c r="D63" s="137">
        <v>98</v>
      </c>
      <c r="E63" s="137">
        <v>313</v>
      </c>
    </row>
    <row r="64" spans="1:5" ht="18" customHeight="1">
      <c r="A64" s="135">
        <v>61</v>
      </c>
      <c r="B64" s="136" t="s">
        <v>403</v>
      </c>
      <c r="C64" s="137">
        <v>53</v>
      </c>
      <c r="D64" s="137">
        <v>243</v>
      </c>
      <c r="E64" s="137">
        <v>296</v>
      </c>
    </row>
    <row r="65" spans="1:5" ht="18" customHeight="1">
      <c r="A65" s="135">
        <v>62</v>
      </c>
      <c r="B65" s="136" t="s">
        <v>891</v>
      </c>
      <c r="C65" s="137">
        <v>116</v>
      </c>
      <c r="D65" s="137">
        <v>151</v>
      </c>
      <c r="E65" s="137">
        <v>267</v>
      </c>
    </row>
    <row r="66" spans="1:5" ht="18" customHeight="1">
      <c r="A66" s="135">
        <v>63</v>
      </c>
      <c r="B66" s="136" t="s">
        <v>404</v>
      </c>
      <c r="C66" s="137">
        <v>64</v>
      </c>
      <c r="D66" s="137">
        <v>141</v>
      </c>
      <c r="E66" s="137">
        <v>205</v>
      </c>
    </row>
    <row r="67" spans="1:5" ht="28">
      <c r="A67" s="135">
        <v>64</v>
      </c>
      <c r="B67" s="136" t="s">
        <v>416</v>
      </c>
      <c r="C67" s="137">
        <v>115</v>
      </c>
      <c r="D67" s="137">
        <v>90</v>
      </c>
      <c r="E67" s="137">
        <v>205</v>
      </c>
    </row>
    <row r="68" spans="1:5">
      <c r="A68" s="135">
        <v>65</v>
      </c>
      <c r="B68" s="136" t="s">
        <v>409</v>
      </c>
      <c r="C68" s="137">
        <v>84</v>
      </c>
      <c r="D68" s="137">
        <v>101</v>
      </c>
      <c r="E68" s="137">
        <v>185</v>
      </c>
    </row>
    <row r="69" spans="1:5" ht="28">
      <c r="A69" s="135">
        <v>66</v>
      </c>
      <c r="B69" s="136" t="s">
        <v>411</v>
      </c>
      <c r="C69" s="137">
        <v>48</v>
      </c>
      <c r="D69" s="137">
        <v>124</v>
      </c>
      <c r="E69" s="137">
        <v>172</v>
      </c>
    </row>
    <row r="70" spans="1:5" ht="28">
      <c r="A70" s="135">
        <v>67</v>
      </c>
      <c r="B70" s="136" t="s">
        <v>407</v>
      </c>
      <c r="C70" s="137">
        <v>44</v>
      </c>
      <c r="D70" s="137">
        <v>91</v>
      </c>
      <c r="E70" s="137">
        <v>135</v>
      </c>
    </row>
    <row r="71" spans="1:5" ht="18" customHeight="1">
      <c r="A71" s="135">
        <v>68</v>
      </c>
      <c r="B71" s="136" t="s">
        <v>415</v>
      </c>
      <c r="C71" s="137">
        <v>32</v>
      </c>
      <c r="D71" s="137">
        <v>102</v>
      </c>
      <c r="E71" s="137">
        <v>134</v>
      </c>
    </row>
    <row r="72" spans="1:5" ht="18" customHeight="1">
      <c r="A72" s="135">
        <v>69</v>
      </c>
      <c r="B72" s="136" t="s">
        <v>412</v>
      </c>
      <c r="C72" s="137">
        <v>30</v>
      </c>
      <c r="D72" s="137">
        <v>104</v>
      </c>
      <c r="E72" s="137">
        <v>134</v>
      </c>
    </row>
    <row r="73" spans="1:5" ht="18" customHeight="1">
      <c r="A73" s="135">
        <v>70</v>
      </c>
      <c r="B73" s="136" t="s">
        <v>894</v>
      </c>
      <c r="C73" s="137">
        <v>74</v>
      </c>
      <c r="D73" s="137">
        <v>51</v>
      </c>
      <c r="E73" s="137">
        <v>125</v>
      </c>
    </row>
    <row r="74" spans="1:5" ht="18" customHeight="1">
      <c r="A74" s="135">
        <v>71</v>
      </c>
      <c r="B74" s="136" t="s">
        <v>419</v>
      </c>
      <c r="C74" s="137">
        <v>23</v>
      </c>
      <c r="D74" s="137">
        <v>87</v>
      </c>
      <c r="E74" s="137">
        <v>110</v>
      </c>
    </row>
    <row r="75" spans="1:5" ht="18" customHeight="1">
      <c r="A75" s="135">
        <v>72</v>
      </c>
      <c r="B75" s="136" t="s">
        <v>421</v>
      </c>
      <c r="C75" s="137">
        <v>31</v>
      </c>
      <c r="D75" s="137">
        <v>73</v>
      </c>
      <c r="E75" s="137">
        <v>104</v>
      </c>
    </row>
    <row r="76" spans="1:5" ht="18" customHeight="1">
      <c r="A76" s="135">
        <v>73</v>
      </c>
      <c r="B76" s="136" t="s">
        <v>406</v>
      </c>
      <c r="C76" s="137">
        <v>53</v>
      </c>
      <c r="D76" s="137">
        <v>30</v>
      </c>
      <c r="E76" s="137">
        <v>83</v>
      </c>
    </row>
    <row r="77" spans="1:5" ht="28">
      <c r="A77" s="135">
        <v>74</v>
      </c>
      <c r="B77" s="136" t="s">
        <v>408</v>
      </c>
      <c r="C77" s="137">
        <v>48</v>
      </c>
      <c r="D77" s="137">
        <v>28</v>
      </c>
      <c r="E77" s="137">
        <v>76</v>
      </c>
    </row>
    <row r="78" spans="1:5">
      <c r="A78" s="135">
        <v>75</v>
      </c>
      <c r="B78" s="136" t="s">
        <v>423</v>
      </c>
      <c r="C78" s="137">
        <v>40</v>
      </c>
      <c r="D78" s="137">
        <v>27</v>
      </c>
      <c r="E78" s="137">
        <v>67</v>
      </c>
    </row>
    <row r="79" spans="1:5" ht="18" customHeight="1">
      <c r="A79" s="135">
        <v>76</v>
      </c>
      <c r="B79" s="136" t="s">
        <v>896</v>
      </c>
      <c r="C79" s="137">
        <v>11</v>
      </c>
      <c r="D79" s="137">
        <v>51</v>
      </c>
      <c r="E79" s="137">
        <v>62</v>
      </c>
    </row>
    <row r="80" spans="1:5" ht="18" customHeight="1">
      <c r="A80" s="135">
        <v>77</v>
      </c>
      <c r="B80" s="136" t="s">
        <v>420</v>
      </c>
      <c r="C80" s="137">
        <v>32</v>
      </c>
      <c r="D80" s="137">
        <v>30</v>
      </c>
      <c r="E80" s="137">
        <v>62</v>
      </c>
    </row>
    <row r="81" spans="1:5" ht="18" customHeight="1">
      <c r="A81" s="135">
        <v>78</v>
      </c>
      <c r="B81" s="136" t="s">
        <v>405</v>
      </c>
      <c r="C81" s="137">
        <v>34</v>
      </c>
      <c r="D81" s="137">
        <v>22</v>
      </c>
      <c r="E81" s="137">
        <v>56</v>
      </c>
    </row>
    <row r="82" spans="1:5" ht="18" customHeight="1">
      <c r="A82" s="135">
        <v>79</v>
      </c>
      <c r="B82" s="136" t="s">
        <v>417</v>
      </c>
      <c r="C82" s="137">
        <v>18</v>
      </c>
      <c r="D82" s="137">
        <v>34</v>
      </c>
      <c r="E82" s="137">
        <v>52</v>
      </c>
    </row>
    <row r="83" spans="1:5" ht="18" customHeight="1">
      <c r="A83" s="135">
        <v>80</v>
      </c>
      <c r="B83" s="136" t="s">
        <v>418</v>
      </c>
      <c r="C83" s="137">
        <v>10</v>
      </c>
      <c r="D83" s="137">
        <v>30</v>
      </c>
      <c r="E83" s="137">
        <v>40</v>
      </c>
    </row>
    <row r="84" spans="1:5" ht="18" customHeight="1">
      <c r="A84" s="135">
        <v>81</v>
      </c>
      <c r="B84" s="136" t="s">
        <v>895</v>
      </c>
      <c r="C84" s="137">
        <v>11</v>
      </c>
      <c r="D84" s="137">
        <v>21</v>
      </c>
      <c r="E84" s="137">
        <v>32</v>
      </c>
    </row>
    <row r="85" spans="1:5" ht="28">
      <c r="A85" s="135">
        <v>82</v>
      </c>
      <c r="B85" s="136" t="s">
        <v>422</v>
      </c>
      <c r="C85" s="137">
        <v>11</v>
      </c>
      <c r="D85" s="137">
        <v>15</v>
      </c>
      <c r="E85" s="137">
        <v>26</v>
      </c>
    </row>
    <row r="86" spans="1:5" ht="28">
      <c r="A86" s="135">
        <v>83</v>
      </c>
      <c r="B86" s="136" t="s">
        <v>414</v>
      </c>
      <c r="C86" s="137">
        <v>5</v>
      </c>
      <c r="D86" s="137">
        <v>12</v>
      </c>
      <c r="E86" s="137">
        <v>17</v>
      </c>
    </row>
    <row r="87" spans="1:5" ht="28">
      <c r="A87" s="135">
        <v>84</v>
      </c>
      <c r="B87" s="136" t="s">
        <v>426</v>
      </c>
      <c r="C87" s="137">
        <v>3</v>
      </c>
      <c r="D87" s="137">
        <v>13</v>
      </c>
      <c r="E87" s="137">
        <v>16</v>
      </c>
    </row>
    <row r="88" spans="1:5" ht="18" customHeight="1">
      <c r="A88" s="135">
        <v>85</v>
      </c>
      <c r="B88" s="136" t="s">
        <v>413</v>
      </c>
      <c r="C88" s="137">
        <v>12</v>
      </c>
      <c r="D88" s="137">
        <v>3</v>
      </c>
      <c r="E88" s="137">
        <v>15</v>
      </c>
    </row>
    <row r="89" spans="1:5" ht="18" customHeight="1">
      <c r="A89" s="135">
        <v>86</v>
      </c>
      <c r="B89" s="136" t="s">
        <v>525</v>
      </c>
      <c r="C89" s="137">
        <v>6</v>
      </c>
      <c r="D89" s="137">
        <v>3</v>
      </c>
      <c r="E89" s="137">
        <v>9</v>
      </c>
    </row>
    <row r="90" spans="1:5" ht="28">
      <c r="A90" s="135">
        <v>87</v>
      </c>
      <c r="B90" s="136" t="s">
        <v>425</v>
      </c>
      <c r="C90" s="137">
        <v>1</v>
      </c>
      <c r="D90" s="137">
        <v>0</v>
      </c>
      <c r="E90" s="137">
        <v>1</v>
      </c>
    </row>
    <row r="91" spans="1:5" ht="18" customHeight="1">
      <c r="A91" s="135">
        <v>88</v>
      </c>
      <c r="B91" s="136" t="s">
        <v>427</v>
      </c>
      <c r="C91" s="137">
        <v>909378</v>
      </c>
      <c r="D91" s="137">
        <v>1136811</v>
      </c>
      <c r="E91" s="137">
        <v>2046189</v>
      </c>
    </row>
    <row r="92" spans="1:5" ht="18" customHeight="1">
      <c r="A92" s="135">
        <v>89</v>
      </c>
      <c r="B92" s="136" t="s">
        <v>428</v>
      </c>
      <c r="C92" s="137">
        <v>510325</v>
      </c>
      <c r="D92" s="137">
        <v>623355</v>
      </c>
      <c r="E92" s="137">
        <v>1133680</v>
      </c>
    </row>
    <row r="93" spans="1:5" ht="18" customHeight="1">
      <c r="A93" s="135">
        <v>90</v>
      </c>
      <c r="B93" s="136" t="s">
        <v>429</v>
      </c>
      <c r="C93" s="137">
        <v>496788</v>
      </c>
      <c r="D93" s="137">
        <v>523663</v>
      </c>
      <c r="E93" s="137">
        <v>1020451</v>
      </c>
    </row>
    <row r="94" spans="1:5" ht="18" customHeight="1">
      <c r="A94" s="135">
        <v>91</v>
      </c>
      <c r="B94" s="136" t="s">
        <v>433</v>
      </c>
      <c r="C94" s="137">
        <v>212140</v>
      </c>
      <c r="D94" s="137">
        <v>402666</v>
      </c>
      <c r="E94" s="137">
        <v>614806</v>
      </c>
    </row>
    <row r="95" spans="1:5" ht="18" customHeight="1">
      <c r="A95" s="135">
        <v>92</v>
      </c>
      <c r="B95" s="136" t="s">
        <v>430</v>
      </c>
      <c r="C95" s="137">
        <v>337968</v>
      </c>
      <c r="D95" s="137">
        <v>142082</v>
      </c>
      <c r="E95" s="137">
        <v>480050</v>
      </c>
    </row>
    <row r="96" spans="1:5" ht="18" customHeight="1">
      <c r="A96" s="135">
        <v>93</v>
      </c>
      <c r="B96" s="136" t="s">
        <v>431</v>
      </c>
      <c r="C96" s="137">
        <v>153831</v>
      </c>
      <c r="D96" s="137">
        <v>198047</v>
      </c>
      <c r="E96" s="137">
        <v>351878</v>
      </c>
    </row>
    <row r="97" spans="1:5" ht="18" customHeight="1">
      <c r="A97" s="135">
        <v>94</v>
      </c>
      <c r="B97" s="136" t="s">
        <v>432</v>
      </c>
      <c r="C97" s="137">
        <v>242713</v>
      </c>
      <c r="D97" s="137">
        <v>102388</v>
      </c>
      <c r="E97" s="137">
        <v>345101</v>
      </c>
    </row>
    <row r="98" spans="1:5" ht="18" customHeight="1">
      <c r="A98" s="135">
        <v>95</v>
      </c>
      <c r="B98" s="136" t="s">
        <v>435</v>
      </c>
      <c r="C98" s="137">
        <v>80474</v>
      </c>
      <c r="D98" s="137">
        <v>59832</v>
      </c>
      <c r="E98" s="137">
        <v>140306</v>
      </c>
    </row>
    <row r="99" spans="1:5" ht="18" customHeight="1">
      <c r="A99" s="135">
        <v>96</v>
      </c>
      <c r="B99" s="136" t="s">
        <v>436</v>
      </c>
      <c r="C99" s="137">
        <v>73515</v>
      </c>
      <c r="D99" s="137">
        <v>54371</v>
      </c>
      <c r="E99" s="137">
        <v>127886</v>
      </c>
    </row>
    <row r="100" spans="1:5" ht="18" customHeight="1">
      <c r="A100" s="135">
        <v>97</v>
      </c>
      <c r="B100" s="136" t="s">
        <v>434</v>
      </c>
      <c r="C100" s="137">
        <v>67268</v>
      </c>
      <c r="D100" s="137">
        <v>56721</v>
      </c>
      <c r="E100" s="137">
        <v>123989</v>
      </c>
    </row>
    <row r="101" spans="1:5" ht="18" customHeight="1">
      <c r="A101" s="135">
        <v>98</v>
      </c>
      <c r="B101" s="136" t="s">
        <v>437</v>
      </c>
      <c r="C101" s="137">
        <v>53797</v>
      </c>
      <c r="D101" s="137">
        <v>25904</v>
      </c>
      <c r="E101" s="137">
        <v>79701</v>
      </c>
    </row>
    <row r="102" spans="1:5" ht="18" customHeight="1">
      <c r="A102" s="135">
        <v>99</v>
      </c>
      <c r="B102" s="136" t="s">
        <v>439</v>
      </c>
      <c r="C102" s="137">
        <v>13489</v>
      </c>
      <c r="D102" s="137">
        <v>51488</v>
      </c>
      <c r="E102" s="137">
        <v>64977</v>
      </c>
    </row>
    <row r="103" spans="1:5" ht="18" customHeight="1">
      <c r="A103" s="135">
        <v>100</v>
      </c>
      <c r="B103" s="136" t="s">
        <v>438</v>
      </c>
      <c r="C103" s="137">
        <v>32048</v>
      </c>
      <c r="D103" s="137">
        <v>24510</v>
      </c>
      <c r="E103" s="137">
        <v>56558</v>
      </c>
    </row>
    <row r="104" spans="1:5">
      <c r="A104" s="135">
        <v>101</v>
      </c>
      <c r="B104" s="136" t="s">
        <v>440</v>
      </c>
      <c r="C104" s="137">
        <v>20762</v>
      </c>
      <c r="D104" s="137">
        <v>21982</v>
      </c>
      <c r="E104" s="137">
        <v>42744</v>
      </c>
    </row>
    <row r="105" spans="1:5" ht="18" customHeight="1">
      <c r="A105" s="135">
        <v>102</v>
      </c>
      <c r="B105" s="136" t="s">
        <v>441</v>
      </c>
      <c r="C105" s="137">
        <v>22392</v>
      </c>
      <c r="D105" s="137">
        <v>7326</v>
      </c>
      <c r="E105" s="137">
        <v>29718</v>
      </c>
    </row>
    <row r="106" spans="1:5" ht="18" customHeight="1">
      <c r="A106" s="135">
        <v>103</v>
      </c>
      <c r="B106" s="136" t="s">
        <v>448</v>
      </c>
      <c r="C106" s="137">
        <v>10343</v>
      </c>
      <c r="D106" s="137">
        <v>8570</v>
      </c>
      <c r="E106" s="137">
        <v>18913</v>
      </c>
    </row>
    <row r="107" spans="1:5" ht="18" customHeight="1">
      <c r="A107" s="135">
        <v>104</v>
      </c>
      <c r="B107" s="136" t="s">
        <v>442</v>
      </c>
      <c r="C107" s="137">
        <v>4557</v>
      </c>
      <c r="D107" s="137">
        <v>13835</v>
      </c>
      <c r="E107" s="137">
        <v>18392</v>
      </c>
    </row>
    <row r="108" spans="1:5" ht="18" customHeight="1">
      <c r="A108" s="135">
        <v>105</v>
      </c>
      <c r="B108" s="136" t="s">
        <v>450</v>
      </c>
      <c r="C108" s="137">
        <v>10069</v>
      </c>
      <c r="D108" s="137">
        <v>5106</v>
      </c>
      <c r="E108" s="137">
        <v>15175</v>
      </c>
    </row>
    <row r="109" spans="1:5" ht="18" customHeight="1">
      <c r="A109" s="135">
        <v>106</v>
      </c>
      <c r="B109" s="136" t="s">
        <v>456</v>
      </c>
      <c r="C109" s="137">
        <v>2624</v>
      </c>
      <c r="D109" s="137">
        <v>12537</v>
      </c>
      <c r="E109" s="137">
        <v>15161</v>
      </c>
    </row>
    <row r="110" spans="1:5" ht="18" customHeight="1">
      <c r="A110" s="135">
        <v>107</v>
      </c>
      <c r="B110" s="136" t="s">
        <v>443</v>
      </c>
      <c r="C110" s="137">
        <v>6588</v>
      </c>
      <c r="D110" s="137">
        <v>7771</v>
      </c>
      <c r="E110" s="137">
        <v>14359</v>
      </c>
    </row>
    <row r="111" spans="1:5" ht="18" customHeight="1">
      <c r="A111" s="135">
        <v>108</v>
      </c>
      <c r="B111" s="136" t="s">
        <v>453</v>
      </c>
      <c r="C111" s="137">
        <v>11817</v>
      </c>
      <c r="D111" s="137">
        <v>2101</v>
      </c>
      <c r="E111" s="137">
        <v>13918</v>
      </c>
    </row>
    <row r="112" spans="1:5" ht="18" customHeight="1">
      <c r="A112" s="135">
        <v>109</v>
      </c>
      <c r="B112" s="136" t="s">
        <v>449</v>
      </c>
      <c r="C112" s="137">
        <v>7590</v>
      </c>
      <c r="D112" s="137">
        <v>6112</v>
      </c>
      <c r="E112" s="137">
        <v>13702</v>
      </c>
    </row>
    <row r="113" spans="1:5" ht="18" customHeight="1">
      <c r="A113" s="135">
        <v>110</v>
      </c>
      <c r="B113" s="136" t="s">
        <v>444</v>
      </c>
      <c r="C113" s="137">
        <v>3628</v>
      </c>
      <c r="D113" s="137">
        <v>8935</v>
      </c>
      <c r="E113" s="137">
        <v>12563</v>
      </c>
    </row>
    <row r="114" spans="1:5" ht="18" customHeight="1">
      <c r="A114" s="135">
        <v>111</v>
      </c>
      <c r="B114" s="136" t="s">
        <v>469</v>
      </c>
      <c r="C114" s="137">
        <v>5749</v>
      </c>
      <c r="D114" s="137">
        <v>5640</v>
      </c>
      <c r="E114" s="137">
        <v>11389</v>
      </c>
    </row>
    <row r="115" spans="1:5" ht="18" customHeight="1">
      <c r="A115" s="135">
        <v>112</v>
      </c>
      <c r="B115" s="136" t="s">
        <v>452</v>
      </c>
      <c r="C115" s="137">
        <v>7026</v>
      </c>
      <c r="D115" s="137">
        <v>4014</v>
      </c>
      <c r="E115" s="137">
        <v>11040</v>
      </c>
    </row>
    <row r="116" spans="1:5" ht="18" customHeight="1">
      <c r="A116" s="135">
        <v>113</v>
      </c>
      <c r="B116" s="136" t="s">
        <v>451</v>
      </c>
      <c r="C116" s="137">
        <v>4539</v>
      </c>
      <c r="D116" s="137">
        <v>4921</v>
      </c>
      <c r="E116" s="137">
        <v>9460</v>
      </c>
    </row>
    <row r="117" spans="1:5" ht="18" customHeight="1">
      <c r="A117" s="135">
        <v>114</v>
      </c>
      <c r="B117" s="136" t="s">
        <v>899</v>
      </c>
      <c r="C117" s="137">
        <v>4757</v>
      </c>
      <c r="D117" s="137">
        <v>4335</v>
      </c>
      <c r="E117" s="137">
        <v>9092</v>
      </c>
    </row>
    <row r="118" spans="1:5">
      <c r="A118" s="135">
        <v>115</v>
      </c>
      <c r="B118" s="136" t="s">
        <v>446</v>
      </c>
      <c r="C118" s="137">
        <v>2748</v>
      </c>
      <c r="D118" s="137">
        <v>5125</v>
      </c>
      <c r="E118" s="137">
        <v>7873</v>
      </c>
    </row>
    <row r="119" spans="1:5" ht="18" customHeight="1">
      <c r="A119" s="135">
        <v>116</v>
      </c>
      <c r="B119" s="136" t="s">
        <v>445</v>
      </c>
      <c r="C119" s="137">
        <v>2800</v>
      </c>
      <c r="D119" s="137">
        <v>4130</v>
      </c>
      <c r="E119" s="137">
        <v>6930</v>
      </c>
    </row>
    <row r="120" spans="1:5" ht="18" customHeight="1">
      <c r="A120" s="135">
        <v>117</v>
      </c>
      <c r="B120" s="136" t="s">
        <v>447</v>
      </c>
      <c r="C120" s="137">
        <v>2881</v>
      </c>
      <c r="D120" s="137">
        <v>3358</v>
      </c>
      <c r="E120" s="137">
        <v>6239</v>
      </c>
    </row>
    <row r="121" spans="1:5" ht="18" customHeight="1">
      <c r="A121" s="135">
        <v>118</v>
      </c>
      <c r="B121" s="136" t="s">
        <v>454</v>
      </c>
      <c r="C121" s="137">
        <v>3583</v>
      </c>
      <c r="D121" s="137">
        <v>2372</v>
      </c>
      <c r="E121" s="137">
        <v>5955</v>
      </c>
    </row>
    <row r="122" spans="1:5" ht="18" customHeight="1">
      <c r="A122" s="135">
        <v>119</v>
      </c>
      <c r="B122" s="136" t="s">
        <v>455</v>
      </c>
      <c r="C122" s="137">
        <v>1695</v>
      </c>
      <c r="D122" s="137">
        <v>4249</v>
      </c>
      <c r="E122" s="137">
        <v>5944</v>
      </c>
    </row>
    <row r="123" spans="1:5">
      <c r="A123" s="135">
        <v>120</v>
      </c>
      <c r="B123" s="136" t="s">
        <v>463</v>
      </c>
      <c r="C123" s="137">
        <v>2975</v>
      </c>
      <c r="D123" s="137">
        <v>2586</v>
      </c>
      <c r="E123" s="137">
        <v>5561</v>
      </c>
    </row>
    <row r="124" spans="1:5" ht="18" customHeight="1">
      <c r="A124" s="135">
        <v>121</v>
      </c>
      <c r="B124" s="136" t="s">
        <v>459</v>
      </c>
      <c r="C124" s="137">
        <v>2674</v>
      </c>
      <c r="D124" s="137">
        <v>2836</v>
      </c>
      <c r="E124" s="137">
        <v>5510</v>
      </c>
    </row>
    <row r="125" spans="1:5" ht="18" customHeight="1">
      <c r="A125" s="135">
        <v>122</v>
      </c>
      <c r="B125" s="136" t="s">
        <v>461</v>
      </c>
      <c r="C125" s="137">
        <v>3814</v>
      </c>
      <c r="D125" s="137">
        <v>1288</v>
      </c>
      <c r="E125" s="137">
        <v>5102</v>
      </c>
    </row>
    <row r="126" spans="1:5" ht="28">
      <c r="A126" s="135">
        <v>123</v>
      </c>
      <c r="B126" s="136" t="s">
        <v>460</v>
      </c>
      <c r="C126" s="137">
        <v>3650</v>
      </c>
      <c r="D126" s="137">
        <v>723</v>
      </c>
      <c r="E126" s="137">
        <v>4373</v>
      </c>
    </row>
    <row r="127" spans="1:5" ht="18" customHeight="1">
      <c r="A127" s="135">
        <v>124</v>
      </c>
      <c r="B127" s="136" t="s">
        <v>457</v>
      </c>
      <c r="C127" s="137">
        <v>1334</v>
      </c>
      <c r="D127" s="137">
        <v>2427</v>
      </c>
      <c r="E127" s="137">
        <v>3761</v>
      </c>
    </row>
    <row r="128" spans="1:5" ht="28">
      <c r="A128" s="135">
        <v>125</v>
      </c>
      <c r="B128" s="136" t="s">
        <v>462</v>
      </c>
      <c r="C128" s="137">
        <v>1957</v>
      </c>
      <c r="D128" s="137">
        <v>1210</v>
      </c>
      <c r="E128" s="137">
        <v>3167</v>
      </c>
    </row>
    <row r="129" spans="1:5" ht="18" customHeight="1">
      <c r="A129" s="135">
        <v>126</v>
      </c>
      <c r="B129" s="136" t="s">
        <v>468</v>
      </c>
      <c r="C129" s="137">
        <v>1395</v>
      </c>
      <c r="D129" s="137">
        <v>1715</v>
      </c>
      <c r="E129" s="137">
        <v>3110</v>
      </c>
    </row>
    <row r="130" spans="1:5" ht="18" customHeight="1">
      <c r="A130" s="135">
        <v>127</v>
      </c>
      <c r="B130" s="136" t="s">
        <v>458</v>
      </c>
      <c r="C130" s="137">
        <v>858</v>
      </c>
      <c r="D130" s="137">
        <v>1976</v>
      </c>
      <c r="E130" s="137">
        <v>2834</v>
      </c>
    </row>
    <row r="131" spans="1:5" ht="18" customHeight="1">
      <c r="A131" s="135">
        <v>128</v>
      </c>
      <c r="B131" s="136" t="s">
        <v>465</v>
      </c>
      <c r="C131" s="137">
        <v>1094</v>
      </c>
      <c r="D131" s="137">
        <v>1213</v>
      </c>
      <c r="E131" s="137">
        <v>2307</v>
      </c>
    </row>
    <row r="132" spans="1:5" ht="18" customHeight="1">
      <c r="A132" s="135">
        <v>129</v>
      </c>
      <c r="B132" s="136" t="s">
        <v>466</v>
      </c>
      <c r="C132" s="137">
        <v>684</v>
      </c>
      <c r="D132" s="137">
        <v>929</v>
      </c>
      <c r="E132" s="137">
        <v>1613</v>
      </c>
    </row>
    <row r="133" spans="1:5" ht="28">
      <c r="A133" s="135">
        <v>130</v>
      </c>
      <c r="B133" s="136" t="s">
        <v>474</v>
      </c>
      <c r="C133" s="137">
        <v>1012</v>
      </c>
      <c r="D133" s="137">
        <v>498</v>
      </c>
      <c r="E133" s="137">
        <v>1510</v>
      </c>
    </row>
    <row r="134" spans="1:5" ht="17.25" customHeight="1">
      <c r="A134" s="135">
        <v>131</v>
      </c>
      <c r="B134" s="136" t="s">
        <v>467</v>
      </c>
      <c r="C134" s="137">
        <v>548</v>
      </c>
      <c r="D134" s="137">
        <v>883</v>
      </c>
      <c r="E134" s="137">
        <v>1431</v>
      </c>
    </row>
    <row r="135" spans="1:5" ht="17.25" customHeight="1">
      <c r="A135" s="135">
        <v>132</v>
      </c>
      <c r="B135" s="136" t="s">
        <v>475</v>
      </c>
      <c r="C135" s="137">
        <v>588</v>
      </c>
      <c r="D135" s="137">
        <v>543</v>
      </c>
      <c r="E135" s="137">
        <v>1131</v>
      </c>
    </row>
    <row r="136" spans="1:5" ht="17.25" customHeight="1">
      <c r="A136" s="135">
        <v>133</v>
      </c>
      <c r="B136" s="136" t="s">
        <v>464</v>
      </c>
      <c r="C136" s="137">
        <v>563</v>
      </c>
      <c r="D136" s="137">
        <v>560</v>
      </c>
      <c r="E136" s="137">
        <v>1123</v>
      </c>
    </row>
    <row r="137" spans="1:5" ht="28">
      <c r="A137" s="135">
        <v>134</v>
      </c>
      <c r="B137" s="136" t="s">
        <v>476</v>
      </c>
      <c r="C137" s="137">
        <v>512</v>
      </c>
      <c r="D137" s="137">
        <v>417</v>
      </c>
      <c r="E137" s="137">
        <v>929</v>
      </c>
    </row>
    <row r="138" spans="1:5" ht="17.25" customHeight="1">
      <c r="A138" s="135">
        <v>135</v>
      </c>
      <c r="B138" s="136" t="s">
        <v>472</v>
      </c>
      <c r="C138" s="137">
        <v>269</v>
      </c>
      <c r="D138" s="137">
        <v>649</v>
      </c>
      <c r="E138" s="137">
        <v>918</v>
      </c>
    </row>
    <row r="139" spans="1:5" ht="17.25" customHeight="1">
      <c r="A139" s="135">
        <v>136</v>
      </c>
      <c r="B139" s="136" t="s">
        <v>471</v>
      </c>
      <c r="C139" s="137">
        <v>496</v>
      </c>
      <c r="D139" s="137">
        <v>352</v>
      </c>
      <c r="E139" s="137">
        <v>848</v>
      </c>
    </row>
    <row r="140" spans="1:5" ht="17.25" customHeight="1">
      <c r="A140" s="135">
        <v>137</v>
      </c>
      <c r="B140" s="136" t="s">
        <v>488</v>
      </c>
      <c r="C140" s="137">
        <v>538</v>
      </c>
      <c r="D140" s="137">
        <v>267</v>
      </c>
      <c r="E140" s="137">
        <v>805</v>
      </c>
    </row>
    <row r="141" spans="1:5" ht="17.25" customHeight="1">
      <c r="A141" s="135">
        <v>138</v>
      </c>
      <c r="B141" s="136" t="s">
        <v>470</v>
      </c>
      <c r="C141" s="137">
        <v>203</v>
      </c>
      <c r="D141" s="137">
        <v>482</v>
      </c>
      <c r="E141" s="137">
        <v>685</v>
      </c>
    </row>
    <row r="142" spans="1:5" ht="17.25" customHeight="1">
      <c r="A142" s="135">
        <v>139</v>
      </c>
      <c r="B142" s="136" t="s">
        <v>480</v>
      </c>
      <c r="C142" s="137">
        <v>391</v>
      </c>
      <c r="D142" s="137">
        <v>291</v>
      </c>
      <c r="E142" s="137">
        <v>682</v>
      </c>
    </row>
    <row r="143" spans="1:5" ht="17.25" customHeight="1">
      <c r="A143" s="135">
        <v>140</v>
      </c>
      <c r="B143" s="136" t="s">
        <v>473</v>
      </c>
      <c r="C143" s="137">
        <v>284</v>
      </c>
      <c r="D143" s="137">
        <v>389</v>
      </c>
      <c r="E143" s="137">
        <v>673</v>
      </c>
    </row>
    <row r="144" spans="1:5" ht="28">
      <c r="A144" s="135">
        <v>141</v>
      </c>
      <c r="B144" s="136" t="s">
        <v>477</v>
      </c>
      <c r="C144" s="137">
        <v>140</v>
      </c>
      <c r="D144" s="137">
        <v>508</v>
      </c>
      <c r="E144" s="137">
        <v>648</v>
      </c>
    </row>
    <row r="145" spans="1:5" ht="17.25" customHeight="1">
      <c r="A145" s="135">
        <v>142</v>
      </c>
      <c r="B145" s="136" t="s">
        <v>484</v>
      </c>
      <c r="C145" s="137">
        <v>451</v>
      </c>
      <c r="D145" s="137">
        <v>189</v>
      </c>
      <c r="E145" s="137">
        <v>640</v>
      </c>
    </row>
    <row r="146" spans="1:5" ht="17.25" customHeight="1">
      <c r="A146" s="135">
        <v>143</v>
      </c>
      <c r="B146" s="136" t="s">
        <v>479</v>
      </c>
      <c r="C146" s="137">
        <v>158</v>
      </c>
      <c r="D146" s="137">
        <v>462</v>
      </c>
      <c r="E146" s="137">
        <v>620</v>
      </c>
    </row>
    <row r="147" spans="1:5" ht="17.25" customHeight="1">
      <c r="A147" s="135">
        <v>144</v>
      </c>
      <c r="B147" s="136" t="s">
        <v>506</v>
      </c>
      <c r="C147" s="137">
        <v>337</v>
      </c>
      <c r="D147" s="137">
        <v>220</v>
      </c>
      <c r="E147" s="137">
        <v>557</v>
      </c>
    </row>
    <row r="148" spans="1:5" ht="17.25" customHeight="1">
      <c r="A148" s="135">
        <v>145</v>
      </c>
      <c r="B148" s="136" t="s">
        <v>497</v>
      </c>
      <c r="C148" s="137">
        <v>472</v>
      </c>
      <c r="D148" s="137">
        <v>65</v>
      </c>
      <c r="E148" s="137">
        <v>537</v>
      </c>
    </row>
    <row r="149" spans="1:5" ht="17.25" customHeight="1">
      <c r="A149" s="135">
        <v>146</v>
      </c>
      <c r="B149" s="136" t="s">
        <v>482</v>
      </c>
      <c r="C149" s="137">
        <v>175</v>
      </c>
      <c r="D149" s="137">
        <v>351</v>
      </c>
      <c r="E149" s="137">
        <v>526</v>
      </c>
    </row>
    <row r="150" spans="1:5" ht="17.25" customHeight="1">
      <c r="A150" s="135">
        <v>147</v>
      </c>
      <c r="B150" s="136" t="s">
        <v>486</v>
      </c>
      <c r="C150" s="137">
        <v>302</v>
      </c>
      <c r="D150" s="137">
        <v>185</v>
      </c>
      <c r="E150" s="137">
        <v>487</v>
      </c>
    </row>
    <row r="151" spans="1:5" ht="17.25" customHeight="1">
      <c r="A151" s="135">
        <v>148</v>
      </c>
      <c r="B151" s="136" t="s">
        <v>485</v>
      </c>
      <c r="C151" s="137">
        <v>102</v>
      </c>
      <c r="D151" s="137">
        <v>305</v>
      </c>
      <c r="E151" s="137">
        <v>407</v>
      </c>
    </row>
    <row r="152" spans="1:5" ht="17.25" customHeight="1">
      <c r="A152" s="135">
        <v>149</v>
      </c>
      <c r="B152" s="136" t="s">
        <v>487</v>
      </c>
      <c r="C152" s="137">
        <v>235</v>
      </c>
      <c r="D152" s="137">
        <v>151</v>
      </c>
      <c r="E152" s="137">
        <v>386</v>
      </c>
    </row>
    <row r="153" spans="1:5" ht="17.25" customHeight="1">
      <c r="A153" s="135">
        <v>150</v>
      </c>
      <c r="B153" s="136" t="s">
        <v>483</v>
      </c>
      <c r="C153" s="137">
        <v>118</v>
      </c>
      <c r="D153" s="137">
        <v>245</v>
      </c>
      <c r="E153" s="137">
        <v>363</v>
      </c>
    </row>
    <row r="154" spans="1:5" ht="17.25" customHeight="1">
      <c r="A154" s="135">
        <v>151</v>
      </c>
      <c r="B154" s="136" t="s">
        <v>478</v>
      </c>
      <c r="C154" s="137">
        <v>248</v>
      </c>
      <c r="D154" s="137">
        <v>109</v>
      </c>
      <c r="E154" s="137">
        <v>357</v>
      </c>
    </row>
    <row r="155" spans="1:5" ht="17.25" customHeight="1">
      <c r="A155" s="135">
        <v>152</v>
      </c>
      <c r="B155" s="136" t="s">
        <v>491</v>
      </c>
      <c r="C155" s="137">
        <v>143</v>
      </c>
      <c r="D155" s="137">
        <v>51</v>
      </c>
      <c r="E155" s="137">
        <v>194</v>
      </c>
    </row>
    <row r="156" spans="1:5" ht="17.25" customHeight="1">
      <c r="A156" s="135">
        <v>153</v>
      </c>
      <c r="B156" s="136" t="s">
        <v>496</v>
      </c>
      <c r="C156" s="137">
        <v>59</v>
      </c>
      <c r="D156" s="137">
        <v>132</v>
      </c>
      <c r="E156" s="137">
        <v>191</v>
      </c>
    </row>
    <row r="157" spans="1:5" ht="17.25" customHeight="1">
      <c r="A157" s="135">
        <v>154</v>
      </c>
      <c r="B157" s="136" t="s">
        <v>490</v>
      </c>
      <c r="C157" s="137">
        <v>126</v>
      </c>
      <c r="D157" s="137">
        <v>60</v>
      </c>
      <c r="E157" s="137">
        <v>186</v>
      </c>
    </row>
    <row r="158" spans="1:5" ht="17.25" customHeight="1">
      <c r="A158" s="135">
        <v>155</v>
      </c>
      <c r="B158" s="136" t="s">
        <v>493</v>
      </c>
      <c r="C158" s="137">
        <v>98</v>
      </c>
      <c r="D158" s="137">
        <v>78</v>
      </c>
      <c r="E158" s="137">
        <v>176</v>
      </c>
    </row>
    <row r="159" spans="1:5" ht="17.25" customHeight="1">
      <c r="A159" s="135">
        <v>156</v>
      </c>
      <c r="B159" s="136" t="s">
        <v>901</v>
      </c>
      <c r="C159" s="137">
        <v>14</v>
      </c>
      <c r="D159" s="137">
        <v>157</v>
      </c>
      <c r="E159" s="137">
        <v>171</v>
      </c>
    </row>
    <row r="160" spans="1:5" ht="17.25" customHeight="1">
      <c r="A160" s="135">
        <v>157</v>
      </c>
      <c r="B160" s="136" t="s">
        <v>902</v>
      </c>
      <c r="C160" s="137">
        <v>101</v>
      </c>
      <c r="D160" s="137">
        <v>68</v>
      </c>
      <c r="E160" s="137">
        <v>169</v>
      </c>
    </row>
    <row r="161" spans="1:5" ht="17.25" customHeight="1">
      <c r="A161" s="135">
        <v>158</v>
      </c>
      <c r="B161" s="136" t="s">
        <v>492</v>
      </c>
      <c r="C161" s="137">
        <v>103</v>
      </c>
      <c r="D161" s="137">
        <v>42</v>
      </c>
      <c r="E161" s="137">
        <v>145</v>
      </c>
    </row>
    <row r="162" spans="1:5" ht="28">
      <c r="A162" s="135">
        <v>159</v>
      </c>
      <c r="B162" s="136" t="s">
        <v>489</v>
      </c>
      <c r="C162" s="137">
        <v>43</v>
      </c>
      <c r="D162" s="137">
        <v>87</v>
      </c>
      <c r="E162" s="137">
        <v>130</v>
      </c>
    </row>
    <row r="163" spans="1:5">
      <c r="A163" s="135">
        <v>160</v>
      </c>
      <c r="B163" s="136" t="s">
        <v>508</v>
      </c>
      <c r="C163" s="137">
        <v>38</v>
      </c>
      <c r="D163" s="137">
        <v>74</v>
      </c>
      <c r="E163" s="137">
        <v>112</v>
      </c>
    </row>
    <row r="164" spans="1:5" ht="18" customHeight="1">
      <c r="A164" s="135">
        <v>161</v>
      </c>
      <c r="B164" s="136" t="s">
        <v>501</v>
      </c>
      <c r="C164" s="137">
        <v>101</v>
      </c>
      <c r="D164" s="137">
        <v>0</v>
      </c>
      <c r="E164" s="137">
        <v>101</v>
      </c>
    </row>
    <row r="165" spans="1:5" ht="18" customHeight="1">
      <c r="A165" s="135">
        <v>162</v>
      </c>
      <c r="B165" s="136" t="s">
        <v>494</v>
      </c>
      <c r="C165" s="137">
        <v>49</v>
      </c>
      <c r="D165" s="137">
        <v>35</v>
      </c>
      <c r="E165" s="137">
        <v>84</v>
      </c>
    </row>
    <row r="166" spans="1:5" ht="18" customHeight="1">
      <c r="A166" s="135">
        <v>163</v>
      </c>
      <c r="B166" s="136" t="s">
        <v>357</v>
      </c>
      <c r="C166" s="137">
        <v>13</v>
      </c>
      <c r="D166" s="137">
        <v>65</v>
      </c>
      <c r="E166" s="137">
        <v>78</v>
      </c>
    </row>
    <row r="167" spans="1:5" ht="18" customHeight="1">
      <c r="A167" s="135">
        <v>164</v>
      </c>
      <c r="B167" s="136" t="s">
        <v>498</v>
      </c>
      <c r="C167" s="137">
        <v>43</v>
      </c>
      <c r="D167" s="137">
        <v>19</v>
      </c>
      <c r="E167" s="137">
        <v>62</v>
      </c>
    </row>
    <row r="168" spans="1:5" ht="18" customHeight="1">
      <c r="A168" s="135">
        <v>165</v>
      </c>
      <c r="B168" s="136" t="s">
        <v>495</v>
      </c>
      <c r="C168" s="137">
        <v>47</v>
      </c>
      <c r="D168" s="137">
        <v>14</v>
      </c>
      <c r="E168" s="137">
        <v>61</v>
      </c>
    </row>
    <row r="169" spans="1:5" ht="18" customHeight="1">
      <c r="A169" s="135">
        <v>166</v>
      </c>
      <c r="B169" s="136" t="s">
        <v>499</v>
      </c>
      <c r="C169" s="137">
        <v>24</v>
      </c>
      <c r="D169" s="137">
        <v>16</v>
      </c>
      <c r="E169" s="137">
        <v>40</v>
      </c>
    </row>
    <row r="170" spans="1:5" ht="18" customHeight="1">
      <c r="A170" s="135">
        <v>167</v>
      </c>
      <c r="B170" s="136" t="s">
        <v>905</v>
      </c>
      <c r="C170" s="155">
        <v>20</v>
      </c>
      <c r="D170" s="155">
        <v>15</v>
      </c>
      <c r="E170" s="155">
        <v>35</v>
      </c>
    </row>
    <row r="171" spans="1:5" ht="18" customHeight="1">
      <c r="A171" s="135">
        <v>168</v>
      </c>
      <c r="B171" s="136" t="s">
        <v>904</v>
      </c>
      <c r="C171" s="155">
        <v>7</v>
      </c>
      <c r="D171" s="155">
        <v>26</v>
      </c>
      <c r="E171" s="155">
        <v>33</v>
      </c>
    </row>
    <row r="172" spans="1:5" ht="18" customHeight="1">
      <c r="A172" s="135">
        <v>169</v>
      </c>
      <c r="B172" s="136" t="s">
        <v>903</v>
      </c>
      <c r="C172" s="155">
        <v>2</v>
      </c>
      <c r="D172" s="155">
        <v>29</v>
      </c>
      <c r="E172" s="155">
        <v>31</v>
      </c>
    </row>
    <row r="173" spans="1:5">
      <c r="A173" s="135">
        <v>170</v>
      </c>
      <c r="B173" s="136" t="s">
        <v>502</v>
      </c>
      <c r="C173" s="155">
        <v>15</v>
      </c>
      <c r="D173" s="155">
        <v>9</v>
      </c>
      <c r="E173" s="155">
        <v>24</v>
      </c>
    </row>
    <row r="174" spans="1:5">
      <c r="A174" s="135">
        <v>171</v>
      </c>
      <c r="B174" s="136" t="s">
        <v>481</v>
      </c>
      <c r="C174" s="155">
        <v>13</v>
      </c>
      <c r="D174" s="155">
        <v>9</v>
      </c>
      <c r="E174" s="155">
        <v>22</v>
      </c>
    </row>
    <row r="175" spans="1:5">
      <c r="A175" s="135">
        <v>172</v>
      </c>
      <c r="B175" s="136" t="s">
        <v>503</v>
      </c>
      <c r="C175" s="155">
        <v>11</v>
      </c>
      <c r="D175" s="155">
        <v>6</v>
      </c>
      <c r="E175" s="155">
        <v>17</v>
      </c>
    </row>
    <row r="176" spans="1:5">
      <c r="A176" s="135">
        <v>173</v>
      </c>
      <c r="B176" s="136" t="s">
        <v>908</v>
      </c>
      <c r="C176" s="155">
        <v>4</v>
      </c>
      <c r="D176" s="155">
        <v>9</v>
      </c>
      <c r="E176" s="155">
        <v>13</v>
      </c>
    </row>
    <row r="177" spans="1:5">
      <c r="A177" s="135">
        <v>174</v>
      </c>
      <c r="B177" s="136" t="s">
        <v>909</v>
      </c>
      <c r="C177" s="155">
        <v>4</v>
      </c>
      <c r="D177" s="155">
        <v>6</v>
      </c>
      <c r="E177" s="155">
        <v>10</v>
      </c>
    </row>
    <row r="178" spans="1:5" ht="28">
      <c r="A178" s="135">
        <v>175</v>
      </c>
      <c r="B178" s="136" t="s">
        <v>504</v>
      </c>
      <c r="C178" s="155">
        <v>5</v>
      </c>
      <c r="D178" s="155">
        <v>4</v>
      </c>
      <c r="E178" s="155">
        <v>9</v>
      </c>
    </row>
    <row r="179" spans="1:5" ht="28">
      <c r="A179" s="135">
        <v>176</v>
      </c>
      <c r="B179" s="136" t="s">
        <v>505</v>
      </c>
      <c r="C179" s="155">
        <v>6</v>
      </c>
      <c r="D179" s="155">
        <v>2</v>
      </c>
      <c r="E179" s="155">
        <v>8</v>
      </c>
    </row>
    <row r="180" spans="1:5" ht="17.25" customHeight="1">
      <c r="A180" s="135">
        <v>177</v>
      </c>
      <c r="B180" s="136" t="s">
        <v>500</v>
      </c>
      <c r="C180" s="155">
        <v>1</v>
      </c>
      <c r="D180" s="155">
        <v>3</v>
      </c>
      <c r="E180" s="155">
        <v>4</v>
      </c>
    </row>
    <row r="181" spans="1:5" ht="17.25" customHeight="1">
      <c r="A181" s="135">
        <v>178</v>
      </c>
      <c r="B181" s="136" t="s">
        <v>911</v>
      </c>
      <c r="C181" s="155">
        <v>0</v>
      </c>
      <c r="D181" s="155">
        <v>0</v>
      </c>
      <c r="E181" s="155">
        <v>0</v>
      </c>
    </row>
    <row r="182" spans="1:5" ht="17.25" customHeight="1">
      <c r="A182" s="135">
        <v>179</v>
      </c>
      <c r="B182" s="136" t="s">
        <v>509</v>
      </c>
      <c r="C182" s="137">
        <v>66518</v>
      </c>
      <c r="D182" s="137">
        <v>64652</v>
      </c>
      <c r="E182" s="137">
        <v>131170</v>
      </c>
    </row>
    <row r="183" spans="1:5" ht="17.25" customHeight="1">
      <c r="A183" s="135">
        <v>180</v>
      </c>
      <c r="B183" s="136" t="s">
        <v>510</v>
      </c>
      <c r="C183" s="137">
        <v>424853</v>
      </c>
      <c r="D183" s="137">
        <v>148461</v>
      </c>
      <c r="E183" s="137">
        <v>573314</v>
      </c>
    </row>
    <row r="184" spans="1:5" ht="17.25" customHeight="1">
      <c r="A184" s="135">
        <v>181</v>
      </c>
      <c r="B184" s="136" t="s">
        <v>511</v>
      </c>
      <c r="C184" s="137">
        <v>44972</v>
      </c>
      <c r="D184" s="137">
        <v>70875</v>
      </c>
      <c r="E184" s="137">
        <v>115847</v>
      </c>
    </row>
    <row r="185" spans="1:5" ht="17.25" customHeight="1">
      <c r="A185" s="135">
        <v>182</v>
      </c>
      <c r="B185" s="136" t="s">
        <v>512</v>
      </c>
      <c r="C185" s="137">
        <v>13648</v>
      </c>
      <c r="D185" s="137">
        <v>60314</v>
      </c>
      <c r="E185" s="137">
        <v>73962</v>
      </c>
    </row>
    <row r="186" spans="1:5" ht="17.25" customHeight="1">
      <c r="A186" s="135">
        <v>183</v>
      </c>
      <c r="B186" s="136" t="s">
        <v>513</v>
      </c>
      <c r="C186" s="140">
        <v>41813</v>
      </c>
      <c r="D186" s="140">
        <v>15803</v>
      </c>
      <c r="E186" s="140">
        <v>57616</v>
      </c>
    </row>
    <row r="187" spans="1:5" ht="17.25" customHeight="1">
      <c r="A187" s="135">
        <v>184</v>
      </c>
      <c r="B187" s="136" t="s">
        <v>514</v>
      </c>
      <c r="C187" s="140">
        <v>676</v>
      </c>
      <c r="D187" s="140">
        <v>25919</v>
      </c>
      <c r="E187" s="140">
        <v>26595</v>
      </c>
    </row>
    <row r="188" spans="1:5" ht="17.25" customHeight="1">
      <c r="A188" s="135">
        <v>185</v>
      </c>
      <c r="B188" s="136" t="s">
        <v>515</v>
      </c>
      <c r="C188" s="140">
        <v>363</v>
      </c>
      <c r="D188" s="140">
        <v>353</v>
      </c>
      <c r="E188" s="140">
        <v>716</v>
      </c>
    </row>
    <row r="189" spans="1:5" ht="17.25" customHeight="1">
      <c r="A189" s="135">
        <v>186</v>
      </c>
      <c r="B189" s="136" t="s">
        <v>516</v>
      </c>
      <c r="C189" s="140">
        <v>45191</v>
      </c>
      <c r="D189" s="140">
        <v>40101</v>
      </c>
      <c r="E189" s="140">
        <v>85292</v>
      </c>
    </row>
    <row r="190" spans="1:5" ht="17.25" customHeight="1">
      <c r="A190" s="135">
        <v>187</v>
      </c>
      <c r="B190" s="136" t="s">
        <v>517</v>
      </c>
      <c r="C190" s="140">
        <v>8887</v>
      </c>
      <c r="D190" s="140">
        <v>6460</v>
      </c>
      <c r="E190" s="140">
        <v>15347</v>
      </c>
    </row>
    <row r="191" spans="1:5" ht="17.25" customHeight="1">
      <c r="A191" s="135">
        <v>188</v>
      </c>
      <c r="B191" s="136" t="s">
        <v>518</v>
      </c>
      <c r="C191" s="140">
        <v>3404</v>
      </c>
      <c r="D191" s="140">
        <v>4322</v>
      </c>
      <c r="E191" s="140">
        <v>7726</v>
      </c>
    </row>
    <row r="192" spans="1:5">
      <c r="A192" s="135">
        <v>189</v>
      </c>
      <c r="B192" s="136" t="s">
        <v>519</v>
      </c>
      <c r="C192" s="140">
        <v>3156</v>
      </c>
      <c r="D192" s="140">
        <v>3522</v>
      </c>
      <c r="E192" s="140">
        <v>6678</v>
      </c>
    </row>
    <row r="193" spans="1:5">
      <c r="A193" s="135">
        <v>190</v>
      </c>
      <c r="B193" s="136" t="s">
        <v>520</v>
      </c>
      <c r="C193" s="140">
        <v>2049</v>
      </c>
      <c r="D193" s="140">
        <v>1676</v>
      </c>
      <c r="E193" s="140">
        <v>3725</v>
      </c>
    </row>
    <row r="194" spans="1:5" ht="28">
      <c r="A194" s="135">
        <v>191</v>
      </c>
      <c r="B194" s="136" t="s">
        <v>522</v>
      </c>
      <c r="C194" s="140">
        <v>2273</v>
      </c>
      <c r="D194" s="140">
        <v>784</v>
      </c>
      <c r="E194" s="140">
        <v>3057</v>
      </c>
    </row>
    <row r="195" spans="1:5" ht="28">
      <c r="A195" s="135">
        <v>192</v>
      </c>
      <c r="B195" s="136" t="s">
        <v>521</v>
      </c>
      <c r="C195" s="140">
        <v>1583</v>
      </c>
      <c r="D195" s="140">
        <v>1386</v>
      </c>
      <c r="E195" s="140">
        <v>2969</v>
      </c>
    </row>
    <row r="196" spans="1:5">
      <c r="A196" s="135">
        <v>193</v>
      </c>
      <c r="B196" s="140" t="s">
        <v>523</v>
      </c>
      <c r="C196" s="137">
        <v>1382</v>
      </c>
      <c r="D196" s="137">
        <v>807</v>
      </c>
      <c r="E196" s="137">
        <v>2189</v>
      </c>
    </row>
    <row r="197" spans="1:5">
      <c r="A197" s="135">
        <v>194</v>
      </c>
      <c r="B197" s="136" t="s">
        <v>525</v>
      </c>
      <c r="C197" s="140">
        <v>999</v>
      </c>
      <c r="D197" s="140">
        <v>651</v>
      </c>
      <c r="E197" s="140">
        <v>1650</v>
      </c>
    </row>
    <row r="198" spans="1:5" ht="28">
      <c r="A198" s="135">
        <v>195</v>
      </c>
      <c r="B198" s="136" t="s">
        <v>527</v>
      </c>
      <c r="C198" s="140">
        <v>617</v>
      </c>
      <c r="D198" s="140">
        <v>343</v>
      </c>
      <c r="E198" s="140">
        <v>960</v>
      </c>
    </row>
    <row r="199" spans="1:5">
      <c r="A199" s="135">
        <v>196</v>
      </c>
      <c r="B199" s="136" t="s">
        <v>524</v>
      </c>
      <c r="C199" s="140">
        <v>436</v>
      </c>
      <c r="D199" s="140">
        <v>508</v>
      </c>
      <c r="E199" s="140">
        <v>944</v>
      </c>
    </row>
    <row r="200" spans="1:5">
      <c r="A200" s="135">
        <v>197</v>
      </c>
      <c r="B200" s="136" t="s">
        <v>526</v>
      </c>
      <c r="C200" s="140">
        <v>405</v>
      </c>
      <c r="D200" s="140">
        <v>510</v>
      </c>
      <c r="E200" s="140">
        <v>915</v>
      </c>
    </row>
    <row r="201" spans="1:5">
      <c r="A201" s="135">
        <v>198</v>
      </c>
      <c r="B201" s="136" t="s">
        <v>913</v>
      </c>
      <c r="C201" s="140">
        <v>210</v>
      </c>
      <c r="D201" s="140">
        <v>104</v>
      </c>
      <c r="E201" s="140">
        <v>314</v>
      </c>
    </row>
    <row r="202" spans="1:5">
      <c r="A202" s="135">
        <v>199</v>
      </c>
      <c r="B202" s="136" t="s">
        <v>528</v>
      </c>
      <c r="C202" s="140">
        <v>109</v>
      </c>
      <c r="D202" s="140">
        <v>113</v>
      </c>
      <c r="E202" s="140">
        <v>222</v>
      </c>
    </row>
    <row r="203" spans="1:5">
      <c r="A203" s="135">
        <v>200</v>
      </c>
      <c r="B203" s="136" t="s">
        <v>529</v>
      </c>
      <c r="C203" s="140">
        <v>102</v>
      </c>
      <c r="D203" s="140">
        <v>115</v>
      </c>
      <c r="E203" s="140">
        <v>217</v>
      </c>
    </row>
    <row r="204" spans="1:5">
      <c r="A204" s="135">
        <v>201</v>
      </c>
      <c r="B204" s="136" t="s">
        <v>912</v>
      </c>
      <c r="C204" s="140">
        <v>79</v>
      </c>
      <c r="D204" s="140">
        <v>73</v>
      </c>
      <c r="E204" s="140">
        <v>152</v>
      </c>
    </row>
    <row r="205" spans="1:5">
      <c r="A205" s="135">
        <v>202</v>
      </c>
      <c r="B205" s="136" t="s">
        <v>530</v>
      </c>
      <c r="C205" s="140">
        <v>36</v>
      </c>
      <c r="D205" s="140">
        <v>39</v>
      </c>
      <c r="E205" s="140">
        <v>75</v>
      </c>
    </row>
    <row r="206" spans="1:5">
      <c r="A206" s="135">
        <v>203</v>
      </c>
      <c r="B206" s="136" t="s">
        <v>532</v>
      </c>
      <c r="C206" s="140">
        <v>20</v>
      </c>
      <c r="D206" s="140">
        <v>48</v>
      </c>
      <c r="E206" s="140">
        <v>68</v>
      </c>
    </row>
    <row r="207" spans="1:5" ht="28">
      <c r="A207" s="135">
        <v>204</v>
      </c>
      <c r="B207" s="136" t="s">
        <v>533</v>
      </c>
      <c r="C207" s="140">
        <v>7</v>
      </c>
      <c r="D207" s="140">
        <v>52</v>
      </c>
      <c r="E207" s="140">
        <v>59</v>
      </c>
    </row>
    <row r="208" spans="1:5">
      <c r="A208" s="135">
        <v>205</v>
      </c>
      <c r="B208" s="136" t="s">
        <v>915</v>
      </c>
      <c r="C208" s="140">
        <v>36</v>
      </c>
      <c r="D208" s="140">
        <v>14</v>
      </c>
      <c r="E208" s="140">
        <v>50</v>
      </c>
    </row>
    <row r="209" spans="1:5" ht="28">
      <c r="A209" s="135">
        <v>206</v>
      </c>
      <c r="B209" s="136" t="s">
        <v>914</v>
      </c>
      <c r="C209" s="140">
        <v>46</v>
      </c>
      <c r="D209" s="140">
        <v>1</v>
      </c>
      <c r="E209" s="140">
        <v>47</v>
      </c>
    </row>
    <row r="210" spans="1:5">
      <c r="A210" s="135">
        <v>207</v>
      </c>
      <c r="B210" s="136" t="s">
        <v>531</v>
      </c>
      <c r="C210" s="140">
        <v>9</v>
      </c>
      <c r="D210" s="140">
        <v>11</v>
      </c>
      <c r="E210" s="140">
        <v>20</v>
      </c>
    </row>
    <row r="211" spans="1:5">
      <c r="A211" s="135">
        <v>208</v>
      </c>
      <c r="B211" s="136" t="s">
        <v>916</v>
      </c>
      <c r="C211" s="140">
        <v>10</v>
      </c>
      <c r="D211" s="140">
        <v>9</v>
      </c>
      <c r="E211" s="140">
        <v>19</v>
      </c>
    </row>
    <row r="212" spans="1:5">
      <c r="A212" s="985" t="s">
        <v>49</v>
      </c>
      <c r="B212" s="985"/>
      <c r="C212" s="147">
        <v>4651823</v>
      </c>
      <c r="D212" s="147">
        <v>4889213</v>
      </c>
      <c r="E212" s="147">
        <v>9541036</v>
      </c>
    </row>
  </sheetData>
  <mergeCells count="2">
    <mergeCell ref="A1:E1"/>
    <mergeCell ref="A212:B212"/>
  </mergeCells>
  <pageMargins left="0.59055118110236227" right="0.51181102362204722" top="0.39370078740157483" bottom="0.39370078740157483" header="0.31496062992125984" footer="0.31496062992125984"/>
  <pageSetup paperSize="9" scale="87" firstPageNumber="98" pageOrder="overThenDown" orientation="portrait" useFirstPageNumber="1" r:id="rId1"/>
  <headerFooter>
    <oddFooter>&amp;L     AISHE 2020-21&amp;CT-34</oddFooter>
  </headerFooter>
  <rowBreaks count="4" manualBreakCount="4">
    <brk id="48" max="4" man="1"/>
    <brk id="88" max="4" man="1"/>
    <brk id="130" max="4" man="1"/>
    <brk id="173" max="4" man="1"/>
  </rowBreaks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00B050"/>
  </sheetPr>
  <dimension ref="A1:Z213"/>
  <sheetViews>
    <sheetView view="pageBreakPreview" topLeftCell="O209" zoomScale="85" zoomScaleSheetLayoutView="85" workbookViewId="0">
      <selection activeCell="Z213" sqref="Z213"/>
    </sheetView>
  </sheetViews>
  <sheetFormatPr defaultColWidth="9.1796875" defaultRowHeight="14"/>
  <cols>
    <col min="1" max="1" width="7.453125" style="138" bestFit="1" customWidth="1"/>
    <col min="2" max="2" width="30.7265625" style="142" customWidth="1"/>
    <col min="3" max="14" width="18.453125" style="138" customWidth="1"/>
    <col min="15" max="16" width="10" style="138" bestFit="1" customWidth="1"/>
    <col min="17" max="17" width="11.1796875" style="138" bestFit="1" customWidth="1"/>
    <col min="18" max="16384" width="9.1796875" style="138"/>
  </cols>
  <sheetData>
    <row r="1" spans="1:26" s="129" customFormat="1" ht="29.25" customHeight="1">
      <c r="A1" s="1111" t="s">
        <v>979</v>
      </c>
      <c r="B1" s="1111"/>
      <c r="C1" s="1112" t="s">
        <v>1040</v>
      </c>
      <c r="D1" s="1113"/>
      <c r="E1" s="1113"/>
      <c r="F1" s="1113"/>
      <c r="G1" s="1113"/>
      <c r="H1" s="1113"/>
      <c r="I1" s="1112" t="str">
        <f>C1</f>
        <v xml:space="preserve"> Programme-wise Out-turn/Pass-Out (Based on Actual Response)</v>
      </c>
      <c r="J1" s="1114"/>
      <c r="K1" s="1114"/>
      <c r="L1" s="1114"/>
      <c r="M1" s="1114"/>
      <c r="N1" s="1114"/>
      <c r="O1" s="426" t="str">
        <f>I1</f>
        <v xml:space="preserve"> Programme-wise Out-turn/Pass-Out (Based on Actual Response)</v>
      </c>
    </row>
    <row r="2" spans="1:26" s="130" customFormat="1" ht="38.25" customHeight="1">
      <c r="A2" s="981" t="s">
        <v>235</v>
      </c>
      <c r="B2" s="983" t="s">
        <v>347</v>
      </c>
      <c r="C2" s="1115" t="s">
        <v>152</v>
      </c>
      <c r="D2" s="1116"/>
      <c r="E2" s="1117"/>
      <c r="F2" s="1115" t="s">
        <v>538</v>
      </c>
      <c r="G2" s="1116"/>
      <c r="H2" s="1117"/>
      <c r="I2" s="1115" t="s">
        <v>315</v>
      </c>
      <c r="J2" s="1116"/>
      <c r="K2" s="1117"/>
      <c r="L2" s="1115" t="s">
        <v>316</v>
      </c>
      <c r="M2" s="1116"/>
      <c r="N2" s="1117"/>
      <c r="O2" s="984" t="s">
        <v>108</v>
      </c>
      <c r="P2" s="984"/>
      <c r="Q2" s="984"/>
      <c r="R2" s="984" t="s">
        <v>109</v>
      </c>
      <c r="S2" s="984"/>
      <c r="T2" s="984"/>
      <c r="U2" s="984" t="s">
        <v>110</v>
      </c>
      <c r="V2" s="984"/>
      <c r="W2" s="984"/>
      <c r="X2" s="984" t="s">
        <v>296</v>
      </c>
      <c r="Y2" s="984"/>
      <c r="Z2" s="984"/>
    </row>
    <row r="3" spans="1:26" s="132" customFormat="1" ht="23.25" customHeight="1">
      <c r="A3" s="982"/>
      <c r="B3" s="983"/>
      <c r="C3" s="131" t="s">
        <v>87</v>
      </c>
      <c r="D3" s="131" t="s">
        <v>88</v>
      </c>
      <c r="E3" s="131" t="s">
        <v>12</v>
      </c>
      <c r="F3" s="131" t="s">
        <v>87</v>
      </c>
      <c r="G3" s="131" t="s">
        <v>88</v>
      </c>
      <c r="H3" s="131" t="s">
        <v>12</v>
      </c>
      <c r="I3" s="131" t="s">
        <v>87</v>
      </c>
      <c r="J3" s="131" t="s">
        <v>88</v>
      </c>
      <c r="K3" s="131" t="s">
        <v>12</v>
      </c>
      <c r="L3" s="131" t="s">
        <v>87</v>
      </c>
      <c r="M3" s="131" t="s">
        <v>88</v>
      </c>
      <c r="N3" s="131" t="s">
        <v>12</v>
      </c>
      <c r="O3" s="131" t="s">
        <v>87</v>
      </c>
      <c r="P3" s="131" t="s">
        <v>88</v>
      </c>
      <c r="Q3" s="131" t="s">
        <v>12</v>
      </c>
      <c r="R3" s="131" t="s">
        <v>87</v>
      </c>
      <c r="S3" s="131" t="s">
        <v>88</v>
      </c>
      <c r="T3" s="131" t="s">
        <v>12</v>
      </c>
      <c r="U3" s="131" t="s">
        <v>87</v>
      </c>
      <c r="V3" s="131" t="s">
        <v>88</v>
      </c>
      <c r="W3" s="131" t="s">
        <v>12</v>
      </c>
      <c r="X3" s="131" t="s">
        <v>87</v>
      </c>
      <c r="Y3" s="131" t="s">
        <v>88</v>
      </c>
      <c r="Z3" s="131" t="s">
        <v>12</v>
      </c>
    </row>
    <row r="4" spans="1:26" s="134" customFormat="1" ht="12">
      <c r="A4" s="133">
        <v>1</v>
      </c>
      <c r="B4" s="133">
        <v>2</v>
      </c>
      <c r="C4" s="133">
        <v>3</v>
      </c>
      <c r="D4" s="133">
        <v>4</v>
      </c>
      <c r="E4" s="133">
        <v>5</v>
      </c>
      <c r="F4" s="133">
        <v>6</v>
      </c>
      <c r="G4" s="133">
        <v>7</v>
      </c>
      <c r="H4" s="133">
        <v>8</v>
      </c>
      <c r="I4" s="133">
        <v>9</v>
      </c>
      <c r="J4" s="133">
        <v>10</v>
      </c>
      <c r="K4" s="133">
        <v>11</v>
      </c>
      <c r="L4" s="133">
        <v>12</v>
      </c>
      <c r="M4" s="133">
        <v>13</v>
      </c>
      <c r="N4" s="133">
        <v>14</v>
      </c>
      <c r="O4" s="133">
        <v>15</v>
      </c>
      <c r="P4" s="133">
        <v>16</v>
      </c>
      <c r="Q4" s="133">
        <v>17</v>
      </c>
      <c r="R4" s="133">
        <v>18</v>
      </c>
      <c r="S4" s="133">
        <v>19</v>
      </c>
      <c r="T4" s="133">
        <v>20</v>
      </c>
      <c r="U4" s="133">
        <v>21</v>
      </c>
      <c r="V4" s="133">
        <v>22</v>
      </c>
      <c r="W4" s="133">
        <v>23</v>
      </c>
      <c r="X4" s="133">
        <v>24</v>
      </c>
      <c r="Y4" s="133">
        <v>25</v>
      </c>
      <c r="Z4" s="133">
        <v>26</v>
      </c>
    </row>
    <row r="5" spans="1:26">
      <c r="A5" s="251">
        <v>1</v>
      </c>
      <c r="B5" s="136" t="s">
        <v>348</v>
      </c>
      <c r="C5" s="137">
        <v>13440</v>
      </c>
      <c r="D5" s="137">
        <v>10706</v>
      </c>
      <c r="E5" s="137">
        <v>24146</v>
      </c>
      <c r="F5" s="137">
        <v>888</v>
      </c>
      <c r="G5" s="137">
        <v>652</v>
      </c>
      <c r="H5" s="137">
        <v>1540</v>
      </c>
      <c r="I5" s="137">
        <v>272</v>
      </c>
      <c r="J5" s="137">
        <v>240</v>
      </c>
      <c r="K5" s="137">
        <v>512</v>
      </c>
      <c r="L5" s="137">
        <v>2109</v>
      </c>
      <c r="M5" s="137">
        <v>1800</v>
      </c>
      <c r="N5" s="137">
        <v>3909</v>
      </c>
      <c r="O5" s="137">
        <v>7</v>
      </c>
      <c r="P5" s="137">
        <v>6</v>
      </c>
      <c r="Q5" s="137">
        <v>13</v>
      </c>
      <c r="R5" s="137">
        <v>346</v>
      </c>
      <c r="S5" s="137">
        <v>273</v>
      </c>
      <c r="T5" s="137">
        <v>619</v>
      </c>
      <c r="U5" s="137">
        <v>298</v>
      </c>
      <c r="V5" s="137">
        <v>451</v>
      </c>
      <c r="W5" s="137">
        <v>749</v>
      </c>
      <c r="X5" s="137">
        <v>59</v>
      </c>
      <c r="Y5" s="137">
        <v>46</v>
      </c>
      <c r="Z5" s="137">
        <v>105</v>
      </c>
    </row>
    <row r="6" spans="1:26">
      <c r="A6" s="251">
        <v>2</v>
      </c>
      <c r="B6" s="136" t="s">
        <v>350</v>
      </c>
      <c r="C6" s="137">
        <v>389</v>
      </c>
      <c r="D6" s="137">
        <v>114</v>
      </c>
      <c r="E6" s="137">
        <v>503</v>
      </c>
      <c r="F6" s="137">
        <v>1</v>
      </c>
      <c r="G6" s="137">
        <v>0</v>
      </c>
      <c r="H6" s="137">
        <v>1</v>
      </c>
      <c r="I6" s="137">
        <v>0</v>
      </c>
      <c r="J6" s="137">
        <v>0</v>
      </c>
      <c r="K6" s="137">
        <v>0</v>
      </c>
      <c r="L6" s="137">
        <v>6</v>
      </c>
      <c r="M6" s="137">
        <v>7</v>
      </c>
      <c r="N6" s="137">
        <v>13</v>
      </c>
      <c r="O6" s="137">
        <v>0</v>
      </c>
      <c r="P6" s="137">
        <v>0</v>
      </c>
      <c r="Q6" s="137">
        <v>0</v>
      </c>
      <c r="R6" s="137">
        <v>3</v>
      </c>
      <c r="S6" s="137">
        <v>0</v>
      </c>
      <c r="T6" s="137">
        <v>3</v>
      </c>
      <c r="U6" s="137">
        <v>2</v>
      </c>
      <c r="V6" s="137">
        <v>0</v>
      </c>
      <c r="W6" s="137">
        <v>2</v>
      </c>
      <c r="X6" s="137">
        <v>0</v>
      </c>
      <c r="Y6" s="137">
        <v>0</v>
      </c>
      <c r="Z6" s="137">
        <v>0</v>
      </c>
    </row>
    <row r="7" spans="1:26">
      <c r="A7" s="251">
        <v>3</v>
      </c>
      <c r="B7" s="136" t="s">
        <v>351</v>
      </c>
      <c r="C7" s="137">
        <v>239</v>
      </c>
      <c r="D7" s="137">
        <v>40</v>
      </c>
      <c r="E7" s="137">
        <v>279</v>
      </c>
      <c r="F7" s="137">
        <v>0</v>
      </c>
      <c r="G7" s="137">
        <v>0</v>
      </c>
      <c r="H7" s="137">
        <v>0</v>
      </c>
      <c r="I7" s="137">
        <v>0</v>
      </c>
      <c r="J7" s="137">
        <v>0</v>
      </c>
      <c r="K7" s="137">
        <v>0</v>
      </c>
      <c r="L7" s="137">
        <v>9</v>
      </c>
      <c r="M7" s="137">
        <v>2</v>
      </c>
      <c r="N7" s="137">
        <v>11</v>
      </c>
      <c r="O7" s="137">
        <v>0</v>
      </c>
      <c r="P7" s="137">
        <v>0</v>
      </c>
      <c r="Q7" s="137">
        <v>0</v>
      </c>
      <c r="R7" s="137">
        <v>1</v>
      </c>
      <c r="S7" s="137">
        <v>0</v>
      </c>
      <c r="T7" s="137">
        <v>1</v>
      </c>
      <c r="U7" s="137">
        <v>3</v>
      </c>
      <c r="V7" s="137">
        <v>0</v>
      </c>
      <c r="W7" s="137">
        <v>3</v>
      </c>
      <c r="X7" s="137">
        <v>0</v>
      </c>
      <c r="Y7" s="137">
        <v>0</v>
      </c>
      <c r="Z7" s="137">
        <v>0</v>
      </c>
    </row>
    <row r="8" spans="1:26" ht="28">
      <c r="A8" s="251">
        <v>4</v>
      </c>
      <c r="B8" s="136" t="s">
        <v>354</v>
      </c>
      <c r="C8" s="137">
        <v>66</v>
      </c>
      <c r="D8" s="137">
        <v>110</v>
      </c>
      <c r="E8" s="137">
        <v>176</v>
      </c>
      <c r="F8" s="137">
        <v>6</v>
      </c>
      <c r="G8" s="137">
        <v>11</v>
      </c>
      <c r="H8" s="137">
        <v>17</v>
      </c>
      <c r="I8" s="137">
        <v>6</v>
      </c>
      <c r="J8" s="137">
        <v>6</v>
      </c>
      <c r="K8" s="137">
        <v>12</v>
      </c>
      <c r="L8" s="137">
        <v>10</v>
      </c>
      <c r="M8" s="137">
        <v>31</v>
      </c>
      <c r="N8" s="137">
        <v>41</v>
      </c>
      <c r="O8" s="137">
        <v>1</v>
      </c>
      <c r="P8" s="137">
        <v>0</v>
      </c>
      <c r="Q8" s="137">
        <v>1</v>
      </c>
      <c r="R8" s="137">
        <v>0</v>
      </c>
      <c r="S8" s="137">
        <v>1</v>
      </c>
      <c r="T8" s="137">
        <v>1</v>
      </c>
      <c r="U8" s="137">
        <v>0</v>
      </c>
      <c r="V8" s="137">
        <v>0</v>
      </c>
      <c r="W8" s="137">
        <v>0</v>
      </c>
      <c r="X8" s="137">
        <v>0</v>
      </c>
      <c r="Y8" s="137">
        <v>0</v>
      </c>
      <c r="Z8" s="137">
        <v>0</v>
      </c>
    </row>
    <row r="9" spans="1:26">
      <c r="A9" s="251">
        <v>5</v>
      </c>
      <c r="B9" s="136" t="s">
        <v>349</v>
      </c>
      <c r="C9" s="137">
        <v>104</v>
      </c>
      <c r="D9" s="137">
        <v>57</v>
      </c>
      <c r="E9" s="137">
        <v>161</v>
      </c>
      <c r="F9" s="137">
        <v>2</v>
      </c>
      <c r="G9" s="137">
        <v>4</v>
      </c>
      <c r="H9" s="137">
        <v>6</v>
      </c>
      <c r="I9" s="137">
        <v>0</v>
      </c>
      <c r="J9" s="137">
        <v>0</v>
      </c>
      <c r="K9" s="137">
        <v>0</v>
      </c>
      <c r="L9" s="137">
        <v>2</v>
      </c>
      <c r="M9" s="137">
        <v>12</v>
      </c>
      <c r="N9" s="137">
        <v>14</v>
      </c>
      <c r="O9" s="137">
        <v>1</v>
      </c>
      <c r="P9" s="137">
        <v>0</v>
      </c>
      <c r="Q9" s="137">
        <v>1</v>
      </c>
      <c r="R9" s="137">
        <v>0</v>
      </c>
      <c r="S9" s="137">
        <v>0</v>
      </c>
      <c r="T9" s="137">
        <v>0</v>
      </c>
      <c r="U9" s="137">
        <v>0</v>
      </c>
      <c r="V9" s="137">
        <v>0</v>
      </c>
      <c r="W9" s="137">
        <v>0</v>
      </c>
      <c r="X9" s="137">
        <v>0</v>
      </c>
      <c r="Y9" s="137">
        <v>0</v>
      </c>
      <c r="Z9" s="137">
        <v>0</v>
      </c>
    </row>
    <row r="10" spans="1:26">
      <c r="A10" s="251">
        <v>6</v>
      </c>
      <c r="B10" s="136" t="s">
        <v>352</v>
      </c>
      <c r="C10" s="137">
        <v>94</v>
      </c>
      <c r="D10" s="137">
        <v>27</v>
      </c>
      <c r="E10" s="137">
        <v>121</v>
      </c>
      <c r="F10" s="137">
        <v>3</v>
      </c>
      <c r="G10" s="137">
        <v>1</v>
      </c>
      <c r="H10" s="137">
        <v>4</v>
      </c>
      <c r="I10" s="137">
        <v>0</v>
      </c>
      <c r="J10" s="137">
        <v>0</v>
      </c>
      <c r="K10" s="137">
        <v>0</v>
      </c>
      <c r="L10" s="137">
        <v>5</v>
      </c>
      <c r="M10" s="137">
        <v>4</v>
      </c>
      <c r="N10" s="137">
        <v>9</v>
      </c>
      <c r="O10" s="137">
        <v>0</v>
      </c>
      <c r="P10" s="137">
        <v>0</v>
      </c>
      <c r="Q10" s="137">
        <v>0</v>
      </c>
      <c r="R10" s="137">
        <v>0</v>
      </c>
      <c r="S10" s="137">
        <v>0</v>
      </c>
      <c r="T10" s="137">
        <v>0</v>
      </c>
      <c r="U10" s="137">
        <v>0</v>
      </c>
      <c r="V10" s="137">
        <v>0</v>
      </c>
      <c r="W10" s="137">
        <v>0</v>
      </c>
      <c r="X10" s="137">
        <v>0</v>
      </c>
      <c r="Y10" s="137">
        <v>0</v>
      </c>
      <c r="Z10" s="137">
        <v>0</v>
      </c>
    </row>
    <row r="11" spans="1:26">
      <c r="A11" s="251">
        <v>7</v>
      </c>
      <c r="B11" s="136" t="s">
        <v>355</v>
      </c>
      <c r="C11" s="137">
        <v>47</v>
      </c>
      <c r="D11" s="137">
        <v>38</v>
      </c>
      <c r="E11" s="137">
        <v>85</v>
      </c>
      <c r="F11" s="137">
        <v>1</v>
      </c>
      <c r="G11" s="137">
        <v>4</v>
      </c>
      <c r="H11" s="137">
        <v>5</v>
      </c>
      <c r="I11" s="137">
        <v>0</v>
      </c>
      <c r="J11" s="137">
        <v>0</v>
      </c>
      <c r="K11" s="137">
        <v>0</v>
      </c>
      <c r="L11" s="137">
        <v>10</v>
      </c>
      <c r="M11" s="137">
        <v>14</v>
      </c>
      <c r="N11" s="137">
        <v>24</v>
      </c>
      <c r="O11" s="137">
        <v>0</v>
      </c>
      <c r="P11" s="137">
        <v>0</v>
      </c>
      <c r="Q11" s="137">
        <v>0</v>
      </c>
      <c r="R11" s="137">
        <v>0</v>
      </c>
      <c r="S11" s="137">
        <v>0</v>
      </c>
      <c r="T11" s="137">
        <v>0</v>
      </c>
      <c r="U11" s="137">
        <v>0</v>
      </c>
      <c r="V11" s="137">
        <v>0</v>
      </c>
      <c r="W11" s="137">
        <v>0</v>
      </c>
      <c r="X11" s="137">
        <v>0</v>
      </c>
      <c r="Y11" s="137">
        <v>0</v>
      </c>
      <c r="Z11" s="137">
        <v>0</v>
      </c>
    </row>
    <row r="12" spans="1:26">
      <c r="A12" s="251">
        <v>8</v>
      </c>
      <c r="B12" s="136" t="s">
        <v>353</v>
      </c>
      <c r="C12" s="137">
        <v>17</v>
      </c>
      <c r="D12" s="137">
        <v>25</v>
      </c>
      <c r="E12" s="137">
        <v>42</v>
      </c>
      <c r="F12" s="137">
        <v>0</v>
      </c>
      <c r="G12" s="137">
        <v>3</v>
      </c>
      <c r="H12" s="137">
        <v>3</v>
      </c>
      <c r="I12" s="137">
        <v>0</v>
      </c>
      <c r="J12" s="137">
        <v>0</v>
      </c>
      <c r="K12" s="137">
        <v>0</v>
      </c>
      <c r="L12" s="137">
        <v>0</v>
      </c>
      <c r="M12" s="137">
        <v>1</v>
      </c>
      <c r="N12" s="137">
        <v>1</v>
      </c>
      <c r="O12" s="137">
        <v>0</v>
      </c>
      <c r="P12" s="137">
        <v>0</v>
      </c>
      <c r="Q12" s="137">
        <v>0</v>
      </c>
      <c r="R12" s="137">
        <v>0</v>
      </c>
      <c r="S12" s="137">
        <v>0</v>
      </c>
      <c r="T12" s="137">
        <v>0</v>
      </c>
      <c r="U12" s="137">
        <v>0</v>
      </c>
      <c r="V12" s="137">
        <v>0</v>
      </c>
      <c r="W12" s="137">
        <v>0</v>
      </c>
      <c r="X12" s="137">
        <v>0</v>
      </c>
      <c r="Y12" s="137">
        <v>0</v>
      </c>
      <c r="Z12" s="137">
        <v>0</v>
      </c>
    </row>
    <row r="13" spans="1:26">
      <c r="A13" s="251">
        <v>9</v>
      </c>
      <c r="B13" s="136" t="s">
        <v>888</v>
      </c>
      <c r="C13" s="137">
        <v>26</v>
      </c>
      <c r="D13" s="137">
        <v>11</v>
      </c>
      <c r="E13" s="137">
        <v>37</v>
      </c>
      <c r="F13" s="137">
        <v>0</v>
      </c>
      <c r="G13" s="137">
        <v>0</v>
      </c>
      <c r="H13" s="137">
        <v>0</v>
      </c>
      <c r="I13" s="137">
        <v>0</v>
      </c>
      <c r="J13" s="137">
        <v>0</v>
      </c>
      <c r="K13" s="137">
        <v>0</v>
      </c>
      <c r="L13" s="137">
        <v>0</v>
      </c>
      <c r="M13" s="137">
        <v>0</v>
      </c>
      <c r="N13" s="137">
        <v>0</v>
      </c>
      <c r="O13" s="137">
        <v>0</v>
      </c>
      <c r="P13" s="137">
        <v>0</v>
      </c>
      <c r="Q13" s="137">
        <v>0</v>
      </c>
      <c r="R13" s="137">
        <v>0</v>
      </c>
      <c r="S13" s="137">
        <v>0</v>
      </c>
      <c r="T13" s="137">
        <v>0</v>
      </c>
      <c r="U13" s="137">
        <v>0</v>
      </c>
      <c r="V13" s="137">
        <v>0</v>
      </c>
      <c r="W13" s="137">
        <v>0</v>
      </c>
      <c r="X13" s="137">
        <v>0</v>
      </c>
      <c r="Y13" s="137">
        <v>0</v>
      </c>
      <c r="Z13" s="137">
        <v>0</v>
      </c>
    </row>
    <row r="14" spans="1:26">
      <c r="A14" s="251">
        <v>10</v>
      </c>
      <c r="B14" s="136" t="s">
        <v>356</v>
      </c>
      <c r="C14" s="137">
        <v>3299</v>
      </c>
      <c r="D14" s="137">
        <v>6598</v>
      </c>
      <c r="E14" s="137">
        <v>9897</v>
      </c>
      <c r="F14" s="137">
        <v>426</v>
      </c>
      <c r="G14" s="137">
        <v>756</v>
      </c>
      <c r="H14" s="137">
        <v>1182</v>
      </c>
      <c r="I14" s="137">
        <v>105</v>
      </c>
      <c r="J14" s="137">
        <v>138</v>
      </c>
      <c r="K14" s="137">
        <v>243</v>
      </c>
      <c r="L14" s="137">
        <v>825</v>
      </c>
      <c r="M14" s="137">
        <v>2211</v>
      </c>
      <c r="N14" s="137">
        <v>3036</v>
      </c>
      <c r="O14" s="137">
        <v>9</v>
      </c>
      <c r="P14" s="137">
        <v>7</v>
      </c>
      <c r="Q14" s="137">
        <v>16</v>
      </c>
      <c r="R14" s="137">
        <v>47</v>
      </c>
      <c r="S14" s="137">
        <v>96</v>
      </c>
      <c r="T14" s="137">
        <v>143</v>
      </c>
      <c r="U14" s="137">
        <v>126</v>
      </c>
      <c r="V14" s="137">
        <v>433</v>
      </c>
      <c r="W14" s="137">
        <v>559</v>
      </c>
      <c r="X14" s="137">
        <v>3</v>
      </c>
      <c r="Y14" s="137">
        <v>39</v>
      </c>
      <c r="Z14" s="137">
        <v>42</v>
      </c>
    </row>
    <row r="15" spans="1:26">
      <c r="A15" s="251">
        <v>11</v>
      </c>
      <c r="B15" s="136" t="s">
        <v>357</v>
      </c>
      <c r="C15" s="137">
        <v>200278</v>
      </c>
      <c r="D15" s="137">
        <v>341825</v>
      </c>
      <c r="E15" s="137">
        <v>542103</v>
      </c>
      <c r="F15" s="137">
        <v>24240</v>
      </c>
      <c r="G15" s="137">
        <v>37211</v>
      </c>
      <c r="H15" s="137">
        <v>61451</v>
      </c>
      <c r="I15" s="137">
        <v>12654</v>
      </c>
      <c r="J15" s="137">
        <v>18785</v>
      </c>
      <c r="K15" s="137">
        <v>31439</v>
      </c>
      <c r="L15" s="137">
        <v>44245</v>
      </c>
      <c r="M15" s="137">
        <v>82314</v>
      </c>
      <c r="N15" s="137">
        <v>126559</v>
      </c>
      <c r="O15" s="137">
        <v>267</v>
      </c>
      <c r="P15" s="137">
        <v>214</v>
      </c>
      <c r="Q15" s="137">
        <v>481</v>
      </c>
      <c r="R15" s="137">
        <v>3856</v>
      </c>
      <c r="S15" s="137">
        <v>8374</v>
      </c>
      <c r="T15" s="137">
        <v>12230</v>
      </c>
      <c r="U15" s="137">
        <v>1892</v>
      </c>
      <c r="V15" s="137">
        <v>4991</v>
      </c>
      <c r="W15" s="137">
        <v>6883</v>
      </c>
      <c r="X15" s="137">
        <v>878</v>
      </c>
      <c r="Y15" s="137">
        <v>1367</v>
      </c>
      <c r="Z15" s="137">
        <v>2245</v>
      </c>
    </row>
    <row r="16" spans="1:26">
      <c r="A16" s="251">
        <v>12</v>
      </c>
      <c r="B16" s="136" t="s">
        <v>358</v>
      </c>
      <c r="C16" s="137">
        <v>107158</v>
      </c>
      <c r="D16" s="137">
        <v>184894</v>
      </c>
      <c r="E16" s="137">
        <v>292052</v>
      </c>
      <c r="F16" s="137">
        <v>10629</v>
      </c>
      <c r="G16" s="137">
        <v>16370</v>
      </c>
      <c r="H16" s="137">
        <v>26999</v>
      </c>
      <c r="I16" s="137">
        <v>4648</v>
      </c>
      <c r="J16" s="137">
        <v>6417</v>
      </c>
      <c r="K16" s="137">
        <v>11065</v>
      </c>
      <c r="L16" s="137">
        <v>33297</v>
      </c>
      <c r="M16" s="137">
        <v>64636</v>
      </c>
      <c r="N16" s="137">
        <v>97933</v>
      </c>
      <c r="O16" s="137">
        <v>87</v>
      </c>
      <c r="P16" s="137">
        <v>86</v>
      </c>
      <c r="Q16" s="137">
        <v>173</v>
      </c>
      <c r="R16" s="137">
        <v>2288</v>
      </c>
      <c r="S16" s="137">
        <v>4295</v>
      </c>
      <c r="T16" s="137">
        <v>6583</v>
      </c>
      <c r="U16" s="137">
        <v>1687</v>
      </c>
      <c r="V16" s="137">
        <v>5490</v>
      </c>
      <c r="W16" s="137">
        <v>7177</v>
      </c>
      <c r="X16" s="137">
        <v>1136</v>
      </c>
      <c r="Y16" s="137">
        <v>1702</v>
      </c>
      <c r="Z16" s="137">
        <v>2838</v>
      </c>
    </row>
    <row r="17" spans="1:26" ht="28">
      <c r="A17" s="251">
        <v>13</v>
      </c>
      <c r="B17" s="136" t="s">
        <v>359</v>
      </c>
      <c r="C17" s="137">
        <v>118048</v>
      </c>
      <c r="D17" s="137">
        <v>98239</v>
      </c>
      <c r="E17" s="137">
        <v>216287</v>
      </c>
      <c r="F17" s="137">
        <v>8990</v>
      </c>
      <c r="G17" s="137">
        <v>7255</v>
      </c>
      <c r="H17" s="137">
        <v>16245</v>
      </c>
      <c r="I17" s="137">
        <v>2437</v>
      </c>
      <c r="J17" s="137">
        <v>1570</v>
      </c>
      <c r="K17" s="137">
        <v>4007</v>
      </c>
      <c r="L17" s="137">
        <v>31063</v>
      </c>
      <c r="M17" s="137">
        <v>24981</v>
      </c>
      <c r="N17" s="137">
        <v>56044</v>
      </c>
      <c r="O17" s="137">
        <v>108</v>
      </c>
      <c r="P17" s="137">
        <v>60</v>
      </c>
      <c r="Q17" s="137">
        <v>168</v>
      </c>
      <c r="R17" s="137">
        <v>4087</v>
      </c>
      <c r="S17" s="137">
        <v>2192</v>
      </c>
      <c r="T17" s="137">
        <v>6279</v>
      </c>
      <c r="U17" s="137">
        <v>1670</v>
      </c>
      <c r="V17" s="137">
        <v>1815</v>
      </c>
      <c r="W17" s="137">
        <v>3485</v>
      </c>
      <c r="X17" s="137">
        <v>753</v>
      </c>
      <c r="Y17" s="137">
        <v>547</v>
      </c>
      <c r="Z17" s="137">
        <v>1300</v>
      </c>
    </row>
    <row r="18" spans="1:26">
      <c r="A18" s="251">
        <v>14</v>
      </c>
      <c r="B18" s="136" t="s">
        <v>360</v>
      </c>
      <c r="C18" s="137">
        <v>56935</v>
      </c>
      <c r="D18" s="137">
        <v>102919</v>
      </c>
      <c r="E18" s="137">
        <v>159854</v>
      </c>
      <c r="F18" s="137">
        <v>4920</v>
      </c>
      <c r="G18" s="137">
        <v>8323</v>
      </c>
      <c r="H18" s="137">
        <v>13243</v>
      </c>
      <c r="I18" s="137">
        <v>1852</v>
      </c>
      <c r="J18" s="137">
        <v>2578</v>
      </c>
      <c r="K18" s="137">
        <v>4430</v>
      </c>
      <c r="L18" s="137">
        <v>15221</v>
      </c>
      <c r="M18" s="137">
        <v>29384</v>
      </c>
      <c r="N18" s="137">
        <v>44605</v>
      </c>
      <c r="O18" s="137">
        <v>59</v>
      </c>
      <c r="P18" s="137">
        <v>54</v>
      </c>
      <c r="Q18" s="137">
        <v>113</v>
      </c>
      <c r="R18" s="137">
        <v>1312</v>
      </c>
      <c r="S18" s="137">
        <v>2274</v>
      </c>
      <c r="T18" s="137">
        <v>3586</v>
      </c>
      <c r="U18" s="137">
        <v>853</v>
      </c>
      <c r="V18" s="137">
        <v>2329</v>
      </c>
      <c r="W18" s="137">
        <v>3182</v>
      </c>
      <c r="X18" s="137">
        <v>369</v>
      </c>
      <c r="Y18" s="137">
        <v>647</v>
      </c>
      <c r="Z18" s="137">
        <v>1016</v>
      </c>
    </row>
    <row r="19" spans="1:26">
      <c r="A19" s="251">
        <v>15</v>
      </c>
      <c r="B19" s="136" t="s">
        <v>362</v>
      </c>
      <c r="C19" s="137">
        <v>30140</v>
      </c>
      <c r="D19" s="137">
        <v>16368</v>
      </c>
      <c r="E19" s="137">
        <v>46508</v>
      </c>
      <c r="F19" s="137">
        <v>2565</v>
      </c>
      <c r="G19" s="137">
        <v>1482</v>
      </c>
      <c r="H19" s="137">
        <v>4047</v>
      </c>
      <c r="I19" s="137">
        <v>779</v>
      </c>
      <c r="J19" s="137">
        <v>397</v>
      </c>
      <c r="K19" s="137">
        <v>1176</v>
      </c>
      <c r="L19" s="137">
        <v>6772</v>
      </c>
      <c r="M19" s="137">
        <v>3988</v>
      </c>
      <c r="N19" s="137">
        <v>10760</v>
      </c>
      <c r="O19" s="137">
        <v>66</v>
      </c>
      <c r="P19" s="137">
        <v>4</v>
      </c>
      <c r="Q19" s="137">
        <v>70</v>
      </c>
      <c r="R19" s="137">
        <v>1107</v>
      </c>
      <c r="S19" s="137">
        <v>570</v>
      </c>
      <c r="T19" s="137">
        <v>1677</v>
      </c>
      <c r="U19" s="137">
        <v>472</v>
      </c>
      <c r="V19" s="137">
        <v>373</v>
      </c>
      <c r="W19" s="137">
        <v>845</v>
      </c>
      <c r="X19" s="137">
        <v>646</v>
      </c>
      <c r="Y19" s="137">
        <v>248</v>
      </c>
      <c r="Z19" s="137">
        <v>894</v>
      </c>
    </row>
    <row r="20" spans="1:26" ht="28">
      <c r="A20" s="251">
        <v>16</v>
      </c>
      <c r="B20" s="136" t="s">
        <v>361</v>
      </c>
      <c r="C20" s="137">
        <v>23679</v>
      </c>
      <c r="D20" s="137">
        <v>20490</v>
      </c>
      <c r="E20" s="137">
        <v>44169</v>
      </c>
      <c r="F20" s="137">
        <v>1336</v>
      </c>
      <c r="G20" s="137">
        <v>1304</v>
      </c>
      <c r="H20" s="137">
        <v>2640</v>
      </c>
      <c r="I20" s="137">
        <v>436</v>
      </c>
      <c r="J20" s="137">
        <v>294</v>
      </c>
      <c r="K20" s="137">
        <v>730</v>
      </c>
      <c r="L20" s="137">
        <v>6358</v>
      </c>
      <c r="M20" s="137">
        <v>6234</v>
      </c>
      <c r="N20" s="137">
        <v>12592</v>
      </c>
      <c r="O20" s="137">
        <v>7</v>
      </c>
      <c r="P20" s="137">
        <v>3</v>
      </c>
      <c r="Q20" s="137">
        <v>10</v>
      </c>
      <c r="R20" s="137">
        <v>881</v>
      </c>
      <c r="S20" s="137">
        <v>500</v>
      </c>
      <c r="T20" s="137">
        <v>1381</v>
      </c>
      <c r="U20" s="137">
        <v>382</v>
      </c>
      <c r="V20" s="137">
        <v>510</v>
      </c>
      <c r="W20" s="137">
        <v>892</v>
      </c>
      <c r="X20" s="137">
        <v>160</v>
      </c>
      <c r="Y20" s="137">
        <v>121</v>
      </c>
      <c r="Z20" s="137">
        <v>281</v>
      </c>
    </row>
    <row r="21" spans="1:26">
      <c r="A21" s="251">
        <v>17</v>
      </c>
      <c r="B21" s="136" t="s">
        <v>365</v>
      </c>
      <c r="C21" s="137">
        <v>7266</v>
      </c>
      <c r="D21" s="137">
        <v>13639</v>
      </c>
      <c r="E21" s="137">
        <v>20905</v>
      </c>
      <c r="F21" s="137">
        <v>1855</v>
      </c>
      <c r="G21" s="137">
        <v>2674</v>
      </c>
      <c r="H21" s="137">
        <v>4529</v>
      </c>
      <c r="I21" s="137">
        <v>513</v>
      </c>
      <c r="J21" s="137">
        <v>901</v>
      </c>
      <c r="K21" s="137">
        <v>1414</v>
      </c>
      <c r="L21" s="137">
        <v>1796</v>
      </c>
      <c r="M21" s="137">
        <v>3280</v>
      </c>
      <c r="N21" s="137">
        <v>5076</v>
      </c>
      <c r="O21" s="137">
        <v>22</v>
      </c>
      <c r="P21" s="137">
        <v>20</v>
      </c>
      <c r="Q21" s="137">
        <v>42</v>
      </c>
      <c r="R21" s="137">
        <v>320</v>
      </c>
      <c r="S21" s="137">
        <v>444</v>
      </c>
      <c r="T21" s="137">
        <v>764</v>
      </c>
      <c r="U21" s="137">
        <v>77</v>
      </c>
      <c r="V21" s="137">
        <v>336</v>
      </c>
      <c r="W21" s="137">
        <v>413</v>
      </c>
      <c r="X21" s="137">
        <v>105</v>
      </c>
      <c r="Y21" s="137">
        <v>74</v>
      </c>
      <c r="Z21" s="137">
        <v>179</v>
      </c>
    </row>
    <row r="22" spans="1:26">
      <c r="A22" s="251">
        <v>18</v>
      </c>
      <c r="B22" s="136" t="s">
        <v>364</v>
      </c>
      <c r="C22" s="137">
        <v>8997</v>
      </c>
      <c r="D22" s="137">
        <v>10845</v>
      </c>
      <c r="E22" s="137">
        <v>19842</v>
      </c>
      <c r="F22" s="137">
        <v>1697</v>
      </c>
      <c r="G22" s="137">
        <v>1704</v>
      </c>
      <c r="H22" s="137">
        <v>3401</v>
      </c>
      <c r="I22" s="137">
        <v>1603</v>
      </c>
      <c r="J22" s="137">
        <v>1646</v>
      </c>
      <c r="K22" s="137">
        <v>3249</v>
      </c>
      <c r="L22" s="137">
        <v>2155</v>
      </c>
      <c r="M22" s="137">
        <v>2578</v>
      </c>
      <c r="N22" s="137">
        <v>4733</v>
      </c>
      <c r="O22" s="137">
        <v>16</v>
      </c>
      <c r="P22" s="137">
        <v>7</v>
      </c>
      <c r="Q22" s="137">
        <v>23</v>
      </c>
      <c r="R22" s="137">
        <v>136</v>
      </c>
      <c r="S22" s="137">
        <v>125</v>
      </c>
      <c r="T22" s="137">
        <v>261</v>
      </c>
      <c r="U22" s="137">
        <v>285</v>
      </c>
      <c r="V22" s="137">
        <v>571</v>
      </c>
      <c r="W22" s="137">
        <v>856</v>
      </c>
      <c r="X22" s="137">
        <v>49</v>
      </c>
      <c r="Y22" s="137">
        <v>59</v>
      </c>
      <c r="Z22" s="137">
        <v>108</v>
      </c>
    </row>
    <row r="23" spans="1:26">
      <c r="A23" s="251">
        <v>19</v>
      </c>
      <c r="B23" s="136" t="s">
        <v>363</v>
      </c>
      <c r="C23" s="137">
        <v>7398</v>
      </c>
      <c r="D23" s="137">
        <v>8163</v>
      </c>
      <c r="E23" s="137">
        <v>15561</v>
      </c>
      <c r="F23" s="137">
        <v>384</v>
      </c>
      <c r="G23" s="137">
        <v>416</v>
      </c>
      <c r="H23" s="137">
        <v>800</v>
      </c>
      <c r="I23" s="137">
        <v>150</v>
      </c>
      <c r="J23" s="137">
        <v>161</v>
      </c>
      <c r="K23" s="137">
        <v>311</v>
      </c>
      <c r="L23" s="137">
        <v>988</v>
      </c>
      <c r="M23" s="137">
        <v>1081</v>
      </c>
      <c r="N23" s="137">
        <v>2069</v>
      </c>
      <c r="O23" s="137">
        <v>14</v>
      </c>
      <c r="P23" s="137">
        <v>2</v>
      </c>
      <c r="Q23" s="137">
        <v>16</v>
      </c>
      <c r="R23" s="137">
        <v>147</v>
      </c>
      <c r="S23" s="137">
        <v>135</v>
      </c>
      <c r="T23" s="137">
        <v>282</v>
      </c>
      <c r="U23" s="137">
        <v>60</v>
      </c>
      <c r="V23" s="137">
        <v>98</v>
      </c>
      <c r="W23" s="137">
        <v>158</v>
      </c>
      <c r="X23" s="137">
        <v>5</v>
      </c>
      <c r="Y23" s="137">
        <v>15</v>
      </c>
      <c r="Z23" s="137">
        <v>20</v>
      </c>
    </row>
    <row r="24" spans="1:26">
      <c r="A24" s="251">
        <v>20</v>
      </c>
      <c r="B24" s="136" t="s">
        <v>366</v>
      </c>
      <c r="C24" s="137">
        <v>6014</v>
      </c>
      <c r="D24" s="137">
        <v>7753</v>
      </c>
      <c r="E24" s="137">
        <v>13767</v>
      </c>
      <c r="F24" s="137">
        <v>601</v>
      </c>
      <c r="G24" s="137">
        <v>892</v>
      </c>
      <c r="H24" s="137">
        <v>1493</v>
      </c>
      <c r="I24" s="137">
        <v>184</v>
      </c>
      <c r="J24" s="137">
        <v>238</v>
      </c>
      <c r="K24" s="137">
        <v>422</v>
      </c>
      <c r="L24" s="137">
        <v>1735</v>
      </c>
      <c r="M24" s="137">
        <v>2317</v>
      </c>
      <c r="N24" s="137">
        <v>4052</v>
      </c>
      <c r="O24" s="137">
        <v>1</v>
      </c>
      <c r="P24" s="137">
        <v>3</v>
      </c>
      <c r="Q24" s="137">
        <v>4</v>
      </c>
      <c r="R24" s="137">
        <v>228</v>
      </c>
      <c r="S24" s="137">
        <v>316</v>
      </c>
      <c r="T24" s="137">
        <v>544</v>
      </c>
      <c r="U24" s="137">
        <v>59</v>
      </c>
      <c r="V24" s="137">
        <v>144</v>
      </c>
      <c r="W24" s="137">
        <v>203</v>
      </c>
      <c r="X24" s="137">
        <v>60</v>
      </c>
      <c r="Y24" s="137">
        <v>59</v>
      </c>
      <c r="Z24" s="137">
        <v>119</v>
      </c>
    </row>
    <row r="25" spans="1:26">
      <c r="A25" s="251">
        <v>21</v>
      </c>
      <c r="B25" s="136" t="s">
        <v>367</v>
      </c>
      <c r="C25" s="137">
        <v>7174</v>
      </c>
      <c r="D25" s="137">
        <v>5500</v>
      </c>
      <c r="E25" s="137">
        <v>12674</v>
      </c>
      <c r="F25" s="137">
        <v>764</v>
      </c>
      <c r="G25" s="137">
        <v>756</v>
      </c>
      <c r="H25" s="137">
        <v>1520</v>
      </c>
      <c r="I25" s="137">
        <v>130</v>
      </c>
      <c r="J25" s="137">
        <v>75</v>
      </c>
      <c r="K25" s="137">
        <v>205</v>
      </c>
      <c r="L25" s="137">
        <v>2483</v>
      </c>
      <c r="M25" s="137">
        <v>2396</v>
      </c>
      <c r="N25" s="137">
        <v>4879</v>
      </c>
      <c r="O25" s="137">
        <v>0</v>
      </c>
      <c r="P25" s="137">
        <v>0</v>
      </c>
      <c r="Q25" s="137">
        <v>0</v>
      </c>
      <c r="R25" s="137">
        <v>208</v>
      </c>
      <c r="S25" s="137">
        <v>108</v>
      </c>
      <c r="T25" s="137">
        <v>316</v>
      </c>
      <c r="U25" s="137">
        <v>181</v>
      </c>
      <c r="V25" s="137">
        <v>221</v>
      </c>
      <c r="W25" s="137">
        <v>402</v>
      </c>
      <c r="X25" s="137">
        <v>60</v>
      </c>
      <c r="Y25" s="137">
        <v>28</v>
      </c>
      <c r="Z25" s="137">
        <v>88</v>
      </c>
    </row>
    <row r="26" spans="1:26">
      <c r="A26" s="251">
        <v>22</v>
      </c>
      <c r="B26" s="136" t="s">
        <v>369</v>
      </c>
      <c r="C26" s="137">
        <v>6244</v>
      </c>
      <c r="D26" s="137">
        <v>5578</v>
      </c>
      <c r="E26" s="137">
        <v>11822</v>
      </c>
      <c r="F26" s="137">
        <v>611</v>
      </c>
      <c r="G26" s="137">
        <v>427</v>
      </c>
      <c r="H26" s="137">
        <v>1038</v>
      </c>
      <c r="I26" s="137">
        <v>159</v>
      </c>
      <c r="J26" s="137">
        <v>136</v>
      </c>
      <c r="K26" s="137">
        <v>295</v>
      </c>
      <c r="L26" s="137">
        <v>1046</v>
      </c>
      <c r="M26" s="137">
        <v>814</v>
      </c>
      <c r="N26" s="137">
        <v>1860</v>
      </c>
      <c r="O26" s="137">
        <v>7</v>
      </c>
      <c r="P26" s="137">
        <v>4</v>
      </c>
      <c r="Q26" s="137">
        <v>11</v>
      </c>
      <c r="R26" s="137">
        <v>97</v>
      </c>
      <c r="S26" s="137">
        <v>90</v>
      </c>
      <c r="T26" s="137">
        <v>187</v>
      </c>
      <c r="U26" s="137">
        <v>66</v>
      </c>
      <c r="V26" s="137">
        <v>88</v>
      </c>
      <c r="W26" s="137">
        <v>154</v>
      </c>
      <c r="X26" s="137">
        <v>43</v>
      </c>
      <c r="Y26" s="137">
        <v>31</v>
      </c>
      <c r="Z26" s="137">
        <v>74</v>
      </c>
    </row>
    <row r="27" spans="1:26" ht="28">
      <c r="A27" s="251">
        <v>23</v>
      </c>
      <c r="B27" s="136" t="s">
        <v>372</v>
      </c>
      <c r="C27" s="137">
        <v>5297</v>
      </c>
      <c r="D27" s="137">
        <v>3285</v>
      </c>
      <c r="E27" s="137">
        <v>8582</v>
      </c>
      <c r="F27" s="137">
        <v>209</v>
      </c>
      <c r="G27" s="137">
        <v>105</v>
      </c>
      <c r="H27" s="137">
        <v>314</v>
      </c>
      <c r="I27" s="137">
        <v>94</v>
      </c>
      <c r="J27" s="137">
        <v>42</v>
      </c>
      <c r="K27" s="137">
        <v>136</v>
      </c>
      <c r="L27" s="137">
        <v>859</v>
      </c>
      <c r="M27" s="137">
        <v>432</v>
      </c>
      <c r="N27" s="137">
        <v>1291</v>
      </c>
      <c r="O27" s="137">
        <v>0</v>
      </c>
      <c r="P27" s="137">
        <v>0</v>
      </c>
      <c r="Q27" s="137">
        <v>0</v>
      </c>
      <c r="R27" s="137">
        <v>97</v>
      </c>
      <c r="S27" s="137">
        <v>42</v>
      </c>
      <c r="T27" s="137">
        <v>139</v>
      </c>
      <c r="U27" s="137">
        <v>99</v>
      </c>
      <c r="V27" s="137">
        <v>98</v>
      </c>
      <c r="W27" s="137">
        <v>197</v>
      </c>
      <c r="X27" s="137">
        <v>1</v>
      </c>
      <c r="Y27" s="137">
        <v>0</v>
      </c>
      <c r="Z27" s="137">
        <v>1</v>
      </c>
    </row>
    <row r="28" spans="1:26">
      <c r="A28" s="251">
        <v>24</v>
      </c>
      <c r="B28" s="136" t="s">
        <v>371</v>
      </c>
      <c r="C28" s="137">
        <v>4797</v>
      </c>
      <c r="D28" s="137">
        <v>3380</v>
      </c>
      <c r="E28" s="137">
        <v>8177</v>
      </c>
      <c r="F28" s="137">
        <v>98</v>
      </c>
      <c r="G28" s="137">
        <v>166</v>
      </c>
      <c r="H28" s="137">
        <v>264</v>
      </c>
      <c r="I28" s="137">
        <v>136</v>
      </c>
      <c r="J28" s="137">
        <v>93</v>
      </c>
      <c r="K28" s="137">
        <v>229</v>
      </c>
      <c r="L28" s="137">
        <v>323</v>
      </c>
      <c r="M28" s="137">
        <v>481</v>
      </c>
      <c r="N28" s="137">
        <v>804</v>
      </c>
      <c r="O28" s="137">
        <v>0</v>
      </c>
      <c r="P28" s="137">
        <v>1</v>
      </c>
      <c r="Q28" s="137">
        <v>1</v>
      </c>
      <c r="R28" s="137">
        <v>3</v>
      </c>
      <c r="S28" s="137">
        <v>0</v>
      </c>
      <c r="T28" s="137">
        <v>3</v>
      </c>
      <c r="U28" s="137">
        <v>16</v>
      </c>
      <c r="V28" s="137">
        <v>7</v>
      </c>
      <c r="W28" s="137">
        <v>23</v>
      </c>
      <c r="X28" s="137">
        <v>0</v>
      </c>
      <c r="Y28" s="137">
        <v>1</v>
      </c>
      <c r="Z28" s="137">
        <v>1</v>
      </c>
    </row>
    <row r="29" spans="1:26" ht="28">
      <c r="A29" s="251">
        <v>25</v>
      </c>
      <c r="B29" s="136" t="s">
        <v>374</v>
      </c>
      <c r="C29" s="137">
        <v>1166</v>
      </c>
      <c r="D29" s="137">
        <v>6036</v>
      </c>
      <c r="E29" s="137">
        <v>7202</v>
      </c>
      <c r="F29" s="137">
        <v>139</v>
      </c>
      <c r="G29" s="137">
        <v>651</v>
      </c>
      <c r="H29" s="137">
        <v>790</v>
      </c>
      <c r="I29" s="137">
        <v>49</v>
      </c>
      <c r="J29" s="137">
        <v>197</v>
      </c>
      <c r="K29" s="137">
        <v>246</v>
      </c>
      <c r="L29" s="137">
        <v>260</v>
      </c>
      <c r="M29" s="137">
        <v>1090</v>
      </c>
      <c r="N29" s="137">
        <v>1350</v>
      </c>
      <c r="O29" s="137">
        <v>0</v>
      </c>
      <c r="P29" s="137">
        <v>0</v>
      </c>
      <c r="Q29" s="137">
        <v>0</v>
      </c>
      <c r="R29" s="137">
        <v>15</v>
      </c>
      <c r="S29" s="137">
        <v>29</v>
      </c>
      <c r="T29" s="137">
        <v>44</v>
      </c>
      <c r="U29" s="137">
        <v>12</v>
      </c>
      <c r="V29" s="137">
        <v>149</v>
      </c>
      <c r="W29" s="137">
        <v>161</v>
      </c>
      <c r="X29" s="137">
        <v>2</v>
      </c>
      <c r="Y29" s="137">
        <v>14</v>
      </c>
      <c r="Z29" s="137">
        <v>16</v>
      </c>
    </row>
    <row r="30" spans="1:26" ht="28">
      <c r="A30" s="251">
        <v>26</v>
      </c>
      <c r="B30" s="136" t="s">
        <v>375</v>
      </c>
      <c r="C30" s="137">
        <v>3236</v>
      </c>
      <c r="D30" s="137">
        <v>2661</v>
      </c>
      <c r="E30" s="137">
        <v>5897</v>
      </c>
      <c r="F30" s="137">
        <v>432</v>
      </c>
      <c r="G30" s="137">
        <v>283</v>
      </c>
      <c r="H30" s="137">
        <v>715</v>
      </c>
      <c r="I30" s="137">
        <v>121</v>
      </c>
      <c r="J30" s="137">
        <v>57</v>
      </c>
      <c r="K30" s="137">
        <v>178</v>
      </c>
      <c r="L30" s="137">
        <v>1008</v>
      </c>
      <c r="M30" s="137">
        <v>1412</v>
      </c>
      <c r="N30" s="137">
        <v>2420</v>
      </c>
      <c r="O30" s="137">
        <v>2</v>
      </c>
      <c r="P30" s="137">
        <v>13</v>
      </c>
      <c r="Q30" s="137">
        <v>15</v>
      </c>
      <c r="R30" s="137">
        <v>82</v>
      </c>
      <c r="S30" s="137">
        <v>107</v>
      </c>
      <c r="T30" s="137">
        <v>189</v>
      </c>
      <c r="U30" s="137">
        <v>92</v>
      </c>
      <c r="V30" s="137">
        <v>87</v>
      </c>
      <c r="W30" s="137">
        <v>179</v>
      </c>
      <c r="X30" s="137">
        <v>6</v>
      </c>
      <c r="Y30" s="137">
        <v>0</v>
      </c>
      <c r="Z30" s="137">
        <v>6</v>
      </c>
    </row>
    <row r="31" spans="1:26" ht="42">
      <c r="A31" s="251">
        <v>27</v>
      </c>
      <c r="B31" s="136" t="s">
        <v>384</v>
      </c>
      <c r="C31" s="137">
        <v>2476</v>
      </c>
      <c r="D31" s="137">
        <v>2377</v>
      </c>
      <c r="E31" s="137">
        <v>4853</v>
      </c>
      <c r="F31" s="137">
        <v>198</v>
      </c>
      <c r="G31" s="137">
        <v>218</v>
      </c>
      <c r="H31" s="137">
        <v>416</v>
      </c>
      <c r="I31" s="137">
        <v>33</v>
      </c>
      <c r="J31" s="137">
        <v>29</v>
      </c>
      <c r="K31" s="137">
        <v>62</v>
      </c>
      <c r="L31" s="137">
        <v>1121</v>
      </c>
      <c r="M31" s="137">
        <v>1128</v>
      </c>
      <c r="N31" s="137">
        <v>2249</v>
      </c>
      <c r="O31" s="137">
        <v>0</v>
      </c>
      <c r="P31" s="137">
        <v>0</v>
      </c>
      <c r="Q31" s="137">
        <v>0</v>
      </c>
      <c r="R31" s="137">
        <v>17</v>
      </c>
      <c r="S31" s="137">
        <v>8</v>
      </c>
      <c r="T31" s="137">
        <v>25</v>
      </c>
      <c r="U31" s="137">
        <v>16</v>
      </c>
      <c r="V31" s="137">
        <v>18</v>
      </c>
      <c r="W31" s="137">
        <v>34</v>
      </c>
      <c r="X31" s="137">
        <v>0</v>
      </c>
      <c r="Y31" s="137">
        <v>0</v>
      </c>
      <c r="Z31" s="137">
        <v>0</v>
      </c>
    </row>
    <row r="32" spans="1:26">
      <c r="A32" s="251">
        <v>28</v>
      </c>
      <c r="B32" s="136" t="s">
        <v>373</v>
      </c>
      <c r="C32" s="137">
        <v>1415</v>
      </c>
      <c r="D32" s="252">
        <v>3163</v>
      </c>
      <c r="E32" s="137">
        <v>4578</v>
      </c>
      <c r="F32" s="137">
        <v>92</v>
      </c>
      <c r="G32" s="137">
        <v>161</v>
      </c>
      <c r="H32" s="137">
        <v>253</v>
      </c>
      <c r="I32" s="137">
        <v>22</v>
      </c>
      <c r="J32" s="137">
        <v>37</v>
      </c>
      <c r="K32" s="137">
        <v>59</v>
      </c>
      <c r="L32" s="137">
        <v>254</v>
      </c>
      <c r="M32" s="137">
        <v>542</v>
      </c>
      <c r="N32" s="137">
        <v>796</v>
      </c>
      <c r="O32" s="137">
        <v>1</v>
      </c>
      <c r="P32" s="137">
        <v>1</v>
      </c>
      <c r="Q32" s="137">
        <v>2</v>
      </c>
      <c r="R32" s="137">
        <v>53</v>
      </c>
      <c r="S32" s="137">
        <v>81</v>
      </c>
      <c r="T32" s="137">
        <v>134</v>
      </c>
      <c r="U32" s="137">
        <v>29</v>
      </c>
      <c r="V32" s="137">
        <v>76</v>
      </c>
      <c r="W32" s="137">
        <v>105</v>
      </c>
      <c r="X32" s="137">
        <v>1</v>
      </c>
      <c r="Y32" s="137">
        <v>5</v>
      </c>
      <c r="Z32" s="137">
        <v>6</v>
      </c>
    </row>
    <row r="33" spans="1:26">
      <c r="A33" s="251">
        <v>29</v>
      </c>
      <c r="B33" s="136" t="s">
        <v>377</v>
      </c>
      <c r="C33" s="137">
        <v>2291</v>
      </c>
      <c r="D33" s="137">
        <v>1920</v>
      </c>
      <c r="E33" s="137">
        <v>4211</v>
      </c>
      <c r="F33" s="137">
        <v>159</v>
      </c>
      <c r="G33" s="137">
        <v>91</v>
      </c>
      <c r="H33" s="137">
        <v>250</v>
      </c>
      <c r="I33" s="137">
        <v>47</v>
      </c>
      <c r="J33" s="137">
        <v>42</v>
      </c>
      <c r="K33" s="137">
        <v>89</v>
      </c>
      <c r="L33" s="137">
        <v>211</v>
      </c>
      <c r="M33" s="137">
        <v>230</v>
      </c>
      <c r="N33" s="137">
        <v>441</v>
      </c>
      <c r="O33" s="137">
        <v>1</v>
      </c>
      <c r="P33" s="137">
        <v>2</v>
      </c>
      <c r="Q33" s="137">
        <v>3</v>
      </c>
      <c r="R33" s="137">
        <v>29</v>
      </c>
      <c r="S33" s="137">
        <v>23</v>
      </c>
      <c r="T33" s="137">
        <v>52</v>
      </c>
      <c r="U33" s="137">
        <v>29</v>
      </c>
      <c r="V33" s="137">
        <v>38</v>
      </c>
      <c r="W33" s="137">
        <v>67</v>
      </c>
      <c r="X33" s="137">
        <v>23</v>
      </c>
      <c r="Y33" s="137">
        <v>4</v>
      </c>
      <c r="Z33" s="137">
        <v>27</v>
      </c>
    </row>
    <row r="34" spans="1:26">
      <c r="A34" s="251">
        <v>30</v>
      </c>
      <c r="B34" s="136" t="s">
        <v>368</v>
      </c>
      <c r="C34" s="137">
        <v>1300</v>
      </c>
      <c r="D34" s="137">
        <v>2897</v>
      </c>
      <c r="E34" s="137">
        <v>4197</v>
      </c>
      <c r="F34" s="137">
        <v>105</v>
      </c>
      <c r="G34" s="137">
        <v>247</v>
      </c>
      <c r="H34" s="137">
        <v>352</v>
      </c>
      <c r="I34" s="137">
        <v>40</v>
      </c>
      <c r="J34" s="137">
        <v>62</v>
      </c>
      <c r="K34" s="137">
        <v>102</v>
      </c>
      <c r="L34" s="137">
        <v>534</v>
      </c>
      <c r="M34" s="137">
        <v>1001</v>
      </c>
      <c r="N34" s="137">
        <v>1535</v>
      </c>
      <c r="O34" s="137">
        <v>0</v>
      </c>
      <c r="P34" s="137">
        <v>1</v>
      </c>
      <c r="Q34" s="137">
        <v>1</v>
      </c>
      <c r="R34" s="137">
        <v>101</v>
      </c>
      <c r="S34" s="137">
        <v>185</v>
      </c>
      <c r="T34" s="137">
        <v>286</v>
      </c>
      <c r="U34" s="137">
        <v>67</v>
      </c>
      <c r="V34" s="137">
        <v>195</v>
      </c>
      <c r="W34" s="137">
        <v>262</v>
      </c>
      <c r="X34" s="137">
        <v>21</v>
      </c>
      <c r="Y34" s="137">
        <v>23</v>
      </c>
      <c r="Z34" s="137">
        <v>44</v>
      </c>
    </row>
    <row r="35" spans="1:26">
      <c r="A35" s="251">
        <v>31</v>
      </c>
      <c r="B35" s="136" t="s">
        <v>370</v>
      </c>
      <c r="C35" s="137">
        <v>2390</v>
      </c>
      <c r="D35" s="137">
        <v>1665</v>
      </c>
      <c r="E35" s="137">
        <v>4055</v>
      </c>
      <c r="F35" s="137">
        <v>126</v>
      </c>
      <c r="G35" s="137">
        <v>81</v>
      </c>
      <c r="H35" s="137">
        <v>207</v>
      </c>
      <c r="I35" s="137">
        <v>50</v>
      </c>
      <c r="J35" s="137">
        <v>20</v>
      </c>
      <c r="K35" s="137">
        <v>70</v>
      </c>
      <c r="L35" s="137">
        <v>337</v>
      </c>
      <c r="M35" s="137">
        <v>220</v>
      </c>
      <c r="N35" s="137">
        <v>557</v>
      </c>
      <c r="O35" s="137">
        <v>3</v>
      </c>
      <c r="P35" s="137">
        <v>1</v>
      </c>
      <c r="Q35" s="137">
        <v>4</v>
      </c>
      <c r="R35" s="137">
        <v>52</v>
      </c>
      <c r="S35" s="137">
        <v>29</v>
      </c>
      <c r="T35" s="137">
        <v>81</v>
      </c>
      <c r="U35" s="137">
        <v>60</v>
      </c>
      <c r="V35" s="137">
        <v>35</v>
      </c>
      <c r="W35" s="137">
        <v>95</v>
      </c>
      <c r="X35" s="137">
        <v>1</v>
      </c>
      <c r="Y35" s="137">
        <v>0</v>
      </c>
      <c r="Z35" s="137">
        <v>1</v>
      </c>
    </row>
    <row r="36" spans="1:26" ht="28">
      <c r="A36" s="251">
        <v>32</v>
      </c>
      <c r="B36" s="136" t="s">
        <v>382</v>
      </c>
      <c r="C36" s="137">
        <v>1600</v>
      </c>
      <c r="D36" s="137">
        <v>1946</v>
      </c>
      <c r="E36" s="137">
        <v>3546</v>
      </c>
      <c r="F36" s="137">
        <v>283</v>
      </c>
      <c r="G36" s="137">
        <v>262</v>
      </c>
      <c r="H36" s="137">
        <v>545</v>
      </c>
      <c r="I36" s="137">
        <v>150</v>
      </c>
      <c r="J36" s="137">
        <v>101</v>
      </c>
      <c r="K36" s="137">
        <v>251</v>
      </c>
      <c r="L36" s="137">
        <v>479</v>
      </c>
      <c r="M36" s="137">
        <v>550</v>
      </c>
      <c r="N36" s="137">
        <v>1029</v>
      </c>
      <c r="O36" s="137">
        <v>5</v>
      </c>
      <c r="P36" s="137">
        <v>2</v>
      </c>
      <c r="Q36" s="137">
        <v>7</v>
      </c>
      <c r="R36" s="137">
        <v>19</v>
      </c>
      <c r="S36" s="137">
        <v>22</v>
      </c>
      <c r="T36" s="137">
        <v>41</v>
      </c>
      <c r="U36" s="137">
        <v>25</v>
      </c>
      <c r="V36" s="137">
        <v>35</v>
      </c>
      <c r="W36" s="137">
        <v>60</v>
      </c>
      <c r="X36" s="137">
        <v>14</v>
      </c>
      <c r="Y36" s="137">
        <v>54</v>
      </c>
      <c r="Z36" s="137">
        <v>68</v>
      </c>
    </row>
    <row r="37" spans="1:26">
      <c r="A37" s="251">
        <v>33</v>
      </c>
      <c r="B37" s="136" t="s">
        <v>376</v>
      </c>
      <c r="C37" s="137">
        <v>1246</v>
      </c>
      <c r="D37" s="137">
        <v>1771</v>
      </c>
      <c r="E37" s="137">
        <v>3017</v>
      </c>
      <c r="F37" s="137">
        <v>127</v>
      </c>
      <c r="G37" s="137">
        <v>170</v>
      </c>
      <c r="H37" s="137">
        <v>297</v>
      </c>
      <c r="I37" s="137">
        <v>43</v>
      </c>
      <c r="J37" s="137">
        <v>42</v>
      </c>
      <c r="K37" s="137">
        <v>85</v>
      </c>
      <c r="L37" s="137">
        <v>383</v>
      </c>
      <c r="M37" s="137">
        <v>594</v>
      </c>
      <c r="N37" s="137">
        <v>977</v>
      </c>
      <c r="O37" s="137">
        <v>3</v>
      </c>
      <c r="P37" s="137">
        <v>0</v>
      </c>
      <c r="Q37" s="137">
        <v>3</v>
      </c>
      <c r="R37" s="137">
        <v>26</v>
      </c>
      <c r="S37" s="137">
        <v>68</v>
      </c>
      <c r="T37" s="137">
        <v>94</v>
      </c>
      <c r="U37" s="137">
        <v>26</v>
      </c>
      <c r="V37" s="137">
        <v>74</v>
      </c>
      <c r="W37" s="137">
        <v>100</v>
      </c>
      <c r="X37" s="137">
        <v>14</v>
      </c>
      <c r="Y37" s="137">
        <v>24</v>
      </c>
      <c r="Z37" s="137">
        <v>38</v>
      </c>
    </row>
    <row r="38" spans="1:26" ht="28">
      <c r="A38" s="251">
        <v>34</v>
      </c>
      <c r="B38" s="136" t="s">
        <v>378</v>
      </c>
      <c r="C38" s="137">
        <v>1256</v>
      </c>
      <c r="D38" s="137">
        <v>1399</v>
      </c>
      <c r="E38" s="137">
        <v>2655</v>
      </c>
      <c r="F38" s="137">
        <v>126</v>
      </c>
      <c r="G38" s="137">
        <v>130</v>
      </c>
      <c r="H38" s="137">
        <v>256</v>
      </c>
      <c r="I38" s="137">
        <v>57</v>
      </c>
      <c r="J38" s="137">
        <v>48</v>
      </c>
      <c r="K38" s="137">
        <v>105</v>
      </c>
      <c r="L38" s="137">
        <v>251</v>
      </c>
      <c r="M38" s="137">
        <v>294</v>
      </c>
      <c r="N38" s="137">
        <v>545</v>
      </c>
      <c r="O38" s="137">
        <v>1</v>
      </c>
      <c r="P38" s="137">
        <v>0</v>
      </c>
      <c r="Q38" s="137">
        <v>1</v>
      </c>
      <c r="R38" s="137">
        <v>4</v>
      </c>
      <c r="S38" s="137">
        <v>15</v>
      </c>
      <c r="T38" s="137">
        <v>19</v>
      </c>
      <c r="U38" s="137">
        <v>18</v>
      </c>
      <c r="V38" s="137">
        <v>22</v>
      </c>
      <c r="W38" s="137">
        <v>40</v>
      </c>
      <c r="X38" s="137">
        <v>1</v>
      </c>
      <c r="Y38" s="137">
        <v>6</v>
      </c>
      <c r="Z38" s="137">
        <v>7</v>
      </c>
    </row>
    <row r="39" spans="1:26">
      <c r="A39" s="251">
        <v>35</v>
      </c>
      <c r="B39" s="136" t="s">
        <v>379</v>
      </c>
      <c r="C39" s="137">
        <v>741</v>
      </c>
      <c r="D39" s="137">
        <v>1725</v>
      </c>
      <c r="E39" s="137">
        <v>2466</v>
      </c>
      <c r="F39" s="137">
        <v>70</v>
      </c>
      <c r="G39" s="137">
        <v>110</v>
      </c>
      <c r="H39" s="137">
        <v>180</v>
      </c>
      <c r="I39" s="137">
        <v>13</v>
      </c>
      <c r="J39" s="137">
        <v>34</v>
      </c>
      <c r="K39" s="137">
        <v>47</v>
      </c>
      <c r="L39" s="137">
        <v>169</v>
      </c>
      <c r="M39" s="137">
        <v>277</v>
      </c>
      <c r="N39" s="137">
        <v>446</v>
      </c>
      <c r="O39" s="137">
        <v>0</v>
      </c>
      <c r="P39" s="137">
        <v>2</v>
      </c>
      <c r="Q39" s="137">
        <v>2</v>
      </c>
      <c r="R39" s="137">
        <v>38</v>
      </c>
      <c r="S39" s="137">
        <v>62</v>
      </c>
      <c r="T39" s="137">
        <v>100</v>
      </c>
      <c r="U39" s="137">
        <v>25</v>
      </c>
      <c r="V39" s="137">
        <v>72</v>
      </c>
      <c r="W39" s="137">
        <v>97</v>
      </c>
      <c r="X39" s="137">
        <v>10</v>
      </c>
      <c r="Y39" s="137">
        <v>31</v>
      </c>
      <c r="Z39" s="137">
        <v>41</v>
      </c>
    </row>
    <row r="40" spans="1:26" ht="28">
      <c r="A40" s="251">
        <v>36</v>
      </c>
      <c r="B40" s="136" t="s">
        <v>380</v>
      </c>
      <c r="C40" s="137">
        <v>1307</v>
      </c>
      <c r="D40" s="137">
        <v>992</v>
      </c>
      <c r="E40" s="137">
        <v>2299</v>
      </c>
      <c r="F40" s="137">
        <v>133</v>
      </c>
      <c r="G40" s="137">
        <v>60</v>
      </c>
      <c r="H40" s="137">
        <v>193</v>
      </c>
      <c r="I40" s="137">
        <v>33</v>
      </c>
      <c r="J40" s="137">
        <v>22</v>
      </c>
      <c r="K40" s="137">
        <v>55</v>
      </c>
      <c r="L40" s="137">
        <v>190</v>
      </c>
      <c r="M40" s="137">
        <v>137</v>
      </c>
      <c r="N40" s="137">
        <v>327</v>
      </c>
      <c r="O40" s="137">
        <v>0</v>
      </c>
      <c r="P40" s="137">
        <v>0</v>
      </c>
      <c r="Q40" s="137">
        <v>0</v>
      </c>
      <c r="R40" s="137">
        <v>42</v>
      </c>
      <c r="S40" s="137">
        <v>35</v>
      </c>
      <c r="T40" s="137">
        <v>77</v>
      </c>
      <c r="U40" s="137">
        <v>20</v>
      </c>
      <c r="V40" s="137">
        <v>20</v>
      </c>
      <c r="W40" s="137">
        <v>40</v>
      </c>
      <c r="X40" s="137">
        <v>1</v>
      </c>
      <c r="Y40" s="137">
        <v>2</v>
      </c>
      <c r="Z40" s="137">
        <v>3</v>
      </c>
    </row>
    <row r="41" spans="1:26">
      <c r="A41" s="251">
        <v>37</v>
      </c>
      <c r="B41" s="136" t="s">
        <v>381</v>
      </c>
      <c r="C41" s="137">
        <v>924</v>
      </c>
      <c r="D41" s="137">
        <v>1305</v>
      </c>
      <c r="E41" s="137">
        <v>2229</v>
      </c>
      <c r="F41" s="137">
        <v>117</v>
      </c>
      <c r="G41" s="137">
        <v>101</v>
      </c>
      <c r="H41" s="137">
        <v>218</v>
      </c>
      <c r="I41" s="137">
        <v>23</v>
      </c>
      <c r="J41" s="137">
        <v>51</v>
      </c>
      <c r="K41" s="137">
        <v>74</v>
      </c>
      <c r="L41" s="137">
        <v>211</v>
      </c>
      <c r="M41" s="137">
        <v>170</v>
      </c>
      <c r="N41" s="137">
        <v>381</v>
      </c>
      <c r="O41" s="137">
        <v>2</v>
      </c>
      <c r="P41" s="137">
        <v>0</v>
      </c>
      <c r="Q41" s="137">
        <v>2</v>
      </c>
      <c r="R41" s="137">
        <v>24</v>
      </c>
      <c r="S41" s="137">
        <v>20</v>
      </c>
      <c r="T41" s="137">
        <v>44</v>
      </c>
      <c r="U41" s="137">
        <v>6</v>
      </c>
      <c r="V41" s="137">
        <v>13</v>
      </c>
      <c r="W41" s="137">
        <v>19</v>
      </c>
      <c r="X41" s="137">
        <v>15</v>
      </c>
      <c r="Y41" s="137">
        <v>17</v>
      </c>
      <c r="Z41" s="137">
        <v>32</v>
      </c>
    </row>
    <row r="42" spans="1:26">
      <c r="A42" s="251">
        <v>38</v>
      </c>
      <c r="B42" s="136" t="s">
        <v>388</v>
      </c>
      <c r="C42" s="137">
        <v>715</v>
      </c>
      <c r="D42" s="137">
        <v>821</v>
      </c>
      <c r="E42" s="137">
        <v>1536</v>
      </c>
      <c r="F42" s="137">
        <v>23</v>
      </c>
      <c r="G42" s="137">
        <v>17</v>
      </c>
      <c r="H42" s="137">
        <v>40</v>
      </c>
      <c r="I42" s="137">
        <v>10</v>
      </c>
      <c r="J42" s="137">
        <v>6</v>
      </c>
      <c r="K42" s="137">
        <v>16</v>
      </c>
      <c r="L42" s="137">
        <v>149</v>
      </c>
      <c r="M42" s="137">
        <v>112</v>
      </c>
      <c r="N42" s="137">
        <v>261</v>
      </c>
      <c r="O42" s="137">
        <v>1</v>
      </c>
      <c r="P42" s="137">
        <v>0</v>
      </c>
      <c r="Q42" s="137">
        <v>1</v>
      </c>
      <c r="R42" s="137">
        <v>2</v>
      </c>
      <c r="S42" s="137">
        <v>0</v>
      </c>
      <c r="T42" s="137">
        <v>2</v>
      </c>
      <c r="U42" s="137">
        <v>3</v>
      </c>
      <c r="V42" s="137">
        <v>9</v>
      </c>
      <c r="W42" s="137">
        <v>12</v>
      </c>
      <c r="X42" s="137">
        <v>1</v>
      </c>
      <c r="Y42" s="137">
        <v>0</v>
      </c>
      <c r="Z42" s="137">
        <v>1</v>
      </c>
    </row>
    <row r="43" spans="1:26">
      <c r="A43" s="251">
        <v>39</v>
      </c>
      <c r="B43" s="136" t="s">
        <v>386</v>
      </c>
      <c r="C43" s="137">
        <v>514</v>
      </c>
      <c r="D43" s="137">
        <v>852</v>
      </c>
      <c r="E43" s="137">
        <v>1366</v>
      </c>
      <c r="F43" s="137">
        <v>20</v>
      </c>
      <c r="G43" s="137">
        <v>27</v>
      </c>
      <c r="H43" s="137">
        <v>47</v>
      </c>
      <c r="I43" s="137">
        <v>2</v>
      </c>
      <c r="J43" s="137">
        <v>1</v>
      </c>
      <c r="K43" s="137">
        <v>3</v>
      </c>
      <c r="L43" s="137">
        <v>120</v>
      </c>
      <c r="M43" s="137">
        <v>140</v>
      </c>
      <c r="N43" s="137">
        <v>260</v>
      </c>
      <c r="O43" s="137">
        <v>0</v>
      </c>
      <c r="P43" s="137">
        <v>0</v>
      </c>
      <c r="Q43" s="137">
        <v>0</v>
      </c>
      <c r="R43" s="137">
        <v>60</v>
      </c>
      <c r="S43" s="137">
        <v>51</v>
      </c>
      <c r="T43" s="137">
        <v>111</v>
      </c>
      <c r="U43" s="137">
        <v>27</v>
      </c>
      <c r="V43" s="137">
        <v>46</v>
      </c>
      <c r="W43" s="137">
        <v>73</v>
      </c>
      <c r="X43" s="137">
        <v>52</v>
      </c>
      <c r="Y43" s="137">
        <v>44</v>
      </c>
      <c r="Z43" s="137">
        <v>96</v>
      </c>
    </row>
    <row r="44" spans="1:26" ht="28">
      <c r="A44" s="251">
        <v>40</v>
      </c>
      <c r="B44" s="136" t="s">
        <v>385</v>
      </c>
      <c r="C44" s="137">
        <v>802</v>
      </c>
      <c r="D44" s="137">
        <v>520</v>
      </c>
      <c r="E44" s="137">
        <v>1322</v>
      </c>
      <c r="F44" s="137">
        <v>85</v>
      </c>
      <c r="G44" s="137">
        <v>40</v>
      </c>
      <c r="H44" s="137">
        <v>125</v>
      </c>
      <c r="I44" s="137">
        <v>39</v>
      </c>
      <c r="J44" s="137">
        <v>29</v>
      </c>
      <c r="K44" s="137">
        <v>68</v>
      </c>
      <c r="L44" s="137">
        <v>203</v>
      </c>
      <c r="M44" s="137">
        <v>145</v>
      </c>
      <c r="N44" s="137">
        <v>348</v>
      </c>
      <c r="O44" s="137">
        <v>3</v>
      </c>
      <c r="P44" s="137">
        <v>0</v>
      </c>
      <c r="Q44" s="137">
        <v>3</v>
      </c>
      <c r="R44" s="137">
        <v>17</v>
      </c>
      <c r="S44" s="137">
        <v>20</v>
      </c>
      <c r="T44" s="137">
        <v>37</v>
      </c>
      <c r="U44" s="137">
        <v>48</v>
      </c>
      <c r="V44" s="137">
        <v>33</v>
      </c>
      <c r="W44" s="137">
        <v>81</v>
      </c>
      <c r="X44" s="137">
        <v>8</v>
      </c>
      <c r="Y44" s="137">
        <v>0</v>
      </c>
      <c r="Z44" s="137">
        <v>8</v>
      </c>
    </row>
    <row r="45" spans="1:26" ht="28">
      <c r="A45" s="251">
        <v>41</v>
      </c>
      <c r="B45" s="136" t="s">
        <v>383</v>
      </c>
      <c r="C45" s="137">
        <v>803</v>
      </c>
      <c r="D45" s="137">
        <v>469</v>
      </c>
      <c r="E45" s="137">
        <v>1272</v>
      </c>
      <c r="F45" s="137">
        <v>100</v>
      </c>
      <c r="G45" s="137">
        <v>52</v>
      </c>
      <c r="H45" s="137">
        <v>152</v>
      </c>
      <c r="I45" s="137">
        <v>75</v>
      </c>
      <c r="J45" s="137">
        <v>28</v>
      </c>
      <c r="K45" s="137">
        <v>103</v>
      </c>
      <c r="L45" s="137">
        <v>218</v>
      </c>
      <c r="M45" s="137">
        <v>77</v>
      </c>
      <c r="N45" s="137">
        <v>295</v>
      </c>
      <c r="O45" s="137">
        <v>20</v>
      </c>
      <c r="P45" s="137">
        <v>7</v>
      </c>
      <c r="Q45" s="137">
        <v>27</v>
      </c>
      <c r="R45" s="137">
        <v>0</v>
      </c>
      <c r="S45" s="137">
        <v>0</v>
      </c>
      <c r="T45" s="137">
        <v>0</v>
      </c>
      <c r="U45" s="137">
        <v>0</v>
      </c>
      <c r="V45" s="137">
        <v>0</v>
      </c>
      <c r="W45" s="137">
        <v>0</v>
      </c>
      <c r="X45" s="137">
        <v>10</v>
      </c>
      <c r="Y45" s="137">
        <v>9</v>
      </c>
      <c r="Z45" s="137">
        <v>19</v>
      </c>
    </row>
    <row r="46" spans="1:26" ht="28">
      <c r="A46" s="251">
        <v>42</v>
      </c>
      <c r="B46" s="136" t="s">
        <v>387</v>
      </c>
      <c r="C46" s="137">
        <v>487</v>
      </c>
      <c r="D46" s="137">
        <v>660</v>
      </c>
      <c r="E46" s="137">
        <v>1147</v>
      </c>
      <c r="F46" s="137">
        <v>32</v>
      </c>
      <c r="G46" s="137">
        <v>44</v>
      </c>
      <c r="H46" s="137">
        <v>76</v>
      </c>
      <c r="I46" s="137">
        <v>12</v>
      </c>
      <c r="J46" s="137">
        <v>7</v>
      </c>
      <c r="K46" s="137">
        <v>19</v>
      </c>
      <c r="L46" s="137">
        <v>55</v>
      </c>
      <c r="M46" s="137">
        <v>82</v>
      </c>
      <c r="N46" s="137">
        <v>137</v>
      </c>
      <c r="O46" s="137">
        <v>0</v>
      </c>
      <c r="P46" s="137">
        <v>0</v>
      </c>
      <c r="Q46" s="137">
        <v>0</v>
      </c>
      <c r="R46" s="137">
        <v>7</v>
      </c>
      <c r="S46" s="137">
        <v>12</v>
      </c>
      <c r="T46" s="137">
        <v>19</v>
      </c>
      <c r="U46" s="137">
        <v>16</v>
      </c>
      <c r="V46" s="137">
        <v>33</v>
      </c>
      <c r="W46" s="137">
        <v>49</v>
      </c>
      <c r="X46" s="137">
        <v>2</v>
      </c>
      <c r="Y46" s="137">
        <v>0</v>
      </c>
      <c r="Z46" s="137">
        <v>2</v>
      </c>
    </row>
    <row r="47" spans="1:26" ht="28">
      <c r="A47" s="251">
        <v>43</v>
      </c>
      <c r="B47" s="136" t="s">
        <v>890</v>
      </c>
      <c r="C47" s="137">
        <v>702</v>
      </c>
      <c r="D47" s="137">
        <v>437</v>
      </c>
      <c r="E47" s="137">
        <v>1139</v>
      </c>
      <c r="F47" s="137">
        <v>27</v>
      </c>
      <c r="G47" s="137">
        <v>15</v>
      </c>
      <c r="H47" s="137">
        <v>42</v>
      </c>
      <c r="I47" s="137">
        <v>25</v>
      </c>
      <c r="J47" s="137">
        <v>18</v>
      </c>
      <c r="K47" s="137">
        <v>43</v>
      </c>
      <c r="L47" s="137">
        <v>66</v>
      </c>
      <c r="M47" s="137">
        <v>42</v>
      </c>
      <c r="N47" s="137">
        <v>108</v>
      </c>
      <c r="O47" s="137">
        <v>0</v>
      </c>
      <c r="P47" s="137">
        <v>0</v>
      </c>
      <c r="Q47" s="137">
        <v>0</v>
      </c>
      <c r="R47" s="137">
        <v>24</v>
      </c>
      <c r="S47" s="137">
        <v>8</v>
      </c>
      <c r="T47" s="137">
        <v>32</v>
      </c>
      <c r="U47" s="137">
        <v>10</v>
      </c>
      <c r="V47" s="137">
        <v>6</v>
      </c>
      <c r="W47" s="137">
        <v>16</v>
      </c>
      <c r="X47" s="137">
        <v>18</v>
      </c>
      <c r="Y47" s="137">
        <v>11</v>
      </c>
      <c r="Z47" s="137">
        <v>29</v>
      </c>
    </row>
    <row r="48" spans="1:26" ht="28">
      <c r="A48" s="251">
        <v>44</v>
      </c>
      <c r="B48" s="136" t="s">
        <v>393</v>
      </c>
      <c r="C48" s="137">
        <v>521</v>
      </c>
      <c r="D48" s="137">
        <v>391</v>
      </c>
      <c r="E48" s="137">
        <v>912</v>
      </c>
      <c r="F48" s="137">
        <v>35</v>
      </c>
      <c r="G48" s="137">
        <v>70</v>
      </c>
      <c r="H48" s="137">
        <v>105</v>
      </c>
      <c r="I48" s="137">
        <v>8</v>
      </c>
      <c r="J48" s="137">
        <v>5</v>
      </c>
      <c r="K48" s="137">
        <v>13</v>
      </c>
      <c r="L48" s="137">
        <v>46</v>
      </c>
      <c r="M48" s="137">
        <v>73</v>
      </c>
      <c r="N48" s="137">
        <v>119</v>
      </c>
      <c r="O48" s="137">
        <v>0</v>
      </c>
      <c r="P48" s="137">
        <v>0</v>
      </c>
      <c r="Q48" s="137">
        <v>0</v>
      </c>
      <c r="R48" s="137">
        <v>5</v>
      </c>
      <c r="S48" s="137">
        <v>2</v>
      </c>
      <c r="T48" s="137">
        <v>7</v>
      </c>
      <c r="U48" s="137">
        <v>8</v>
      </c>
      <c r="V48" s="137">
        <v>31</v>
      </c>
      <c r="W48" s="137">
        <v>39</v>
      </c>
      <c r="X48" s="137">
        <v>40</v>
      </c>
      <c r="Y48" s="137">
        <v>7</v>
      </c>
      <c r="Z48" s="137">
        <v>47</v>
      </c>
    </row>
    <row r="49" spans="1:26">
      <c r="A49" s="251">
        <v>45</v>
      </c>
      <c r="B49" s="136" t="s">
        <v>390</v>
      </c>
      <c r="C49" s="137">
        <v>318</v>
      </c>
      <c r="D49" s="137">
        <v>516</v>
      </c>
      <c r="E49" s="137">
        <v>834</v>
      </c>
      <c r="F49" s="137">
        <v>17</v>
      </c>
      <c r="G49" s="137">
        <v>41</v>
      </c>
      <c r="H49" s="137">
        <v>58</v>
      </c>
      <c r="I49" s="137">
        <v>15</v>
      </c>
      <c r="J49" s="137">
        <v>12</v>
      </c>
      <c r="K49" s="137">
        <v>27</v>
      </c>
      <c r="L49" s="137">
        <v>56</v>
      </c>
      <c r="M49" s="137">
        <v>93</v>
      </c>
      <c r="N49" s="137">
        <v>149</v>
      </c>
      <c r="O49" s="137">
        <v>0</v>
      </c>
      <c r="P49" s="137">
        <v>0</v>
      </c>
      <c r="Q49" s="137">
        <v>0</v>
      </c>
      <c r="R49" s="137">
        <v>11</v>
      </c>
      <c r="S49" s="137">
        <v>14</v>
      </c>
      <c r="T49" s="137">
        <v>25</v>
      </c>
      <c r="U49" s="137">
        <v>8</v>
      </c>
      <c r="V49" s="137">
        <v>26</v>
      </c>
      <c r="W49" s="137">
        <v>34</v>
      </c>
      <c r="X49" s="137">
        <v>2</v>
      </c>
      <c r="Y49" s="137">
        <v>0</v>
      </c>
      <c r="Z49" s="137">
        <v>2</v>
      </c>
    </row>
    <row r="50" spans="1:26">
      <c r="A50" s="251">
        <v>46</v>
      </c>
      <c r="B50" s="136" t="s">
        <v>395</v>
      </c>
      <c r="C50" s="137">
        <v>387</v>
      </c>
      <c r="D50" s="137">
        <v>446</v>
      </c>
      <c r="E50" s="137">
        <v>833</v>
      </c>
      <c r="F50" s="137">
        <v>7</v>
      </c>
      <c r="G50" s="137">
        <v>6</v>
      </c>
      <c r="H50" s="137">
        <v>13</v>
      </c>
      <c r="I50" s="137">
        <v>5</v>
      </c>
      <c r="J50" s="137">
        <v>1</v>
      </c>
      <c r="K50" s="137">
        <v>6</v>
      </c>
      <c r="L50" s="137">
        <v>19</v>
      </c>
      <c r="M50" s="137">
        <v>24</v>
      </c>
      <c r="N50" s="137">
        <v>43</v>
      </c>
      <c r="O50" s="137">
        <v>2</v>
      </c>
      <c r="P50" s="137">
        <v>0</v>
      </c>
      <c r="Q50" s="137">
        <v>2</v>
      </c>
      <c r="R50" s="137">
        <v>7</v>
      </c>
      <c r="S50" s="137">
        <v>4</v>
      </c>
      <c r="T50" s="137">
        <v>11</v>
      </c>
      <c r="U50" s="137">
        <v>12</v>
      </c>
      <c r="V50" s="137">
        <v>9</v>
      </c>
      <c r="W50" s="137">
        <v>21</v>
      </c>
      <c r="X50" s="137">
        <v>2</v>
      </c>
      <c r="Y50" s="137">
        <v>3</v>
      </c>
      <c r="Z50" s="137">
        <v>5</v>
      </c>
    </row>
    <row r="51" spans="1:26">
      <c r="A51" s="251">
        <v>47</v>
      </c>
      <c r="B51" s="136" t="s">
        <v>410</v>
      </c>
      <c r="C51" s="137">
        <v>322</v>
      </c>
      <c r="D51" s="137">
        <v>444</v>
      </c>
      <c r="E51" s="137">
        <v>766</v>
      </c>
      <c r="F51" s="137">
        <v>30</v>
      </c>
      <c r="G51" s="137">
        <v>37</v>
      </c>
      <c r="H51" s="137">
        <v>67</v>
      </c>
      <c r="I51" s="137">
        <v>14</v>
      </c>
      <c r="J51" s="137">
        <v>14</v>
      </c>
      <c r="K51" s="137">
        <v>28</v>
      </c>
      <c r="L51" s="137">
        <v>79</v>
      </c>
      <c r="M51" s="137">
        <v>119</v>
      </c>
      <c r="N51" s="137">
        <v>198</v>
      </c>
      <c r="O51" s="137">
        <v>1</v>
      </c>
      <c r="P51" s="137">
        <v>0</v>
      </c>
      <c r="Q51" s="137">
        <v>1</v>
      </c>
      <c r="R51" s="137">
        <v>9</v>
      </c>
      <c r="S51" s="137">
        <v>15</v>
      </c>
      <c r="T51" s="137">
        <v>24</v>
      </c>
      <c r="U51" s="137">
        <v>11</v>
      </c>
      <c r="V51" s="137">
        <v>7</v>
      </c>
      <c r="W51" s="137">
        <v>18</v>
      </c>
      <c r="X51" s="137">
        <v>0</v>
      </c>
      <c r="Y51" s="137">
        <v>0</v>
      </c>
      <c r="Z51" s="137">
        <v>0</v>
      </c>
    </row>
    <row r="52" spans="1:26">
      <c r="A52" s="251">
        <v>48</v>
      </c>
      <c r="B52" s="136" t="s">
        <v>389</v>
      </c>
      <c r="C52" s="137">
        <v>275</v>
      </c>
      <c r="D52" s="137">
        <v>466</v>
      </c>
      <c r="E52" s="137">
        <v>741</v>
      </c>
      <c r="F52" s="137">
        <v>21</v>
      </c>
      <c r="G52" s="137">
        <v>37</v>
      </c>
      <c r="H52" s="137">
        <v>58</v>
      </c>
      <c r="I52" s="137">
        <v>5</v>
      </c>
      <c r="J52" s="137">
        <v>10</v>
      </c>
      <c r="K52" s="137">
        <v>15</v>
      </c>
      <c r="L52" s="137">
        <v>60</v>
      </c>
      <c r="M52" s="137">
        <v>113</v>
      </c>
      <c r="N52" s="137">
        <v>173</v>
      </c>
      <c r="O52" s="137">
        <v>0</v>
      </c>
      <c r="P52" s="137">
        <v>0</v>
      </c>
      <c r="Q52" s="137">
        <v>0</v>
      </c>
      <c r="R52" s="137">
        <v>5</v>
      </c>
      <c r="S52" s="137">
        <v>16</v>
      </c>
      <c r="T52" s="137">
        <v>21</v>
      </c>
      <c r="U52" s="137">
        <v>5</v>
      </c>
      <c r="V52" s="137">
        <v>6</v>
      </c>
      <c r="W52" s="137">
        <v>11</v>
      </c>
      <c r="X52" s="137">
        <v>0</v>
      </c>
      <c r="Y52" s="137">
        <v>0</v>
      </c>
      <c r="Z52" s="137">
        <v>0</v>
      </c>
    </row>
    <row r="53" spans="1:26">
      <c r="A53" s="251">
        <v>49</v>
      </c>
      <c r="B53" s="136" t="s">
        <v>396</v>
      </c>
      <c r="C53" s="137">
        <v>227</v>
      </c>
      <c r="D53" s="137">
        <v>473</v>
      </c>
      <c r="E53" s="137">
        <v>700</v>
      </c>
      <c r="F53" s="137">
        <v>28</v>
      </c>
      <c r="G53" s="137">
        <v>44</v>
      </c>
      <c r="H53" s="137">
        <v>72</v>
      </c>
      <c r="I53" s="137">
        <v>16</v>
      </c>
      <c r="J53" s="137">
        <v>23</v>
      </c>
      <c r="K53" s="137">
        <v>39</v>
      </c>
      <c r="L53" s="137">
        <v>37</v>
      </c>
      <c r="M53" s="137">
        <v>51</v>
      </c>
      <c r="N53" s="137">
        <v>88</v>
      </c>
      <c r="O53" s="137">
        <v>0</v>
      </c>
      <c r="P53" s="137">
        <v>1</v>
      </c>
      <c r="Q53" s="137">
        <v>1</v>
      </c>
      <c r="R53" s="137">
        <v>0</v>
      </c>
      <c r="S53" s="137">
        <v>0</v>
      </c>
      <c r="T53" s="137">
        <v>0</v>
      </c>
      <c r="U53" s="137">
        <v>24</v>
      </c>
      <c r="V53" s="137">
        <v>17</v>
      </c>
      <c r="W53" s="137">
        <v>41</v>
      </c>
      <c r="X53" s="137">
        <v>0</v>
      </c>
      <c r="Y53" s="137">
        <v>12</v>
      </c>
      <c r="Z53" s="137">
        <v>12</v>
      </c>
    </row>
    <row r="54" spans="1:26" ht="28">
      <c r="A54" s="251">
        <v>50</v>
      </c>
      <c r="B54" s="136" t="s">
        <v>392</v>
      </c>
      <c r="C54" s="137">
        <v>261</v>
      </c>
      <c r="D54" s="137">
        <v>376</v>
      </c>
      <c r="E54" s="137">
        <v>637</v>
      </c>
      <c r="F54" s="137">
        <v>18</v>
      </c>
      <c r="G54" s="137">
        <v>29</v>
      </c>
      <c r="H54" s="137">
        <v>47</v>
      </c>
      <c r="I54" s="137">
        <v>12</v>
      </c>
      <c r="J54" s="137">
        <v>45</v>
      </c>
      <c r="K54" s="137">
        <v>57</v>
      </c>
      <c r="L54" s="137">
        <v>61</v>
      </c>
      <c r="M54" s="137">
        <v>69</v>
      </c>
      <c r="N54" s="137">
        <v>130</v>
      </c>
      <c r="O54" s="137">
        <v>0</v>
      </c>
      <c r="P54" s="137">
        <v>0</v>
      </c>
      <c r="Q54" s="137">
        <v>0</v>
      </c>
      <c r="R54" s="137">
        <v>0</v>
      </c>
      <c r="S54" s="137">
        <v>1</v>
      </c>
      <c r="T54" s="137">
        <v>1</v>
      </c>
      <c r="U54" s="137">
        <v>0</v>
      </c>
      <c r="V54" s="137">
        <v>14</v>
      </c>
      <c r="W54" s="137">
        <v>14</v>
      </c>
      <c r="X54" s="137">
        <v>0</v>
      </c>
      <c r="Y54" s="137">
        <v>1</v>
      </c>
      <c r="Z54" s="137">
        <v>1</v>
      </c>
    </row>
    <row r="55" spans="1:26">
      <c r="A55" s="251">
        <v>51</v>
      </c>
      <c r="B55" s="136" t="s">
        <v>391</v>
      </c>
      <c r="C55" s="137">
        <v>369</v>
      </c>
      <c r="D55" s="137">
        <v>240</v>
      </c>
      <c r="E55" s="137">
        <v>609</v>
      </c>
      <c r="F55" s="137">
        <v>81</v>
      </c>
      <c r="G55" s="137">
        <v>51</v>
      </c>
      <c r="H55" s="137">
        <v>132</v>
      </c>
      <c r="I55" s="137">
        <v>38</v>
      </c>
      <c r="J55" s="137">
        <v>23</v>
      </c>
      <c r="K55" s="137">
        <v>61</v>
      </c>
      <c r="L55" s="137">
        <v>61</v>
      </c>
      <c r="M55" s="137">
        <v>25</v>
      </c>
      <c r="N55" s="137">
        <v>86</v>
      </c>
      <c r="O55" s="137">
        <v>0</v>
      </c>
      <c r="P55" s="137">
        <v>0</v>
      </c>
      <c r="Q55" s="137">
        <v>0</v>
      </c>
      <c r="R55" s="137">
        <v>4</v>
      </c>
      <c r="S55" s="137">
        <v>2</v>
      </c>
      <c r="T55" s="137">
        <v>6</v>
      </c>
      <c r="U55" s="137">
        <v>6</v>
      </c>
      <c r="V55" s="137">
        <v>5</v>
      </c>
      <c r="W55" s="137">
        <v>11</v>
      </c>
      <c r="X55" s="137">
        <v>0</v>
      </c>
      <c r="Y55" s="137">
        <v>0</v>
      </c>
      <c r="Z55" s="137">
        <v>0</v>
      </c>
    </row>
    <row r="56" spans="1:26" ht="28">
      <c r="A56" s="251">
        <v>52</v>
      </c>
      <c r="B56" s="136" t="s">
        <v>394</v>
      </c>
      <c r="C56" s="137">
        <v>308</v>
      </c>
      <c r="D56" s="137">
        <v>281</v>
      </c>
      <c r="E56" s="137">
        <v>589</v>
      </c>
      <c r="F56" s="137">
        <v>55</v>
      </c>
      <c r="G56" s="137">
        <v>56</v>
      </c>
      <c r="H56" s="137">
        <v>111</v>
      </c>
      <c r="I56" s="137">
        <v>11</v>
      </c>
      <c r="J56" s="137">
        <v>9</v>
      </c>
      <c r="K56" s="137">
        <v>20</v>
      </c>
      <c r="L56" s="137">
        <v>16</v>
      </c>
      <c r="M56" s="137">
        <v>20</v>
      </c>
      <c r="N56" s="137">
        <v>36</v>
      </c>
      <c r="O56" s="137">
        <v>2</v>
      </c>
      <c r="P56" s="137">
        <v>0</v>
      </c>
      <c r="Q56" s="137">
        <v>2</v>
      </c>
      <c r="R56" s="137">
        <v>16</v>
      </c>
      <c r="S56" s="137">
        <v>5</v>
      </c>
      <c r="T56" s="137">
        <v>21</v>
      </c>
      <c r="U56" s="137">
        <v>1</v>
      </c>
      <c r="V56" s="137">
        <v>0</v>
      </c>
      <c r="W56" s="137">
        <v>1</v>
      </c>
      <c r="X56" s="137">
        <v>0</v>
      </c>
      <c r="Y56" s="137">
        <v>0</v>
      </c>
      <c r="Z56" s="137">
        <v>0</v>
      </c>
    </row>
    <row r="57" spans="1:26" ht="28">
      <c r="A57" s="251">
        <v>53</v>
      </c>
      <c r="B57" s="136" t="s">
        <v>402</v>
      </c>
      <c r="C57" s="137">
        <v>326</v>
      </c>
      <c r="D57" s="137">
        <v>156</v>
      </c>
      <c r="E57" s="137">
        <v>482</v>
      </c>
      <c r="F57" s="137">
        <v>42</v>
      </c>
      <c r="G57" s="137">
        <v>18</v>
      </c>
      <c r="H57" s="137">
        <v>60</v>
      </c>
      <c r="I57" s="137">
        <v>30</v>
      </c>
      <c r="J57" s="137">
        <v>18</v>
      </c>
      <c r="K57" s="137">
        <v>48</v>
      </c>
      <c r="L57" s="137">
        <v>68</v>
      </c>
      <c r="M57" s="137">
        <v>41</v>
      </c>
      <c r="N57" s="137">
        <v>109</v>
      </c>
      <c r="O57" s="137">
        <v>0</v>
      </c>
      <c r="P57" s="137">
        <v>0</v>
      </c>
      <c r="Q57" s="137">
        <v>0</v>
      </c>
      <c r="R57" s="137">
        <v>8</v>
      </c>
      <c r="S57" s="137">
        <v>0</v>
      </c>
      <c r="T57" s="137">
        <v>8</v>
      </c>
      <c r="U57" s="137">
        <v>24</v>
      </c>
      <c r="V57" s="137">
        <v>8</v>
      </c>
      <c r="W57" s="137">
        <v>32</v>
      </c>
      <c r="X57" s="137">
        <v>0</v>
      </c>
      <c r="Y57" s="137">
        <v>0</v>
      </c>
      <c r="Z57" s="137">
        <v>0</v>
      </c>
    </row>
    <row r="58" spans="1:26" ht="28">
      <c r="A58" s="251">
        <v>54</v>
      </c>
      <c r="B58" s="136" t="s">
        <v>398</v>
      </c>
      <c r="C58" s="137">
        <v>272</v>
      </c>
      <c r="D58" s="137">
        <v>196</v>
      </c>
      <c r="E58" s="137">
        <v>468</v>
      </c>
      <c r="F58" s="137">
        <v>10</v>
      </c>
      <c r="G58" s="137">
        <v>6</v>
      </c>
      <c r="H58" s="137">
        <v>16</v>
      </c>
      <c r="I58" s="137">
        <v>2</v>
      </c>
      <c r="J58" s="137">
        <v>1</v>
      </c>
      <c r="K58" s="137">
        <v>3</v>
      </c>
      <c r="L58" s="137">
        <v>47</v>
      </c>
      <c r="M58" s="137">
        <v>40</v>
      </c>
      <c r="N58" s="137">
        <v>87</v>
      </c>
      <c r="O58" s="137">
        <v>0</v>
      </c>
      <c r="P58" s="137">
        <v>0</v>
      </c>
      <c r="Q58" s="137">
        <v>0</v>
      </c>
      <c r="R58" s="137">
        <v>23</v>
      </c>
      <c r="S58" s="137">
        <v>14</v>
      </c>
      <c r="T58" s="137">
        <v>37</v>
      </c>
      <c r="U58" s="137">
        <v>4</v>
      </c>
      <c r="V58" s="137">
        <v>2</v>
      </c>
      <c r="W58" s="137">
        <v>6</v>
      </c>
      <c r="X58" s="137">
        <v>1</v>
      </c>
      <c r="Y58" s="137">
        <v>0</v>
      </c>
      <c r="Z58" s="137">
        <v>1</v>
      </c>
    </row>
    <row r="59" spans="1:26">
      <c r="A59" s="251">
        <v>55</v>
      </c>
      <c r="B59" s="136" t="s">
        <v>893</v>
      </c>
      <c r="C59" s="137">
        <v>200</v>
      </c>
      <c r="D59" s="137">
        <v>254</v>
      </c>
      <c r="E59" s="137">
        <v>454</v>
      </c>
      <c r="F59" s="137">
        <v>10</v>
      </c>
      <c r="G59" s="137">
        <v>16</v>
      </c>
      <c r="H59" s="137">
        <v>26</v>
      </c>
      <c r="I59" s="137">
        <v>10</v>
      </c>
      <c r="J59" s="137">
        <v>2</v>
      </c>
      <c r="K59" s="137">
        <v>12</v>
      </c>
      <c r="L59" s="137">
        <v>93</v>
      </c>
      <c r="M59" s="137">
        <v>90</v>
      </c>
      <c r="N59" s="137">
        <v>183</v>
      </c>
      <c r="O59" s="137">
        <v>0</v>
      </c>
      <c r="P59" s="137">
        <v>0</v>
      </c>
      <c r="Q59" s="137">
        <v>0</v>
      </c>
      <c r="R59" s="137">
        <v>10</v>
      </c>
      <c r="S59" s="137">
        <v>5</v>
      </c>
      <c r="T59" s="137">
        <v>15</v>
      </c>
      <c r="U59" s="137">
        <v>9</v>
      </c>
      <c r="V59" s="137">
        <v>7</v>
      </c>
      <c r="W59" s="137">
        <v>16</v>
      </c>
      <c r="X59" s="137">
        <v>0</v>
      </c>
      <c r="Y59" s="137">
        <v>2</v>
      </c>
      <c r="Z59" s="137">
        <v>2</v>
      </c>
    </row>
    <row r="60" spans="1:26" ht="28">
      <c r="A60" s="251">
        <v>56</v>
      </c>
      <c r="B60" s="136" t="s">
        <v>399</v>
      </c>
      <c r="C60" s="137">
        <v>219</v>
      </c>
      <c r="D60" s="137">
        <v>226</v>
      </c>
      <c r="E60" s="137">
        <v>445</v>
      </c>
      <c r="F60" s="137">
        <v>22</v>
      </c>
      <c r="G60" s="137">
        <v>15</v>
      </c>
      <c r="H60" s="137">
        <v>37</v>
      </c>
      <c r="I60" s="137">
        <v>13</v>
      </c>
      <c r="J60" s="137">
        <v>5</v>
      </c>
      <c r="K60" s="137">
        <v>18</v>
      </c>
      <c r="L60" s="137">
        <v>45</v>
      </c>
      <c r="M60" s="137">
        <v>47</v>
      </c>
      <c r="N60" s="137">
        <v>92</v>
      </c>
      <c r="O60" s="137">
        <v>0</v>
      </c>
      <c r="P60" s="137">
        <v>1</v>
      </c>
      <c r="Q60" s="137">
        <v>1</v>
      </c>
      <c r="R60" s="137">
        <v>1</v>
      </c>
      <c r="S60" s="137">
        <v>0</v>
      </c>
      <c r="T60" s="137">
        <v>1</v>
      </c>
      <c r="U60" s="137">
        <v>0</v>
      </c>
      <c r="V60" s="137">
        <v>0</v>
      </c>
      <c r="W60" s="137">
        <v>0</v>
      </c>
      <c r="X60" s="137">
        <v>0</v>
      </c>
      <c r="Y60" s="137">
        <v>0</v>
      </c>
      <c r="Z60" s="137">
        <v>0</v>
      </c>
    </row>
    <row r="61" spans="1:26">
      <c r="A61" s="251">
        <v>57</v>
      </c>
      <c r="B61" s="136" t="s">
        <v>892</v>
      </c>
      <c r="C61" s="137">
        <v>317</v>
      </c>
      <c r="D61" s="137">
        <v>84</v>
      </c>
      <c r="E61" s="137">
        <v>401</v>
      </c>
      <c r="F61" s="137">
        <v>1</v>
      </c>
      <c r="G61" s="137">
        <v>0</v>
      </c>
      <c r="H61" s="137">
        <v>1</v>
      </c>
      <c r="I61" s="137">
        <v>1</v>
      </c>
      <c r="J61" s="137">
        <v>0</v>
      </c>
      <c r="K61" s="137">
        <v>1</v>
      </c>
      <c r="L61" s="137">
        <v>0</v>
      </c>
      <c r="M61" s="137">
        <v>0</v>
      </c>
      <c r="N61" s="137">
        <v>0</v>
      </c>
      <c r="O61" s="137">
        <v>0</v>
      </c>
      <c r="P61" s="137">
        <v>0</v>
      </c>
      <c r="Q61" s="137">
        <v>0</v>
      </c>
      <c r="R61" s="137">
        <v>0</v>
      </c>
      <c r="S61" s="137">
        <v>0</v>
      </c>
      <c r="T61" s="137">
        <v>0</v>
      </c>
      <c r="U61" s="137">
        <v>0</v>
      </c>
      <c r="V61" s="137">
        <v>0</v>
      </c>
      <c r="W61" s="137">
        <v>0</v>
      </c>
      <c r="X61" s="137">
        <v>0</v>
      </c>
      <c r="Y61" s="137">
        <v>0</v>
      </c>
      <c r="Z61" s="137">
        <v>0</v>
      </c>
    </row>
    <row r="62" spans="1:26" ht="28">
      <c r="A62" s="251">
        <v>58</v>
      </c>
      <c r="B62" s="136" t="s">
        <v>400</v>
      </c>
      <c r="C62" s="137">
        <v>178</v>
      </c>
      <c r="D62" s="137">
        <v>172</v>
      </c>
      <c r="E62" s="137">
        <v>350</v>
      </c>
      <c r="F62" s="137">
        <v>19</v>
      </c>
      <c r="G62" s="137">
        <v>9</v>
      </c>
      <c r="H62" s="137">
        <v>28</v>
      </c>
      <c r="I62" s="137">
        <v>5</v>
      </c>
      <c r="J62" s="137">
        <v>11</v>
      </c>
      <c r="K62" s="137">
        <v>16</v>
      </c>
      <c r="L62" s="137">
        <v>40</v>
      </c>
      <c r="M62" s="137">
        <v>45</v>
      </c>
      <c r="N62" s="137">
        <v>85</v>
      </c>
      <c r="O62" s="137">
        <v>0</v>
      </c>
      <c r="P62" s="137">
        <v>0</v>
      </c>
      <c r="Q62" s="137">
        <v>0</v>
      </c>
      <c r="R62" s="137">
        <v>6</v>
      </c>
      <c r="S62" s="137">
        <v>5</v>
      </c>
      <c r="T62" s="137">
        <v>11</v>
      </c>
      <c r="U62" s="137">
        <v>7</v>
      </c>
      <c r="V62" s="137">
        <v>16</v>
      </c>
      <c r="W62" s="137">
        <v>23</v>
      </c>
      <c r="X62" s="137">
        <v>2</v>
      </c>
      <c r="Y62" s="137">
        <v>1</v>
      </c>
      <c r="Z62" s="137">
        <v>3</v>
      </c>
    </row>
    <row r="63" spans="1:26">
      <c r="A63" s="251">
        <v>59</v>
      </c>
      <c r="B63" s="136" t="s">
        <v>397</v>
      </c>
      <c r="C63" s="137">
        <v>144</v>
      </c>
      <c r="D63" s="137">
        <v>174</v>
      </c>
      <c r="E63" s="137">
        <v>318</v>
      </c>
      <c r="F63" s="137">
        <v>2</v>
      </c>
      <c r="G63" s="137">
        <v>6</v>
      </c>
      <c r="H63" s="137">
        <v>8</v>
      </c>
      <c r="I63" s="137">
        <v>2</v>
      </c>
      <c r="J63" s="137">
        <v>10</v>
      </c>
      <c r="K63" s="137">
        <v>12</v>
      </c>
      <c r="L63" s="137">
        <v>14</v>
      </c>
      <c r="M63" s="137">
        <v>17</v>
      </c>
      <c r="N63" s="137">
        <v>31</v>
      </c>
      <c r="O63" s="137">
        <v>0</v>
      </c>
      <c r="P63" s="137">
        <v>0</v>
      </c>
      <c r="Q63" s="137">
        <v>0</v>
      </c>
      <c r="R63" s="137">
        <v>4</v>
      </c>
      <c r="S63" s="137">
        <v>6</v>
      </c>
      <c r="T63" s="137">
        <v>10</v>
      </c>
      <c r="U63" s="137">
        <v>2</v>
      </c>
      <c r="V63" s="137">
        <v>10</v>
      </c>
      <c r="W63" s="137">
        <v>12</v>
      </c>
      <c r="X63" s="137">
        <v>0</v>
      </c>
      <c r="Y63" s="137">
        <v>0</v>
      </c>
      <c r="Z63" s="137">
        <v>0</v>
      </c>
    </row>
    <row r="64" spans="1:26" ht="28">
      <c r="A64" s="251">
        <v>60</v>
      </c>
      <c r="B64" s="136" t="s">
        <v>401</v>
      </c>
      <c r="C64" s="137">
        <v>215</v>
      </c>
      <c r="D64" s="137">
        <v>98</v>
      </c>
      <c r="E64" s="137">
        <v>313</v>
      </c>
      <c r="F64" s="137">
        <v>0</v>
      </c>
      <c r="G64" s="137">
        <v>0</v>
      </c>
      <c r="H64" s="137">
        <v>0</v>
      </c>
      <c r="I64" s="137">
        <v>0</v>
      </c>
      <c r="J64" s="137">
        <v>0</v>
      </c>
      <c r="K64" s="137">
        <v>0</v>
      </c>
      <c r="L64" s="137">
        <v>1</v>
      </c>
      <c r="M64" s="137">
        <v>1</v>
      </c>
      <c r="N64" s="137">
        <v>2</v>
      </c>
      <c r="O64" s="137">
        <v>0</v>
      </c>
      <c r="P64" s="137">
        <v>0</v>
      </c>
      <c r="Q64" s="137">
        <v>0</v>
      </c>
      <c r="R64" s="137">
        <v>1</v>
      </c>
      <c r="S64" s="137">
        <v>0</v>
      </c>
      <c r="T64" s="137">
        <v>1</v>
      </c>
      <c r="U64" s="137">
        <v>0</v>
      </c>
      <c r="V64" s="137">
        <v>0</v>
      </c>
      <c r="W64" s="137">
        <v>0</v>
      </c>
      <c r="X64" s="137">
        <v>0</v>
      </c>
      <c r="Y64" s="137">
        <v>0</v>
      </c>
      <c r="Z64" s="137">
        <v>0</v>
      </c>
    </row>
    <row r="65" spans="1:26" ht="28">
      <c r="A65" s="251">
        <v>61</v>
      </c>
      <c r="B65" s="136" t="s">
        <v>403</v>
      </c>
      <c r="C65" s="137">
        <v>53</v>
      </c>
      <c r="D65" s="137">
        <v>243</v>
      </c>
      <c r="E65" s="137">
        <v>296</v>
      </c>
      <c r="F65" s="137">
        <v>3</v>
      </c>
      <c r="G65" s="137">
        <v>16</v>
      </c>
      <c r="H65" s="137">
        <v>19</v>
      </c>
      <c r="I65" s="137">
        <v>4</v>
      </c>
      <c r="J65" s="137">
        <v>4</v>
      </c>
      <c r="K65" s="137">
        <v>8</v>
      </c>
      <c r="L65" s="137">
        <v>14</v>
      </c>
      <c r="M65" s="137">
        <v>31</v>
      </c>
      <c r="N65" s="137">
        <v>45</v>
      </c>
      <c r="O65" s="137">
        <v>0</v>
      </c>
      <c r="P65" s="137">
        <v>0</v>
      </c>
      <c r="Q65" s="137">
        <v>0</v>
      </c>
      <c r="R65" s="137">
        <v>1</v>
      </c>
      <c r="S65" s="137">
        <v>2</v>
      </c>
      <c r="T65" s="137">
        <v>3</v>
      </c>
      <c r="U65" s="137">
        <v>2</v>
      </c>
      <c r="V65" s="137">
        <v>5</v>
      </c>
      <c r="W65" s="137">
        <v>7</v>
      </c>
      <c r="X65" s="137">
        <v>1</v>
      </c>
      <c r="Y65" s="137">
        <v>2</v>
      </c>
      <c r="Z65" s="137">
        <v>3</v>
      </c>
    </row>
    <row r="66" spans="1:26">
      <c r="A66" s="251">
        <v>62</v>
      </c>
      <c r="B66" s="136" t="s">
        <v>891</v>
      </c>
      <c r="C66" s="137">
        <v>116</v>
      </c>
      <c r="D66" s="137">
        <v>151</v>
      </c>
      <c r="E66" s="137">
        <v>267</v>
      </c>
      <c r="F66" s="137">
        <v>20</v>
      </c>
      <c r="G66" s="137">
        <v>10</v>
      </c>
      <c r="H66" s="137">
        <v>30</v>
      </c>
      <c r="I66" s="137">
        <v>2</v>
      </c>
      <c r="J66" s="137">
        <v>1</v>
      </c>
      <c r="K66" s="137">
        <v>3</v>
      </c>
      <c r="L66" s="137">
        <v>17</v>
      </c>
      <c r="M66" s="137">
        <v>22</v>
      </c>
      <c r="N66" s="137">
        <v>39</v>
      </c>
      <c r="O66" s="137">
        <v>0</v>
      </c>
      <c r="P66" s="137">
        <v>0</v>
      </c>
      <c r="Q66" s="137">
        <v>0</v>
      </c>
      <c r="R66" s="137">
        <v>1</v>
      </c>
      <c r="S66" s="137">
        <v>1</v>
      </c>
      <c r="T66" s="137">
        <v>2</v>
      </c>
      <c r="U66" s="137">
        <v>0</v>
      </c>
      <c r="V66" s="137">
        <v>0</v>
      </c>
      <c r="W66" s="137">
        <v>0</v>
      </c>
      <c r="X66" s="137">
        <v>1</v>
      </c>
      <c r="Y66" s="137">
        <v>1</v>
      </c>
      <c r="Z66" s="137">
        <v>2</v>
      </c>
    </row>
    <row r="67" spans="1:26">
      <c r="A67" s="251">
        <v>63</v>
      </c>
      <c r="B67" s="136" t="s">
        <v>404</v>
      </c>
      <c r="C67" s="137">
        <v>64</v>
      </c>
      <c r="D67" s="137">
        <v>141</v>
      </c>
      <c r="E67" s="137">
        <v>205</v>
      </c>
      <c r="F67" s="137">
        <v>6</v>
      </c>
      <c r="G67" s="137">
        <v>5</v>
      </c>
      <c r="H67" s="137">
        <v>11</v>
      </c>
      <c r="I67" s="137">
        <v>1</v>
      </c>
      <c r="J67" s="137">
        <v>7</v>
      </c>
      <c r="K67" s="137">
        <v>8</v>
      </c>
      <c r="L67" s="137">
        <v>6</v>
      </c>
      <c r="M67" s="137">
        <v>27</v>
      </c>
      <c r="N67" s="137">
        <v>33</v>
      </c>
      <c r="O67" s="137">
        <v>0</v>
      </c>
      <c r="P67" s="137">
        <v>0</v>
      </c>
      <c r="Q67" s="137">
        <v>0</v>
      </c>
      <c r="R67" s="137">
        <v>0</v>
      </c>
      <c r="S67" s="137">
        <v>1</v>
      </c>
      <c r="T67" s="137">
        <v>1</v>
      </c>
      <c r="U67" s="137">
        <v>0</v>
      </c>
      <c r="V67" s="137">
        <v>6</v>
      </c>
      <c r="W67" s="137">
        <v>6</v>
      </c>
      <c r="X67" s="137">
        <v>0</v>
      </c>
      <c r="Y67" s="137">
        <v>2</v>
      </c>
      <c r="Z67" s="137">
        <v>2</v>
      </c>
    </row>
    <row r="68" spans="1:26" ht="42">
      <c r="A68" s="251">
        <v>64</v>
      </c>
      <c r="B68" s="136" t="s">
        <v>416</v>
      </c>
      <c r="C68" s="137">
        <v>115</v>
      </c>
      <c r="D68" s="137">
        <v>90</v>
      </c>
      <c r="E68" s="137">
        <v>205</v>
      </c>
      <c r="F68" s="137">
        <v>7</v>
      </c>
      <c r="G68" s="137">
        <v>4</v>
      </c>
      <c r="H68" s="137">
        <v>11</v>
      </c>
      <c r="I68" s="137">
        <v>3</v>
      </c>
      <c r="J68" s="137">
        <v>0</v>
      </c>
      <c r="K68" s="137">
        <v>3</v>
      </c>
      <c r="L68" s="137">
        <v>13</v>
      </c>
      <c r="M68" s="137">
        <v>17</v>
      </c>
      <c r="N68" s="137">
        <v>30</v>
      </c>
      <c r="O68" s="137">
        <v>0</v>
      </c>
      <c r="P68" s="137">
        <v>0</v>
      </c>
      <c r="Q68" s="137">
        <v>0</v>
      </c>
      <c r="R68" s="137">
        <v>34</v>
      </c>
      <c r="S68" s="137">
        <v>24</v>
      </c>
      <c r="T68" s="137">
        <v>58</v>
      </c>
      <c r="U68" s="137">
        <v>1</v>
      </c>
      <c r="V68" s="137">
        <v>1</v>
      </c>
      <c r="W68" s="137">
        <v>2</v>
      </c>
      <c r="X68" s="137">
        <v>0</v>
      </c>
      <c r="Y68" s="137">
        <v>0</v>
      </c>
      <c r="Z68" s="137">
        <v>0</v>
      </c>
    </row>
    <row r="69" spans="1:26" ht="28">
      <c r="A69" s="251">
        <v>65</v>
      </c>
      <c r="B69" s="136" t="s">
        <v>409</v>
      </c>
      <c r="C69" s="137">
        <v>84</v>
      </c>
      <c r="D69" s="137">
        <v>101</v>
      </c>
      <c r="E69" s="137">
        <v>185</v>
      </c>
      <c r="F69" s="137">
        <v>8</v>
      </c>
      <c r="G69" s="137">
        <v>12</v>
      </c>
      <c r="H69" s="137">
        <v>20</v>
      </c>
      <c r="I69" s="137">
        <v>2</v>
      </c>
      <c r="J69" s="137">
        <v>1</v>
      </c>
      <c r="K69" s="137">
        <v>3</v>
      </c>
      <c r="L69" s="137">
        <v>19</v>
      </c>
      <c r="M69" s="137">
        <v>14</v>
      </c>
      <c r="N69" s="137">
        <v>33</v>
      </c>
      <c r="O69" s="137">
        <v>0</v>
      </c>
      <c r="P69" s="137">
        <v>0</v>
      </c>
      <c r="Q69" s="137">
        <v>0</v>
      </c>
      <c r="R69" s="137">
        <v>1</v>
      </c>
      <c r="S69" s="137">
        <v>0</v>
      </c>
      <c r="T69" s="137">
        <v>1</v>
      </c>
      <c r="U69" s="137">
        <v>0</v>
      </c>
      <c r="V69" s="137">
        <v>0</v>
      </c>
      <c r="W69" s="137">
        <v>0</v>
      </c>
      <c r="X69" s="137">
        <v>0</v>
      </c>
      <c r="Y69" s="137">
        <v>0</v>
      </c>
      <c r="Z69" s="137">
        <v>0</v>
      </c>
    </row>
    <row r="70" spans="1:26" ht="42">
      <c r="A70" s="251">
        <v>66</v>
      </c>
      <c r="B70" s="136" t="s">
        <v>411</v>
      </c>
      <c r="C70" s="137">
        <v>48</v>
      </c>
      <c r="D70" s="137">
        <v>124</v>
      </c>
      <c r="E70" s="137">
        <v>172</v>
      </c>
      <c r="F70" s="137">
        <v>1</v>
      </c>
      <c r="G70" s="137">
        <v>5</v>
      </c>
      <c r="H70" s="137">
        <v>6</v>
      </c>
      <c r="I70" s="137">
        <v>0</v>
      </c>
      <c r="J70" s="137">
        <v>2</v>
      </c>
      <c r="K70" s="137">
        <v>2</v>
      </c>
      <c r="L70" s="137">
        <v>9</v>
      </c>
      <c r="M70" s="137">
        <v>21</v>
      </c>
      <c r="N70" s="137">
        <v>30</v>
      </c>
      <c r="O70" s="137">
        <v>0</v>
      </c>
      <c r="P70" s="137">
        <v>0</v>
      </c>
      <c r="Q70" s="137">
        <v>0</v>
      </c>
      <c r="R70" s="137">
        <v>2</v>
      </c>
      <c r="S70" s="137">
        <v>5</v>
      </c>
      <c r="T70" s="137">
        <v>7</v>
      </c>
      <c r="U70" s="137">
        <v>0</v>
      </c>
      <c r="V70" s="137">
        <v>2</v>
      </c>
      <c r="W70" s="137">
        <v>2</v>
      </c>
      <c r="X70" s="137">
        <v>0</v>
      </c>
      <c r="Y70" s="137">
        <v>4</v>
      </c>
      <c r="Z70" s="137">
        <v>4</v>
      </c>
    </row>
    <row r="71" spans="1:26" ht="42">
      <c r="A71" s="251">
        <v>67</v>
      </c>
      <c r="B71" s="136" t="s">
        <v>407</v>
      </c>
      <c r="C71" s="137">
        <v>44</v>
      </c>
      <c r="D71" s="137">
        <v>91</v>
      </c>
      <c r="E71" s="137">
        <v>135</v>
      </c>
      <c r="F71" s="137">
        <v>1</v>
      </c>
      <c r="G71" s="137">
        <v>5</v>
      </c>
      <c r="H71" s="137">
        <v>6</v>
      </c>
      <c r="I71" s="137">
        <v>1</v>
      </c>
      <c r="J71" s="137">
        <v>2</v>
      </c>
      <c r="K71" s="137">
        <v>3</v>
      </c>
      <c r="L71" s="137">
        <v>6</v>
      </c>
      <c r="M71" s="137">
        <v>10</v>
      </c>
      <c r="N71" s="137">
        <v>16</v>
      </c>
      <c r="O71" s="137">
        <v>0</v>
      </c>
      <c r="P71" s="137">
        <v>0</v>
      </c>
      <c r="Q71" s="137">
        <v>0</v>
      </c>
      <c r="R71" s="137">
        <v>3</v>
      </c>
      <c r="S71" s="137">
        <v>3</v>
      </c>
      <c r="T71" s="137">
        <v>6</v>
      </c>
      <c r="U71" s="137">
        <v>2</v>
      </c>
      <c r="V71" s="137">
        <v>13</v>
      </c>
      <c r="W71" s="137">
        <v>15</v>
      </c>
      <c r="X71" s="137">
        <v>1</v>
      </c>
      <c r="Y71" s="137">
        <v>0</v>
      </c>
      <c r="Z71" s="137">
        <v>1</v>
      </c>
    </row>
    <row r="72" spans="1:26" ht="28">
      <c r="A72" s="251">
        <v>68</v>
      </c>
      <c r="B72" s="136" t="s">
        <v>415</v>
      </c>
      <c r="C72" s="137">
        <v>32</v>
      </c>
      <c r="D72" s="137">
        <v>102</v>
      </c>
      <c r="E72" s="137">
        <v>134</v>
      </c>
      <c r="F72" s="137">
        <v>3</v>
      </c>
      <c r="G72" s="137">
        <v>14</v>
      </c>
      <c r="H72" s="137">
        <v>17</v>
      </c>
      <c r="I72" s="137">
        <v>2</v>
      </c>
      <c r="J72" s="137">
        <v>0</v>
      </c>
      <c r="K72" s="137">
        <v>2</v>
      </c>
      <c r="L72" s="137">
        <v>5</v>
      </c>
      <c r="M72" s="137">
        <v>10</v>
      </c>
      <c r="N72" s="137">
        <v>15</v>
      </c>
      <c r="O72" s="137">
        <v>0</v>
      </c>
      <c r="P72" s="137">
        <v>0</v>
      </c>
      <c r="Q72" s="137">
        <v>0</v>
      </c>
      <c r="R72" s="137">
        <v>0</v>
      </c>
      <c r="S72" s="137">
        <v>0</v>
      </c>
      <c r="T72" s="137">
        <v>0</v>
      </c>
      <c r="U72" s="137">
        <v>0</v>
      </c>
      <c r="V72" s="137">
        <v>8</v>
      </c>
      <c r="W72" s="137">
        <v>8</v>
      </c>
      <c r="X72" s="137">
        <v>0</v>
      </c>
      <c r="Y72" s="137">
        <v>0</v>
      </c>
      <c r="Z72" s="137">
        <v>0</v>
      </c>
    </row>
    <row r="73" spans="1:26" ht="28">
      <c r="A73" s="251">
        <v>69</v>
      </c>
      <c r="B73" s="136" t="s">
        <v>412</v>
      </c>
      <c r="C73" s="137">
        <v>30</v>
      </c>
      <c r="D73" s="137">
        <v>104</v>
      </c>
      <c r="E73" s="137">
        <v>134</v>
      </c>
      <c r="F73" s="137">
        <v>1</v>
      </c>
      <c r="G73" s="137">
        <v>6</v>
      </c>
      <c r="H73" s="137">
        <v>7</v>
      </c>
      <c r="I73" s="137">
        <v>0</v>
      </c>
      <c r="J73" s="137">
        <v>4</v>
      </c>
      <c r="K73" s="137">
        <v>4</v>
      </c>
      <c r="L73" s="137">
        <v>2</v>
      </c>
      <c r="M73" s="137">
        <v>12</v>
      </c>
      <c r="N73" s="137">
        <v>14</v>
      </c>
      <c r="O73" s="137">
        <v>0</v>
      </c>
      <c r="P73" s="137">
        <v>0</v>
      </c>
      <c r="Q73" s="137">
        <v>0</v>
      </c>
      <c r="R73" s="137">
        <v>0</v>
      </c>
      <c r="S73" s="137">
        <v>5</v>
      </c>
      <c r="T73" s="137">
        <v>5</v>
      </c>
      <c r="U73" s="137">
        <v>0</v>
      </c>
      <c r="V73" s="137">
        <v>0</v>
      </c>
      <c r="W73" s="137">
        <v>0</v>
      </c>
      <c r="X73" s="137">
        <v>3</v>
      </c>
      <c r="Y73" s="137">
        <v>0</v>
      </c>
      <c r="Z73" s="137">
        <v>3</v>
      </c>
    </row>
    <row r="74" spans="1:26" ht="28">
      <c r="A74" s="251">
        <v>70</v>
      </c>
      <c r="B74" s="136" t="s">
        <v>894</v>
      </c>
      <c r="C74" s="137">
        <v>74</v>
      </c>
      <c r="D74" s="137">
        <v>51</v>
      </c>
      <c r="E74" s="137">
        <v>125</v>
      </c>
      <c r="F74" s="137">
        <v>10</v>
      </c>
      <c r="G74" s="137">
        <v>4</v>
      </c>
      <c r="H74" s="137">
        <v>14</v>
      </c>
      <c r="I74" s="137">
        <v>0</v>
      </c>
      <c r="J74" s="137">
        <v>0</v>
      </c>
      <c r="K74" s="137">
        <v>0</v>
      </c>
      <c r="L74" s="137">
        <v>26</v>
      </c>
      <c r="M74" s="137">
        <v>7</v>
      </c>
      <c r="N74" s="137">
        <v>33</v>
      </c>
      <c r="O74" s="137">
        <v>0</v>
      </c>
      <c r="P74" s="137">
        <v>0</v>
      </c>
      <c r="Q74" s="137">
        <v>0</v>
      </c>
      <c r="R74" s="137">
        <v>1</v>
      </c>
      <c r="S74" s="137">
        <v>1</v>
      </c>
      <c r="T74" s="137">
        <v>2</v>
      </c>
      <c r="U74" s="137">
        <v>2</v>
      </c>
      <c r="V74" s="137">
        <v>2</v>
      </c>
      <c r="W74" s="137">
        <v>4</v>
      </c>
      <c r="X74" s="137">
        <v>2</v>
      </c>
      <c r="Y74" s="137">
        <v>2</v>
      </c>
      <c r="Z74" s="137">
        <v>4</v>
      </c>
    </row>
    <row r="75" spans="1:26" ht="28">
      <c r="A75" s="251">
        <v>71</v>
      </c>
      <c r="B75" s="136" t="s">
        <v>419</v>
      </c>
      <c r="C75" s="137">
        <v>23</v>
      </c>
      <c r="D75" s="137">
        <v>87</v>
      </c>
      <c r="E75" s="137">
        <v>110</v>
      </c>
      <c r="F75" s="137">
        <v>6</v>
      </c>
      <c r="G75" s="137">
        <v>12</v>
      </c>
      <c r="H75" s="137">
        <v>18</v>
      </c>
      <c r="I75" s="137">
        <v>0</v>
      </c>
      <c r="J75" s="137">
        <v>0</v>
      </c>
      <c r="K75" s="137">
        <v>0</v>
      </c>
      <c r="L75" s="137">
        <v>13</v>
      </c>
      <c r="M75" s="137">
        <v>38</v>
      </c>
      <c r="N75" s="137">
        <v>51</v>
      </c>
      <c r="O75" s="137">
        <v>0</v>
      </c>
      <c r="P75" s="137">
        <v>0</v>
      </c>
      <c r="Q75" s="137">
        <v>0</v>
      </c>
      <c r="R75" s="137">
        <v>0</v>
      </c>
      <c r="S75" s="137">
        <v>0</v>
      </c>
      <c r="T75" s="137">
        <v>0</v>
      </c>
      <c r="U75" s="137">
        <v>0</v>
      </c>
      <c r="V75" s="137">
        <v>0</v>
      </c>
      <c r="W75" s="137">
        <v>0</v>
      </c>
      <c r="X75" s="137">
        <v>0</v>
      </c>
      <c r="Y75" s="137">
        <v>0</v>
      </c>
      <c r="Z75" s="137">
        <v>0</v>
      </c>
    </row>
    <row r="76" spans="1:26">
      <c r="A76" s="251">
        <v>72</v>
      </c>
      <c r="B76" s="136" t="s">
        <v>421</v>
      </c>
      <c r="C76" s="137">
        <v>31</v>
      </c>
      <c r="D76" s="137">
        <v>73</v>
      </c>
      <c r="E76" s="137">
        <v>104</v>
      </c>
      <c r="F76" s="137">
        <v>0</v>
      </c>
      <c r="G76" s="137">
        <v>3</v>
      </c>
      <c r="H76" s="137">
        <v>3</v>
      </c>
      <c r="I76" s="137">
        <v>1</v>
      </c>
      <c r="J76" s="137">
        <v>3</v>
      </c>
      <c r="K76" s="137">
        <v>4</v>
      </c>
      <c r="L76" s="137">
        <v>0</v>
      </c>
      <c r="M76" s="137">
        <v>7</v>
      </c>
      <c r="N76" s="137">
        <v>7</v>
      </c>
      <c r="O76" s="137">
        <v>0</v>
      </c>
      <c r="P76" s="137">
        <v>0</v>
      </c>
      <c r="Q76" s="137">
        <v>0</v>
      </c>
      <c r="R76" s="137">
        <v>0</v>
      </c>
      <c r="S76" s="137">
        <v>0</v>
      </c>
      <c r="T76" s="137">
        <v>0</v>
      </c>
      <c r="U76" s="137">
        <v>0</v>
      </c>
      <c r="V76" s="137">
        <v>0</v>
      </c>
      <c r="W76" s="137">
        <v>0</v>
      </c>
      <c r="X76" s="137">
        <v>0</v>
      </c>
      <c r="Y76" s="137">
        <v>0</v>
      </c>
      <c r="Z76" s="137">
        <v>0</v>
      </c>
    </row>
    <row r="77" spans="1:26" ht="28">
      <c r="A77" s="251">
        <v>73</v>
      </c>
      <c r="B77" s="136" t="s">
        <v>406</v>
      </c>
      <c r="C77" s="137">
        <v>53</v>
      </c>
      <c r="D77" s="137">
        <v>30</v>
      </c>
      <c r="E77" s="137">
        <v>83</v>
      </c>
      <c r="F77" s="137">
        <v>8</v>
      </c>
      <c r="G77" s="137">
        <v>3</v>
      </c>
      <c r="H77" s="137">
        <v>11</v>
      </c>
      <c r="I77" s="137">
        <v>4</v>
      </c>
      <c r="J77" s="137">
        <v>1</v>
      </c>
      <c r="K77" s="137">
        <v>5</v>
      </c>
      <c r="L77" s="137">
        <v>4</v>
      </c>
      <c r="M77" s="137">
        <v>8</v>
      </c>
      <c r="N77" s="137">
        <v>12</v>
      </c>
      <c r="O77" s="137">
        <v>0</v>
      </c>
      <c r="P77" s="137">
        <v>0</v>
      </c>
      <c r="Q77" s="137">
        <v>0</v>
      </c>
      <c r="R77" s="137">
        <v>0</v>
      </c>
      <c r="S77" s="137">
        <v>0</v>
      </c>
      <c r="T77" s="137">
        <v>0</v>
      </c>
      <c r="U77" s="137">
        <v>0</v>
      </c>
      <c r="V77" s="137">
        <v>0</v>
      </c>
      <c r="W77" s="137">
        <v>0</v>
      </c>
      <c r="X77" s="137">
        <v>2</v>
      </c>
      <c r="Y77" s="137">
        <v>0</v>
      </c>
      <c r="Z77" s="137">
        <v>2</v>
      </c>
    </row>
    <row r="78" spans="1:26" ht="56">
      <c r="A78" s="251">
        <v>74</v>
      </c>
      <c r="B78" s="136" t="s">
        <v>408</v>
      </c>
      <c r="C78" s="137">
        <v>48</v>
      </c>
      <c r="D78" s="137">
        <v>28</v>
      </c>
      <c r="E78" s="137">
        <v>76</v>
      </c>
      <c r="F78" s="137">
        <v>8</v>
      </c>
      <c r="G78" s="137">
        <v>3</v>
      </c>
      <c r="H78" s="137">
        <v>11</v>
      </c>
      <c r="I78" s="137">
        <v>4</v>
      </c>
      <c r="J78" s="137">
        <v>0</v>
      </c>
      <c r="K78" s="137">
        <v>4</v>
      </c>
      <c r="L78" s="137">
        <v>23</v>
      </c>
      <c r="M78" s="137">
        <v>15</v>
      </c>
      <c r="N78" s="137">
        <v>38</v>
      </c>
      <c r="O78" s="137">
        <v>0</v>
      </c>
      <c r="P78" s="137">
        <v>0</v>
      </c>
      <c r="Q78" s="137">
        <v>0</v>
      </c>
      <c r="R78" s="137">
        <v>0</v>
      </c>
      <c r="S78" s="137">
        <v>0</v>
      </c>
      <c r="T78" s="137">
        <v>0</v>
      </c>
      <c r="U78" s="137">
        <v>0</v>
      </c>
      <c r="V78" s="137">
        <v>0</v>
      </c>
      <c r="W78" s="137">
        <v>0</v>
      </c>
      <c r="X78" s="137">
        <v>1</v>
      </c>
      <c r="Y78" s="137">
        <v>0</v>
      </c>
      <c r="Z78" s="137">
        <v>1</v>
      </c>
    </row>
    <row r="79" spans="1:26" ht="42">
      <c r="A79" s="251">
        <v>75</v>
      </c>
      <c r="B79" s="136" t="s">
        <v>423</v>
      </c>
      <c r="C79" s="137">
        <v>40</v>
      </c>
      <c r="D79" s="137">
        <v>27</v>
      </c>
      <c r="E79" s="137">
        <v>67</v>
      </c>
      <c r="F79" s="137">
        <v>5</v>
      </c>
      <c r="G79" s="137">
        <v>3</v>
      </c>
      <c r="H79" s="137">
        <v>8</v>
      </c>
      <c r="I79" s="137">
        <v>5</v>
      </c>
      <c r="J79" s="137">
        <v>0</v>
      </c>
      <c r="K79" s="137">
        <v>5</v>
      </c>
      <c r="L79" s="137">
        <v>12</v>
      </c>
      <c r="M79" s="137">
        <v>3</v>
      </c>
      <c r="N79" s="137">
        <v>15</v>
      </c>
      <c r="O79" s="137">
        <v>0</v>
      </c>
      <c r="P79" s="137">
        <v>0</v>
      </c>
      <c r="Q79" s="137">
        <v>0</v>
      </c>
      <c r="R79" s="137">
        <v>0</v>
      </c>
      <c r="S79" s="137">
        <v>1</v>
      </c>
      <c r="T79" s="137">
        <v>1</v>
      </c>
      <c r="U79" s="137">
        <v>0</v>
      </c>
      <c r="V79" s="137">
        <v>0</v>
      </c>
      <c r="W79" s="137">
        <v>0</v>
      </c>
      <c r="X79" s="137">
        <v>3</v>
      </c>
      <c r="Y79" s="137">
        <v>0</v>
      </c>
      <c r="Z79" s="137">
        <v>3</v>
      </c>
    </row>
    <row r="80" spans="1:26" ht="28">
      <c r="A80" s="251">
        <v>76</v>
      </c>
      <c r="B80" s="136" t="s">
        <v>896</v>
      </c>
      <c r="C80" s="137">
        <v>11</v>
      </c>
      <c r="D80" s="137">
        <v>51</v>
      </c>
      <c r="E80" s="137">
        <v>62</v>
      </c>
      <c r="F80" s="137">
        <v>1</v>
      </c>
      <c r="G80" s="137">
        <v>4</v>
      </c>
      <c r="H80" s="137">
        <v>5</v>
      </c>
      <c r="I80" s="137">
        <v>0</v>
      </c>
      <c r="J80" s="137">
        <v>0</v>
      </c>
      <c r="K80" s="137">
        <v>0</v>
      </c>
      <c r="L80" s="137">
        <v>2</v>
      </c>
      <c r="M80" s="137">
        <v>13</v>
      </c>
      <c r="N80" s="137">
        <v>15</v>
      </c>
      <c r="O80" s="137">
        <v>0</v>
      </c>
      <c r="P80" s="137">
        <v>0</v>
      </c>
      <c r="Q80" s="137">
        <v>0</v>
      </c>
      <c r="R80" s="137">
        <v>0</v>
      </c>
      <c r="S80" s="137">
        <v>2</v>
      </c>
      <c r="T80" s="137">
        <v>2</v>
      </c>
      <c r="U80" s="137">
        <v>0</v>
      </c>
      <c r="V80" s="137">
        <v>6</v>
      </c>
      <c r="W80" s="137">
        <v>6</v>
      </c>
      <c r="X80" s="137">
        <v>1</v>
      </c>
      <c r="Y80" s="137">
        <v>0</v>
      </c>
      <c r="Z80" s="137">
        <v>1</v>
      </c>
    </row>
    <row r="81" spans="1:26">
      <c r="A81" s="251">
        <v>77</v>
      </c>
      <c r="B81" s="136" t="s">
        <v>420</v>
      </c>
      <c r="C81" s="137">
        <v>32</v>
      </c>
      <c r="D81" s="137">
        <v>30</v>
      </c>
      <c r="E81" s="137">
        <v>62</v>
      </c>
      <c r="F81" s="137">
        <v>1</v>
      </c>
      <c r="G81" s="137">
        <v>3</v>
      </c>
      <c r="H81" s="137">
        <v>4</v>
      </c>
      <c r="I81" s="137">
        <v>0</v>
      </c>
      <c r="J81" s="137">
        <v>1</v>
      </c>
      <c r="K81" s="137">
        <v>1</v>
      </c>
      <c r="L81" s="137">
        <v>0</v>
      </c>
      <c r="M81" s="137">
        <v>3</v>
      </c>
      <c r="N81" s="137">
        <v>3</v>
      </c>
      <c r="O81" s="137">
        <v>0</v>
      </c>
      <c r="P81" s="137">
        <v>0</v>
      </c>
      <c r="Q81" s="137">
        <v>0</v>
      </c>
      <c r="R81" s="137">
        <v>0</v>
      </c>
      <c r="S81" s="137">
        <v>0</v>
      </c>
      <c r="T81" s="137">
        <v>0</v>
      </c>
      <c r="U81" s="137">
        <v>0</v>
      </c>
      <c r="V81" s="137">
        <v>0</v>
      </c>
      <c r="W81" s="137">
        <v>0</v>
      </c>
      <c r="X81" s="137">
        <v>0</v>
      </c>
      <c r="Y81" s="137">
        <v>0</v>
      </c>
      <c r="Z81" s="137">
        <v>0</v>
      </c>
    </row>
    <row r="82" spans="1:26" ht="28">
      <c r="A82" s="251">
        <v>78</v>
      </c>
      <c r="B82" s="136" t="s">
        <v>405</v>
      </c>
      <c r="C82" s="137">
        <v>34</v>
      </c>
      <c r="D82" s="137">
        <v>22</v>
      </c>
      <c r="E82" s="137">
        <v>56</v>
      </c>
      <c r="F82" s="137">
        <v>6</v>
      </c>
      <c r="G82" s="137">
        <v>1</v>
      </c>
      <c r="H82" s="137">
        <v>7</v>
      </c>
      <c r="I82" s="137">
        <v>2</v>
      </c>
      <c r="J82" s="137">
        <v>0</v>
      </c>
      <c r="K82" s="137">
        <v>2</v>
      </c>
      <c r="L82" s="137">
        <v>10</v>
      </c>
      <c r="M82" s="137">
        <v>7</v>
      </c>
      <c r="N82" s="137">
        <v>17</v>
      </c>
      <c r="O82" s="137">
        <v>0</v>
      </c>
      <c r="P82" s="137">
        <v>0</v>
      </c>
      <c r="Q82" s="137">
        <v>0</v>
      </c>
      <c r="R82" s="137">
        <v>2</v>
      </c>
      <c r="S82" s="137">
        <v>0</v>
      </c>
      <c r="T82" s="137">
        <v>2</v>
      </c>
      <c r="U82" s="137">
        <v>0</v>
      </c>
      <c r="V82" s="137">
        <v>0</v>
      </c>
      <c r="W82" s="137">
        <v>0</v>
      </c>
      <c r="X82" s="137">
        <v>0</v>
      </c>
      <c r="Y82" s="137">
        <v>0</v>
      </c>
      <c r="Z82" s="137">
        <v>0</v>
      </c>
    </row>
    <row r="83" spans="1:26" ht="28">
      <c r="A83" s="251">
        <v>79</v>
      </c>
      <c r="B83" s="136" t="s">
        <v>417</v>
      </c>
      <c r="C83" s="137">
        <v>18</v>
      </c>
      <c r="D83" s="137">
        <v>34</v>
      </c>
      <c r="E83" s="137">
        <v>52</v>
      </c>
      <c r="F83" s="137">
        <v>4</v>
      </c>
      <c r="G83" s="137">
        <v>5</v>
      </c>
      <c r="H83" s="137">
        <v>9</v>
      </c>
      <c r="I83" s="137">
        <v>3</v>
      </c>
      <c r="J83" s="137">
        <v>0</v>
      </c>
      <c r="K83" s="137">
        <v>3</v>
      </c>
      <c r="L83" s="137">
        <v>6</v>
      </c>
      <c r="M83" s="137">
        <v>18</v>
      </c>
      <c r="N83" s="137">
        <v>24</v>
      </c>
      <c r="O83" s="137">
        <v>0</v>
      </c>
      <c r="P83" s="137">
        <v>0</v>
      </c>
      <c r="Q83" s="137">
        <v>0</v>
      </c>
      <c r="R83" s="137">
        <v>0</v>
      </c>
      <c r="S83" s="137">
        <v>1</v>
      </c>
      <c r="T83" s="137">
        <v>1</v>
      </c>
      <c r="U83" s="137">
        <v>0</v>
      </c>
      <c r="V83" s="137">
        <v>0</v>
      </c>
      <c r="W83" s="137">
        <v>0</v>
      </c>
      <c r="X83" s="137">
        <v>0</v>
      </c>
      <c r="Y83" s="137">
        <v>1</v>
      </c>
      <c r="Z83" s="137">
        <v>1</v>
      </c>
    </row>
    <row r="84" spans="1:26" ht="28">
      <c r="A84" s="251">
        <v>80</v>
      </c>
      <c r="B84" s="136" t="s">
        <v>418</v>
      </c>
      <c r="C84" s="137">
        <v>10</v>
      </c>
      <c r="D84" s="137">
        <v>30</v>
      </c>
      <c r="E84" s="137">
        <v>40</v>
      </c>
      <c r="F84" s="137">
        <v>3</v>
      </c>
      <c r="G84" s="137">
        <v>4</v>
      </c>
      <c r="H84" s="137">
        <v>7</v>
      </c>
      <c r="I84" s="137">
        <v>4</v>
      </c>
      <c r="J84" s="137">
        <v>6</v>
      </c>
      <c r="K84" s="137">
        <v>10</v>
      </c>
      <c r="L84" s="137">
        <v>3</v>
      </c>
      <c r="M84" s="137">
        <v>5</v>
      </c>
      <c r="N84" s="137">
        <v>8</v>
      </c>
      <c r="O84" s="137">
        <v>0</v>
      </c>
      <c r="P84" s="137">
        <v>0</v>
      </c>
      <c r="Q84" s="137">
        <v>0</v>
      </c>
      <c r="R84" s="137">
        <v>0</v>
      </c>
      <c r="S84" s="137">
        <v>0</v>
      </c>
      <c r="T84" s="137">
        <v>0</v>
      </c>
      <c r="U84" s="137">
        <v>0</v>
      </c>
      <c r="V84" s="137">
        <v>0</v>
      </c>
      <c r="W84" s="137">
        <v>0</v>
      </c>
      <c r="X84" s="137">
        <v>0</v>
      </c>
      <c r="Y84" s="137">
        <v>0</v>
      </c>
      <c r="Z84" s="137">
        <v>0</v>
      </c>
    </row>
    <row r="85" spans="1:26">
      <c r="A85" s="251">
        <v>81</v>
      </c>
      <c r="B85" s="136" t="s">
        <v>895</v>
      </c>
      <c r="C85" s="137">
        <v>11</v>
      </c>
      <c r="D85" s="137">
        <v>21</v>
      </c>
      <c r="E85" s="137">
        <v>32</v>
      </c>
      <c r="F85" s="137">
        <v>1</v>
      </c>
      <c r="G85" s="137">
        <v>1</v>
      </c>
      <c r="H85" s="137">
        <v>2</v>
      </c>
      <c r="I85" s="137">
        <v>0</v>
      </c>
      <c r="J85" s="137">
        <v>0</v>
      </c>
      <c r="K85" s="137">
        <v>0</v>
      </c>
      <c r="L85" s="137">
        <v>3</v>
      </c>
      <c r="M85" s="137">
        <v>7</v>
      </c>
      <c r="N85" s="137">
        <v>10</v>
      </c>
      <c r="O85" s="137">
        <v>0</v>
      </c>
      <c r="P85" s="137">
        <v>0</v>
      </c>
      <c r="Q85" s="137">
        <v>0</v>
      </c>
      <c r="R85" s="137">
        <v>1</v>
      </c>
      <c r="S85" s="137">
        <v>1</v>
      </c>
      <c r="T85" s="137">
        <v>2</v>
      </c>
      <c r="U85" s="137">
        <v>0</v>
      </c>
      <c r="V85" s="137">
        <v>1</v>
      </c>
      <c r="W85" s="137">
        <v>1</v>
      </c>
      <c r="X85" s="137">
        <v>0</v>
      </c>
      <c r="Y85" s="137">
        <v>0</v>
      </c>
      <c r="Z85" s="137">
        <v>0</v>
      </c>
    </row>
    <row r="86" spans="1:26" ht="28">
      <c r="A86" s="251">
        <v>82</v>
      </c>
      <c r="B86" s="136" t="s">
        <v>422</v>
      </c>
      <c r="C86" s="137">
        <v>11</v>
      </c>
      <c r="D86" s="137">
        <v>15</v>
      </c>
      <c r="E86" s="137">
        <v>26</v>
      </c>
      <c r="F86" s="137">
        <v>0</v>
      </c>
      <c r="G86" s="137">
        <v>1</v>
      </c>
      <c r="H86" s="137">
        <v>1</v>
      </c>
      <c r="I86" s="137">
        <v>0</v>
      </c>
      <c r="J86" s="137">
        <v>0</v>
      </c>
      <c r="K86" s="137">
        <v>0</v>
      </c>
      <c r="L86" s="137">
        <v>1</v>
      </c>
      <c r="M86" s="137">
        <v>2</v>
      </c>
      <c r="N86" s="137">
        <v>3</v>
      </c>
      <c r="O86" s="137">
        <v>0</v>
      </c>
      <c r="P86" s="137">
        <v>0</v>
      </c>
      <c r="Q86" s="137">
        <v>0</v>
      </c>
      <c r="R86" s="137">
        <v>0</v>
      </c>
      <c r="S86" s="137">
        <v>0</v>
      </c>
      <c r="T86" s="137">
        <v>0</v>
      </c>
      <c r="U86" s="137">
        <v>0</v>
      </c>
      <c r="V86" s="137">
        <v>0</v>
      </c>
      <c r="W86" s="137">
        <v>0</v>
      </c>
      <c r="X86" s="137">
        <v>0</v>
      </c>
      <c r="Y86" s="137">
        <v>0</v>
      </c>
      <c r="Z86" s="137">
        <v>0</v>
      </c>
    </row>
    <row r="87" spans="1:26" ht="42">
      <c r="A87" s="251">
        <v>83</v>
      </c>
      <c r="B87" s="136" t="s">
        <v>414</v>
      </c>
      <c r="C87" s="137">
        <v>5</v>
      </c>
      <c r="D87" s="137">
        <v>12</v>
      </c>
      <c r="E87" s="137">
        <v>17</v>
      </c>
      <c r="F87" s="137">
        <v>0</v>
      </c>
      <c r="G87" s="137">
        <v>1</v>
      </c>
      <c r="H87" s="137">
        <v>1</v>
      </c>
      <c r="I87" s="137">
        <v>0</v>
      </c>
      <c r="J87" s="137">
        <v>0</v>
      </c>
      <c r="K87" s="137">
        <v>0</v>
      </c>
      <c r="L87" s="137">
        <v>2</v>
      </c>
      <c r="M87" s="137">
        <v>1</v>
      </c>
      <c r="N87" s="137">
        <v>3</v>
      </c>
      <c r="O87" s="137">
        <v>0</v>
      </c>
      <c r="P87" s="137">
        <v>0</v>
      </c>
      <c r="Q87" s="137">
        <v>0</v>
      </c>
      <c r="R87" s="137">
        <v>1</v>
      </c>
      <c r="S87" s="137">
        <v>3</v>
      </c>
      <c r="T87" s="137">
        <v>4</v>
      </c>
      <c r="U87" s="137">
        <v>0</v>
      </c>
      <c r="V87" s="137">
        <v>0</v>
      </c>
      <c r="W87" s="137">
        <v>0</v>
      </c>
      <c r="X87" s="137">
        <v>0</v>
      </c>
      <c r="Y87" s="137">
        <v>0</v>
      </c>
      <c r="Z87" s="137">
        <v>0</v>
      </c>
    </row>
    <row r="88" spans="1:26" ht="42">
      <c r="A88" s="251">
        <v>84</v>
      </c>
      <c r="B88" s="136" t="s">
        <v>426</v>
      </c>
      <c r="C88" s="137">
        <v>3</v>
      </c>
      <c r="D88" s="137">
        <v>13</v>
      </c>
      <c r="E88" s="137">
        <v>16</v>
      </c>
      <c r="F88" s="137">
        <v>0</v>
      </c>
      <c r="G88" s="137">
        <v>2</v>
      </c>
      <c r="H88" s="137">
        <v>2</v>
      </c>
      <c r="I88" s="137">
        <v>0</v>
      </c>
      <c r="J88" s="137">
        <v>0</v>
      </c>
      <c r="K88" s="137">
        <v>0</v>
      </c>
      <c r="L88" s="137">
        <v>0</v>
      </c>
      <c r="M88" s="137">
        <v>0</v>
      </c>
      <c r="N88" s="137">
        <v>0</v>
      </c>
      <c r="O88" s="137">
        <v>0</v>
      </c>
      <c r="P88" s="137">
        <v>0</v>
      </c>
      <c r="Q88" s="137">
        <v>0</v>
      </c>
      <c r="R88" s="137">
        <v>0</v>
      </c>
      <c r="S88" s="137">
        <v>2</v>
      </c>
      <c r="T88" s="137">
        <v>2</v>
      </c>
      <c r="U88" s="137">
        <v>0</v>
      </c>
      <c r="V88" s="137">
        <v>0</v>
      </c>
      <c r="W88" s="137">
        <v>0</v>
      </c>
      <c r="X88" s="137">
        <v>0</v>
      </c>
      <c r="Y88" s="137">
        <v>0</v>
      </c>
      <c r="Z88" s="137">
        <v>0</v>
      </c>
    </row>
    <row r="89" spans="1:26" ht="28">
      <c r="A89" s="251">
        <v>85</v>
      </c>
      <c r="B89" s="136" t="s">
        <v>413</v>
      </c>
      <c r="C89" s="137">
        <v>12</v>
      </c>
      <c r="D89" s="137">
        <v>3</v>
      </c>
      <c r="E89" s="137">
        <v>15</v>
      </c>
      <c r="F89" s="137">
        <v>0</v>
      </c>
      <c r="G89" s="137">
        <v>0</v>
      </c>
      <c r="H89" s="137">
        <v>0</v>
      </c>
      <c r="I89" s="137">
        <v>0</v>
      </c>
      <c r="J89" s="137">
        <v>0</v>
      </c>
      <c r="K89" s="137">
        <v>0</v>
      </c>
      <c r="L89" s="137">
        <v>0</v>
      </c>
      <c r="M89" s="137">
        <v>0</v>
      </c>
      <c r="N89" s="137">
        <v>0</v>
      </c>
      <c r="O89" s="137">
        <v>0</v>
      </c>
      <c r="P89" s="137">
        <v>0</v>
      </c>
      <c r="Q89" s="137">
        <v>0</v>
      </c>
      <c r="R89" s="137">
        <v>0</v>
      </c>
      <c r="S89" s="137">
        <v>0</v>
      </c>
      <c r="T89" s="137">
        <v>0</v>
      </c>
      <c r="U89" s="137">
        <v>0</v>
      </c>
      <c r="V89" s="137">
        <v>0</v>
      </c>
      <c r="W89" s="137">
        <v>0</v>
      </c>
      <c r="X89" s="137">
        <v>0</v>
      </c>
      <c r="Y89" s="137">
        <v>0</v>
      </c>
      <c r="Z89" s="137">
        <v>0</v>
      </c>
    </row>
    <row r="90" spans="1:26" ht="28">
      <c r="A90" s="251">
        <v>86</v>
      </c>
      <c r="B90" s="136" t="s">
        <v>525</v>
      </c>
      <c r="C90" s="137">
        <v>6</v>
      </c>
      <c r="D90" s="137">
        <v>3</v>
      </c>
      <c r="E90" s="137">
        <v>9</v>
      </c>
      <c r="F90" s="137">
        <v>0</v>
      </c>
      <c r="G90" s="137">
        <v>0</v>
      </c>
      <c r="H90" s="137">
        <v>0</v>
      </c>
      <c r="I90" s="137">
        <v>1</v>
      </c>
      <c r="J90" s="137">
        <v>0</v>
      </c>
      <c r="K90" s="137">
        <v>1</v>
      </c>
      <c r="L90" s="137">
        <v>1</v>
      </c>
      <c r="M90" s="137">
        <v>0</v>
      </c>
      <c r="N90" s="137">
        <v>1</v>
      </c>
      <c r="O90" s="137">
        <v>0</v>
      </c>
      <c r="P90" s="137">
        <v>0</v>
      </c>
      <c r="Q90" s="137">
        <v>0</v>
      </c>
      <c r="R90" s="137">
        <v>0</v>
      </c>
      <c r="S90" s="137">
        <v>0</v>
      </c>
      <c r="T90" s="137">
        <v>0</v>
      </c>
      <c r="U90" s="137">
        <v>0</v>
      </c>
      <c r="V90" s="137">
        <v>0</v>
      </c>
      <c r="W90" s="137">
        <v>0</v>
      </c>
      <c r="X90" s="137">
        <v>0</v>
      </c>
      <c r="Y90" s="137">
        <v>0</v>
      </c>
      <c r="Z90" s="137">
        <v>0</v>
      </c>
    </row>
    <row r="91" spans="1:26" ht="42">
      <c r="A91" s="251">
        <v>87</v>
      </c>
      <c r="B91" s="136" t="s">
        <v>425</v>
      </c>
      <c r="C91" s="137">
        <v>1</v>
      </c>
      <c r="D91" s="137">
        <v>0</v>
      </c>
      <c r="E91" s="137">
        <v>1</v>
      </c>
      <c r="F91" s="137">
        <v>0</v>
      </c>
      <c r="G91" s="137">
        <v>0</v>
      </c>
      <c r="H91" s="137">
        <v>0</v>
      </c>
      <c r="I91" s="137">
        <v>0</v>
      </c>
      <c r="J91" s="137">
        <v>0</v>
      </c>
      <c r="K91" s="137">
        <v>0</v>
      </c>
      <c r="L91" s="137">
        <v>0</v>
      </c>
      <c r="M91" s="137">
        <v>0</v>
      </c>
      <c r="N91" s="137">
        <v>0</v>
      </c>
      <c r="O91" s="137">
        <v>0</v>
      </c>
      <c r="P91" s="137">
        <v>0</v>
      </c>
      <c r="Q91" s="137">
        <v>0</v>
      </c>
      <c r="R91" s="137">
        <v>0</v>
      </c>
      <c r="S91" s="137">
        <v>0</v>
      </c>
      <c r="T91" s="137">
        <v>0</v>
      </c>
      <c r="U91" s="137">
        <v>0</v>
      </c>
      <c r="V91" s="137">
        <v>0</v>
      </c>
      <c r="W91" s="137">
        <v>0</v>
      </c>
      <c r="X91" s="137">
        <v>0</v>
      </c>
      <c r="Y91" s="137">
        <v>0</v>
      </c>
      <c r="Z91" s="137">
        <v>0</v>
      </c>
    </row>
    <row r="92" spans="1:26">
      <c r="A92" s="251">
        <v>88</v>
      </c>
      <c r="B92" s="136" t="s">
        <v>427</v>
      </c>
      <c r="C92" s="137">
        <v>909378</v>
      </c>
      <c r="D92" s="137">
        <v>1136811</v>
      </c>
      <c r="E92" s="137">
        <v>2046189</v>
      </c>
      <c r="F92" s="137">
        <v>130960</v>
      </c>
      <c r="G92" s="137">
        <v>159749</v>
      </c>
      <c r="H92" s="137">
        <v>290709</v>
      </c>
      <c r="I92" s="137">
        <v>61956</v>
      </c>
      <c r="J92" s="137">
        <v>72169</v>
      </c>
      <c r="K92" s="137">
        <v>134125</v>
      </c>
      <c r="L92" s="137">
        <v>270713</v>
      </c>
      <c r="M92" s="137">
        <v>353775</v>
      </c>
      <c r="N92" s="137">
        <v>624488</v>
      </c>
      <c r="O92" s="137">
        <v>861</v>
      </c>
      <c r="P92" s="137">
        <v>743</v>
      </c>
      <c r="Q92" s="137">
        <v>1604</v>
      </c>
      <c r="R92" s="137">
        <v>23587</v>
      </c>
      <c r="S92" s="137">
        <v>43414</v>
      </c>
      <c r="T92" s="137">
        <v>67001</v>
      </c>
      <c r="U92" s="137">
        <v>6432</v>
      </c>
      <c r="V92" s="137">
        <v>12402</v>
      </c>
      <c r="W92" s="137">
        <v>18834</v>
      </c>
      <c r="X92" s="137">
        <v>4179</v>
      </c>
      <c r="Y92" s="137">
        <v>5592</v>
      </c>
      <c r="Z92" s="137">
        <v>9771</v>
      </c>
    </row>
    <row r="93" spans="1:26">
      <c r="A93" s="251">
        <v>89</v>
      </c>
      <c r="B93" s="136" t="s">
        <v>428</v>
      </c>
      <c r="C93" s="137">
        <v>510325</v>
      </c>
      <c r="D93" s="137">
        <v>623355</v>
      </c>
      <c r="E93" s="137">
        <v>1133680</v>
      </c>
      <c r="F93" s="137">
        <v>59948</v>
      </c>
      <c r="G93" s="137">
        <v>70568</v>
      </c>
      <c r="H93" s="137">
        <v>130516</v>
      </c>
      <c r="I93" s="137">
        <v>21405</v>
      </c>
      <c r="J93" s="137">
        <v>24132</v>
      </c>
      <c r="K93" s="137">
        <v>45537</v>
      </c>
      <c r="L93" s="137">
        <v>186531</v>
      </c>
      <c r="M93" s="137">
        <v>250288</v>
      </c>
      <c r="N93" s="137">
        <v>436819</v>
      </c>
      <c r="O93" s="137">
        <v>175</v>
      </c>
      <c r="P93" s="137">
        <v>160</v>
      </c>
      <c r="Q93" s="137">
        <v>335</v>
      </c>
      <c r="R93" s="137">
        <v>12652</v>
      </c>
      <c r="S93" s="137">
        <v>20755</v>
      </c>
      <c r="T93" s="137">
        <v>33407</v>
      </c>
      <c r="U93" s="137">
        <v>5935</v>
      </c>
      <c r="V93" s="137">
        <v>11753</v>
      </c>
      <c r="W93" s="137">
        <v>17688</v>
      </c>
      <c r="X93" s="137">
        <v>3160</v>
      </c>
      <c r="Y93" s="137">
        <v>5218</v>
      </c>
      <c r="Z93" s="137">
        <v>8378</v>
      </c>
    </row>
    <row r="94" spans="1:26">
      <c r="A94" s="251">
        <v>90</v>
      </c>
      <c r="B94" s="136" t="s">
        <v>429</v>
      </c>
      <c r="C94" s="137">
        <v>496788</v>
      </c>
      <c r="D94" s="137">
        <v>523663</v>
      </c>
      <c r="E94" s="137">
        <v>1020451</v>
      </c>
      <c r="F94" s="137">
        <v>44789</v>
      </c>
      <c r="G94" s="137">
        <v>49705</v>
      </c>
      <c r="H94" s="137">
        <v>94494</v>
      </c>
      <c r="I94" s="137">
        <v>14157</v>
      </c>
      <c r="J94" s="137">
        <v>12847</v>
      </c>
      <c r="K94" s="137">
        <v>27004</v>
      </c>
      <c r="L94" s="137">
        <v>148482</v>
      </c>
      <c r="M94" s="137">
        <v>170594</v>
      </c>
      <c r="N94" s="137">
        <v>319076</v>
      </c>
      <c r="O94" s="137">
        <v>596</v>
      </c>
      <c r="P94" s="137">
        <v>409</v>
      </c>
      <c r="Q94" s="137">
        <v>1005</v>
      </c>
      <c r="R94" s="137">
        <v>18143</v>
      </c>
      <c r="S94" s="137">
        <v>17271</v>
      </c>
      <c r="T94" s="137">
        <v>35414</v>
      </c>
      <c r="U94" s="137">
        <v>8652</v>
      </c>
      <c r="V94" s="137">
        <v>12475</v>
      </c>
      <c r="W94" s="137">
        <v>21127</v>
      </c>
      <c r="X94" s="137">
        <v>3353</v>
      </c>
      <c r="Y94" s="137">
        <v>4018</v>
      </c>
      <c r="Z94" s="137">
        <v>7371</v>
      </c>
    </row>
    <row r="95" spans="1:26">
      <c r="A95" s="251">
        <v>91</v>
      </c>
      <c r="B95" s="136" t="s">
        <v>433</v>
      </c>
      <c r="C95" s="137">
        <v>212140</v>
      </c>
      <c r="D95" s="137">
        <v>402666</v>
      </c>
      <c r="E95" s="137">
        <v>614806</v>
      </c>
      <c r="F95" s="137">
        <v>36465</v>
      </c>
      <c r="G95" s="137">
        <v>58852</v>
      </c>
      <c r="H95" s="137">
        <v>95317</v>
      </c>
      <c r="I95" s="137">
        <v>14374</v>
      </c>
      <c r="J95" s="137">
        <v>22638</v>
      </c>
      <c r="K95" s="137">
        <v>37012</v>
      </c>
      <c r="L95" s="137">
        <v>63704</v>
      </c>
      <c r="M95" s="137">
        <v>128173</v>
      </c>
      <c r="N95" s="137">
        <v>191877</v>
      </c>
      <c r="O95" s="137">
        <v>377</v>
      </c>
      <c r="P95" s="137">
        <v>300</v>
      </c>
      <c r="Q95" s="137">
        <v>677</v>
      </c>
      <c r="R95" s="137">
        <v>10128</v>
      </c>
      <c r="S95" s="137">
        <v>16166</v>
      </c>
      <c r="T95" s="137">
        <v>26294</v>
      </c>
      <c r="U95" s="137">
        <v>1923</v>
      </c>
      <c r="V95" s="137">
        <v>8263</v>
      </c>
      <c r="W95" s="137">
        <v>10186</v>
      </c>
      <c r="X95" s="137">
        <v>2049</v>
      </c>
      <c r="Y95" s="137">
        <v>2606</v>
      </c>
      <c r="Z95" s="137">
        <v>4655</v>
      </c>
    </row>
    <row r="96" spans="1:26">
      <c r="A96" s="251">
        <v>92</v>
      </c>
      <c r="B96" s="136" t="s">
        <v>430</v>
      </c>
      <c r="C96" s="137">
        <v>337968</v>
      </c>
      <c r="D96" s="137">
        <v>142082</v>
      </c>
      <c r="E96" s="137">
        <v>480050</v>
      </c>
      <c r="F96" s="137">
        <v>26214</v>
      </c>
      <c r="G96" s="137">
        <v>11955</v>
      </c>
      <c r="H96" s="137">
        <v>38169</v>
      </c>
      <c r="I96" s="137">
        <v>8731</v>
      </c>
      <c r="J96" s="137">
        <v>3713</v>
      </c>
      <c r="K96" s="137">
        <v>12444</v>
      </c>
      <c r="L96" s="137">
        <v>82034</v>
      </c>
      <c r="M96" s="137">
        <v>40371</v>
      </c>
      <c r="N96" s="137">
        <v>122405</v>
      </c>
      <c r="O96" s="137">
        <v>390</v>
      </c>
      <c r="P96" s="137">
        <v>69</v>
      </c>
      <c r="Q96" s="137">
        <v>459</v>
      </c>
      <c r="R96" s="137">
        <v>10397</v>
      </c>
      <c r="S96" s="137">
        <v>3033</v>
      </c>
      <c r="T96" s="137">
        <v>13430</v>
      </c>
      <c r="U96" s="137">
        <v>5779</v>
      </c>
      <c r="V96" s="137">
        <v>2934</v>
      </c>
      <c r="W96" s="137">
        <v>8713</v>
      </c>
      <c r="X96" s="137">
        <v>3858</v>
      </c>
      <c r="Y96" s="137">
        <v>1562</v>
      </c>
      <c r="Z96" s="137">
        <v>5420</v>
      </c>
    </row>
    <row r="97" spans="1:26" ht="28">
      <c r="A97" s="251">
        <v>93</v>
      </c>
      <c r="B97" s="136" t="s">
        <v>431</v>
      </c>
      <c r="C97" s="137">
        <v>153831</v>
      </c>
      <c r="D97" s="137">
        <v>198047</v>
      </c>
      <c r="E97" s="137">
        <v>351878</v>
      </c>
      <c r="F97" s="137">
        <v>14023</v>
      </c>
      <c r="G97" s="137">
        <v>17265</v>
      </c>
      <c r="H97" s="137">
        <v>31288</v>
      </c>
      <c r="I97" s="137">
        <v>10967</v>
      </c>
      <c r="J97" s="137">
        <v>15333</v>
      </c>
      <c r="K97" s="137">
        <v>26300</v>
      </c>
      <c r="L97" s="137">
        <v>36401</v>
      </c>
      <c r="M97" s="137">
        <v>42954</v>
      </c>
      <c r="N97" s="137">
        <v>79355</v>
      </c>
      <c r="O97" s="137">
        <v>106</v>
      </c>
      <c r="P97" s="137">
        <v>96</v>
      </c>
      <c r="Q97" s="137">
        <v>202</v>
      </c>
      <c r="R97" s="137">
        <v>9563</v>
      </c>
      <c r="S97" s="137">
        <v>12358</v>
      </c>
      <c r="T97" s="137">
        <v>21921</v>
      </c>
      <c r="U97" s="137">
        <v>2205</v>
      </c>
      <c r="V97" s="137">
        <v>3933</v>
      </c>
      <c r="W97" s="137">
        <v>6138</v>
      </c>
      <c r="X97" s="137">
        <v>1060</v>
      </c>
      <c r="Y97" s="137">
        <v>1280</v>
      </c>
      <c r="Z97" s="137">
        <v>2340</v>
      </c>
    </row>
    <row r="98" spans="1:26">
      <c r="A98" s="251">
        <v>94</v>
      </c>
      <c r="B98" s="136" t="s">
        <v>432</v>
      </c>
      <c r="C98" s="137">
        <v>242713</v>
      </c>
      <c r="D98" s="137">
        <v>102388</v>
      </c>
      <c r="E98" s="137">
        <v>345101</v>
      </c>
      <c r="F98" s="137">
        <v>22303</v>
      </c>
      <c r="G98" s="137">
        <v>12925</v>
      </c>
      <c r="H98" s="137">
        <v>35228</v>
      </c>
      <c r="I98" s="137">
        <v>4720</v>
      </c>
      <c r="J98" s="137">
        <v>2045</v>
      </c>
      <c r="K98" s="137">
        <v>6765</v>
      </c>
      <c r="L98" s="137">
        <v>93585</v>
      </c>
      <c r="M98" s="137">
        <v>42624</v>
      </c>
      <c r="N98" s="137">
        <v>136209</v>
      </c>
      <c r="O98" s="137">
        <v>232</v>
      </c>
      <c r="P98" s="137">
        <v>31</v>
      </c>
      <c r="Q98" s="137">
        <v>263</v>
      </c>
      <c r="R98" s="137">
        <v>8987</v>
      </c>
      <c r="S98" s="137">
        <v>2470</v>
      </c>
      <c r="T98" s="137">
        <v>11457</v>
      </c>
      <c r="U98" s="137">
        <v>5483</v>
      </c>
      <c r="V98" s="137">
        <v>2617</v>
      </c>
      <c r="W98" s="137">
        <v>8100</v>
      </c>
      <c r="X98" s="137">
        <v>2088</v>
      </c>
      <c r="Y98" s="137">
        <v>986</v>
      </c>
      <c r="Z98" s="137">
        <v>3074</v>
      </c>
    </row>
    <row r="99" spans="1:26" ht="28">
      <c r="A99" s="251">
        <v>95</v>
      </c>
      <c r="B99" s="136" t="s">
        <v>435</v>
      </c>
      <c r="C99" s="137">
        <v>80474</v>
      </c>
      <c r="D99" s="137">
        <v>59832</v>
      </c>
      <c r="E99" s="137">
        <v>140306</v>
      </c>
      <c r="F99" s="137">
        <v>5652</v>
      </c>
      <c r="G99" s="137">
        <v>5512</v>
      </c>
      <c r="H99" s="137">
        <v>11164</v>
      </c>
      <c r="I99" s="137">
        <v>1222</v>
      </c>
      <c r="J99" s="137">
        <v>835</v>
      </c>
      <c r="K99" s="137">
        <v>2057</v>
      </c>
      <c r="L99" s="137">
        <v>21302</v>
      </c>
      <c r="M99" s="137">
        <v>16720</v>
      </c>
      <c r="N99" s="137">
        <v>38022</v>
      </c>
      <c r="O99" s="137">
        <v>41</v>
      </c>
      <c r="P99" s="137">
        <v>23</v>
      </c>
      <c r="Q99" s="137">
        <v>64</v>
      </c>
      <c r="R99" s="137">
        <v>4165</v>
      </c>
      <c r="S99" s="137">
        <v>2639</v>
      </c>
      <c r="T99" s="137">
        <v>6804</v>
      </c>
      <c r="U99" s="137">
        <v>2046</v>
      </c>
      <c r="V99" s="137">
        <v>1765</v>
      </c>
      <c r="W99" s="137">
        <v>3811</v>
      </c>
      <c r="X99" s="137">
        <v>725</v>
      </c>
      <c r="Y99" s="137">
        <v>782</v>
      </c>
      <c r="Z99" s="137">
        <v>1507</v>
      </c>
    </row>
    <row r="100" spans="1:26" ht="28">
      <c r="A100" s="251">
        <v>96</v>
      </c>
      <c r="B100" s="136" t="s">
        <v>436</v>
      </c>
      <c r="C100" s="137">
        <v>73515</v>
      </c>
      <c r="D100" s="137">
        <v>54371</v>
      </c>
      <c r="E100" s="137">
        <v>127886</v>
      </c>
      <c r="F100" s="137">
        <v>6285</v>
      </c>
      <c r="G100" s="137">
        <v>5803</v>
      </c>
      <c r="H100" s="137">
        <v>12088</v>
      </c>
      <c r="I100" s="137">
        <v>1694</v>
      </c>
      <c r="J100" s="137">
        <v>1117</v>
      </c>
      <c r="K100" s="137">
        <v>2811</v>
      </c>
      <c r="L100" s="137">
        <v>23945</v>
      </c>
      <c r="M100" s="137">
        <v>19494</v>
      </c>
      <c r="N100" s="137">
        <v>43439</v>
      </c>
      <c r="O100" s="137">
        <v>42</v>
      </c>
      <c r="P100" s="137">
        <v>28</v>
      </c>
      <c r="Q100" s="137">
        <v>70</v>
      </c>
      <c r="R100" s="137">
        <v>2817</v>
      </c>
      <c r="S100" s="137">
        <v>1660</v>
      </c>
      <c r="T100" s="137">
        <v>4477</v>
      </c>
      <c r="U100" s="137">
        <v>1608</v>
      </c>
      <c r="V100" s="137">
        <v>1849</v>
      </c>
      <c r="W100" s="137">
        <v>3457</v>
      </c>
      <c r="X100" s="137">
        <v>538</v>
      </c>
      <c r="Y100" s="137">
        <v>536</v>
      </c>
      <c r="Z100" s="137">
        <v>1074</v>
      </c>
    </row>
    <row r="101" spans="1:26" ht="28">
      <c r="A101" s="251">
        <v>97</v>
      </c>
      <c r="B101" s="136" t="s">
        <v>434</v>
      </c>
      <c r="C101" s="137">
        <v>67268</v>
      </c>
      <c r="D101" s="137">
        <v>56721</v>
      </c>
      <c r="E101" s="137">
        <v>123989</v>
      </c>
      <c r="F101" s="137">
        <v>5741</v>
      </c>
      <c r="G101" s="137">
        <v>4470</v>
      </c>
      <c r="H101" s="137">
        <v>10211</v>
      </c>
      <c r="I101" s="137">
        <v>3361</v>
      </c>
      <c r="J101" s="137">
        <v>2802</v>
      </c>
      <c r="K101" s="137">
        <v>6163</v>
      </c>
      <c r="L101" s="137">
        <v>17367</v>
      </c>
      <c r="M101" s="137">
        <v>13167</v>
      </c>
      <c r="N101" s="137">
        <v>30534</v>
      </c>
      <c r="O101" s="137">
        <v>44</v>
      </c>
      <c r="P101" s="137">
        <v>25</v>
      </c>
      <c r="Q101" s="137">
        <v>69</v>
      </c>
      <c r="R101" s="137">
        <v>2300</v>
      </c>
      <c r="S101" s="137">
        <v>1758</v>
      </c>
      <c r="T101" s="137">
        <v>4058</v>
      </c>
      <c r="U101" s="137">
        <v>459</v>
      </c>
      <c r="V101" s="137">
        <v>1254</v>
      </c>
      <c r="W101" s="137">
        <v>1713</v>
      </c>
      <c r="X101" s="137">
        <v>493</v>
      </c>
      <c r="Y101" s="137">
        <v>502</v>
      </c>
      <c r="Z101" s="137">
        <v>995</v>
      </c>
    </row>
    <row r="102" spans="1:26">
      <c r="A102" s="251">
        <v>98</v>
      </c>
      <c r="B102" s="136" t="s">
        <v>437</v>
      </c>
      <c r="C102" s="137">
        <v>53797</v>
      </c>
      <c r="D102" s="137">
        <v>25904</v>
      </c>
      <c r="E102" s="137">
        <v>79701</v>
      </c>
      <c r="F102" s="137">
        <v>5607</v>
      </c>
      <c r="G102" s="137">
        <v>2558</v>
      </c>
      <c r="H102" s="137">
        <v>8165</v>
      </c>
      <c r="I102" s="137">
        <v>1280</v>
      </c>
      <c r="J102" s="137">
        <v>734</v>
      </c>
      <c r="K102" s="137">
        <v>2014</v>
      </c>
      <c r="L102" s="137">
        <v>12184</v>
      </c>
      <c r="M102" s="137">
        <v>5090</v>
      </c>
      <c r="N102" s="137">
        <v>17274</v>
      </c>
      <c r="O102" s="137">
        <v>33</v>
      </c>
      <c r="P102" s="137">
        <v>9</v>
      </c>
      <c r="Q102" s="137">
        <v>42</v>
      </c>
      <c r="R102" s="137">
        <v>1379</v>
      </c>
      <c r="S102" s="137">
        <v>771</v>
      </c>
      <c r="T102" s="137">
        <v>2150</v>
      </c>
      <c r="U102" s="137">
        <v>575</v>
      </c>
      <c r="V102" s="137">
        <v>477</v>
      </c>
      <c r="W102" s="137">
        <v>1052</v>
      </c>
      <c r="X102" s="137">
        <v>276</v>
      </c>
      <c r="Y102" s="137">
        <v>157</v>
      </c>
      <c r="Z102" s="137">
        <v>433</v>
      </c>
    </row>
    <row r="103" spans="1:26" ht="28">
      <c r="A103" s="251">
        <v>99</v>
      </c>
      <c r="B103" s="136" t="s">
        <v>439</v>
      </c>
      <c r="C103" s="137">
        <v>13489</v>
      </c>
      <c r="D103" s="137">
        <v>51488</v>
      </c>
      <c r="E103" s="137">
        <v>64977</v>
      </c>
      <c r="F103" s="137">
        <v>1765</v>
      </c>
      <c r="G103" s="137">
        <v>7878</v>
      </c>
      <c r="H103" s="137">
        <v>9643</v>
      </c>
      <c r="I103" s="137">
        <v>688</v>
      </c>
      <c r="J103" s="137">
        <v>2943</v>
      </c>
      <c r="K103" s="137">
        <v>3631</v>
      </c>
      <c r="L103" s="137">
        <v>3816</v>
      </c>
      <c r="M103" s="137">
        <v>12628</v>
      </c>
      <c r="N103" s="137">
        <v>16444</v>
      </c>
      <c r="O103" s="137">
        <v>1</v>
      </c>
      <c r="P103" s="137">
        <v>2</v>
      </c>
      <c r="Q103" s="137">
        <v>3</v>
      </c>
      <c r="R103" s="137">
        <v>344</v>
      </c>
      <c r="S103" s="137">
        <v>533</v>
      </c>
      <c r="T103" s="137">
        <v>877</v>
      </c>
      <c r="U103" s="137">
        <v>238</v>
      </c>
      <c r="V103" s="137">
        <v>2651</v>
      </c>
      <c r="W103" s="137">
        <v>2889</v>
      </c>
      <c r="X103" s="137">
        <v>93</v>
      </c>
      <c r="Y103" s="137">
        <v>255</v>
      </c>
      <c r="Z103" s="137">
        <v>348</v>
      </c>
    </row>
    <row r="104" spans="1:26">
      <c r="A104" s="251">
        <v>100</v>
      </c>
      <c r="B104" s="136" t="s">
        <v>438</v>
      </c>
      <c r="C104" s="137">
        <v>32048</v>
      </c>
      <c r="D104" s="137">
        <v>24510</v>
      </c>
      <c r="E104" s="137">
        <v>56558</v>
      </c>
      <c r="F104" s="137">
        <v>2747</v>
      </c>
      <c r="G104" s="137">
        <v>2462</v>
      </c>
      <c r="H104" s="137">
        <v>5209</v>
      </c>
      <c r="I104" s="137">
        <v>717</v>
      </c>
      <c r="J104" s="137">
        <v>673</v>
      </c>
      <c r="K104" s="137">
        <v>1390</v>
      </c>
      <c r="L104" s="137">
        <v>10173</v>
      </c>
      <c r="M104" s="137">
        <v>7905</v>
      </c>
      <c r="N104" s="137">
        <v>18078</v>
      </c>
      <c r="O104" s="137">
        <v>17</v>
      </c>
      <c r="P104" s="137">
        <v>11</v>
      </c>
      <c r="Q104" s="137">
        <v>28</v>
      </c>
      <c r="R104" s="137">
        <v>1539</v>
      </c>
      <c r="S104" s="137">
        <v>1148</v>
      </c>
      <c r="T104" s="137">
        <v>2687</v>
      </c>
      <c r="U104" s="137">
        <v>329</v>
      </c>
      <c r="V104" s="137">
        <v>459</v>
      </c>
      <c r="W104" s="137">
        <v>788</v>
      </c>
      <c r="X104" s="137">
        <v>171</v>
      </c>
      <c r="Y104" s="137">
        <v>176</v>
      </c>
      <c r="Z104" s="137">
        <v>347</v>
      </c>
    </row>
    <row r="105" spans="1:26" ht="28">
      <c r="A105" s="251">
        <v>101</v>
      </c>
      <c r="B105" s="136" t="s">
        <v>440</v>
      </c>
      <c r="C105" s="137">
        <v>20762</v>
      </c>
      <c r="D105" s="137">
        <v>21982</v>
      </c>
      <c r="E105" s="137">
        <v>42744</v>
      </c>
      <c r="F105" s="137">
        <v>1689</v>
      </c>
      <c r="G105" s="137">
        <v>1623</v>
      </c>
      <c r="H105" s="137">
        <v>3312</v>
      </c>
      <c r="I105" s="137">
        <v>646</v>
      </c>
      <c r="J105" s="137">
        <v>779</v>
      </c>
      <c r="K105" s="137">
        <v>1425</v>
      </c>
      <c r="L105" s="137">
        <v>4690</v>
      </c>
      <c r="M105" s="137">
        <v>4824</v>
      </c>
      <c r="N105" s="137">
        <v>9514</v>
      </c>
      <c r="O105" s="137">
        <v>20</v>
      </c>
      <c r="P105" s="137">
        <v>12</v>
      </c>
      <c r="Q105" s="137">
        <v>32</v>
      </c>
      <c r="R105" s="137">
        <v>542</v>
      </c>
      <c r="S105" s="137">
        <v>575</v>
      </c>
      <c r="T105" s="137">
        <v>1117</v>
      </c>
      <c r="U105" s="137">
        <v>348</v>
      </c>
      <c r="V105" s="137">
        <v>422</v>
      </c>
      <c r="W105" s="137">
        <v>770</v>
      </c>
      <c r="X105" s="137">
        <v>17</v>
      </c>
      <c r="Y105" s="137">
        <v>16</v>
      </c>
      <c r="Z105" s="137">
        <v>33</v>
      </c>
    </row>
    <row r="106" spans="1:26">
      <c r="A106" s="251">
        <v>102</v>
      </c>
      <c r="B106" s="136" t="s">
        <v>441</v>
      </c>
      <c r="C106" s="137">
        <v>22392</v>
      </c>
      <c r="D106" s="137">
        <v>7326</v>
      </c>
      <c r="E106" s="137">
        <v>29718</v>
      </c>
      <c r="F106" s="137">
        <v>2532</v>
      </c>
      <c r="G106" s="137">
        <v>784</v>
      </c>
      <c r="H106" s="137">
        <v>3316</v>
      </c>
      <c r="I106" s="137">
        <v>771</v>
      </c>
      <c r="J106" s="137">
        <v>452</v>
      </c>
      <c r="K106" s="137">
        <v>1223</v>
      </c>
      <c r="L106" s="137">
        <v>7776</v>
      </c>
      <c r="M106" s="137">
        <v>1994</v>
      </c>
      <c r="N106" s="137">
        <v>9770</v>
      </c>
      <c r="O106" s="137">
        <v>14</v>
      </c>
      <c r="P106" s="137">
        <v>3</v>
      </c>
      <c r="Q106" s="137">
        <v>17</v>
      </c>
      <c r="R106" s="137">
        <v>212</v>
      </c>
      <c r="S106" s="137">
        <v>145</v>
      </c>
      <c r="T106" s="137">
        <v>357</v>
      </c>
      <c r="U106" s="137">
        <v>27</v>
      </c>
      <c r="V106" s="137">
        <v>45</v>
      </c>
      <c r="W106" s="137">
        <v>72</v>
      </c>
      <c r="X106" s="137">
        <v>145</v>
      </c>
      <c r="Y106" s="137">
        <v>17</v>
      </c>
      <c r="Z106" s="137">
        <v>162</v>
      </c>
    </row>
    <row r="107" spans="1:26">
      <c r="A107" s="251">
        <v>103</v>
      </c>
      <c r="B107" s="136" t="s">
        <v>448</v>
      </c>
      <c r="C107" s="137">
        <v>10343</v>
      </c>
      <c r="D107" s="137">
        <v>8570</v>
      </c>
      <c r="E107" s="137">
        <v>18913</v>
      </c>
      <c r="F107" s="137">
        <v>395</v>
      </c>
      <c r="G107" s="137">
        <v>555</v>
      </c>
      <c r="H107" s="137">
        <v>950</v>
      </c>
      <c r="I107" s="137">
        <v>265</v>
      </c>
      <c r="J107" s="137">
        <v>401</v>
      </c>
      <c r="K107" s="137">
        <v>666</v>
      </c>
      <c r="L107" s="137">
        <v>1165</v>
      </c>
      <c r="M107" s="137">
        <v>1502</v>
      </c>
      <c r="N107" s="137">
        <v>2667</v>
      </c>
      <c r="O107" s="137">
        <v>1</v>
      </c>
      <c r="P107" s="137">
        <v>2</v>
      </c>
      <c r="Q107" s="137">
        <v>3</v>
      </c>
      <c r="R107" s="137">
        <v>0</v>
      </c>
      <c r="S107" s="137">
        <v>6</v>
      </c>
      <c r="T107" s="137">
        <v>6</v>
      </c>
      <c r="U107" s="137">
        <v>138</v>
      </c>
      <c r="V107" s="137">
        <v>11</v>
      </c>
      <c r="W107" s="137">
        <v>149</v>
      </c>
      <c r="X107" s="137">
        <v>43</v>
      </c>
      <c r="Y107" s="137">
        <v>26</v>
      </c>
      <c r="Z107" s="137">
        <v>69</v>
      </c>
    </row>
    <row r="108" spans="1:26" ht="28">
      <c r="A108" s="251">
        <v>104</v>
      </c>
      <c r="B108" s="136" t="s">
        <v>442</v>
      </c>
      <c r="C108" s="137">
        <v>4557</v>
      </c>
      <c r="D108" s="137">
        <v>13835</v>
      </c>
      <c r="E108" s="137">
        <v>18392</v>
      </c>
      <c r="F108" s="137">
        <v>354</v>
      </c>
      <c r="G108" s="137">
        <v>889</v>
      </c>
      <c r="H108" s="137">
        <v>1243</v>
      </c>
      <c r="I108" s="137">
        <v>98</v>
      </c>
      <c r="J108" s="137">
        <v>218</v>
      </c>
      <c r="K108" s="137">
        <v>316</v>
      </c>
      <c r="L108" s="137">
        <v>1053</v>
      </c>
      <c r="M108" s="137">
        <v>3322</v>
      </c>
      <c r="N108" s="137">
        <v>4375</v>
      </c>
      <c r="O108" s="137">
        <v>2</v>
      </c>
      <c r="P108" s="137">
        <v>0</v>
      </c>
      <c r="Q108" s="137">
        <v>2</v>
      </c>
      <c r="R108" s="137">
        <v>186</v>
      </c>
      <c r="S108" s="137">
        <v>485</v>
      </c>
      <c r="T108" s="137">
        <v>671</v>
      </c>
      <c r="U108" s="137">
        <v>109</v>
      </c>
      <c r="V108" s="137">
        <v>256</v>
      </c>
      <c r="W108" s="137">
        <v>365</v>
      </c>
      <c r="X108" s="137">
        <v>15</v>
      </c>
      <c r="Y108" s="137">
        <v>27</v>
      </c>
      <c r="Z108" s="137">
        <v>42</v>
      </c>
    </row>
    <row r="109" spans="1:26" ht="28">
      <c r="A109" s="251">
        <v>105</v>
      </c>
      <c r="B109" s="136" t="s">
        <v>450</v>
      </c>
      <c r="C109" s="137">
        <v>10069</v>
      </c>
      <c r="D109" s="137">
        <v>5106</v>
      </c>
      <c r="E109" s="137">
        <v>15175</v>
      </c>
      <c r="F109" s="137">
        <v>1388</v>
      </c>
      <c r="G109" s="137">
        <v>744</v>
      </c>
      <c r="H109" s="137">
        <v>2132</v>
      </c>
      <c r="I109" s="137">
        <v>570</v>
      </c>
      <c r="J109" s="137">
        <v>289</v>
      </c>
      <c r="K109" s="137">
        <v>859</v>
      </c>
      <c r="L109" s="137">
        <v>2650</v>
      </c>
      <c r="M109" s="137">
        <v>1494</v>
      </c>
      <c r="N109" s="137">
        <v>4144</v>
      </c>
      <c r="O109" s="137">
        <v>2</v>
      </c>
      <c r="P109" s="137">
        <v>1</v>
      </c>
      <c r="Q109" s="137">
        <v>3</v>
      </c>
      <c r="R109" s="137">
        <v>142</v>
      </c>
      <c r="S109" s="137">
        <v>33</v>
      </c>
      <c r="T109" s="137">
        <v>175</v>
      </c>
      <c r="U109" s="137">
        <v>293</v>
      </c>
      <c r="V109" s="137">
        <v>137</v>
      </c>
      <c r="W109" s="137">
        <v>430</v>
      </c>
      <c r="X109" s="137">
        <v>76</v>
      </c>
      <c r="Y109" s="137">
        <v>13</v>
      </c>
      <c r="Z109" s="137">
        <v>89</v>
      </c>
    </row>
    <row r="110" spans="1:26" ht="28">
      <c r="A110" s="251">
        <v>106</v>
      </c>
      <c r="B110" s="136" t="s">
        <v>456</v>
      </c>
      <c r="C110" s="137">
        <v>2624</v>
      </c>
      <c r="D110" s="137">
        <v>12537</v>
      </c>
      <c r="E110" s="137">
        <v>15161</v>
      </c>
      <c r="F110" s="137">
        <v>278</v>
      </c>
      <c r="G110" s="137">
        <v>1374</v>
      </c>
      <c r="H110" s="137">
        <v>1652</v>
      </c>
      <c r="I110" s="137">
        <v>123</v>
      </c>
      <c r="J110" s="137">
        <v>503</v>
      </c>
      <c r="K110" s="137">
        <v>626</v>
      </c>
      <c r="L110" s="137">
        <v>506</v>
      </c>
      <c r="M110" s="137">
        <v>1967</v>
      </c>
      <c r="N110" s="137">
        <v>2473</v>
      </c>
      <c r="O110" s="137">
        <v>0</v>
      </c>
      <c r="P110" s="137">
        <v>0</v>
      </c>
      <c r="Q110" s="137">
        <v>0</v>
      </c>
      <c r="R110" s="137">
        <v>43</v>
      </c>
      <c r="S110" s="137">
        <v>90</v>
      </c>
      <c r="T110" s="137">
        <v>133</v>
      </c>
      <c r="U110" s="137">
        <v>31</v>
      </c>
      <c r="V110" s="137">
        <v>389</v>
      </c>
      <c r="W110" s="137">
        <v>420</v>
      </c>
      <c r="X110" s="137">
        <v>17</v>
      </c>
      <c r="Y110" s="137">
        <v>45</v>
      </c>
      <c r="Z110" s="137">
        <v>62</v>
      </c>
    </row>
    <row r="111" spans="1:26" ht="28">
      <c r="A111" s="251">
        <v>107</v>
      </c>
      <c r="B111" s="136" t="s">
        <v>443</v>
      </c>
      <c r="C111" s="137">
        <v>6588</v>
      </c>
      <c r="D111" s="137">
        <v>7771</v>
      </c>
      <c r="E111" s="137">
        <v>14359</v>
      </c>
      <c r="F111" s="137">
        <v>220</v>
      </c>
      <c r="G111" s="137">
        <v>211</v>
      </c>
      <c r="H111" s="137">
        <v>431</v>
      </c>
      <c r="I111" s="137">
        <v>52</v>
      </c>
      <c r="J111" s="137">
        <v>44</v>
      </c>
      <c r="K111" s="137">
        <v>96</v>
      </c>
      <c r="L111" s="137">
        <v>1386</v>
      </c>
      <c r="M111" s="137">
        <v>1622</v>
      </c>
      <c r="N111" s="137">
        <v>3008</v>
      </c>
      <c r="O111" s="137">
        <v>2</v>
      </c>
      <c r="P111" s="137">
        <v>0</v>
      </c>
      <c r="Q111" s="137">
        <v>2</v>
      </c>
      <c r="R111" s="137">
        <v>428</v>
      </c>
      <c r="S111" s="137">
        <v>294</v>
      </c>
      <c r="T111" s="137">
        <v>722</v>
      </c>
      <c r="U111" s="137">
        <v>280</v>
      </c>
      <c r="V111" s="137">
        <v>478</v>
      </c>
      <c r="W111" s="137">
        <v>758</v>
      </c>
      <c r="X111" s="137">
        <v>131</v>
      </c>
      <c r="Y111" s="137">
        <v>71</v>
      </c>
      <c r="Z111" s="137">
        <v>202</v>
      </c>
    </row>
    <row r="112" spans="1:26" ht="28">
      <c r="A112" s="251">
        <v>108</v>
      </c>
      <c r="B112" s="136" t="s">
        <v>453</v>
      </c>
      <c r="C112" s="137">
        <v>11817</v>
      </c>
      <c r="D112" s="137">
        <v>2101</v>
      </c>
      <c r="E112" s="137">
        <v>13918</v>
      </c>
      <c r="F112" s="137">
        <v>624</v>
      </c>
      <c r="G112" s="137">
        <v>149</v>
      </c>
      <c r="H112" s="137">
        <v>773</v>
      </c>
      <c r="I112" s="137">
        <v>505</v>
      </c>
      <c r="J112" s="137">
        <v>95</v>
      </c>
      <c r="K112" s="137">
        <v>600</v>
      </c>
      <c r="L112" s="137">
        <v>956</v>
      </c>
      <c r="M112" s="137">
        <v>139</v>
      </c>
      <c r="N112" s="137">
        <v>1095</v>
      </c>
      <c r="O112" s="137">
        <v>1</v>
      </c>
      <c r="P112" s="137">
        <v>0</v>
      </c>
      <c r="Q112" s="137">
        <v>1</v>
      </c>
      <c r="R112" s="137">
        <v>199</v>
      </c>
      <c r="S112" s="137">
        <v>17</v>
      </c>
      <c r="T112" s="137">
        <v>216</v>
      </c>
      <c r="U112" s="137">
        <v>148</v>
      </c>
      <c r="V112" s="137">
        <v>28</v>
      </c>
      <c r="W112" s="137">
        <v>176</v>
      </c>
      <c r="X112" s="137">
        <v>33</v>
      </c>
      <c r="Y112" s="137">
        <v>7</v>
      </c>
      <c r="Z112" s="137">
        <v>40</v>
      </c>
    </row>
    <row r="113" spans="1:26" ht="28">
      <c r="A113" s="251">
        <v>109</v>
      </c>
      <c r="B113" s="136" t="s">
        <v>449</v>
      </c>
      <c r="C113" s="137">
        <v>7590</v>
      </c>
      <c r="D113" s="137">
        <v>6112</v>
      </c>
      <c r="E113" s="137">
        <v>13702</v>
      </c>
      <c r="F113" s="137">
        <v>370</v>
      </c>
      <c r="G113" s="137">
        <v>354</v>
      </c>
      <c r="H113" s="137">
        <v>724</v>
      </c>
      <c r="I113" s="137">
        <v>116</v>
      </c>
      <c r="J113" s="137">
        <v>78</v>
      </c>
      <c r="K113" s="137">
        <v>194</v>
      </c>
      <c r="L113" s="137">
        <v>661</v>
      </c>
      <c r="M113" s="137">
        <v>450</v>
      </c>
      <c r="N113" s="137">
        <v>1111</v>
      </c>
      <c r="O113" s="137">
        <v>6</v>
      </c>
      <c r="P113" s="137">
        <v>3</v>
      </c>
      <c r="Q113" s="137">
        <v>9</v>
      </c>
      <c r="R113" s="137">
        <v>718</v>
      </c>
      <c r="S113" s="137">
        <v>425</v>
      </c>
      <c r="T113" s="137">
        <v>1143</v>
      </c>
      <c r="U113" s="137">
        <v>547</v>
      </c>
      <c r="V113" s="137">
        <v>415</v>
      </c>
      <c r="W113" s="137">
        <v>962</v>
      </c>
      <c r="X113" s="137">
        <v>56</v>
      </c>
      <c r="Y113" s="137">
        <v>56</v>
      </c>
      <c r="Z113" s="137">
        <v>112</v>
      </c>
    </row>
    <row r="114" spans="1:26">
      <c r="A114" s="251">
        <v>110</v>
      </c>
      <c r="B114" s="136" t="s">
        <v>444</v>
      </c>
      <c r="C114" s="137">
        <v>3628</v>
      </c>
      <c r="D114" s="137">
        <v>8935</v>
      </c>
      <c r="E114" s="137">
        <v>12563</v>
      </c>
      <c r="F114" s="137">
        <v>415</v>
      </c>
      <c r="G114" s="137">
        <v>708</v>
      </c>
      <c r="H114" s="137">
        <v>1123</v>
      </c>
      <c r="I114" s="137">
        <v>116</v>
      </c>
      <c r="J114" s="137">
        <v>211</v>
      </c>
      <c r="K114" s="137">
        <v>327</v>
      </c>
      <c r="L114" s="137">
        <v>890</v>
      </c>
      <c r="M114" s="137">
        <v>1853</v>
      </c>
      <c r="N114" s="137">
        <v>2743</v>
      </c>
      <c r="O114" s="137">
        <v>1</v>
      </c>
      <c r="P114" s="137">
        <v>5</v>
      </c>
      <c r="Q114" s="137">
        <v>6</v>
      </c>
      <c r="R114" s="137">
        <v>160</v>
      </c>
      <c r="S114" s="137">
        <v>347</v>
      </c>
      <c r="T114" s="137">
        <v>507</v>
      </c>
      <c r="U114" s="137">
        <v>108</v>
      </c>
      <c r="V114" s="137">
        <v>365</v>
      </c>
      <c r="W114" s="137">
        <v>473</v>
      </c>
      <c r="X114" s="137">
        <v>52</v>
      </c>
      <c r="Y114" s="137">
        <v>51</v>
      </c>
      <c r="Z114" s="137">
        <v>103</v>
      </c>
    </row>
    <row r="115" spans="1:26" ht="28">
      <c r="A115" s="251">
        <v>111</v>
      </c>
      <c r="B115" s="136" t="s">
        <v>469</v>
      </c>
      <c r="C115" s="137">
        <v>5749</v>
      </c>
      <c r="D115" s="137">
        <v>5640</v>
      </c>
      <c r="E115" s="137">
        <v>11389</v>
      </c>
      <c r="F115" s="137">
        <v>490</v>
      </c>
      <c r="G115" s="137">
        <v>427</v>
      </c>
      <c r="H115" s="137">
        <v>917</v>
      </c>
      <c r="I115" s="137">
        <v>280</v>
      </c>
      <c r="J115" s="137">
        <v>250</v>
      </c>
      <c r="K115" s="137">
        <v>530</v>
      </c>
      <c r="L115" s="137">
        <v>1134</v>
      </c>
      <c r="M115" s="137">
        <v>1259</v>
      </c>
      <c r="N115" s="137">
        <v>2393</v>
      </c>
      <c r="O115" s="137">
        <v>19</v>
      </c>
      <c r="P115" s="137">
        <v>2</v>
      </c>
      <c r="Q115" s="137">
        <v>21</v>
      </c>
      <c r="R115" s="137">
        <v>58</v>
      </c>
      <c r="S115" s="137">
        <v>40</v>
      </c>
      <c r="T115" s="137">
        <v>98</v>
      </c>
      <c r="U115" s="137">
        <v>12</v>
      </c>
      <c r="V115" s="137">
        <v>8</v>
      </c>
      <c r="W115" s="137">
        <v>20</v>
      </c>
      <c r="X115" s="137">
        <v>2</v>
      </c>
      <c r="Y115" s="137">
        <v>14</v>
      </c>
      <c r="Z115" s="137">
        <v>16</v>
      </c>
    </row>
    <row r="116" spans="1:26">
      <c r="A116" s="251">
        <v>112</v>
      </c>
      <c r="B116" s="136" t="s">
        <v>452</v>
      </c>
      <c r="C116" s="137">
        <v>7026</v>
      </c>
      <c r="D116" s="137">
        <v>4014</v>
      </c>
      <c r="E116" s="137">
        <v>11040</v>
      </c>
      <c r="F116" s="137">
        <v>738</v>
      </c>
      <c r="G116" s="137">
        <v>427</v>
      </c>
      <c r="H116" s="137">
        <v>1165</v>
      </c>
      <c r="I116" s="137">
        <v>109</v>
      </c>
      <c r="J116" s="137">
        <v>83</v>
      </c>
      <c r="K116" s="137">
        <v>192</v>
      </c>
      <c r="L116" s="137">
        <v>1330</v>
      </c>
      <c r="M116" s="137">
        <v>675</v>
      </c>
      <c r="N116" s="137">
        <v>2005</v>
      </c>
      <c r="O116" s="137">
        <v>3</v>
      </c>
      <c r="P116" s="137">
        <v>0</v>
      </c>
      <c r="Q116" s="137">
        <v>3</v>
      </c>
      <c r="R116" s="137">
        <v>121</v>
      </c>
      <c r="S116" s="137">
        <v>80</v>
      </c>
      <c r="T116" s="137">
        <v>201</v>
      </c>
      <c r="U116" s="137">
        <v>63</v>
      </c>
      <c r="V116" s="137">
        <v>37</v>
      </c>
      <c r="W116" s="137">
        <v>100</v>
      </c>
      <c r="X116" s="137">
        <v>45</v>
      </c>
      <c r="Y116" s="137">
        <v>19</v>
      </c>
      <c r="Z116" s="137">
        <v>64</v>
      </c>
    </row>
    <row r="117" spans="1:26" ht="28">
      <c r="A117" s="251">
        <v>113</v>
      </c>
      <c r="B117" s="136" t="s">
        <v>451</v>
      </c>
      <c r="C117" s="137">
        <v>4539</v>
      </c>
      <c r="D117" s="137">
        <v>4921</v>
      </c>
      <c r="E117" s="137">
        <v>9460</v>
      </c>
      <c r="F117" s="137">
        <v>485</v>
      </c>
      <c r="G117" s="137">
        <v>478</v>
      </c>
      <c r="H117" s="137">
        <v>963</v>
      </c>
      <c r="I117" s="137">
        <v>161</v>
      </c>
      <c r="J117" s="137">
        <v>145</v>
      </c>
      <c r="K117" s="137">
        <v>306</v>
      </c>
      <c r="L117" s="137">
        <v>2200</v>
      </c>
      <c r="M117" s="137">
        <v>2078</v>
      </c>
      <c r="N117" s="137">
        <v>4278</v>
      </c>
      <c r="O117" s="137">
        <v>0</v>
      </c>
      <c r="P117" s="137">
        <v>2</v>
      </c>
      <c r="Q117" s="137">
        <v>2</v>
      </c>
      <c r="R117" s="137">
        <v>302</v>
      </c>
      <c r="S117" s="137">
        <v>305</v>
      </c>
      <c r="T117" s="137">
        <v>607</v>
      </c>
      <c r="U117" s="137">
        <v>6</v>
      </c>
      <c r="V117" s="137">
        <v>16</v>
      </c>
      <c r="W117" s="137">
        <v>22</v>
      </c>
      <c r="X117" s="137">
        <v>19</v>
      </c>
      <c r="Y117" s="137">
        <v>16</v>
      </c>
      <c r="Z117" s="137">
        <v>35</v>
      </c>
    </row>
    <row r="118" spans="1:26">
      <c r="A118" s="251">
        <v>114</v>
      </c>
      <c r="B118" s="136" t="s">
        <v>899</v>
      </c>
      <c r="C118" s="137">
        <v>4757</v>
      </c>
      <c r="D118" s="137">
        <v>4335</v>
      </c>
      <c r="E118" s="137">
        <v>9092</v>
      </c>
      <c r="F118" s="137">
        <v>414</v>
      </c>
      <c r="G118" s="137">
        <v>353</v>
      </c>
      <c r="H118" s="137">
        <v>767</v>
      </c>
      <c r="I118" s="137">
        <v>108</v>
      </c>
      <c r="J118" s="137">
        <v>62</v>
      </c>
      <c r="K118" s="137">
        <v>170</v>
      </c>
      <c r="L118" s="137">
        <v>1428</v>
      </c>
      <c r="M118" s="137">
        <v>1187</v>
      </c>
      <c r="N118" s="137">
        <v>2615</v>
      </c>
      <c r="O118" s="137">
        <v>3</v>
      </c>
      <c r="P118" s="137">
        <v>3</v>
      </c>
      <c r="Q118" s="137">
        <v>6</v>
      </c>
      <c r="R118" s="137">
        <v>173</v>
      </c>
      <c r="S118" s="137">
        <v>221</v>
      </c>
      <c r="T118" s="137">
        <v>394</v>
      </c>
      <c r="U118" s="137">
        <v>209</v>
      </c>
      <c r="V118" s="137">
        <v>222</v>
      </c>
      <c r="W118" s="137">
        <v>431</v>
      </c>
      <c r="X118" s="137">
        <v>84</v>
      </c>
      <c r="Y118" s="137">
        <v>43</v>
      </c>
      <c r="Z118" s="137">
        <v>127</v>
      </c>
    </row>
    <row r="119" spans="1:26" ht="42">
      <c r="A119" s="251">
        <v>115</v>
      </c>
      <c r="B119" s="136" t="s">
        <v>446</v>
      </c>
      <c r="C119" s="137">
        <v>2748</v>
      </c>
      <c r="D119" s="137">
        <v>5125</v>
      </c>
      <c r="E119" s="137">
        <v>7873</v>
      </c>
      <c r="F119" s="137">
        <v>232</v>
      </c>
      <c r="G119" s="137">
        <v>397</v>
      </c>
      <c r="H119" s="137">
        <v>629</v>
      </c>
      <c r="I119" s="137">
        <v>108</v>
      </c>
      <c r="J119" s="137">
        <v>207</v>
      </c>
      <c r="K119" s="137">
        <v>315</v>
      </c>
      <c r="L119" s="137">
        <v>830</v>
      </c>
      <c r="M119" s="137">
        <v>1390</v>
      </c>
      <c r="N119" s="137">
        <v>2220</v>
      </c>
      <c r="O119" s="137">
        <v>0</v>
      </c>
      <c r="P119" s="137">
        <v>1</v>
      </c>
      <c r="Q119" s="137">
        <v>1</v>
      </c>
      <c r="R119" s="137">
        <v>187</v>
      </c>
      <c r="S119" s="137">
        <v>337</v>
      </c>
      <c r="T119" s="137">
        <v>524</v>
      </c>
      <c r="U119" s="137">
        <v>27</v>
      </c>
      <c r="V119" s="137">
        <v>84</v>
      </c>
      <c r="W119" s="137">
        <v>111</v>
      </c>
      <c r="X119" s="137">
        <v>7</v>
      </c>
      <c r="Y119" s="137">
        <v>17</v>
      </c>
      <c r="Z119" s="137">
        <v>24</v>
      </c>
    </row>
    <row r="120" spans="1:26" ht="28">
      <c r="A120" s="251">
        <v>116</v>
      </c>
      <c r="B120" s="136" t="s">
        <v>445</v>
      </c>
      <c r="C120" s="137">
        <v>2800</v>
      </c>
      <c r="D120" s="137">
        <v>4130</v>
      </c>
      <c r="E120" s="137">
        <v>6930</v>
      </c>
      <c r="F120" s="137">
        <v>195</v>
      </c>
      <c r="G120" s="137">
        <v>325</v>
      </c>
      <c r="H120" s="137">
        <v>520</v>
      </c>
      <c r="I120" s="137">
        <v>89</v>
      </c>
      <c r="J120" s="137">
        <v>127</v>
      </c>
      <c r="K120" s="137">
        <v>216</v>
      </c>
      <c r="L120" s="137">
        <v>800</v>
      </c>
      <c r="M120" s="137">
        <v>1305</v>
      </c>
      <c r="N120" s="137">
        <v>2105</v>
      </c>
      <c r="O120" s="137">
        <v>6</v>
      </c>
      <c r="P120" s="137">
        <v>2</v>
      </c>
      <c r="Q120" s="137">
        <v>8</v>
      </c>
      <c r="R120" s="137">
        <v>73</v>
      </c>
      <c r="S120" s="137">
        <v>98</v>
      </c>
      <c r="T120" s="137">
        <v>171</v>
      </c>
      <c r="U120" s="137">
        <v>26</v>
      </c>
      <c r="V120" s="137">
        <v>53</v>
      </c>
      <c r="W120" s="137">
        <v>79</v>
      </c>
      <c r="X120" s="137">
        <v>31</v>
      </c>
      <c r="Y120" s="137">
        <v>40</v>
      </c>
      <c r="Z120" s="137">
        <v>71</v>
      </c>
    </row>
    <row r="121" spans="1:26">
      <c r="A121" s="251">
        <v>117</v>
      </c>
      <c r="B121" s="136" t="s">
        <v>447</v>
      </c>
      <c r="C121" s="137">
        <v>2881</v>
      </c>
      <c r="D121" s="137">
        <v>3358</v>
      </c>
      <c r="E121" s="137">
        <v>6239</v>
      </c>
      <c r="F121" s="137">
        <v>438</v>
      </c>
      <c r="G121" s="137">
        <v>440</v>
      </c>
      <c r="H121" s="137">
        <v>878</v>
      </c>
      <c r="I121" s="137">
        <v>688</v>
      </c>
      <c r="J121" s="137">
        <v>834</v>
      </c>
      <c r="K121" s="137">
        <v>1522</v>
      </c>
      <c r="L121" s="137">
        <v>782</v>
      </c>
      <c r="M121" s="137">
        <v>802</v>
      </c>
      <c r="N121" s="137">
        <v>1584</v>
      </c>
      <c r="O121" s="137">
        <v>2</v>
      </c>
      <c r="P121" s="137">
        <v>3</v>
      </c>
      <c r="Q121" s="137">
        <v>5</v>
      </c>
      <c r="R121" s="137">
        <v>20</v>
      </c>
      <c r="S121" s="137">
        <v>35</v>
      </c>
      <c r="T121" s="137">
        <v>55</v>
      </c>
      <c r="U121" s="137">
        <v>118</v>
      </c>
      <c r="V121" s="137">
        <v>208</v>
      </c>
      <c r="W121" s="137">
        <v>326</v>
      </c>
      <c r="X121" s="137">
        <v>15</v>
      </c>
      <c r="Y121" s="137">
        <v>29</v>
      </c>
      <c r="Z121" s="137">
        <v>44</v>
      </c>
    </row>
    <row r="122" spans="1:26" ht="28">
      <c r="A122" s="251">
        <v>118</v>
      </c>
      <c r="B122" s="136" t="s">
        <v>454</v>
      </c>
      <c r="C122" s="137">
        <v>3583</v>
      </c>
      <c r="D122" s="137">
        <v>2372</v>
      </c>
      <c r="E122" s="137">
        <v>5955</v>
      </c>
      <c r="F122" s="137">
        <v>310</v>
      </c>
      <c r="G122" s="137">
        <v>245</v>
      </c>
      <c r="H122" s="137">
        <v>555</v>
      </c>
      <c r="I122" s="137">
        <v>91</v>
      </c>
      <c r="J122" s="137">
        <v>72</v>
      </c>
      <c r="K122" s="137">
        <v>163</v>
      </c>
      <c r="L122" s="137">
        <v>1279</v>
      </c>
      <c r="M122" s="137">
        <v>718</v>
      </c>
      <c r="N122" s="137">
        <v>1997</v>
      </c>
      <c r="O122" s="137">
        <v>2</v>
      </c>
      <c r="P122" s="137">
        <v>0</v>
      </c>
      <c r="Q122" s="137">
        <v>2</v>
      </c>
      <c r="R122" s="137">
        <v>284</v>
      </c>
      <c r="S122" s="137">
        <v>135</v>
      </c>
      <c r="T122" s="137">
        <v>419</v>
      </c>
      <c r="U122" s="137">
        <v>42</v>
      </c>
      <c r="V122" s="137">
        <v>50</v>
      </c>
      <c r="W122" s="137">
        <v>92</v>
      </c>
      <c r="X122" s="137">
        <v>94</v>
      </c>
      <c r="Y122" s="137">
        <v>46</v>
      </c>
      <c r="Z122" s="137">
        <v>140</v>
      </c>
    </row>
    <row r="123" spans="1:26">
      <c r="A123" s="251">
        <v>119</v>
      </c>
      <c r="B123" s="136" t="s">
        <v>455</v>
      </c>
      <c r="C123" s="137">
        <v>1695</v>
      </c>
      <c r="D123" s="137">
        <v>4249</v>
      </c>
      <c r="E123" s="137">
        <v>5944</v>
      </c>
      <c r="F123" s="137">
        <v>66</v>
      </c>
      <c r="G123" s="137">
        <v>155</v>
      </c>
      <c r="H123" s="137">
        <v>221</v>
      </c>
      <c r="I123" s="137">
        <v>16</v>
      </c>
      <c r="J123" s="137">
        <v>79</v>
      </c>
      <c r="K123" s="137">
        <v>95</v>
      </c>
      <c r="L123" s="137">
        <v>248</v>
      </c>
      <c r="M123" s="137">
        <v>482</v>
      </c>
      <c r="N123" s="137">
        <v>730</v>
      </c>
      <c r="O123" s="137">
        <v>4</v>
      </c>
      <c r="P123" s="137">
        <v>3</v>
      </c>
      <c r="Q123" s="137">
        <v>7</v>
      </c>
      <c r="R123" s="137">
        <v>20</v>
      </c>
      <c r="S123" s="137">
        <v>40</v>
      </c>
      <c r="T123" s="137">
        <v>60</v>
      </c>
      <c r="U123" s="137">
        <v>35</v>
      </c>
      <c r="V123" s="137">
        <v>197</v>
      </c>
      <c r="W123" s="137">
        <v>232</v>
      </c>
      <c r="X123" s="137">
        <v>1</v>
      </c>
      <c r="Y123" s="137">
        <v>4</v>
      </c>
      <c r="Z123" s="137">
        <v>5</v>
      </c>
    </row>
    <row r="124" spans="1:26" ht="28">
      <c r="A124" s="251">
        <v>120</v>
      </c>
      <c r="B124" s="136" t="s">
        <v>463</v>
      </c>
      <c r="C124" s="137">
        <v>2975</v>
      </c>
      <c r="D124" s="137">
        <v>2586</v>
      </c>
      <c r="E124" s="137">
        <v>5561</v>
      </c>
      <c r="F124" s="137">
        <v>656</v>
      </c>
      <c r="G124" s="137">
        <v>289</v>
      </c>
      <c r="H124" s="137">
        <v>945</v>
      </c>
      <c r="I124" s="137">
        <v>39</v>
      </c>
      <c r="J124" s="137">
        <v>27</v>
      </c>
      <c r="K124" s="137">
        <v>66</v>
      </c>
      <c r="L124" s="137">
        <v>301</v>
      </c>
      <c r="M124" s="137">
        <v>215</v>
      </c>
      <c r="N124" s="137">
        <v>516</v>
      </c>
      <c r="O124" s="137">
        <v>3</v>
      </c>
      <c r="P124" s="137">
        <v>0</v>
      </c>
      <c r="Q124" s="137">
        <v>3</v>
      </c>
      <c r="R124" s="137">
        <v>72</v>
      </c>
      <c r="S124" s="137">
        <v>32</v>
      </c>
      <c r="T124" s="137">
        <v>104</v>
      </c>
      <c r="U124" s="137">
        <v>28</v>
      </c>
      <c r="V124" s="137">
        <v>26</v>
      </c>
      <c r="W124" s="137">
        <v>54</v>
      </c>
      <c r="X124" s="137">
        <v>14</v>
      </c>
      <c r="Y124" s="137">
        <v>10</v>
      </c>
      <c r="Z124" s="137">
        <v>24</v>
      </c>
    </row>
    <row r="125" spans="1:26">
      <c r="A125" s="251">
        <v>121</v>
      </c>
      <c r="B125" s="136" t="s">
        <v>459</v>
      </c>
      <c r="C125" s="137">
        <v>2674</v>
      </c>
      <c r="D125" s="137">
        <v>2836</v>
      </c>
      <c r="E125" s="137">
        <v>5510</v>
      </c>
      <c r="F125" s="137">
        <v>313</v>
      </c>
      <c r="G125" s="137">
        <v>195</v>
      </c>
      <c r="H125" s="137">
        <v>508</v>
      </c>
      <c r="I125" s="137">
        <v>119</v>
      </c>
      <c r="J125" s="137">
        <v>77</v>
      </c>
      <c r="K125" s="137">
        <v>196</v>
      </c>
      <c r="L125" s="137">
        <v>581</v>
      </c>
      <c r="M125" s="137">
        <v>542</v>
      </c>
      <c r="N125" s="137">
        <v>1123</v>
      </c>
      <c r="O125" s="137">
        <v>6</v>
      </c>
      <c r="P125" s="137">
        <v>4</v>
      </c>
      <c r="Q125" s="137">
        <v>10</v>
      </c>
      <c r="R125" s="137">
        <v>41</v>
      </c>
      <c r="S125" s="137">
        <v>43</v>
      </c>
      <c r="T125" s="137">
        <v>84</v>
      </c>
      <c r="U125" s="137">
        <v>30</v>
      </c>
      <c r="V125" s="137">
        <v>44</v>
      </c>
      <c r="W125" s="137">
        <v>74</v>
      </c>
      <c r="X125" s="137">
        <v>37</v>
      </c>
      <c r="Y125" s="137">
        <v>37</v>
      </c>
      <c r="Z125" s="137">
        <v>74</v>
      </c>
    </row>
    <row r="126" spans="1:26" ht="28">
      <c r="A126" s="251">
        <v>122</v>
      </c>
      <c r="B126" s="136" t="s">
        <v>461</v>
      </c>
      <c r="C126" s="137">
        <v>3814</v>
      </c>
      <c r="D126" s="137">
        <v>1288</v>
      </c>
      <c r="E126" s="137">
        <v>5102</v>
      </c>
      <c r="F126" s="137">
        <v>387</v>
      </c>
      <c r="G126" s="137">
        <v>195</v>
      </c>
      <c r="H126" s="137">
        <v>582</v>
      </c>
      <c r="I126" s="137">
        <v>144</v>
      </c>
      <c r="J126" s="137">
        <v>50</v>
      </c>
      <c r="K126" s="137">
        <v>194</v>
      </c>
      <c r="L126" s="137">
        <v>776</v>
      </c>
      <c r="M126" s="137">
        <v>304</v>
      </c>
      <c r="N126" s="137">
        <v>1080</v>
      </c>
      <c r="O126" s="137">
        <v>0</v>
      </c>
      <c r="P126" s="137">
        <v>0</v>
      </c>
      <c r="Q126" s="137">
        <v>0</v>
      </c>
      <c r="R126" s="137">
        <v>107</v>
      </c>
      <c r="S126" s="137">
        <v>31</v>
      </c>
      <c r="T126" s="137">
        <v>138</v>
      </c>
      <c r="U126" s="137">
        <v>62</v>
      </c>
      <c r="V126" s="137">
        <v>4</v>
      </c>
      <c r="W126" s="137">
        <v>66</v>
      </c>
      <c r="X126" s="137">
        <v>4</v>
      </c>
      <c r="Y126" s="137">
        <v>5</v>
      </c>
      <c r="Z126" s="137">
        <v>9</v>
      </c>
    </row>
    <row r="127" spans="1:26" ht="42">
      <c r="A127" s="251">
        <v>123</v>
      </c>
      <c r="B127" s="136" t="s">
        <v>460</v>
      </c>
      <c r="C127" s="137">
        <v>3650</v>
      </c>
      <c r="D127" s="137">
        <v>723</v>
      </c>
      <c r="E127" s="137">
        <v>4373</v>
      </c>
      <c r="F127" s="137">
        <v>359</v>
      </c>
      <c r="G127" s="137">
        <v>116</v>
      </c>
      <c r="H127" s="137">
        <v>475</v>
      </c>
      <c r="I127" s="137">
        <v>40</v>
      </c>
      <c r="J127" s="137">
        <v>13</v>
      </c>
      <c r="K127" s="137">
        <v>53</v>
      </c>
      <c r="L127" s="137">
        <v>693</v>
      </c>
      <c r="M127" s="137">
        <v>92</v>
      </c>
      <c r="N127" s="137">
        <v>785</v>
      </c>
      <c r="O127" s="137">
        <v>0</v>
      </c>
      <c r="P127" s="137">
        <v>0</v>
      </c>
      <c r="Q127" s="137">
        <v>0</v>
      </c>
      <c r="R127" s="137">
        <v>64</v>
      </c>
      <c r="S127" s="137">
        <v>3</v>
      </c>
      <c r="T127" s="137">
        <v>67</v>
      </c>
      <c r="U127" s="137">
        <v>58</v>
      </c>
      <c r="V127" s="137">
        <v>20</v>
      </c>
      <c r="W127" s="137">
        <v>78</v>
      </c>
      <c r="X127" s="137">
        <v>38</v>
      </c>
      <c r="Y127" s="137">
        <v>10</v>
      </c>
      <c r="Z127" s="137">
        <v>48</v>
      </c>
    </row>
    <row r="128" spans="1:26">
      <c r="A128" s="251">
        <v>124</v>
      </c>
      <c r="B128" s="136" t="s">
        <v>457</v>
      </c>
      <c r="C128" s="137">
        <v>1334</v>
      </c>
      <c r="D128" s="137">
        <v>2427</v>
      </c>
      <c r="E128" s="137">
        <v>3761</v>
      </c>
      <c r="F128" s="137">
        <v>96</v>
      </c>
      <c r="G128" s="137">
        <v>186</v>
      </c>
      <c r="H128" s="137">
        <v>282</v>
      </c>
      <c r="I128" s="137">
        <v>54</v>
      </c>
      <c r="J128" s="137">
        <v>90</v>
      </c>
      <c r="K128" s="137">
        <v>144</v>
      </c>
      <c r="L128" s="137">
        <v>387</v>
      </c>
      <c r="M128" s="137">
        <v>642</v>
      </c>
      <c r="N128" s="137">
        <v>1029</v>
      </c>
      <c r="O128" s="137">
        <v>1</v>
      </c>
      <c r="P128" s="137">
        <v>2</v>
      </c>
      <c r="Q128" s="137">
        <v>3</v>
      </c>
      <c r="R128" s="137">
        <v>22</v>
      </c>
      <c r="S128" s="137">
        <v>46</v>
      </c>
      <c r="T128" s="137">
        <v>68</v>
      </c>
      <c r="U128" s="137">
        <v>20</v>
      </c>
      <c r="V128" s="137">
        <v>17</v>
      </c>
      <c r="W128" s="137">
        <v>37</v>
      </c>
      <c r="X128" s="137">
        <v>7</v>
      </c>
      <c r="Y128" s="137">
        <v>8</v>
      </c>
      <c r="Z128" s="137">
        <v>15</v>
      </c>
    </row>
    <row r="129" spans="1:26" ht="42">
      <c r="A129" s="251">
        <v>125</v>
      </c>
      <c r="B129" s="136" t="s">
        <v>462</v>
      </c>
      <c r="C129" s="137">
        <v>1957</v>
      </c>
      <c r="D129" s="137">
        <v>1210</v>
      </c>
      <c r="E129" s="137">
        <v>3167</v>
      </c>
      <c r="F129" s="137">
        <v>193</v>
      </c>
      <c r="G129" s="137">
        <v>151</v>
      </c>
      <c r="H129" s="137">
        <v>344</v>
      </c>
      <c r="I129" s="137">
        <v>119</v>
      </c>
      <c r="J129" s="137">
        <v>99</v>
      </c>
      <c r="K129" s="137">
        <v>218</v>
      </c>
      <c r="L129" s="137">
        <v>698</v>
      </c>
      <c r="M129" s="137">
        <v>363</v>
      </c>
      <c r="N129" s="137">
        <v>1061</v>
      </c>
      <c r="O129" s="137">
        <v>4</v>
      </c>
      <c r="P129" s="137">
        <v>2</v>
      </c>
      <c r="Q129" s="137">
        <v>6</v>
      </c>
      <c r="R129" s="137">
        <v>32</v>
      </c>
      <c r="S129" s="137">
        <v>8</v>
      </c>
      <c r="T129" s="137">
        <v>40</v>
      </c>
      <c r="U129" s="137">
        <v>6</v>
      </c>
      <c r="V129" s="137">
        <v>17</v>
      </c>
      <c r="W129" s="137">
        <v>23</v>
      </c>
      <c r="X129" s="137">
        <v>2</v>
      </c>
      <c r="Y129" s="137">
        <v>2</v>
      </c>
      <c r="Z129" s="137">
        <v>4</v>
      </c>
    </row>
    <row r="130" spans="1:26">
      <c r="A130" s="251">
        <v>126</v>
      </c>
      <c r="B130" s="136" t="s">
        <v>468</v>
      </c>
      <c r="C130" s="137">
        <v>1395</v>
      </c>
      <c r="D130" s="137">
        <v>1715</v>
      </c>
      <c r="E130" s="137">
        <v>3110</v>
      </c>
      <c r="F130" s="137">
        <v>170</v>
      </c>
      <c r="G130" s="137">
        <v>215</v>
      </c>
      <c r="H130" s="137">
        <v>385</v>
      </c>
      <c r="I130" s="137">
        <v>168</v>
      </c>
      <c r="J130" s="137">
        <v>254</v>
      </c>
      <c r="K130" s="137">
        <v>422</v>
      </c>
      <c r="L130" s="137">
        <v>380</v>
      </c>
      <c r="M130" s="137">
        <v>612</v>
      </c>
      <c r="N130" s="137">
        <v>992</v>
      </c>
      <c r="O130" s="137">
        <v>5</v>
      </c>
      <c r="P130" s="137">
        <v>2</v>
      </c>
      <c r="Q130" s="137">
        <v>7</v>
      </c>
      <c r="R130" s="137">
        <v>6</v>
      </c>
      <c r="S130" s="137">
        <v>7</v>
      </c>
      <c r="T130" s="137">
        <v>13</v>
      </c>
      <c r="U130" s="137">
        <v>2</v>
      </c>
      <c r="V130" s="137">
        <v>6</v>
      </c>
      <c r="W130" s="137">
        <v>8</v>
      </c>
      <c r="X130" s="137">
        <v>18</v>
      </c>
      <c r="Y130" s="137">
        <v>32</v>
      </c>
      <c r="Z130" s="137">
        <v>50</v>
      </c>
    </row>
    <row r="131" spans="1:26">
      <c r="A131" s="251">
        <v>127</v>
      </c>
      <c r="B131" s="136" t="s">
        <v>458</v>
      </c>
      <c r="C131" s="137">
        <v>858</v>
      </c>
      <c r="D131" s="137">
        <v>1976</v>
      </c>
      <c r="E131" s="137">
        <v>2834</v>
      </c>
      <c r="F131" s="137">
        <v>155</v>
      </c>
      <c r="G131" s="137">
        <v>342</v>
      </c>
      <c r="H131" s="137">
        <v>497</v>
      </c>
      <c r="I131" s="137">
        <v>8</v>
      </c>
      <c r="J131" s="137">
        <v>27</v>
      </c>
      <c r="K131" s="137">
        <v>35</v>
      </c>
      <c r="L131" s="137">
        <v>558</v>
      </c>
      <c r="M131" s="137">
        <v>1324</v>
      </c>
      <c r="N131" s="137">
        <v>1882</v>
      </c>
      <c r="O131" s="137">
        <v>0</v>
      </c>
      <c r="P131" s="137">
        <v>1</v>
      </c>
      <c r="Q131" s="137">
        <v>1</v>
      </c>
      <c r="R131" s="137">
        <v>1</v>
      </c>
      <c r="S131" s="137">
        <v>3</v>
      </c>
      <c r="T131" s="137">
        <v>4</v>
      </c>
      <c r="U131" s="137">
        <v>4</v>
      </c>
      <c r="V131" s="137">
        <v>21</v>
      </c>
      <c r="W131" s="137">
        <v>25</v>
      </c>
      <c r="X131" s="137">
        <v>5</v>
      </c>
      <c r="Y131" s="137">
        <v>16</v>
      </c>
      <c r="Z131" s="137">
        <v>21</v>
      </c>
    </row>
    <row r="132" spans="1:26">
      <c r="A132" s="251">
        <v>128</v>
      </c>
      <c r="B132" s="136" t="s">
        <v>465</v>
      </c>
      <c r="C132" s="137">
        <v>1094</v>
      </c>
      <c r="D132" s="137">
        <v>1213</v>
      </c>
      <c r="E132" s="137">
        <v>2307</v>
      </c>
      <c r="F132" s="137">
        <v>106</v>
      </c>
      <c r="G132" s="137">
        <v>58</v>
      </c>
      <c r="H132" s="137">
        <v>164</v>
      </c>
      <c r="I132" s="137">
        <v>20</v>
      </c>
      <c r="J132" s="137">
        <v>17</v>
      </c>
      <c r="K132" s="137">
        <v>37</v>
      </c>
      <c r="L132" s="137">
        <v>104</v>
      </c>
      <c r="M132" s="137">
        <v>82</v>
      </c>
      <c r="N132" s="137">
        <v>186</v>
      </c>
      <c r="O132" s="137">
        <v>2</v>
      </c>
      <c r="P132" s="137">
        <v>0</v>
      </c>
      <c r="Q132" s="137">
        <v>2</v>
      </c>
      <c r="R132" s="137">
        <v>122</v>
      </c>
      <c r="S132" s="137">
        <v>80</v>
      </c>
      <c r="T132" s="137">
        <v>202</v>
      </c>
      <c r="U132" s="137">
        <v>105</v>
      </c>
      <c r="V132" s="137">
        <v>89</v>
      </c>
      <c r="W132" s="137">
        <v>194</v>
      </c>
      <c r="X132" s="137">
        <v>10</v>
      </c>
      <c r="Y132" s="137">
        <v>5</v>
      </c>
      <c r="Z132" s="137">
        <v>15</v>
      </c>
    </row>
    <row r="133" spans="1:26" ht="28">
      <c r="A133" s="251">
        <v>129</v>
      </c>
      <c r="B133" s="136" t="s">
        <v>466</v>
      </c>
      <c r="C133" s="137">
        <v>684</v>
      </c>
      <c r="D133" s="137">
        <v>929</v>
      </c>
      <c r="E133" s="137">
        <v>1613</v>
      </c>
      <c r="F133" s="137">
        <v>1</v>
      </c>
      <c r="G133" s="137">
        <v>2</v>
      </c>
      <c r="H133" s="137">
        <v>3</v>
      </c>
      <c r="I133" s="137">
        <v>3</v>
      </c>
      <c r="J133" s="137">
        <v>2</v>
      </c>
      <c r="K133" s="137">
        <v>5</v>
      </c>
      <c r="L133" s="137">
        <v>141</v>
      </c>
      <c r="M133" s="137">
        <v>157</v>
      </c>
      <c r="N133" s="137">
        <v>298</v>
      </c>
      <c r="O133" s="137">
        <v>0</v>
      </c>
      <c r="P133" s="137">
        <v>0</v>
      </c>
      <c r="Q133" s="137">
        <v>0</v>
      </c>
      <c r="R133" s="137">
        <v>265</v>
      </c>
      <c r="S133" s="137">
        <v>367</v>
      </c>
      <c r="T133" s="137">
        <v>632</v>
      </c>
      <c r="U133" s="137">
        <v>0</v>
      </c>
      <c r="V133" s="137">
        <v>0</v>
      </c>
      <c r="W133" s="137">
        <v>0</v>
      </c>
      <c r="X133" s="137">
        <v>1</v>
      </c>
      <c r="Y133" s="137">
        <v>0</v>
      </c>
      <c r="Z133" s="137">
        <v>1</v>
      </c>
    </row>
    <row r="134" spans="1:26" ht="28">
      <c r="A134" s="251">
        <v>130</v>
      </c>
      <c r="B134" s="136" t="s">
        <v>474</v>
      </c>
      <c r="C134" s="137">
        <v>1012</v>
      </c>
      <c r="D134" s="137">
        <v>498</v>
      </c>
      <c r="E134" s="137">
        <v>1510</v>
      </c>
      <c r="F134" s="137">
        <v>29</v>
      </c>
      <c r="G134" s="137">
        <v>24</v>
      </c>
      <c r="H134" s="137">
        <v>53</v>
      </c>
      <c r="I134" s="137">
        <v>5</v>
      </c>
      <c r="J134" s="137">
        <v>9</v>
      </c>
      <c r="K134" s="137">
        <v>14</v>
      </c>
      <c r="L134" s="137">
        <v>47</v>
      </c>
      <c r="M134" s="137">
        <v>20</v>
      </c>
      <c r="N134" s="137">
        <v>67</v>
      </c>
      <c r="O134" s="137">
        <v>4</v>
      </c>
      <c r="P134" s="137">
        <v>0</v>
      </c>
      <c r="Q134" s="137">
        <v>4</v>
      </c>
      <c r="R134" s="137">
        <v>14</v>
      </c>
      <c r="S134" s="137">
        <v>12</v>
      </c>
      <c r="T134" s="137">
        <v>26</v>
      </c>
      <c r="U134" s="137">
        <v>25</v>
      </c>
      <c r="V134" s="137">
        <v>27</v>
      </c>
      <c r="W134" s="137">
        <v>52</v>
      </c>
      <c r="X134" s="137">
        <v>23</v>
      </c>
      <c r="Y134" s="137">
        <v>5</v>
      </c>
      <c r="Z134" s="137">
        <v>28</v>
      </c>
    </row>
    <row r="135" spans="1:26" ht="28">
      <c r="A135" s="251">
        <v>131</v>
      </c>
      <c r="B135" s="136" t="s">
        <v>467</v>
      </c>
      <c r="C135" s="137">
        <v>548</v>
      </c>
      <c r="D135" s="137">
        <v>883</v>
      </c>
      <c r="E135" s="137">
        <v>1431</v>
      </c>
      <c r="F135" s="137">
        <v>24</v>
      </c>
      <c r="G135" s="137">
        <v>54</v>
      </c>
      <c r="H135" s="137">
        <v>78</v>
      </c>
      <c r="I135" s="137">
        <v>21</v>
      </c>
      <c r="J135" s="137">
        <v>46</v>
      </c>
      <c r="K135" s="137">
        <v>67</v>
      </c>
      <c r="L135" s="137">
        <v>124</v>
      </c>
      <c r="M135" s="137">
        <v>221</v>
      </c>
      <c r="N135" s="137">
        <v>345</v>
      </c>
      <c r="O135" s="137">
        <v>1</v>
      </c>
      <c r="P135" s="137">
        <v>0</v>
      </c>
      <c r="Q135" s="137">
        <v>1</v>
      </c>
      <c r="R135" s="137">
        <v>42</v>
      </c>
      <c r="S135" s="137">
        <v>63</v>
      </c>
      <c r="T135" s="137">
        <v>105</v>
      </c>
      <c r="U135" s="137">
        <v>20</v>
      </c>
      <c r="V135" s="137">
        <v>50</v>
      </c>
      <c r="W135" s="137">
        <v>70</v>
      </c>
      <c r="X135" s="137">
        <v>1</v>
      </c>
      <c r="Y135" s="137">
        <v>3</v>
      </c>
      <c r="Z135" s="137">
        <v>4</v>
      </c>
    </row>
    <row r="136" spans="1:26" ht="28">
      <c r="A136" s="251">
        <v>132</v>
      </c>
      <c r="B136" s="136" t="s">
        <v>475</v>
      </c>
      <c r="C136" s="137">
        <v>588</v>
      </c>
      <c r="D136" s="137">
        <v>543</v>
      </c>
      <c r="E136" s="137">
        <v>1131</v>
      </c>
      <c r="F136" s="137">
        <v>55</v>
      </c>
      <c r="G136" s="137">
        <v>75</v>
      </c>
      <c r="H136" s="137">
        <v>130</v>
      </c>
      <c r="I136" s="137">
        <v>28</v>
      </c>
      <c r="J136" s="137">
        <v>27</v>
      </c>
      <c r="K136" s="137">
        <v>55</v>
      </c>
      <c r="L136" s="137">
        <v>202</v>
      </c>
      <c r="M136" s="137">
        <v>193</v>
      </c>
      <c r="N136" s="137">
        <v>395</v>
      </c>
      <c r="O136" s="137">
        <v>0</v>
      </c>
      <c r="P136" s="137">
        <v>1</v>
      </c>
      <c r="Q136" s="137">
        <v>1</v>
      </c>
      <c r="R136" s="137">
        <v>17</v>
      </c>
      <c r="S136" s="137">
        <v>33</v>
      </c>
      <c r="T136" s="137">
        <v>50</v>
      </c>
      <c r="U136" s="137">
        <v>12</v>
      </c>
      <c r="V136" s="137">
        <v>22</v>
      </c>
      <c r="W136" s="137">
        <v>34</v>
      </c>
      <c r="X136" s="137">
        <v>2</v>
      </c>
      <c r="Y136" s="137">
        <v>2</v>
      </c>
      <c r="Z136" s="137">
        <v>4</v>
      </c>
    </row>
    <row r="137" spans="1:26" ht="28">
      <c r="A137" s="251">
        <v>133</v>
      </c>
      <c r="B137" s="136" t="s">
        <v>464</v>
      </c>
      <c r="C137" s="137">
        <v>563</v>
      </c>
      <c r="D137" s="137">
        <v>560</v>
      </c>
      <c r="E137" s="137">
        <v>1123</v>
      </c>
      <c r="F137" s="137">
        <v>37</v>
      </c>
      <c r="G137" s="137">
        <v>62</v>
      </c>
      <c r="H137" s="137">
        <v>99</v>
      </c>
      <c r="I137" s="137">
        <v>24</v>
      </c>
      <c r="J137" s="137">
        <v>42</v>
      </c>
      <c r="K137" s="137">
        <v>66</v>
      </c>
      <c r="L137" s="137">
        <v>125</v>
      </c>
      <c r="M137" s="137">
        <v>129</v>
      </c>
      <c r="N137" s="137">
        <v>254</v>
      </c>
      <c r="O137" s="137">
        <v>0</v>
      </c>
      <c r="P137" s="137">
        <v>0</v>
      </c>
      <c r="Q137" s="137">
        <v>0</v>
      </c>
      <c r="R137" s="137">
        <v>44</v>
      </c>
      <c r="S137" s="137">
        <v>19</v>
      </c>
      <c r="T137" s="137">
        <v>63</v>
      </c>
      <c r="U137" s="137">
        <v>5</v>
      </c>
      <c r="V137" s="137">
        <v>6</v>
      </c>
      <c r="W137" s="137">
        <v>11</v>
      </c>
      <c r="X137" s="137">
        <v>16</v>
      </c>
      <c r="Y137" s="137">
        <v>5</v>
      </c>
      <c r="Z137" s="137">
        <v>21</v>
      </c>
    </row>
    <row r="138" spans="1:26" ht="56">
      <c r="A138" s="251">
        <v>134</v>
      </c>
      <c r="B138" s="136" t="s">
        <v>476</v>
      </c>
      <c r="C138" s="137">
        <v>512</v>
      </c>
      <c r="D138" s="137">
        <v>417</v>
      </c>
      <c r="E138" s="137">
        <v>929</v>
      </c>
      <c r="F138" s="137">
        <v>15</v>
      </c>
      <c r="G138" s="137">
        <v>43</v>
      </c>
      <c r="H138" s="137">
        <v>58</v>
      </c>
      <c r="I138" s="137">
        <v>13</v>
      </c>
      <c r="J138" s="137">
        <v>14</v>
      </c>
      <c r="K138" s="137">
        <v>27</v>
      </c>
      <c r="L138" s="137">
        <v>76</v>
      </c>
      <c r="M138" s="137">
        <v>118</v>
      </c>
      <c r="N138" s="137">
        <v>194</v>
      </c>
      <c r="O138" s="137">
        <v>0</v>
      </c>
      <c r="P138" s="137">
        <v>0</v>
      </c>
      <c r="Q138" s="137">
        <v>0</v>
      </c>
      <c r="R138" s="137">
        <v>42</v>
      </c>
      <c r="S138" s="137">
        <v>34</v>
      </c>
      <c r="T138" s="137">
        <v>76</v>
      </c>
      <c r="U138" s="137">
        <v>11</v>
      </c>
      <c r="V138" s="137">
        <v>19</v>
      </c>
      <c r="W138" s="137">
        <v>30</v>
      </c>
      <c r="X138" s="137">
        <v>3</v>
      </c>
      <c r="Y138" s="137">
        <v>1</v>
      </c>
      <c r="Z138" s="137">
        <v>4</v>
      </c>
    </row>
    <row r="139" spans="1:26" ht="28">
      <c r="A139" s="251">
        <v>135</v>
      </c>
      <c r="B139" s="136" t="s">
        <v>472</v>
      </c>
      <c r="C139" s="137">
        <v>269</v>
      </c>
      <c r="D139" s="137">
        <v>649</v>
      </c>
      <c r="E139" s="137">
        <v>918</v>
      </c>
      <c r="F139" s="137">
        <v>31</v>
      </c>
      <c r="G139" s="137">
        <v>59</v>
      </c>
      <c r="H139" s="137">
        <v>90</v>
      </c>
      <c r="I139" s="137">
        <v>1</v>
      </c>
      <c r="J139" s="137">
        <v>6</v>
      </c>
      <c r="K139" s="137">
        <v>7</v>
      </c>
      <c r="L139" s="137">
        <v>66</v>
      </c>
      <c r="M139" s="137">
        <v>104</v>
      </c>
      <c r="N139" s="137">
        <v>170</v>
      </c>
      <c r="O139" s="137">
        <v>0</v>
      </c>
      <c r="P139" s="137">
        <v>0</v>
      </c>
      <c r="Q139" s="137">
        <v>0</v>
      </c>
      <c r="R139" s="137">
        <v>2</v>
      </c>
      <c r="S139" s="137">
        <v>4</v>
      </c>
      <c r="T139" s="137">
        <v>6</v>
      </c>
      <c r="U139" s="137">
        <v>1</v>
      </c>
      <c r="V139" s="137">
        <v>20</v>
      </c>
      <c r="W139" s="137">
        <v>21</v>
      </c>
      <c r="X139" s="137">
        <v>0</v>
      </c>
      <c r="Y139" s="137">
        <v>0</v>
      </c>
      <c r="Z139" s="137">
        <v>0</v>
      </c>
    </row>
    <row r="140" spans="1:26" ht="28">
      <c r="A140" s="251">
        <v>136</v>
      </c>
      <c r="B140" s="136" t="s">
        <v>471</v>
      </c>
      <c r="C140" s="137">
        <v>496</v>
      </c>
      <c r="D140" s="137">
        <v>352</v>
      </c>
      <c r="E140" s="137">
        <v>848</v>
      </c>
      <c r="F140" s="137">
        <v>44</v>
      </c>
      <c r="G140" s="137">
        <v>46</v>
      </c>
      <c r="H140" s="137">
        <v>90</v>
      </c>
      <c r="I140" s="137">
        <v>13</v>
      </c>
      <c r="J140" s="137">
        <v>8</v>
      </c>
      <c r="K140" s="137">
        <v>21</v>
      </c>
      <c r="L140" s="137">
        <v>98</v>
      </c>
      <c r="M140" s="137">
        <v>55</v>
      </c>
      <c r="N140" s="137">
        <v>153</v>
      </c>
      <c r="O140" s="137">
        <v>3</v>
      </c>
      <c r="P140" s="137">
        <v>8</v>
      </c>
      <c r="Q140" s="137">
        <v>11</v>
      </c>
      <c r="R140" s="137">
        <v>3</v>
      </c>
      <c r="S140" s="137">
        <v>2</v>
      </c>
      <c r="T140" s="137">
        <v>5</v>
      </c>
      <c r="U140" s="137">
        <v>0</v>
      </c>
      <c r="V140" s="137">
        <v>0</v>
      </c>
      <c r="W140" s="137">
        <v>0</v>
      </c>
      <c r="X140" s="137">
        <v>0</v>
      </c>
      <c r="Y140" s="137">
        <v>0</v>
      </c>
      <c r="Z140" s="137">
        <v>0</v>
      </c>
    </row>
    <row r="141" spans="1:26">
      <c r="A141" s="251">
        <v>137</v>
      </c>
      <c r="B141" s="136" t="s">
        <v>488</v>
      </c>
      <c r="C141" s="137">
        <v>538</v>
      </c>
      <c r="D141" s="137">
        <v>267</v>
      </c>
      <c r="E141" s="137">
        <v>805</v>
      </c>
      <c r="F141" s="137">
        <v>100</v>
      </c>
      <c r="G141" s="137">
        <v>30</v>
      </c>
      <c r="H141" s="137">
        <v>130</v>
      </c>
      <c r="I141" s="137">
        <v>22</v>
      </c>
      <c r="J141" s="137">
        <v>13</v>
      </c>
      <c r="K141" s="137">
        <v>35</v>
      </c>
      <c r="L141" s="137">
        <v>213</v>
      </c>
      <c r="M141" s="137">
        <v>79</v>
      </c>
      <c r="N141" s="137">
        <v>292</v>
      </c>
      <c r="O141" s="137">
        <v>0</v>
      </c>
      <c r="P141" s="137">
        <v>0</v>
      </c>
      <c r="Q141" s="137">
        <v>0</v>
      </c>
      <c r="R141" s="137">
        <v>11</v>
      </c>
      <c r="S141" s="137">
        <v>18</v>
      </c>
      <c r="T141" s="137">
        <v>29</v>
      </c>
      <c r="U141" s="137">
        <v>6</v>
      </c>
      <c r="V141" s="137">
        <v>11</v>
      </c>
      <c r="W141" s="137">
        <v>17</v>
      </c>
      <c r="X141" s="137">
        <v>1</v>
      </c>
      <c r="Y141" s="137">
        <v>2</v>
      </c>
      <c r="Z141" s="137">
        <v>3</v>
      </c>
    </row>
    <row r="142" spans="1:26" ht="28">
      <c r="A142" s="251">
        <v>138</v>
      </c>
      <c r="B142" s="136" t="s">
        <v>470</v>
      </c>
      <c r="C142" s="137">
        <v>203</v>
      </c>
      <c r="D142" s="137">
        <v>482</v>
      </c>
      <c r="E142" s="137">
        <v>685</v>
      </c>
      <c r="F142" s="137">
        <v>23</v>
      </c>
      <c r="G142" s="137">
        <v>37</v>
      </c>
      <c r="H142" s="137">
        <v>60</v>
      </c>
      <c r="I142" s="137">
        <v>14</v>
      </c>
      <c r="J142" s="137">
        <v>14</v>
      </c>
      <c r="K142" s="137">
        <v>28</v>
      </c>
      <c r="L142" s="137">
        <v>70</v>
      </c>
      <c r="M142" s="137">
        <v>187</v>
      </c>
      <c r="N142" s="137">
        <v>257</v>
      </c>
      <c r="O142" s="137">
        <v>0</v>
      </c>
      <c r="P142" s="137">
        <v>0</v>
      </c>
      <c r="Q142" s="137">
        <v>0</v>
      </c>
      <c r="R142" s="137">
        <v>0</v>
      </c>
      <c r="S142" s="137">
        <v>14</v>
      </c>
      <c r="T142" s="137">
        <v>14</v>
      </c>
      <c r="U142" s="137">
        <v>0</v>
      </c>
      <c r="V142" s="137">
        <v>0</v>
      </c>
      <c r="W142" s="137">
        <v>0</v>
      </c>
      <c r="X142" s="137">
        <v>4</v>
      </c>
      <c r="Y142" s="137">
        <v>1</v>
      </c>
      <c r="Z142" s="137">
        <v>5</v>
      </c>
    </row>
    <row r="143" spans="1:26">
      <c r="A143" s="251">
        <v>139</v>
      </c>
      <c r="B143" s="136" t="s">
        <v>480</v>
      </c>
      <c r="C143" s="137">
        <v>391</v>
      </c>
      <c r="D143" s="137">
        <v>291</v>
      </c>
      <c r="E143" s="137">
        <v>682</v>
      </c>
      <c r="F143" s="137">
        <v>48</v>
      </c>
      <c r="G143" s="137">
        <v>20</v>
      </c>
      <c r="H143" s="137">
        <v>68</v>
      </c>
      <c r="I143" s="137">
        <v>18</v>
      </c>
      <c r="J143" s="137">
        <v>13</v>
      </c>
      <c r="K143" s="137">
        <v>31</v>
      </c>
      <c r="L143" s="137">
        <v>72</v>
      </c>
      <c r="M143" s="137">
        <v>38</v>
      </c>
      <c r="N143" s="137">
        <v>110</v>
      </c>
      <c r="O143" s="137">
        <v>2</v>
      </c>
      <c r="P143" s="137">
        <v>0</v>
      </c>
      <c r="Q143" s="137">
        <v>2</v>
      </c>
      <c r="R143" s="137">
        <v>2</v>
      </c>
      <c r="S143" s="137">
        <v>2</v>
      </c>
      <c r="T143" s="137">
        <v>4</v>
      </c>
      <c r="U143" s="137">
        <v>0</v>
      </c>
      <c r="V143" s="137">
        <v>10</v>
      </c>
      <c r="W143" s="137">
        <v>10</v>
      </c>
      <c r="X143" s="137">
        <v>0</v>
      </c>
      <c r="Y143" s="137">
        <v>0</v>
      </c>
      <c r="Z143" s="137">
        <v>0</v>
      </c>
    </row>
    <row r="144" spans="1:26" ht="28">
      <c r="A144" s="251">
        <v>140</v>
      </c>
      <c r="B144" s="136" t="s">
        <v>473</v>
      </c>
      <c r="C144" s="137">
        <v>284</v>
      </c>
      <c r="D144" s="137">
        <v>389</v>
      </c>
      <c r="E144" s="137">
        <v>673</v>
      </c>
      <c r="F144" s="137">
        <v>20</v>
      </c>
      <c r="G144" s="137">
        <v>33</v>
      </c>
      <c r="H144" s="137">
        <v>53</v>
      </c>
      <c r="I144" s="137">
        <v>11</v>
      </c>
      <c r="J144" s="137">
        <v>4</v>
      </c>
      <c r="K144" s="137">
        <v>15</v>
      </c>
      <c r="L144" s="137">
        <v>42</v>
      </c>
      <c r="M144" s="137">
        <v>40</v>
      </c>
      <c r="N144" s="137">
        <v>82</v>
      </c>
      <c r="O144" s="137">
        <v>0</v>
      </c>
      <c r="P144" s="137">
        <v>0</v>
      </c>
      <c r="Q144" s="137">
        <v>0</v>
      </c>
      <c r="R144" s="137">
        <v>5</v>
      </c>
      <c r="S144" s="137">
        <v>10</v>
      </c>
      <c r="T144" s="137">
        <v>15</v>
      </c>
      <c r="U144" s="137">
        <v>1</v>
      </c>
      <c r="V144" s="137">
        <v>6</v>
      </c>
      <c r="W144" s="137">
        <v>7</v>
      </c>
      <c r="X144" s="137">
        <v>0</v>
      </c>
      <c r="Y144" s="137">
        <v>0</v>
      </c>
      <c r="Z144" s="137">
        <v>0</v>
      </c>
    </row>
    <row r="145" spans="1:26" ht="28">
      <c r="A145" s="251">
        <v>141</v>
      </c>
      <c r="B145" s="136" t="s">
        <v>477</v>
      </c>
      <c r="C145" s="137">
        <v>140</v>
      </c>
      <c r="D145" s="137">
        <v>508</v>
      </c>
      <c r="E145" s="137">
        <v>648</v>
      </c>
      <c r="F145" s="137">
        <v>8</v>
      </c>
      <c r="G145" s="137">
        <v>15</v>
      </c>
      <c r="H145" s="137">
        <v>23</v>
      </c>
      <c r="I145" s="137">
        <v>5</v>
      </c>
      <c r="J145" s="137">
        <v>7</v>
      </c>
      <c r="K145" s="137">
        <v>12</v>
      </c>
      <c r="L145" s="137">
        <v>42</v>
      </c>
      <c r="M145" s="137">
        <v>169</v>
      </c>
      <c r="N145" s="137">
        <v>211</v>
      </c>
      <c r="O145" s="137">
        <v>0</v>
      </c>
      <c r="P145" s="137">
        <v>0</v>
      </c>
      <c r="Q145" s="137">
        <v>0</v>
      </c>
      <c r="R145" s="137">
        <v>9</v>
      </c>
      <c r="S145" s="137">
        <v>41</v>
      </c>
      <c r="T145" s="137">
        <v>50</v>
      </c>
      <c r="U145" s="137">
        <v>11</v>
      </c>
      <c r="V145" s="137">
        <v>53</v>
      </c>
      <c r="W145" s="137">
        <v>64</v>
      </c>
      <c r="X145" s="137">
        <v>0</v>
      </c>
      <c r="Y145" s="137">
        <v>7</v>
      </c>
      <c r="Z145" s="137">
        <v>7</v>
      </c>
    </row>
    <row r="146" spans="1:26" ht="28">
      <c r="A146" s="251">
        <v>142</v>
      </c>
      <c r="B146" s="136" t="s">
        <v>484</v>
      </c>
      <c r="C146" s="137">
        <v>451</v>
      </c>
      <c r="D146" s="137">
        <v>189</v>
      </c>
      <c r="E146" s="137">
        <v>640</v>
      </c>
      <c r="F146" s="137">
        <v>44</v>
      </c>
      <c r="G146" s="137">
        <v>25</v>
      </c>
      <c r="H146" s="137">
        <v>69</v>
      </c>
      <c r="I146" s="137">
        <v>26</v>
      </c>
      <c r="J146" s="137">
        <v>17</v>
      </c>
      <c r="K146" s="137">
        <v>43</v>
      </c>
      <c r="L146" s="137">
        <v>117</v>
      </c>
      <c r="M146" s="137">
        <v>30</v>
      </c>
      <c r="N146" s="137">
        <v>147</v>
      </c>
      <c r="O146" s="137">
        <v>0</v>
      </c>
      <c r="P146" s="137">
        <v>0</v>
      </c>
      <c r="Q146" s="137">
        <v>0</v>
      </c>
      <c r="R146" s="137">
        <v>49</v>
      </c>
      <c r="S146" s="137">
        <v>21</v>
      </c>
      <c r="T146" s="137">
        <v>70</v>
      </c>
      <c r="U146" s="137">
        <v>2</v>
      </c>
      <c r="V146" s="137">
        <v>10</v>
      </c>
      <c r="W146" s="137">
        <v>12</v>
      </c>
      <c r="X146" s="137">
        <v>6</v>
      </c>
      <c r="Y146" s="137">
        <v>2</v>
      </c>
      <c r="Z146" s="137">
        <v>8</v>
      </c>
    </row>
    <row r="147" spans="1:26" ht="28">
      <c r="A147" s="251">
        <v>143</v>
      </c>
      <c r="B147" s="136" t="s">
        <v>479</v>
      </c>
      <c r="C147" s="137">
        <v>158</v>
      </c>
      <c r="D147" s="137">
        <v>462</v>
      </c>
      <c r="E147" s="137">
        <v>620</v>
      </c>
      <c r="F147" s="137">
        <v>28</v>
      </c>
      <c r="G147" s="137">
        <v>28</v>
      </c>
      <c r="H147" s="137">
        <v>56</v>
      </c>
      <c r="I147" s="137">
        <v>1</v>
      </c>
      <c r="J147" s="137">
        <v>9</v>
      </c>
      <c r="K147" s="137">
        <v>10</v>
      </c>
      <c r="L147" s="137">
        <v>25</v>
      </c>
      <c r="M147" s="137">
        <v>73</v>
      </c>
      <c r="N147" s="137">
        <v>98</v>
      </c>
      <c r="O147" s="137">
        <v>0</v>
      </c>
      <c r="P147" s="137">
        <v>0</v>
      </c>
      <c r="Q147" s="137">
        <v>0</v>
      </c>
      <c r="R147" s="137">
        <v>1</v>
      </c>
      <c r="S147" s="137">
        <v>9</v>
      </c>
      <c r="T147" s="137">
        <v>10</v>
      </c>
      <c r="U147" s="137">
        <v>1</v>
      </c>
      <c r="V147" s="137">
        <v>7</v>
      </c>
      <c r="W147" s="137">
        <v>8</v>
      </c>
      <c r="X147" s="137">
        <v>0</v>
      </c>
      <c r="Y147" s="137">
        <v>0</v>
      </c>
      <c r="Z147" s="137">
        <v>0</v>
      </c>
    </row>
    <row r="148" spans="1:26">
      <c r="A148" s="251">
        <v>144</v>
      </c>
      <c r="B148" s="136" t="s">
        <v>506</v>
      </c>
      <c r="C148" s="137">
        <v>337</v>
      </c>
      <c r="D148" s="137">
        <v>220</v>
      </c>
      <c r="E148" s="137">
        <v>557</v>
      </c>
      <c r="F148" s="137">
        <v>22</v>
      </c>
      <c r="G148" s="137">
        <v>17</v>
      </c>
      <c r="H148" s="137">
        <v>39</v>
      </c>
      <c r="I148" s="137">
        <v>17</v>
      </c>
      <c r="J148" s="137">
        <v>39</v>
      </c>
      <c r="K148" s="137">
        <v>56</v>
      </c>
      <c r="L148" s="137">
        <v>86</v>
      </c>
      <c r="M148" s="137">
        <v>72</v>
      </c>
      <c r="N148" s="137">
        <v>158</v>
      </c>
      <c r="O148" s="137">
        <v>0</v>
      </c>
      <c r="P148" s="137">
        <v>0</v>
      </c>
      <c r="Q148" s="137">
        <v>0</v>
      </c>
      <c r="R148" s="137">
        <v>25</v>
      </c>
      <c r="S148" s="137">
        <v>15</v>
      </c>
      <c r="T148" s="137">
        <v>40</v>
      </c>
      <c r="U148" s="137">
        <v>0</v>
      </c>
      <c r="V148" s="137">
        <v>2</v>
      </c>
      <c r="W148" s="137">
        <v>2</v>
      </c>
      <c r="X148" s="137">
        <v>6</v>
      </c>
      <c r="Y148" s="137">
        <v>1</v>
      </c>
      <c r="Z148" s="137">
        <v>7</v>
      </c>
    </row>
    <row r="149" spans="1:26" ht="28">
      <c r="A149" s="251">
        <v>145</v>
      </c>
      <c r="B149" s="136" t="s">
        <v>497</v>
      </c>
      <c r="C149" s="137">
        <v>472</v>
      </c>
      <c r="D149" s="137">
        <v>65</v>
      </c>
      <c r="E149" s="137">
        <v>537</v>
      </c>
      <c r="F149" s="137">
        <v>3</v>
      </c>
      <c r="G149" s="137">
        <v>2</v>
      </c>
      <c r="H149" s="137">
        <v>5</v>
      </c>
      <c r="I149" s="137">
        <v>0</v>
      </c>
      <c r="J149" s="137">
        <v>2</v>
      </c>
      <c r="K149" s="137">
        <v>2</v>
      </c>
      <c r="L149" s="137">
        <v>6</v>
      </c>
      <c r="M149" s="137">
        <v>9</v>
      </c>
      <c r="N149" s="137">
        <v>15</v>
      </c>
      <c r="O149" s="137">
        <v>0</v>
      </c>
      <c r="P149" s="137">
        <v>0</v>
      </c>
      <c r="Q149" s="137">
        <v>0</v>
      </c>
      <c r="R149" s="137">
        <v>8</v>
      </c>
      <c r="S149" s="137">
        <v>17</v>
      </c>
      <c r="T149" s="137">
        <v>25</v>
      </c>
      <c r="U149" s="137">
        <v>0</v>
      </c>
      <c r="V149" s="137">
        <v>0</v>
      </c>
      <c r="W149" s="137">
        <v>0</v>
      </c>
      <c r="X149" s="137">
        <v>0</v>
      </c>
      <c r="Y149" s="137">
        <v>0</v>
      </c>
      <c r="Z149" s="137">
        <v>0</v>
      </c>
    </row>
    <row r="150" spans="1:26">
      <c r="A150" s="251">
        <v>146</v>
      </c>
      <c r="B150" s="136" t="s">
        <v>482</v>
      </c>
      <c r="C150" s="137">
        <v>175</v>
      </c>
      <c r="D150" s="137">
        <v>351</v>
      </c>
      <c r="E150" s="137">
        <v>526</v>
      </c>
      <c r="F150" s="137">
        <v>15</v>
      </c>
      <c r="G150" s="137">
        <v>19</v>
      </c>
      <c r="H150" s="137">
        <v>34</v>
      </c>
      <c r="I150" s="137">
        <v>36</v>
      </c>
      <c r="J150" s="137">
        <v>35</v>
      </c>
      <c r="K150" s="137">
        <v>71</v>
      </c>
      <c r="L150" s="137">
        <v>18</v>
      </c>
      <c r="M150" s="137">
        <v>15</v>
      </c>
      <c r="N150" s="137">
        <v>33</v>
      </c>
      <c r="O150" s="137">
        <v>1</v>
      </c>
      <c r="P150" s="137">
        <v>0</v>
      </c>
      <c r="Q150" s="137">
        <v>1</v>
      </c>
      <c r="R150" s="137">
        <v>1</v>
      </c>
      <c r="S150" s="137">
        <v>0</v>
      </c>
      <c r="T150" s="137">
        <v>1</v>
      </c>
      <c r="U150" s="137">
        <v>8</v>
      </c>
      <c r="V150" s="137">
        <v>13</v>
      </c>
      <c r="W150" s="137">
        <v>21</v>
      </c>
      <c r="X150" s="137">
        <v>1</v>
      </c>
      <c r="Y150" s="137">
        <v>1</v>
      </c>
      <c r="Z150" s="137">
        <v>2</v>
      </c>
    </row>
    <row r="151" spans="1:26">
      <c r="A151" s="251">
        <v>147</v>
      </c>
      <c r="B151" s="136" t="s">
        <v>486</v>
      </c>
      <c r="C151" s="137">
        <v>302</v>
      </c>
      <c r="D151" s="137">
        <v>185</v>
      </c>
      <c r="E151" s="137">
        <v>487</v>
      </c>
      <c r="F151" s="137">
        <v>38</v>
      </c>
      <c r="G151" s="137">
        <v>20</v>
      </c>
      <c r="H151" s="137">
        <v>58</v>
      </c>
      <c r="I151" s="137">
        <v>3</v>
      </c>
      <c r="J151" s="137">
        <v>0</v>
      </c>
      <c r="K151" s="137">
        <v>3</v>
      </c>
      <c r="L151" s="137">
        <v>33</v>
      </c>
      <c r="M151" s="137">
        <v>14</v>
      </c>
      <c r="N151" s="137">
        <v>47</v>
      </c>
      <c r="O151" s="137">
        <v>1</v>
      </c>
      <c r="P151" s="137">
        <v>0</v>
      </c>
      <c r="Q151" s="137">
        <v>1</v>
      </c>
      <c r="R151" s="137">
        <v>12</v>
      </c>
      <c r="S151" s="137">
        <v>10</v>
      </c>
      <c r="T151" s="137">
        <v>22</v>
      </c>
      <c r="U151" s="137">
        <v>12</v>
      </c>
      <c r="V151" s="137">
        <v>12</v>
      </c>
      <c r="W151" s="137">
        <v>24</v>
      </c>
      <c r="X151" s="137">
        <v>11</v>
      </c>
      <c r="Y151" s="137">
        <v>1</v>
      </c>
      <c r="Z151" s="137">
        <v>12</v>
      </c>
    </row>
    <row r="152" spans="1:26" ht="28">
      <c r="A152" s="251">
        <v>148</v>
      </c>
      <c r="B152" s="136" t="s">
        <v>485</v>
      </c>
      <c r="C152" s="137">
        <v>102</v>
      </c>
      <c r="D152" s="137">
        <v>305</v>
      </c>
      <c r="E152" s="137">
        <v>407</v>
      </c>
      <c r="F152" s="137">
        <v>13</v>
      </c>
      <c r="G152" s="137">
        <v>38</v>
      </c>
      <c r="H152" s="137">
        <v>51</v>
      </c>
      <c r="I152" s="137">
        <v>1</v>
      </c>
      <c r="J152" s="137">
        <v>0</v>
      </c>
      <c r="K152" s="137">
        <v>1</v>
      </c>
      <c r="L152" s="137">
        <v>64</v>
      </c>
      <c r="M152" s="137">
        <v>198</v>
      </c>
      <c r="N152" s="137">
        <v>262</v>
      </c>
      <c r="O152" s="137">
        <v>1</v>
      </c>
      <c r="P152" s="137">
        <v>1</v>
      </c>
      <c r="Q152" s="137">
        <v>2</v>
      </c>
      <c r="R152" s="137">
        <v>3</v>
      </c>
      <c r="S152" s="137">
        <v>8</v>
      </c>
      <c r="T152" s="137">
        <v>11</v>
      </c>
      <c r="U152" s="137">
        <v>2</v>
      </c>
      <c r="V152" s="137">
        <v>5</v>
      </c>
      <c r="W152" s="137">
        <v>7</v>
      </c>
      <c r="X152" s="137">
        <v>0</v>
      </c>
      <c r="Y152" s="137">
        <v>0</v>
      </c>
      <c r="Z152" s="137">
        <v>0</v>
      </c>
    </row>
    <row r="153" spans="1:26">
      <c r="A153" s="251">
        <v>149</v>
      </c>
      <c r="B153" s="136" t="s">
        <v>487</v>
      </c>
      <c r="C153" s="137">
        <v>235</v>
      </c>
      <c r="D153" s="137">
        <v>151</v>
      </c>
      <c r="E153" s="137">
        <v>386</v>
      </c>
      <c r="F153" s="137">
        <v>1</v>
      </c>
      <c r="G153" s="137">
        <v>2</v>
      </c>
      <c r="H153" s="137">
        <v>3</v>
      </c>
      <c r="I153" s="137">
        <v>3</v>
      </c>
      <c r="J153" s="137">
        <v>1</v>
      </c>
      <c r="K153" s="137">
        <v>4</v>
      </c>
      <c r="L153" s="137">
        <v>4</v>
      </c>
      <c r="M153" s="137">
        <v>6</v>
      </c>
      <c r="N153" s="137">
        <v>10</v>
      </c>
      <c r="O153" s="137">
        <v>0</v>
      </c>
      <c r="P153" s="137">
        <v>0</v>
      </c>
      <c r="Q153" s="137">
        <v>0</v>
      </c>
      <c r="R153" s="137">
        <v>0</v>
      </c>
      <c r="S153" s="137">
        <v>0</v>
      </c>
      <c r="T153" s="137">
        <v>0</v>
      </c>
      <c r="U153" s="137">
        <v>0</v>
      </c>
      <c r="V153" s="137">
        <v>0</v>
      </c>
      <c r="W153" s="137">
        <v>0</v>
      </c>
      <c r="X153" s="137">
        <v>0</v>
      </c>
      <c r="Y153" s="137">
        <v>0</v>
      </c>
      <c r="Z153" s="137">
        <v>0</v>
      </c>
    </row>
    <row r="154" spans="1:26" ht="28">
      <c r="A154" s="251">
        <v>150</v>
      </c>
      <c r="B154" s="136" t="s">
        <v>483</v>
      </c>
      <c r="C154" s="137">
        <v>118</v>
      </c>
      <c r="D154" s="137">
        <v>245</v>
      </c>
      <c r="E154" s="137">
        <v>363</v>
      </c>
      <c r="F154" s="137">
        <v>9</v>
      </c>
      <c r="G154" s="137">
        <v>22</v>
      </c>
      <c r="H154" s="137">
        <v>31</v>
      </c>
      <c r="I154" s="137">
        <v>5</v>
      </c>
      <c r="J154" s="137">
        <v>7</v>
      </c>
      <c r="K154" s="137">
        <v>12</v>
      </c>
      <c r="L154" s="137">
        <v>47</v>
      </c>
      <c r="M154" s="137">
        <v>100</v>
      </c>
      <c r="N154" s="137">
        <v>147</v>
      </c>
      <c r="O154" s="137">
        <v>0</v>
      </c>
      <c r="P154" s="137">
        <v>0</v>
      </c>
      <c r="Q154" s="137">
        <v>0</v>
      </c>
      <c r="R154" s="137">
        <v>0</v>
      </c>
      <c r="S154" s="137">
        <v>1</v>
      </c>
      <c r="T154" s="137">
        <v>1</v>
      </c>
      <c r="U154" s="137">
        <v>0</v>
      </c>
      <c r="V154" s="137">
        <v>0</v>
      </c>
      <c r="W154" s="137">
        <v>0</v>
      </c>
      <c r="X154" s="137">
        <v>0</v>
      </c>
      <c r="Y154" s="137">
        <v>0</v>
      </c>
      <c r="Z154" s="137">
        <v>0</v>
      </c>
    </row>
    <row r="155" spans="1:26" ht="28">
      <c r="A155" s="251">
        <v>151</v>
      </c>
      <c r="B155" s="136" t="s">
        <v>478</v>
      </c>
      <c r="C155" s="137">
        <v>248</v>
      </c>
      <c r="D155" s="137">
        <v>109</v>
      </c>
      <c r="E155" s="137">
        <v>357</v>
      </c>
      <c r="F155" s="137">
        <v>25</v>
      </c>
      <c r="G155" s="137">
        <v>14</v>
      </c>
      <c r="H155" s="137">
        <v>39</v>
      </c>
      <c r="I155" s="137">
        <v>13</v>
      </c>
      <c r="J155" s="137">
        <v>9</v>
      </c>
      <c r="K155" s="137">
        <v>22</v>
      </c>
      <c r="L155" s="137">
        <v>64</v>
      </c>
      <c r="M155" s="137">
        <v>27</v>
      </c>
      <c r="N155" s="137">
        <v>91</v>
      </c>
      <c r="O155" s="137">
        <v>0</v>
      </c>
      <c r="P155" s="137">
        <v>0</v>
      </c>
      <c r="Q155" s="137">
        <v>0</v>
      </c>
      <c r="R155" s="137">
        <v>10</v>
      </c>
      <c r="S155" s="137">
        <v>0</v>
      </c>
      <c r="T155" s="137">
        <v>10</v>
      </c>
      <c r="U155" s="137">
        <v>5</v>
      </c>
      <c r="V155" s="137">
        <v>5</v>
      </c>
      <c r="W155" s="137">
        <v>10</v>
      </c>
      <c r="X155" s="137">
        <v>0</v>
      </c>
      <c r="Y155" s="137">
        <v>0</v>
      </c>
      <c r="Z155" s="137">
        <v>0</v>
      </c>
    </row>
    <row r="156" spans="1:26" ht="28">
      <c r="A156" s="251">
        <v>152</v>
      </c>
      <c r="B156" s="136" t="s">
        <v>491</v>
      </c>
      <c r="C156" s="137">
        <v>143</v>
      </c>
      <c r="D156" s="137">
        <v>51</v>
      </c>
      <c r="E156" s="137">
        <v>194</v>
      </c>
      <c r="F156" s="137">
        <v>5</v>
      </c>
      <c r="G156" s="137">
        <v>6</v>
      </c>
      <c r="H156" s="137">
        <v>11</v>
      </c>
      <c r="I156" s="137">
        <v>2</v>
      </c>
      <c r="J156" s="137">
        <v>0</v>
      </c>
      <c r="K156" s="137">
        <v>2</v>
      </c>
      <c r="L156" s="137">
        <v>15</v>
      </c>
      <c r="M156" s="137">
        <v>10</v>
      </c>
      <c r="N156" s="137">
        <v>25</v>
      </c>
      <c r="O156" s="137">
        <v>0</v>
      </c>
      <c r="P156" s="137">
        <v>0</v>
      </c>
      <c r="Q156" s="137">
        <v>0</v>
      </c>
      <c r="R156" s="137">
        <v>0</v>
      </c>
      <c r="S156" s="137">
        <v>0</v>
      </c>
      <c r="T156" s="137">
        <v>0</v>
      </c>
      <c r="U156" s="137">
        <v>0</v>
      </c>
      <c r="V156" s="137">
        <v>0</v>
      </c>
      <c r="W156" s="137">
        <v>0</v>
      </c>
      <c r="X156" s="137">
        <v>1</v>
      </c>
      <c r="Y156" s="137">
        <v>2</v>
      </c>
      <c r="Z156" s="137">
        <v>3</v>
      </c>
    </row>
    <row r="157" spans="1:26" ht="28">
      <c r="A157" s="251">
        <v>153</v>
      </c>
      <c r="B157" s="136" t="s">
        <v>496</v>
      </c>
      <c r="C157" s="137">
        <v>59</v>
      </c>
      <c r="D157" s="137">
        <v>132</v>
      </c>
      <c r="E157" s="137">
        <v>191</v>
      </c>
      <c r="F157" s="137">
        <v>3</v>
      </c>
      <c r="G157" s="137">
        <v>18</v>
      </c>
      <c r="H157" s="137">
        <v>21</v>
      </c>
      <c r="I157" s="137">
        <v>5</v>
      </c>
      <c r="J157" s="137">
        <v>5</v>
      </c>
      <c r="K157" s="137">
        <v>10</v>
      </c>
      <c r="L157" s="137">
        <v>15</v>
      </c>
      <c r="M157" s="137">
        <v>24</v>
      </c>
      <c r="N157" s="137">
        <v>39</v>
      </c>
      <c r="O157" s="137">
        <v>0</v>
      </c>
      <c r="P157" s="137">
        <v>0</v>
      </c>
      <c r="Q157" s="137">
        <v>0</v>
      </c>
      <c r="R157" s="137">
        <v>2</v>
      </c>
      <c r="S157" s="137">
        <v>2</v>
      </c>
      <c r="T157" s="137">
        <v>4</v>
      </c>
      <c r="U157" s="137">
        <v>0</v>
      </c>
      <c r="V157" s="137">
        <v>0</v>
      </c>
      <c r="W157" s="137">
        <v>0</v>
      </c>
      <c r="X157" s="137">
        <v>0</v>
      </c>
      <c r="Y157" s="137">
        <v>6</v>
      </c>
      <c r="Z157" s="137">
        <v>6</v>
      </c>
    </row>
    <row r="158" spans="1:26" ht="28">
      <c r="A158" s="251">
        <v>154</v>
      </c>
      <c r="B158" s="136" t="s">
        <v>490</v>
      </c>
      <c r="C158" s="137">
        <v>126</v>
      </c>
      <c r="D158" s="137">
        <v>60</v>
      </c>
      <c r="E158" s="137">
        <v>186</v>
      </c>
      <c r="F158" s="137">
        <v>9</v>
      </c>
      <c r="G158" s="137">
        <v>10</v>
      </c>
      <c r="H158" s="137">
        <v>19</v>
      </c>
      <c r="I158" s="137">
        <v>7</v>
      </c>
      <c r="J158" s="137">
        <v>0</v>
      </c>
      <c r="K158" s="137">
        <v>7</v>
      </c>
      <c r="L158" s="137">
        <v>87</v>
      </c>
      <c r="M158" s="137">
        <v>17</v>
      </c>
      <c r="N158" s="137">
        <v>104</v>
      </c>
      <c r="O158" s="137">
        <v>0</v>
      </c>
      <c r="P158" s="137">
        <v>0</v>
      </c>
      <c r="Q158" s="137">
        <v>0</v>
      </c>
      <c r="R158" s="137">
        <v>0</v>
      </c>
      <c r="S158" s="137">
        <v>0</v>
      </c>
      <c r="T158" s="137">
        <v>0</v>
      </c>
      <c r="U158" s="137">
        <v>0</v>
      </c>
      <c r="V158" s="137">
        <v>1</v>
      </c>
      <c r="W158" s="137">
        <v>1</v>
      </c>
      <c r="X158" s="137">
        <v>0</v>
      </c>
      <c r="Y158" s="137">
        <v>0</v>
      </c>
      <c r="Z158" s="137">
        <v>0</v>
      </c>
    </row>
    <row r="159" spans="1:26" ht="28">
      <c r="A159" s="251">
        <v>155</v>
      </c>
      <c r="B159" s="136" t="s">
        <v>493</v>
      </c>
      <c r="C159" s="137">
        <v>98</v>
      </c>
      <c r="D159" s="137">
        <v>78</v>
      </c>
      <c r="E159" s="137">
        <v>176</v>
      </c>
      <c r="F159" s="137">
        <v>1</v>
      </c>
      <c r="G159" s="137">
        <v>0</v>
      </c>
      <c r="H159" s="137">
        <v>1</v>
      </c>
      <c r="I159" s="137">
        <v>1</v>
      </c>
      <c r="J159" s="137">
        <v>3</v>
      </c>
      <c r="K159" s="137">
        <v>4</v>
      </c>
      <c r="L159" s="137">
        <v>7</v>
      </c>
      <c r="M159" s="137">
        <v>11</v>
      </c>
      <c r="N159" s="137">
        <v>18</v>
      </c>
      <c r="O159" s="137">
        <v>0</v>
      </c>
      <c r="P159" s="137">
        <v>0</v>
      </c>
      <c r="Q159" s="137">
        <v>0</v>
      </c>
      <c r="R159" s="137">
        <v>0</v>
      </c>
      <c r="S159" s="137">
        <v>3</v>
      </c>
      <c r="T159" s="137">
        <v>3</v>
      </c>
      <c r="U159" s="137">
        <v>1</v>
      </c>
      <c r="V159" s="137">
        <v>3</v>
      </c>
      <c r="W159" s="137">
        <v>4</v>
      </c>
      <c r="X159" s="137">
        <v>0</v>
      </c>
      <c r="Y159" s="137">
        <v>0</v>
      </c>
      <c r="Z159" s="137">
        <v>0</v>
      </c>
    </row>
    <row r="160" spans="1:26">
      <c r="A160" s="251">
        <v>156</v>
      </c>
      <c r="B160" s="136" t="s">
        <v>901</v>
      </c>
      <c r="C160" s="137">
        <v>14</v>
      </c>
      <c r="D160" s="137">
        <v>157</v>
      </c>
      <c r="E160" s="137">
        <v>171</v>
      </c>
      <c r="F160" s="137">
        <v>2</v>
      </c>
      <c r="G160" s="137">
        <v>17</v>
      </c>
      <c r="H160" s="137">
        <v>19</v>
      </c>
      <c r="I160" s="137">
        <v>0</v>
      </c>
      <c r="J160" s="137">
        <v>7</v>
      </c>
      <c r="K160" s="137">
        <v>7</v>
      </c>
      <c r="L160" s="137">
        <v>2</v>
      </c>
      <c r="M160" s="137">
        <v>26</v>
      </c>
      <c r="N160" s="137">
        <v>28</v>
      </c>
      <c r="O160" s="137">
        <v>0</v>
      </c>
      <c r="P160" s="137">
        <v>0</v>
      </c>
      <c r="Q160" s="137">
        <v>0</v>
      </c>
      <c r="R160" s="137">
        <v>0</v>
      </c>
      <c r="S160" s="137">
        <v>3</v>
      </c>
      <c r="T160" s="137">
        <v>3</v>
      </c>
      <c r="U160" s="137">
        <v>1</v>
      </c>
      <c r="V160" s="137">
        <v>4</v>
      </c>
      <c r="W160" s="137">
        <v>5</v>
      </c>
      <c r="X160" s="137">
        <v>0</v>
      </c>
      <c r="Y160" s="137">
        <v>2</v>
      </c>
      <c r="Z160" s="137">
        <v>2</v>
      </c>
    </row>
    <row r="161" spans="1:26">
      <c r="A161" s="251">
        <v>157</v>
      </c>
      <c r="B161" s="136" t="s">
        <v>902</v>
      </c>
      <c r="C161" s="137">
        <v>101</v>
      </c>
      <c r="D161" s="137">
        <v>68</v>
      </c>
      <c r="E161" s="137">
        <v>169</v>
      </c>
      <c r="F161" s="137">
        <v>0</v>
      </c>
      <c r="G161" s="137">
        <v>2</v>
      </c>
      <c r="H161" s="137">
        <v>2</v>
      </c>
      <c r="I161" s="137">
        <v>0</v>
      </c>
      <c r="J161" s="137">
        <v>1</v>
      </c>
      <c r="K161" s="137">
        <v>1</v>
      </c>
      <c r="L161" s="137">
        <v>55</v>
      </c>
      <c r="M161" s="137">
        <v>26</v>
      </c>
      <c r="N161" s="137">
        <v>81</v>
      </c>
      <c r="O161" s="137">
        <v>0</v>
      </c>
      <c r="P161" s="137">
        <v>0</v>
      </c>
      <c r="Q161" s="137">
        <v>0</v>
      </c>
      <c r="R161" s="137">
        <v>38</v>
      </c>
      <c r="S161" s="137">
        <v>14</v>
      </c>
      <c r="T161" s="137">
        <v>52</v>
      </c>
      <c r="U161" s="137">
        <v>7</v>
      </c>
      <c r="V161" s="137">
        <v>9</v>
      </c>
      <c r="W161" s="137">
        <v>16</v>
      </c>
      <c r="X161" s="137">
        <v>0</v>
      </c>
      <c r="Y161" s="137">
        <v>0</v>
      </c>
      <c r="Z161" s="137">
        <v>0</v>
      </c>
    </row>
    <row r="162" spans="1:26">
      <c r="A162" s="251">
        <v>158</v>
      </c>
      <c r="B162" s="136" t="s">
        <v>492</v>
      </c>
      <c r="C162" s="137">
        <v>103</v>
      </c>
      <c r="D162" s="137">
        <v>42</v>
      </c>
      <c r="E162" s="137">
        <v>145</v>
      </c>
      <c r="F162" s="137">
        <v>28</v>
      </c>
      <c r="G162" s="137">
        <v>12</v>
      </c>
      <c r="H162" s="137">
        <v>40</v>
      </c>
      <c r="I162" s="137">
        <v>5</v>
      </c>
      <c r="J162" s="137">
        <v>5</v>
      </c>
      <c r="K162" s="137">
        <v>10</v>
      </c>
      <c r="L162" s="137">
        <v>58</v>
      </c>
      <c r="M162" s="137">
        <v>19</v>
      </c>
      <c r="N162" s="137">
        <v>77</v>
      </c>
      <c r="O162" s="137">
        <v>1</v>
      </c>
      <c r="P162" s="137">
        <v>0</v>
      </c>
      <c r="Q162" s="137">
        <v>1</v>
      </c>
      <c r="R162" s="137">
        <v>0</v>
      </c>
      <c r="S162" s="137">
        <v>0</v>
      </c>
      <c r="T162" s="137">
        <v>0</v>
      </c>
      <c r="U162" s="137">
        <v>0</v>
      </c>
      <c r="V162" s="137">
        <v>0</v>
      </c>
      <c r="W162" s="137">
        <v>0</v>
      </c>
      <c r="X162" s="137">
        <v>0</v>
      </c>
      <c r="Y162" s="137">
        <v>1</v>
      </c>
      <c r="Z162" s="137">
        <v>1</v>
      </c>
    </row>
    <row r="163" spans="1:26" ht="42">
      <c r="A163" s="251">
        <v>159</v>
      </c>
      <c r="B163" s="136" t="s">
        <v>489</v>
      </c>
      <c r="C163" s="137">
        <v>43</v>
      </c>
      <c r="D163" s="137">
        <v>87</v>
      </c>
      <c r="E163" s="137">
        <v>130</v>
      </c>
      <c r="F163" s="137">
        <v>3</v>
      </c>
      <c r="G163" s="137">
        <v>3</v>
      </c>
      <c r="H163" s="137">
        <v>6</v>
      </c>
      <c r="I163" s="137">
        <v>0</v>
      </c>
      <c r="J163" s="137">
        <v>1</v>
      </c>
      <c r="K163" s="137">
        <v>1</v>
      </c>
      <c r="L163" s="137">
        <v>11</v>
      </c>
      <c r="M163" s="137">
        <v>25</v>
      </c>
      <c r="N163" s="137">
        <v>36</v>
      </c>
      <c r="O163" s="137">
        <v>0</v>
      </c>
      <c r="P163" s="137">
        <v>0</v>
      </c>
      <c r="Q163" s="137">
        <v>0</v>
      </c>
      <c r="R163" s="137">
        <v>0</v>
      </c>
      <c r="S163" s="137">
        <v>0</v>
      </c>
      <c r="T163" s="137">
        <v>0</v>
      </c>
      <c r="U163" s="137">
        <v>0</v>
      </c>
      <c r="V163" s="137">
        <v>2</v>
      </c>
      <c r="W163" s="137">
        <v>2</v>
      </c>
      <c r="X163" s="137">
        <v>0</v>
      </c>
      <c r="Y163" s="137">
        <v>0</v>
      </c>
      <c r="Z163" s="137">
        <v>0</v>
      </c>
    </row>
    <row r="164" spans="1:26" ht="28">
      <c r="A164" s="251">
        <v>160</v>
      </c>
      <c r="B164" s="136" t="s">
        <v>508</v>
      </c>
      <c r="C164" s="137">
        <v>38</v>
      </c>
      <c r="D164" s="137">
        <v>74</v>
      </c>
      <c r="E164" s="137">
        <v>112</v>
      </c>
      <c r="F164" s="137">
        <v>2</v>
      </c>
      <c r="G164" s="137">
        <v>6</v>
      </c>
      <c r="H164" s="137">
        <v>8</v>
      </c>
      <c r="I164" s="137">
        <v>0</v>
      </c>
      <c r="J164" s="137">
        <v>0</v>
      </c>
      <c r="K164" s="137">
        <v>0</v>
      </c>
      <c r="L164" s="137">
        <v>16</v>
      </c>
      <c r="M164" s="137">
        <v>43</v>
      </c>
      <c r="N164" s="137">
        <v>59</v>
      </c>
      <c r="O164" s="137">
        <v>0</v>
      </c>
      <c r="P164" s="137">
        <v>0</v>
      </c>
      <c r="Q164" s="137">
        <v>0</v>
      </c>
      <c r="R164" s="137">
        <v>1</v>
      </c>
      <c r="S164" s="137">
        <v>0</v>
      </c>
      <c r="T164" s="137">
        <v>1</v>
      </c>
      <c r="U164" s="137">
        <v>0</v>
      </c>
      <c r="V164" s="137">
        <v>0</v>
      </c>
      <c r="W164" s="137">
        <v>0</v>
      </c>
      <c r="X164" s="137">
        <v>1</v>
      </c>
      <c r="Y164" s="137">
        <v>0</v>
      </c>
      <c r="Z164" s="137">
        <v>1</v>
      </c>
    </row>
    <row r="165" spans="1:26" ht="28">
      <c r="A165" s="251">
        <v>161</v>
      </c>
      <c r="B165" s="136" t="s">
        <v>501</v>
      </c>
      <c r="C165" s="137">
        <v>101</v>
      </c>
      <c r="D165" s="137">
        <v>0</v>
      </c>
      <c r="E165" s="137">
        <v>101</v>
      </c>
      <c r="F165" s="137">
        <v>17</v>
      </c>
      <c r="G165" s="137">
        <v>0</v>
      </c>
      <c r="H165" s="137">
        <v>17</v>
      </c>
      <c r="I165" s="137">
        <v>14</v>
      </c>
      <c r="J165" s="137">
        <v>0</v>
      </c>
      <c r="K165" s="137">
        <v>14</v>
      </c>
      <c r="L165" s="137">
        <v>59</v>
      </c>
      <c r="M165" s="137">
        <v>0</v>
      </c>
      <c r="N165" s="137">
        <v>59</v>
      </c>
      <c r="O165" s="137">
        <v>0</v>
      </c>
      <c r="P165" s="137">
        <v>0</v>
      </c>
      <c r="Q165" s="137">
        <v>0</v>
      </c>
      <c r="R165" s="137">
        <v>0</v>
      </c>
      <c r="S165" s="137">
        <v>0</v>
      </c>
      <c r="T165" s="137">
        <v>0</v>
      </c>
      <c r="U165" s="137">
        <v>0</v>
      </c>
      <c r="V165" s="137">
        <v>0</v>
      </c>
      <c r="W165" s="137">
        <v>0</v>
      </c>
      <c r="X165" s="137">
        <v>0</v>
      </c>
      <c r="Y165" s="137">
        <v>0</v>
      </c>
      <c r="Z165" s="137">
        <v>0</v>
      </c>
    </row>
    <row r="166" spans="1:26">
      <c r="A166" s="251">
        <v>162</v>
      </c>
      <c r="B166" s="136" t="s">
        <v>494</v>
      </c>
      <c r="C166" s="137">
        <v>49</v>
      </c>
      <c r="D166" s="137">
        <v>35</v>
      </c>
      <c r="E166" s="137">
        <v>84</v>
      </c>
      <c r="F166" s="137">
        <v>0</v>
      </c>
      <c r="G166" s="137">
        <v>0</v>
      </c>
      <c r="H166" s="137">
        <v>0</v>
      </c>
      <c r="I166" s="137">
        <v>0</v>
      </c>
      <c r="J166" s="137">
        <v>0</v>
      </c>
      <c r="K166" s="137">
        <v>0</v>
      </c>
      <c r="L166" s="137">
        <v>0</v>
      </c>
      <c r="M166" s="137">
        <v>0</v>
      </c>
      <c r="N166" s="137">
        <v>0</v>
      </c>
      <c r="O166" s="137">
        <v>0</v>
      </c>
      <c r="P166" s="137">
        <v>0</v>
      </c>
      <c r="Q166" s="137">
        <v>0</v>
      </c>
      <c r="R166" s="137">
        <v>0</v>
      </c>
      <c r="S166" s="137">
        <v>0</v>
      </c>
      <c r="T166" s="137">
        <v>0</v>
      </c>
      <c r="U166" s="137">
        <v>0</v>
      </c>
      <c r="V166" s="137">
        <v>0</v>
      </c>
      <c r="W166" s="137">
        <v>0</v>
      </c>
      <c r="X166" s="137">
        <v>0</v>
      </c>
      <c r="Y166" s="137">
        <v>0</v>
      </c>
      <c r="Z166" s="137">
        <v>0</v>
      </c>
    </row>
    <row r="167" spans="1:26">
      <c r="A167" s="251">
        <v>163</v>
      </c>
      <c r="B167" s="136" t="s">
        <v>357</v>
      </c>
      <c r="C167" s="137">
        <v>13</v>
      </c>
      <c r="D167" s="137">
        <v>65</v>
      </c>
      <c r="E167" s="137">
        <v>78</v>
      </c>
      <c r="F167" s="137">
        <v>1</v>
      </c>
      <c r="G167" s="137">
        <v>9</v>
      </c>
      <c r="H167" s="137">
        <v>10</v>
      </c>
      <c r="I167" s="137">
        <v>0</v>
      </c>
      <c r="J167" s="137">
        <v>0</v>
      </c>
      <c r="K167" s="137">
        <v>0</v>
      </c>
      <c r="L167" s="137">
        <v>8</v>
      </c>
      <c r="M167" s="137">
        <v>43</v>
      </c>
      <c r="N167" s="137">
        <v>51</v>
      </c>
      <c r="O167" s="137">
        <v>0</v>
      </c>
      <c r="P167" s="137">
        <v>0</v>
      </c>
      <c r="Q167" s="137">
        <v>0</v>
      </c>
      <c r="R167" s="137">
        <v>5</v>
      </c>
      <c r="S167" s="137">
        <v>8</v>
      </c>
      <c r="T167" s="137">
        <v>13</v>
      </c>
      <c r="U167" s="137">
        <v>0</v>
      </c>
      <c r="V167" s="137">
        <v>0</v>
      </c>
      <c r="W167" s="137">
        <v>0</v>
      </c>
      <c r="X167" s="137">
        <v>0</v>
      </c>
      <c r="Y167" s="137">
        <v>0</v>
      </c>
      <c r="Z167" s="137">
        <v>0</v>
      </c>
    </row>
    <row r="168" spans="1:26" ht="28">
      <c r="A168" s="251">
        <v>164</v>
      </c>
      <c r="B168" s="136" t="s">
        <v>498</v>
      </c>
      <c r="C168" s="137">
        <v>43</v>
      </c>
      <c r="D168" s="137">
        <v>19</v>
      </c>
      <c r="E168" s="137">
        <v>62</v>
      </c>
      <c r="F168" s="137">
        <v>2</v>
      </c>
      <c r="G168" s="137">
        <v>1</v>
      </c>
      <c r="H168" s="137">
        <v>3</v>
      </c>
      <c r="I168" s="137">
        <v>1</v>
      </c>
      <c r="J168" s="137">
        <v>0</v>
      </c>
      <c r="K168" s="137">
        <v>1</v>
      </c>
      <c r="L168" s="137">
        <v>0</v>
      </c>
      <c r="M168" s="137">
        <v>0</v>
      </c>
      <c r="N168" s="137">
        <v>0</v>
      </c>
      <c r="O168" s="137">
        <v>0</v>
      </c>
      <c r="P168" s="137">
        <v>0</v>
      </c>
      <c r="Q168" s="137">
        <v>0</v>
      </c>
      <c r="R168" s="137">
        <v>0</v>
      </c>
      <c r="S168" s="137">
        <v>0</v>
      </c>
      <c r="T168" s="137">
        <v>0</v>
      </c>
      <c r="U168" s="137">
        <v>0</v>
      </c>
      <c r="V168" s="137">
        <v>0</v>
      </c>
      <c r="W168" s="137">
        <v>0</v>
      </c>
      <c r="X168" s="137">
        <v>0</v>
      </c>
      <c r="Y168" s="137">
        <v>0</v>
      </c>
      <c r="Z168" s="137">
        <v>0</v>
      </c>
    </row>
    <row r="169" spans="1:26" ht="28">
      <c r="A169" s="251">
        <v>165</v>
      </c>
      <c r="B169" s="136" t="s">
        <v>495</v>
      </c>
      <c r="C169" s="137">
        <v>47</v>
      </c>
      <c r="D169" s="137">
        <v>14</v>
      </c>
      <c r="E169" s="137">
        <v>61</v>
      </c>
      <c r="F169" s="137">
        <v>8</v>
      </c>
      <c r="G169" s="137">
        <v>6</v>
      </c>
      <c r="H169" s="137">
        <v>14</v>
      </c>
      <c r="I169" s="137">
        <v>0</v>
      </c>
      <c r="J169" s="137">
        <v>0</v>
      </c>
      <c r="K169" s="137">
        <v>0</v>
      </c>
      <c r="L169" s="137">
        <v>14</v>
      </c>
      <c r="M169" s="137">
        <v>1</v>
      </c>
      <c r="N169" s="137">
        <v>15</v>
      </c>
      <c r="O169" s="137">
        <v>0</v>
      </c>
      <c r="P169" s="137">
        <v>0</v>
      </c>
      <c r="Q169" s="137">
        <v>0</v>
      </c>
      <c r="R169" s="137">
        <v>2</v>
      </c>
      <c r="S169" s="137">
        <v>0</v>
      </c>
      <c r="T169" s="137">
        <v>2</v>
      </c>
      <c r="U169" s="137">
        <v>0</v>
      </c>
      <c r="V169" s="137">
        <v>0</v>
      </c>
      <c r="W169" s="137">
        <v>0</v>
      </c>
      <c r="X169" s="137">
        <v>0</v>
      </c>
      <c r="Y169" s="137">
        <v>0</v>
      </c>
      <c r="Z169" s="137">
        <v>0</v>
      </c>
    </row>
    <row r="170" spans="1:26" ht="28">
      <c r="A170" s="251">
        <v>166</v>
      </c>
      <c r="B170" s="136" t="s">
        <v>499</v>
      </c>
      <c r="C170" s="137">
        <v>24</v>
      </c>
      <c r="D170" s="137">
        <v>16</v>
      </c>
      <c r="E170" s="137">
        <v>40</v>
      </c>
      <c r="F170" s="137">
        <v>0</v>
      </c>
      <c r="G170" s="137">
        <v>1</v>
      </c>
      <c r="H170" s="137">
        <v>1</v>
      </c>
      <c r="I170" s="137">
        <v>0</v>
      </c>
      <c r="J170" s="137">
        <v>0</v>
      </c>
      <c r="K170" s="137">
        <v>0</v>
      </c>
      <c r="L170" s="137">
        <v>14</v>
      </c>
      <c r="M170" s="137">
        <v>7</v>
      </c>
      <c r="N170" s="137">
        <v>21</v>
      </c>
      <c r="O170" s="137">
        <v>0</v>
      </c>
      <c r="P170" s="137">
        <v>0</v>
      </c>
      <c r="Q170" s="137">
        <v>0</v>
      </c>
      <c r="R170" s="137">
        <v>0</v>
      </c>
      <c r="S170" s="137">
        <v>0</v>
      </c>
      <c r="T170" s="137">
        <v>0</v>
      </c>
      <c r="U170" s="137">
        <v>0</v>
      </c>
      <c r="V170" s="137">
        <v>0</v>
      </c>
      <c r="W170" s="137">
        <v>0</v>
      </c>
      <c r="X170" s="137">
        <v>0</v>
      </c>
      <c r="Y170" s="137">
        <v>0</v>
      </c>
      <c r="Z170" s="137">
        <v>0</v>
      </c>
    </row>
    <row r="171" spans="1:26">
      <c r="A171" s="251">
        <v>167</v>
      </c>
      <c r="B171" s="136" t="s">
        <v>905</v>
      </c>
      <c r="C171" s="137">
        <v>20</v>
      </c>
      <c r="D171" s="137">
        <v>15</v>
      </c>
      <c r="E171" s="137">
        <v>35</v>
      </c>
      <c r="F171" s="137">
        <v>1</v>
      </c>
      <c r="G171" s="137">
        <v>3</v>
      </c>
      <c r="H171" s="137">
        <v>4</v>
      </c>
      <c r="I171" s="137">
        <v>0</v>
      </c>
      <c r="J171" s="137">
        <v>0</v>
      </c>
      <c r="K171" s="137">
        <v>0</v>
      </c>
      <c r="L171" s="137">
        <v>14</v>
      </c>
      <c r="M171" s="137">
        <v>5</v>
      </c>
      <c r="N171" s="137">
        <v>19</v>
      </c>
      <c r="O171" s="137">
        <v>0</v>
      </c>
      <c r="P171" s="137">
        <v>0</v>
      </c>
      <c r="Q171" s="137">
        <v>0</v>
      </c>
      <c r="R171" s="137">
        <v>2</v>
      </c>
      <c r="S171" s="137">
        <v>0</v>
      </c>
      <c r="T171" s="137">
        <v>2</v>
      </c>
      <c r="U171" s="137">
        <v>7</v>
      </c>
      <c r="V171" s="137">
        <v>3</v>
      </c>
      <c r="W171" s="137">
        <v>10</v>
      </c>
      <c r="X171" s="137">
        <v>0</v>
      </c>
      <c r="Y171" s="137">
        <v>0</v>
      </c>
      <c r="Z171" s="137">
        <v>0</v>
      </c>
    </row>
    <row r="172" spans="1:26">
      <c r="A172" s="251">
        <v>168</v>
      </c>
      <c r="B172" s="136" t="s">
        <v>904</v>
      </c>
      <c r="C172" s="137">
        <v>7</v>
      </c>
      <c r="D172" s="137">
        <v>26</v>
      </c>
      <c r="E172" s="137">
        <v>33</v>
      </c>
      <c r="F172" s="137">
        <v>3</v>
      </c>
      <c r="G172" s="137">
        <v>8</v>
      </c>
      <c r="H172" s="137">
        <v>11</v>
      </c>
      <c r="I172" s="137">
        <v>0</v>
      </c>
      <c r="J172" s="137">
        <v>0</v>
      </c>
      <c r="K172" s="137">
        <v>0</v>
      </c>
      <c r="L172" s="137">
        <v>4</v>
      </c>
      <c r="M172" s="137">
        <v>7</v>
      </c>
      <c r="N172" s="137">
        <v>11</v>
      </c>
      <c r="O172" s="137">
        <v>0</v>
      </c>
      <c r="P172" s="137">
        <v>0</v>
      </c>
      <c r="Q172" s="137">
        <v>0</v>
      </c>
      <c r="R172" s="137">
        <v>0</v>
      </c>
      <c r="S172" s="137">
        <v>0</v>
      </c>
      <c r="T172" s="137">
        <v>0</v>
      </c>
      <c r="U172" s="137">
        <v>0</v>
      </c>
      <c r="V172" s="137">
        <v>8</v>
      </c>
      <c r="W172" s="137">
        <v>8</v>
      </c>
      <c r="X172" s="137">
        <v>0</v>
      </c>
      <c r="Y172" s="137">
        <v>0</v>
      </c>
      <c r="Z172" s="137">
        <v>0</v>
      </c>
    </row>
    <row r="173" spans="1:26">
      <c r="A173" s="251">
        <v>169</v>
      </c>
      <c r="B173" s="136" t="s">
        <v>903</v>
      </c>
      <c r="C173" s="137">
        <v>2</v>
      </c>
      <c r="D173" s="137">
        <v>29</v>
      </c>
      <c r="E173" s="137">
        <v>31</v>
      </c>
      <c r="F173" s="137">
        <v>1</v>
      </c>
      <c r="G173" s="137">
        <v>7</v>
      </c>
      <c r="H173" s="137">
        <v>8</v>
      </c>
      <c r="I173" s="137">
        <v>1</v>
      </c>
      <c r="J173" s="137">
        <v>2</v>
      </c>
      <c r="K173" s="137">
        <v>3</v>
      </c>
      <c r="L173" s="137">
        <v>0</v>
      </c>
      <c r="M173" s="137">
        <v>8</v>
      </c>
      <c r="N173" s="137">
        <v>8</v>
      </c>
      <c r="O173" s="137">
        <v>0</v>
      </c>
      <c r="P173" s="137">
        <v>0</v>
      </c>
      <c r="Q173" s="137">
        <v>0</v>
      </c>
      <c r="R173" s="137">
        <v>0</v>
      </c>
      <c r="S173" s="137">
        <v>0</v>
      </c>
      <c r="T173" s="137">
        <v>0</v>
      </c>
      <c r="U173" s="137">
        <v>0</v>
      </c>
      <c r="V173" s="137">
        <v>0</v>
      </c>
      <c r="W173" s="137">
        <v>0</v>
      </c>
      <c r="X173" s="137">
        <v>0</v>
      </c>
      <c r="Y173" s="137">
        <v>0</v>
      </c>
      <c r="Z173" s="137">
        <v>0</v>
      </c>
    </row>
    <row r="174" spans="1:26" ht="28">
      <c r="A174" s="251">
        <v>170</v>
      </c>
      <c r="B174" s="136" t="s">
        <v>502</v>
      </c>
      <c r="C174" s="137">
        <v>15</v>
      </c>
      <c r="D174" s="137">
        <v>9</v>
      </c>
      <c r="E174" s="137">
        <v>24</v>
      </c>
      <c r="F174" s="137">
        <v>0</v>
      </c>
      <c r="G174" s="137">
        <v>1</v>
      </c>
      <c r="H174" s="137">
        <v>1</v>
      </c>
      <c r="I174" s="137">
        <v>0</v>
      </c>
      <c r="J174" s="137">
        <v>0</v>
      </c>
      <c r="K174" s="137">
        <v>0</v>
      </c>
      <c r="L174" s="137">
        <v>4</v>
      </c>
      <c r="M174" s="137">
        <v>1</v>
      </c>
      <c r="N174" s="137">
        <v>5</v>
      </c>
      <c r="O174" s="137">
        <v>0</v>
      </c>
      <c r="P174" s="137">
        <v>0</v>
      </c>
      <c r="Q174" s="137">
        <v>0</v>
      </c>
      <c r="R174" s="137">
        <v>0</v>
      </c>
      <c r="S174" s="137">
        <v>0</v>
      </c>
      <c r="T174" s="137">
        <v>0</v>
      </c>
      <c r="U174" s="137">
        <v>0</v>
      </c>
      <c r="V174" s="137">
        <v>0</v>
      </c>
      <c r="W174" s="137">
        <v>0</v>
      </c>
      <c r="X174" s="137">
        <v>0</v>
      </c>
      <c r="Y174" s="137">
        <v>0</v>
      </c>
      <c r="Z174" s="137">
        <v>0</v>
      </c>
    </row>
    <row r="175" spans="1:26">
      <c r="A175" s="251">
        <v>171</v>
      </c>
      <c r="B175" s="136" t="s">
        <v>481</v>
      </c>
      <c r="C175" s="137">
        <v>13</v>
      </c>
      <c r="D175" s="137">
        <v>9</v>
      </c>
      <c r="E175" s="137">
        <v>22</v>
      </c>
      <c r="F175" s="137">
        <v>2</v>
      </c>
      <c r="G175" s="137">
        <v>1</v>
      </c>
      <c r="H175" s="137">
        <v>3</v>
      </c>
      <c r="I175" s="137">
        <v>0</v>
      </c>
      <c r="J175" s="137">
        <v>0</v>
      </c>
      <c r="K175" s="137">
        <v>0</v>
      </c>
      <c r="L175" s="137">
        <v>4</v>
      </c>
      <c r="M175" s="137">
        <v>6</v>
      </c>
      <c r="N175" s="137">
        <v>10</v>
      </c>
      <c r="O175" s="137">
        <v>0</v>
      </c>
      <c r="P175" s="137">
        <v>0</v>
      </c>
      <c r="Q175" s="137">
        <v>0</v>
      </c>
      <c r="R175" s="137">
        <v>0</v>
      </c>
      <c r="S175" s="137">
        <v>0</v>
      </c>
      <c r="T175" s="137">
        <v>0</v>
      </c>
      <c r="U175" s="137">
        <v>0</v>
      </c>
      <c r="V175" s="137">
        <v>0</v>
      </c>
      <c r="W175" s="137">
        <v>0</v>
      </c>
      <c r="X175" s="137">
        <v>0</v>
      </c>
      <c r="Y175" s="137">
        <v>0</v>
      </c>
      <c r="Z175" s="137">
        <v>0</v>
      </c>
    </row>
    <row r="176" spans="1:26" ht="28">
      <c r="A176" s="251">
        <v>172</v>
      </c>
      <c r="B176" s="136" t="s">
        <v>503</v>
      </c>
      <c r="C176" s="137">
        <v>11</v>
      </c>
      <c r="D176" s="137">
        <v>6</v>
      </c>
      <c r="E176" s="137">
        <v>17</v>
      </c>
      <c r="F176" s="137">
        <v>0</v>
      </c>
      <c r="G176" s="137">
        <v>0</v>
      </c>
      <c r="H176" s="137">
        <v>0</v>
      </c>
      <c r="I176" s="137">
        <v>0</v>
      </c>
      <c r="J176" s="137">
        <v>0</v>
      </c>
      <c r="K176" s="137">
        <v>0</v>
      </c>
      <c r="L176" s="137">
        <v>0</v>
      </c>
      <c r="M176" s="137">
        <v>0</v>
      </c>
      <c r="N176" s="137">
        <v>0</v>
      </c>
      <c r="O176" s="137">
        <v>0</v>
      </c>
      <c r="P176" s="137">
        <v>0</v>
      </c>
      <c r="Q176" s="137">
        <v>0</v>
      </c>
      <c r="R176" s="137">
        <v>0</v>
      </c>
      <c r="S176" s="137">
        <v>0</v>
      </c>
      <c r="T176" s="137">
        <v>0</v>
      </c>
      <c r="U176" s="137">
        <v>0</v>
      </c>
      <c r="V176" s="137">
        <v>0</v>
      </c>
      <c r="W176" s="137">
        <v>0</v>
      </c>
      <c r="X176" s="137">
        <v>0</v>
      </c>
      <c r="Y176" s="137">
        <v>0</v>
      </c>
      <c r="Z176" s="137">
        <v>0</v>
      </c>
    </row>
    <row r="177" spans="1:26">
      <c r="A177" s="251">
        <v>173</v>
      </c>
      <c r="B177" s="136" t="s">
        <v>908</v>
      </c>
      <c r="C177" s="137">
        <v>4</v>
      </c>
      <c r="D177" s="137">
        <v>9</v>
      </c>
      <c r="E177" s="137">
        <v>13</v>
      </c>
      <c r="F177" s="137">
        <v>0</v>
      </c>
      <c r="G177" s="137">
        <v>0</v>
      </c>
      <c r="H177" s="137">
        <v>0</v>
      </c>
      <c r="I177" s="137">
        <v>0</v>
      </c>
      <c r="J177" s="137">
        <v>0</v>
      </c>
      <c r="K177" s="137">
        <v>0</v>
      </c>
      <c r="L177" s="137">
        <v>0</v>
      </c>
      <c r="M177" s="137">
        <v>0</v>
      </c>
      <c r="N177" s="137">
        <v>0</v>
      </c>
      <c r="O177" s="137">
        <v>0</v>
      </c>
      <c r="P177" s="137">
        <v>0</v>
      </c>
      <c r="Q177" s="137">
        <v>0</v>
      </c>
      <c r="R177" s="137">
        <v>0</v>
      </c>
      <c r="S177" s="137">
        <v>0</v>
      </c>
      <c r="T177" s="137">
        <v>0</v>
      </c>
      <c r="U177" s="137">
        <v>0</v>
      </c>
      <c r="V177" s="137">
        <v>0</v>
      </c>
      <c r="W177" s="137">
        <v>0</v>
      </c>
      <c r="X177" s="137">
        <v>0</v>
      </c>
      <c r="Y177" s="137">
        <v>0</v>
      </c>
      <c r="Z177" s="137">
        <v>0</v>
      </c>
    </row>
    <row r="178" spans="1:26" ht="28">
      <c r="A178" s="251">
        <v>174</v>
      </c>
      <c r="B178" s="136" t="s">
        <v>909</v>
      </c>
      <c r="C178" s="137">
        <v>4</v>
      </c>
      <c r="D178" s="137">
        <v>6</v>
      </c>
      <c r="E178" s="137">
        <v>10</v>
      </c>
      <c r="F178" s="137">
        <v>1</v>
      </c>
      <c r="G178" s="137">
        <v>4</v>
      </c>
      <c r="H178" s="137">
        <v>5</v>
      </c>
      <c r="I178" s="137">
        <v>0</v>
      </c>
      <c r="J178" s="137">
        <v>0</v>
      </c>
      <c r="K178" s="137">
        <v>0</v>
      </c>
      <c r="L178" s="137">
        <v>1</v>
      </c>
      <c r="M178" s="137">
        <v>0</v>
      </c>
      <c r="N178" s="137">
        <v>1</v>
      </c>
      <c r="O178" s="137">
        <v>0</v>
      </c>
      <c r="P178" s="137">
        <v>0</v>
      </c>
      <c r="Q178" s="137">
        <v>0</v>
      </c>
      <c r="R178" s="137">
        <v>0</v>
      </c>
      <c r="S178" s="137">
        <v>0</v>
      </c>
      <c r="T178" s="137">
        <v>0</v>
      </c>
      <c r="U178" s="137">
        <v>0</v>
      </c>
      <c r="V178" s="137">
        <v>0</v>
      </c>
      <c r="W178" s="137">
        <v>0</v>
      </c>
      <c r="X178" s="137">
        <v>0</v>
      </c>
      <c r="Y178" s="137">
        <v>0</v>
      </c>
      <c r="Z178" s="137">
        <v>0</v>
      </c>
    </row>
    <row r="179" spans="1:26" ht="42">
      <c r="A179" s="251">
        <v>175</v>
      </c>
      <c r="B179" s="136" t="s">
        <v>504</v>
      </c>
      <c r="C179" s="137">
        <v>5</v>
      </c>
      <c r="D179" s="137">
        <v>4</v>
      </c>
      <c r="E179" s="137">
        <v>9</v>
      </c>
      <c r="F179" s="137">
        <v>0</v>
      </c>
      <c r="G179" s="137">
        <v>0</v>
      </c>
      <c r="H179" s="137">
        <v>0</v>
      </c>
      <c r="I179" s="137">
        <v>0</v>
      </c>
      <c r="J179" s="137">
        <v>0</v>
      </c>
      <c r="K179" s="137">
        <v>0</v>
      </c>
      <c r="L179" s="137">
        <v>2</v>
      </c>
      <c r="M179" s="137">
        <v>3</v>
      </c>
      <c r="N179" s="137">
        <v>5</v>
      </c>
      <c r="O179" s="137">
        <v>0</v>
      </c>
      <c r="P179" s="137">
        <v>0</v>
      </c>
      <c r="Q179" s="137">
        <v>0</v>
      </c>
      <c r="R179" s="137">
        <v>0</v>
      </c>
      <c r="S179" s="137">
        <v>0</v>
      </c>
      <c r="T179" s="137">
        <v>0</v>
      </c>
      <c r="U179" s="137">
        <v>0</v>
      </c>
      <c r="V179" s="137">
        <v>0</v>
      </c>
      <c r="W179" s="137">
        <v>0</v>
      </c>
      <c r="X179" s="137">
        <v>0</v>
      </c>
      <c r="Y179" s="137">
        <v>0</v>
      </c>
      <c r="Z179" s="137">
        <v>0</v>
      </c>
    </row>
    <row r="180" spans="1:26" ht="42">
      <c r="A180" s="251">
        <v>176</v>
      </c>
      <c r="B180" s="136" t="s">
        <v>505</v>
      </c>
      <c r="C180" s="137">
        <v>6</v>
      </c>
      <c r="D180" s="137">
        <v>2</v>
      </c>
      <c r="E180" s="137">
        <v>8</v>
      </c>
      <c r="F180" s="137">
        <v>0</v>
      </c>
      <c r="G180" s="137">
        <v>0</v>
      </c>
      <c r="H180" s="137">
        <v>0</v>
      </c>
      <c r="I180" s="137">
        <v>0</v>
      </c>
      <c r="J180" s="137">
        <v>0</v>
      </c>
      <c r="K180" s="137">
        <v>0</v>
      </c>
      <c r="L180" s="137">
        <v>1</v>
      </c>
      <c r="M180" s="137">
        <v>0</v>
      </c>
      <c r="N180" s="137">
        <v>1</v>
      </c>
      <c r="O180" s="137">
        <v>0</v>
      </c>
      <c r="P180" s="137">
        <v>0</v>
      </c>
      <c r="Q180" s="137">
        <v>0</v>
      </c>
      <c r="R180" s="137">
        <v>0</v>
      </c>
      <c r="S180" s="137">
        <v>0</v>
      </c>
      <c r="T180" s="137">
        <v>0</v>
      </c>
      <c r="U180" s="137">
        <v>0</v>
      </c>
      <c r="V180" s="137">
        <v>0</v>
      </c>
      <c r="W180" s="137">
        <v>0</v>
      </c>
      <c r="X180" s="137">
        <v>0</v>
      </c>
      <c r="Y180" s="137">
        <v>0</v>
      </c>
      <c r="Z180" s="137">
        <v>0</v>
      </c>
    </row>
    <row r="181" spans="1:26">
      <c r="A181" s="251">
        <v>177</v>
      </c>
      <c r="B181" s="136" t="s">
        <v>500</v>
      </c>
      <c r="C181" s="137">
        <v>1</v>
      </c>
      <c r="D181" s="137">
        <v>3</v>
      </c>
      <c r="E181" s="137">
        <v>4</v>
      </c>
      <c r="F181" s="137">
        <v>0</v>
      </c>
      <c r="G181" s="137">
        <v>1</v>
      </c>
      <c r="H181" s="137">
        <v>1</v>
      </c>
      <c r="I181" s="137">
        <v>0</v>
      </c>
      <c r="J181" s="137">
        <v>0</v>
      </c>
      <c r="K181" s="137">
        <v>0</v>
      </c>
      <c r="L181" s="137">
        <v>1</v>
      </c>
      <c r="M181" s="137">
        <v>0</v>
      </c>
      <c r="N181" s="137">
        <v>1</v>
      </c>
      <c r="O181" s="137">
        <v>0</v>
      </c>
      <c r="P181" s="137">
        <v>0</v>
      </c>
      <c r="Q181" s="137">
        <v>0</v>
      </c>
      <c r="R181" s="137">
        <v>0</v>
      </c>
      <c r="S181" s="137">
        <v>0</v>
      </c>
      <c r="T181" s="137">
        <v>0</v>
      </c>
      <c r="U181" s="137">
        <v>0</v>
      </c>
      <c r="V181" s="137">
        <v>0</v>
      </c>
      <c r="W181" s="137">
        <v>0</v>
      </c>
      <c r="X181" s="137">
        <v>0</v>
      </c>
      <c r="Y181" s="137">
        <v>0</v>
      </c>
      <c r="Z181" s="137">
        <v>0</v>
      </c>
    </row>
    <row r="182" spans="1:26">
      <c r="A182" s="251">
        <v>178</v>
      </c>
      <c r="B182" s="136" t="s">
        <v>911</v>
      </c>
      <c r="C182" s="137">
        <v>0</v>
      </c>
      <c r="D182" s="137">
        <v>0</v>
      </c>
      <c r="E182" s="137">
        <v>0</v>
      </c>
      <c r="F182" s="137">
        <v>0</v>
      </c>
      <c r="G182" s="137">
        <v>0</v>
      </c>
      <c r="H182" s="137">
        <v>0</v>
      </c>
      <c r="I182" s="137">
        <v>0</v>
      </c>
      <c r="J182" s="137">
        <v>0</v>
      </c>
      <c r="K182" s="137">
        <v>0</v>
      </c>
      <c r="L182" s="137">
        <v>0</v>
      </c>
      <c r="M182" s="137">
        <v>0</v>
      </c>
      <c r="N182" s="137">
        <v>0</v>
      </c>
      <c r="O182" s="137">
        <v>0</v>
      </c>
      <c r="P182" s="137">
        <v>0</v>
      </c>
      <c r="Q182" s="137">
        <v>0</v>
      </c>
      <c r="R182" s="137">
        <v>0</v>
      </c>
      <c r="S182" s="137">
        <v>0</v>
      </c>
      <c r="T182" s="137">
        <v>0</v>
      </c>
      <c r="U182" s="137">
        <v>0</v>
      </c>
      <c r="V182" s="137">
        <v>0</v>
      </c>
      <c r="W182" s="137">
        <v>0</v>
      </c>
      <c r="X182" s="137">
        <v>0</v>
      </c>
      <c r="Y182" s="137">
        <v>0</v>
      </c>
      <c r="Z182" s="137">
        <v>0</v>
      </c>
    </row>
    <row r="183" spans="1:26" ht="28">
      <c r="A183" s="251">
        <v>179</v>
      </c>
      <c r="B183" s="136" t="s">
        <v>509</v>
      </c>
      <c r="C183" s="137">
        <v>66518</v>
      </c>
      <c r="D183" s="137">
        <v>64652</v>
      </c>
      <c r="E183" s="137">
        <v>131170</v>
      </c>
      <c r="F183" s="137">
        <v>5418</v>
      </c>
      <c r="G183" s="137">
        <v>4852</v>
      </c>
      <c r="H183" s="137">
        <v>10270</v>
      </c>
      <c r="I183" s="137">
        <v>3590</v>
      </c>
      <c r="J183" s="137">
        <v>3837</v>
      </c>
      <c r="K183" s="137">
        <v>7427</v>
      </c>
      <c r="L183" s="137">
        <v>14997</v>
      </c>
      <c r="M183" s="137">
        <v>14450</v>
      </c>
      <c r="N183" s="137">
        <v>29447</v>
      </c>
      <c r="O183" s="137">
        <v>78</v>
      </c>
      <c r="P183" s="137">
        <v>30</v>
      </c>
      <c r="Q183" s="137">
        <v>108</v>
      </c>
      <c r="R183" s="137">
        <v>737</v>
      </c>
      <c r="S183" s="137">
        <v>621</v>
      </c>
      <c r="T183" s="137">
        <v>1358</v>
      </c>
      <c r="U183" s="137">
        <v>624</v>
      </c>
      <c r="V183" s="137">
        <v>751</v>
      </c>
      <c r="W183" s="137">
        <v>1375</v>
      </c>
      <c r="X183" s="137">
        <v>327</v>
      </c>
      <c r="Y183" s="137">
        <v>250</v>
      </c>
      <c r="Z183" s="137">
        <v>577</v>
      </c>
    </row>
    <row r="184" spans="1:26">
      <c r="A184" s="251">
        <v>180</v>
      </c>
      <c r="B184" s="136" t="s">
        <v>510</v>
      </c>
      <c r="C184" s="137">
        <v>424853</v>
      </c>
      <c r="D184" s="137">
        <v>148461</v>
      </c>
      <c r="E184" s="137">
        <v>573314</v>
      </c>
      <c r="F184" s="137">
        <v>57035</v>
      </c>
      <c r="G184" s="137">
        <v>19564</v>
      </c>
      <c r="H184" s="137">
        <v>76599</v>
      </c>
      <c r="I184" s="137">
        <v>19567</v>
      </c>
      <c r="J184" s="137">
        <v>10701</v>
      </c>
      <c r="K184" s="137">
        <v>30268</v>
      </c>
      <c r="L184" s="137">
        <v>145096</v>
      </c>
      <c r="M184" s="137">
        <v>44364</v>
      </c>
      <c r="N184" s="137">
        <v>189460</v>
      </c>
      <c r="O184" s="137">
        <v>493</v>
      </c>
      <c r="P184" s="137">
        <v>231</v>
      </c>
      <c r="Q184" s="137">
        <v>724</v>
      </c>
      <c r="R184" s="137">
        <v>14469</v>
      </c>
      <c r="S184" s="137">
        <v>3842</v>
      </c>
      <c r="T184" s="137">
        <v>18311</v>
      </c>
      <c r="U184" s="137">
        <v>4661</v>
      </c>
      <c r="V184" s="137">
        <v>1402</v>
      </c>
      <c r="W184" s="137">
        <v>6063</v>
      </c>
      <c r="X184" s="137">
        <v>2936</v>
      </c>
      <c r="Y184" s="137">
        <v>1011</v>
      </c>
      <c r="Z184" s="137">
        <v>3947</v>
      </c>
    </row>
    <row r="185" spans="1:26">
      <c r="A185" s="251">
        <v>181</v>
      </c>
      <c r="B185" s="136" t="s">
        <v>511</v>
      </c>
      <c r="C185" s="137">
        <v>44972</v>
      </c>
      <c r="D185" s="137">
        <v>70875</v>
      </c>
      <c r="E185" s="137">
        <v>115847</v>
      </c>
      <c r="F185" s="137">
        <v>6092</v>
      </c>
      <c r="G185" s="137">
        <v>8935</v>
      </c>
      <c r="H185" s="137">
        <v>15027</v>
      </c>
      <c r="I185" s="137">
        <v>3100</v>
      </c>
      <c r="J185" s="137">
        <v>4491</v>
      </c>
      <c r="K185" s="137">
        <v>7591</v>
      </c>
      <c r="L185" s="137">
        <v>11828</v>
      </c>
      <c r="M185" s="137">
        <v>17915</v>
      </c>
      <c r="N185" s="137">
        <v>29743</v>
      </c>
      <c r="O185" s="137">
        <v>214</v>
      </c>
      <c r="P185" s="137">
        <v>156</v>
      </c>
      <c r="Q185" s="137">
        <v>370</v>
      </c>
      <c r="R185" s="137">
        <v>2488</v>
      </c>
      <c r="S185" s="137">
        <v>3969</v>
      </c>
      <c r="T185" s="137">
        <v>6457</v>
      </c>
      <c r="U185" s="137">
        <v>420</v>
      </c>
      <c r="V185" s="137">
        <v>1230</v>
      </c>
      <c r="W185" s="137">
        <v>1650</v>
      </c>
      <c r="X185" s="137">
        <v>515</v>
      </c>
      <c r="Y185" s="137">
        <v>583</v>
      </c>
      <c r="Z185" s="137">
        <v>1098</v>
      </c>
    </row>
    <row r="186" spans="1:26" ht="28">
      <c r="A186" s="251">
        <v>182</v>
      </c>
      <c r="B186" s="136" t="s">
        <v>512</v>
      </c>
      <c r="C186" s="137">
        <v>13648</v>
      </c>
      <c r="D186" s="137">
        <v>60314</v>
      </c>
      <c r="E186" s="137">
        <v>73962</v>
      </c>
      <c r="F186" s="137">
        <v>1757</v>
      </c>
      <c r="G186" s="137">
        <v>11627</v>
      </c>
      <c r="H186" s="137">
        <v>13384</v>
      </c>
      <c r="I186" s="137">
        <v>983</v>
      </c>
      <c r="J186" s="137">
        <v>5916</v>
      </c>
      <c r="K186" s="137">
        <v>6899</v>
      </c>
      <c r="L186" s="137">
        <v>2628</v>
      </c>
      <c r="M186" s="137">
        <v>12588</v>
      </c>
      <c r="N186" s="137">
        <v>15216</v>
      </c>
      <c r="O186" s="137">
        <v>9</v>
      </c>
      <c r="P186" s="137">
        <v>75</v>
      </c>
      <c r="Q186" s="137">
        <v>84</v>
      </c>
      <c r="R186" s="137">
        <v>241</v>
      </c>
      <c r="S186" s="137">
        <v>1061</v>
      </c>
      <c r="T186" s="137">
        <v>1302</v>
      </c>
      <c r="U186" s="137">
        <v>138</v>
      </c>
      <c r="V186" s="137">
        <v>1208</v>
      </c>
      <c r="W186" s="137">
        <v>1346</v>
      </c>
      <c r="X186" s="137">
        <v>136</v>
      </c>
      <c r="Y186" s="137">
        <v>567</v>
      </c>
      <c r="Z186" s="137">
        <v>703</v>
      </c>
    </row>
    <row r="187" spans="1:26">
      <c r="A187" s="251">
        <v>183</v>
      </c>
      <c r="B187" s="136" t="s">
        <v>513</v>
      </c>
      <c r="C187" s="139">
        <v>41813</v>
      </c>
      <c r="D187" s="139">
        <v>15803</v>
      </c>
      <c r="E187" s="139">
        <v>57616</v>
      </c>
      <c r="F187" s="139">
        <v>3316</v>
      </c>
      <c r="G187" s="139">
        <v>1524</v>
      </c>
      <c r="H187" s="139">
        <v>4840</v>
      </c>
      <c r="I187" s="139">
        <v>797</v>
      </c>
      <c r="J187" s="139">
        <v>484</v>
      </c>
      <c r="K187" s="139">
        <v>1281</v>
      </c>
      <c r="L187" s="139">
        <v>13141</v>
      </c>
      <c r="M187" s="139">
        <v>5514</v>
      </c>
      <c r="N187" s="139">
        <v>18655</v>
      </c>
      <c r="O187" s="137">
        <v>58</v>
      </c>
      <c r="P187" s="137">
        <v>12</v>
      </c>
      <c r="Q187" s="137">
        <v>70</v>
      </c>
      <c r="R187" s="137">
        <v>2614</v>
      </c>
      <c r="S187" s="137">
        <v>504</v>
      </c>
      <c r="T187" s="137">
        <v>3118</v>
      </c>
      <c r="U187" s="137">
        <v>518</v>
      </c>
      <c r="V187" s="137">
        <v>233</v>
      </c>
      <c r="W187" s="137">
        <v>751</v>
      </c>
      <c r="X187" s="137">
        <v>668</v>
      </c>
      <c r="Y187" s="137">
        <v>187</v>
      </c>
      <c r="Z187" s="137">
        <v>855</v>
      </c>
    </row>
    <row r="188" spans="1:26">
      <c r="A188" s="251">
        <v>184</v>
      </c>
      <c r="B188" s="136" t="s">
        <v>514</v>
      </c>
      <c r="C188" s="137">
        <v>676</v>
      </c>
      <c r="D188" s="137">
        <v>25919</v>
      </c>
      <c r="E188" s="137">
        <v>26595</v>
      </c>
      <c r="F188" s="137">
        <v>130</v>
      </c>
      <c r="G188" s="137">
        <v>6791</v>
      </c>
      <c r="H188" s="137">
        <v>6921</v>
      </c>
      <c r="I188" s="137">
        <v>58</v>
      </c>
      <c r="J188" s="137">
        <v>3099</v>
      </c>
      <c r="K188" s="137">
        <v>3157</v>
      </c>
      <c r="L188" s="137">
        <v>36</v>
      </c>
      <c r="M188" s="137">
        <v>5500</v>
      </c>
      <c r="N188" s="137">
        <v>5536</v>
      </c>
      <c r="O188" s="137">
        <v>0</v>
      </c>
      <c r="P188" s="137">
        <v>10</v>
      </c>
      <c r="Q188" s="137">
        <v>10</v>
      </c>
      <c r="R188" s="137">
        <v>2</v>
      </c>
      <c r="S188" s="137">
        <v>307</v>
      </c>
      <c r="T188" s="137">
        <v>309</v>
      </c>
      <c r="U188" s="137">
        <v>0</v>
      </c>
      <c r="V188" s="137">
        <v>219</v>
      </c>
      <c r="W188" s="137">
        <v>219</v>
      </c>
      <c r="X188" s="137">
        <v>6</v>
      </c>
      <c r="Y188" s="137">
        <v>143</v>
      </c>
      <c r="Z188" s="137">
        <v>149</v>
      </c>
    </row>
    <row r="189" spans="1:26" ht="28">
      <c r="A189" s="251">
        <v>185</v>
      </c>
      <c r="B189" s="136" t="s">
        <v>515</v>
      </c>
      <c r="C189" s="137">
        <v>363</v>
      </c>
      <c r="D189" s="137">
        <v>353</v>
      </c>
      <c r="E189" s="137">
        <v>716</v>
      </c>
      <c r="F189" s="137">
        <v>50</v>
      </c>
      <c r="G189" s="137">
        <v>48</v>
      </c>
      <c r="H189" s="137">
        <v>98</v>
      </c>
      <c r="I189" s="137">
        <v>10</v>
      </c>
      <c r="J189" s="137">
        <v>10</v>
      </c>
      <c r="K189" s="137">
        <v>20</v>
      </c>
      <c r="L189" s="137">
        <v>82</v>
      </c>
      <c r="M189" s="137">
        <v>141</v>
      </c>
      <c r="N189" s="137">
        <v>223</v>
      </c>
      <c r="O189" s="137">
        <v>0</v>
      </c>
      <c r="P189" s="137">
        <v>1</v>
      </c>
      <c r="Q189" s="137">
        <v>1</v>
      </c>
      <c r="R189" s="137">
        <v>1</v>
      </c>
      <c r="S189" s="137">
        <v>16</v>
      </c>
      <c r="T189" s="137">
        <v>17</v>
      </c>
      <c r="U189" s="137">
        <v>0</v>
      </c>
      <c r="V189" s="137">
        <v>5</v>
      </c>
      <c r="W189" s="137">
        <v>5</v>
      </c>
      <c r="X189" s="137">
        <v>12</v>
      </c>
      <c r="Y189" s="137">
        <v>13</v>
      </c>
      <c r="Z189" s="137">
        <v>25</v>
      </c>
    </row>
    <row r="190" spans="1:26">
      <c r="A190" s="251">
        <v>186</v>
      </c>
      <c r="B190" s="136" t="s">
        <v>516</v>
      </c>
      <c r="C190" s="137">
        <v>45191</v>
      </c>
      <c r="D190" s="137">
        <v>40101</v>
      </c>
      <c r="E190" s="137">
        <v>85292</v>
      </c>
      <c r="F190" s="137">
        <v>4554</v>
      </c>
      <c r="G190" s="137">
        <v>4593</v>
      </c>
      <c r="H190" s="137">
        <v>9147</v>
      </c>
      <c r="I190" s="137">
        <v>1750</v>
      </c>
      <c r="J190" s="137">
        <v>1459</v>
      </c>
      <c r="K190" s="137">
        <v>3209</v>
      </c>
      <c r="L190" s="137">
        <v>11839</v>
      </c>
      <c r="M190" s="137">
        <v>12036</v>
      </c>
      <c r="N190" s="137">
        <v>23875</v>
      </c>
      <c r="O190" s="137">
        <v>80</v>
      </c>
      <c r="P190" s="137">
        <v>93</v>
      </c>
      <c r="Q190" s="137">
        <v>173</v>
      </c>
      <c r="R190" s="137">
        <v>481</v>
      </c>
      <c r="S190" s="137">
        <v>758</v>
      </c>
      <c r="T190" s="137">
        <v>1239</v>
      </c>
      <c r="U190" s="137">
        <v>206</v>
      </c>
      <c r="V190" s="137">
        <v>668</v>
      </c>
      <c r="W190" s="137">
        <v>874</v>
      </c>
      <c r="X190" s="137">
        <v>225</v>
      </c>
      <c r="Y190" s="137">
        <v>191</v>
      </c>
      <c r="Z190" s="137">
        <v>416</v>
      </c>
    </row>
    <row r="191" spans="1:26" ht="28">
      <c r="A191" s="251">
        <v>187</v>
      </c>
      <c r="B191" s="136" t="s">
        <v>517</v>
      </c>
      <c r="C191" s="140">
        <v>8887</v>
      </c>
      <c r="D191" s="140">
        <v>6460</v>
      </c>
      <c r="E191" s="140">
        <v>15347</v>
      </c>
      <c r="F191" s="140">
        <v>812</v>
      </c>
      <c r="G191" s="140">
        <v>643</v>
      </c>
      <c r="H191" s="140">
        <v>1455</v>
      </c>
      <c r="I191" s="140">
        <v>202</v>
      </c>
      <c r="J191" s="140">
        <v>174</v>
      </c>
      <c r="K191" s="140">
        <v>376</v>
      </c>
      <c r="L191" s="140">
        <v>1715</v>
      </c>
      <c r="M191" s="140">
        <v>1020</v>
      </c>
      <c r="N191" s="140">
        <v>2735</v>
      </c>
      <c r="O191" s="137">
        <v>8</v>
      </c>
      <c r="P191" s="137">
        <v>3</v>
      </c>
      <c r="Q191" s="137">
        <v>11</v>
      </c>
      <c r="R191" s="137">
        <v>292</v>
      </c>
      <c r="S191" s="137">
        <v>220</v>
      </c>
      <c r="T191" s="137">
        <v>512</v>
      </c>
      <c r="U191" s="137">
        <v>98</v>
      </c>
      <c r="V191" s="137">
        <v>116</v>
      </c>
      <c r="W191" s="137">
        <v>214</v>
      </c>
      <c r="X191" s="137">
        <v>45</v>
      </c>
      <c r="Y191" s="137">
        <v>27</v>
      </c>
      <c r="Z191" s="137">
        <v>72</v>
      </c>
    </row>
    <row r="192" spans="1:26" ht="28">
      <c r="A192" s="251">
        <v>188</v>
      </c>
      <c r="B192" s="136" t="s">
        <v>518</v>
      </c>
      <c r="C192" s="140">
        <v>3404</v>
      </c>
      <c r="D192" s="140">
        <v>4322</v>
      </c>
      <c r="E192" s="140">
        <v>7726</v>
      </c>
      <c r="F192" s="140">
        <v>639</v>
      </c>
      <c r="G192" s="140">
        <v>639</v>
      </c>
      <c r="H192" s="140">
        <v>1278</v>
      </c>
      <c r="I192" s="140">
        <v>334</v>
      </c>
      <c r="J192" s="140">
        <v>400</v>
      </c>
      <c r="K192" s="140">
        <v>734</v>
      </c>
      <c r="L192" s="140">
        <v>1080</v>
      </c>
      <c r="M192" s="140">
        <v>1284</v>
      </c>
      <c r="N192" s="140">
        <v>2364</v>
      </c>
      <c r="O192" s="137">
        <v>2</v>
      </c>
      <c r="P192" s="137">
        <v>2</v>
      </c>
      <c r="Q192" s="137">
        <v>4</v>
      </c>
      <c r="R192" s="137">
        <v>26</v>
      </c>
      <c r="S192" s="137">
        <v>108</v>
      </c>
      <c r="T192" s="137">
        <v>134</v>
      </c>
      <c r="U192" s="137">
        <v>34</v>
      </c>
      <c r="V192" s="137">
        <v>76</v>
      </c>
      <c r="W192" s="137">
        <v>110</v>
      </c>
      <c r="X192" s="137">
        <v>79</v>
      </c>
      <c r="Y192" s="137">
        <v>76</v>
      </c>
      <c r="Z192" s="137">
        <v>155</v>
      </c>
    </row>
    <row r="193" spans="1:26" ht="28">
      <c r="A193" s="251">
        <v>189</v>
      </c>
      <c r="B193" s="136" t="s">
        <v>519</v>
      </c>
      <c r="C193" s="140">
        <v>3156</v>
      </c>
      <c r="D193" s="140">
        <v>3522</v>
      </c>
      <c r="E193" s="140">
        <v>6678</v>
      </c>
      <c r="F193" s="140">
        <v>442</v>
      </c>
      <c r="G193" s="140">
        <v>433</v>
      </c>
      <c r="H193" s="140">
        <v>875</v>
      </c>
      <c r="I193" s="140">
        <v>376</v>
      </c>
      <c r="J193" s="140">
        <v>365</v>
      </c>
      <c r="K193" s="140">
        <v>741</v>
      </c>
      <c r="L193" s="140">
        <v>916</v>
      </c>
      <c r="M193" s="140">
        <v>1116</v>
      </c>
      <c r="N193" s="140">
        <v>2032</v>
      </c>
      <c r="O193" s="137">
        <v>0</v>
      </c>
      <c r="P193" s="137">
        <v>0</v>
      </c>
      <c r="Q193" s="137">
        <v>0</v>
      </c>
      <c r="R193" s="137">
        <v>21</v>
      </c>
      <c r="S193" s="137">
        <v>75</v>
      </c>
      <c r="T193" s="137">
        <v>96</v>
      </c>
      <c r="U193" s="137">
        <v>8</v>
      </c>
      <c r="V193" s="137">
        <v>12</v>
      </c>
      <c r="W193" s="137">
        <v>20</v>
      </c>
      <c r="X193" s="137">
        <v>40</v>
      </c>
      <c r="Y193" s="137">
        <v>43</v>
      </c>
      <c r="Z193" s="137">
        <v>83</v>
      </c>
    </row>
    <row r="194" spans="1:26" ht="28">
      <c r="A194" s="251">
        <v>190</v>
      </c>
      <c r="B194" s="136" t="s">
        <v>520</v>
      </c>
      <c r="C194" s="140">
        <v>2049</v>
      </c>
      <c r="D194" s="140">
        <v>1676</v>
      </c>
      <c r="E194" s="140">
        <v>3725</v>
      </c>
      <c r="F194" s="140">
        <v>117</v>
      </c>
      <c r="G194" s="140">
        <v>97</v>
      </c>
      <c r="H194" s="140">
        <v>214</v>
      </c>
      <c r="I194" s="140">
        <v>42</v>
      </c>
      <c r="J194" s="140">
        <v>47</v>
      </c>
      <c r="K194" s="140">
        <v>89</v>
      </c>
      <c r="L194" s="140">
        <v>312</v>
      </c>
      <c r="M194" s="140">
        <v>266</v>
      </c>
      <c r="N194" s="140">
        <v>578</v>
      </c>
      <c r="O194" s="137">
        <v>2</v>
      </c>
      <c r="P194" s="137">
        <v>0</v>
      </c>
      <c r="Q194" s="137">
        <v>2</v>
      </c>
      <c r="R194" s="137">
        <v>25</v>
      </c>
      <c r="S194" s="137">
        <v>36</v>
      </c>
      <c r="T194" s="137">
        <v>61</v>
      </c>
      <c r="U194" s="137">
        <v>37</v>
      </c>
      <c r="V194" s="137">
        <v>53</v>
      </c>
      <c r="W194" s="137">
        <v>90</v>
      </c>
      <c r="X194" s="137">
        <v>7</v>
      </c>
      <c r="Y194" s="137">
        <v>7</v>
      </c>
      <c r="Z194" s="137">
        <v>14</v>
      </c>
    </row>
    <row r="195" spans="1:26" ht="42">
      <c r="A195" s="251">
        <v>191</v>
      </c>
      <c r="B195" s="136" t="s">
        <v>522</v>
      </c>
      <c r="C195" s="140">
        <v>2273</v>
      </c>
      <c r="D195" s="140">
        <v>784</v>
      </c>
      <c r="E195" s="140">
        <v>3057</v>
      </c>
      <c r="F195" s="140">
        <v>238</v>
      </c>
      <c r="G195" s="140">
        <v>84</v>
      </c>
      <c r="H195" s="140">
        <v>322</v>
      </c>
      <c r="I195" s="140">
        <v>160</v>
      </c>
      <c r="J195" s="140">
        <v>61</v>
      </c>
      <c r="K195" s="140">
        <v>221</v>
      </c>
      <c r="L195" s="140">
        <v>537</v>
      </c>
      <c r="M195" s="140">
        <v>234</v>
      </c>
      <c r="N195" s="140">
        <v>771</v>
      </c>
      <c r="O195" s="137">
        <v>7</v>
      </c>
      <c r="P195" s="137">
        <v>0</v>
      </c>
      <c r="Q195" s="137">
        <v>7</v>
      </c>
      <c r="R195" s="137">
        <v>15</v>
      </c>
      <c r="S195" s="137">
        <v>9</v>
      </c>
      <c r="T195" s="137">
        <v>24</v>
      </c>
      <c r="U195" s="137">
        <v>14</v>
      </c>
      <c r="V195" s="137">
        <v>7</v>
      </c>
      <c r="W195" s="137">
        <v>21</v>
      </c>
      <c r="X195" s="137">
        <v>58</v>
      </c>
      <c r="Y195" s="137">
        <v>21</v>
      </c>
      <c r="Z195" s="137">
        <v>79</v>
      </c>
    </row>
    <row r="196" spans="1:26" ht="42">
      <c r="A196" s="251">
        <v>192</v>
      </c>
      <c r="B196" s="136" t="s">
        <v>521</v>
      </c>
      <c r="C196" s="140">
        <v>1583</v>
      </c>
      <c r="D196" s="140">
        <v>1386</v>
      </c>
      <c r="E196" s="140">
        <v>2969</v>
      </c>
      <c r="F196" s="140">
        <v>35</v>
      </c>
      <c r="G196" s="140">
        <v>38</v>
      </c>
      <c r="H196" s="140">
        <v>73</v>
      </c>
      <c r="I196" s="140">
        <v>8</v>
      </c>
      <c r="J196" s="140">
        <v>5</v>
      </c>
      <c r="K196" s="140">
        <v>13</v>
      </c>
      <c r="L196" s="140">
        <v>121</v>
      </c>
      <c r="M196" s="140">
        <v>146</v>
      </c>
      <c r="N196" s="140">
        <v>267</v>
      </c>
      <c r="O196" s="137">
        <v>0</v>
      </c>
      <c r="P196" s="137">
        <v>0</v>
      </c>
      <c r="Q196" s="137">
        <v>0</v>
      </c>
      <c r="R196" s="137">
        <v>22</v>
      </c>
      <c r="S196" s="137">
        <v>10</v>
      </c>
      <c r="T196" s="137">
        <v>32</v>
      </c>
      <c r="U196" s="137">
        <v>13</v>
      </c>
      <c r="V196" s="137">
        <v>35</v>
      </c>
      <c r="W196" s="137">
        <v>48</v>
      </c>
      <c r="X196" s="137">
        <v>5</v>
      </c>
      <c r="Y196" s="137">
        <v>2</v>
      </c>
      <c r="Z196" s="137">
        <v>7</v>
      </c>
    </row>
    <row r="197" spans="1:26" ht="42">
      <c r="A197" s="251">
        <v>193</v>
      </c>
      <c r="B197" s="136" t="s">
        <v>523</v>
      </c>
      <c r="C197" s="140">
        <v>1382</v>
      </c>
      <c r="D197" s="140">
        <v>807</v>
      </c>
      <c r="E197" s="140">
        <v>2189</v>
      </c>
      <c r="F197" s="140">
        <v>76</v>
      </c>
      <c r="G197" s="140">
        <v>45</v>
      </c>
      <c r="H197" s="140">
        <v>121</v>
      </c>
      <c r="I197" s="140">
        <v>64</v>
      </c>
      <c r="J197" s="140">
        <v>36</v>
      </c>
      <c r="K197" s="140">
        <v>100</v>
      </c>
      <c r="L197" s="140">
        <v>180</v>
      </c>
      <c r="M197" s="140">
        <v>133</v>
      </c>
      <c r="N197" s="140">
        <v>313</v>
      </c>
      <c r="O197" s="137">
        <v>4</v>
      </c>
      <c r="P197" s="137">
        <v>2</v>
      </c>
      <c r="Q197" s="137">
        <v>6</v>
      </c>
      <c r="R197" s="137">
        <v>1</v>
      </c>
      <c r="S197" s="137">
        <v>0</v>
      </c>
      <c r="T197" s="137">
        <v>1</v>
      </c>
      <c r="U197" s="137">
        <v>11</v>
      </c>
      <c r="V197" s="137">
        <v>7</v>
      </c>
      <c r="W197" s="137">
        <v>18</v>
      </c>
      <c r="X197" s="137">
        <v>3</v>
      </c>
      <c r="Y197" s="137">
        <v>0</v>
      </c>
      <c r="Z197" s="137">
        <v>3</v>
      </c>
    </row>
    <row r="198" spans="1:26" ht="28">
      <c r="A198" s="251">
        <v>194</v>
      </c>
      <c r="B198" s="136" t="s">
        <v>525</v>
      </c>
      <c r="C198" s="140">
        <v>999</v>
      </c>
      <c r="D198" s="140">
        <v>651</v>
      </c>
      <c r="E198" s="140">
        <v>1650</v>
      </c>
      <c r="F198" s="140">
        <v>80</v>
      </c>
      <c r="G198" s="140">
        <v>44</v>
      </c>
      <c r="H198" s="140">
        <v>124</v>
      </c>
      <c r="I198" s="140">
        <v>34</v>
      </c>
      <c r="J198" s="140">
        <v>21</v>
      </c>
      <c r="K198" s="140">
        <v>55</v>
      </c>
      <c r="L198" s="140">
        <v>179</v>
      </c>
      <c r="M198" s="140">
        <v>126</v>
      </c>
      <c r="N198" s="140">
        <v>305</v>
      </c>
      <c r="O198" s="137">
        <v>3</v>
      </c>
      <c r="P198" s="137">
        <v>1</v>
      </c>
      <c r="Q198" s="137">
        <v>4</v>
      </c>
      <c r="R198" s="137">
        <v>17</v>
      </c>
      <c r="S198" s="137">
        <v>12</v>
      </c>
      <c r="T198" s="137">
        <v>29</v>
      </c>
      <c r="U198" s="137">
        <v>22</v>
      </c>
      <c r="V198" s="137">
        <v>12</v>
      </c>
      <c r="W198" s="137">
        <v>34</v>
      </c>
      <c r="X198" s="137">
        <v>0</v>
      </c>
      <c r="Y198" s="137">
        <v>0</v>
      </c>
      <c r="Z198" s="137">
        <v>0</v>
      </c>
    </row>
    <row r="199" spans="1:26" ht="28">
      <c r="A199" s="251">
        <v>195</v>
      </c>
      <c r="B199" s="136" t="s">
        <v>527</v>
      </c>
      <c r="C199" s="140">
        <v>617</v>
      </c>
      <c r="D199" s="140">
        <v>343</v>
      </c>
      <c r="E199" s="140">
        <v>960</v>
      </c>
      <c r="F199" s="140">
        <v>28</v>
      </c>
      <c r="G199" s="140">
        <v>22</v>
      </c>
      <c r="H199" s="140">
        <v>50</v>
      </c>
      <c r="I199" s="140">
        <v>4</v>
      </c>
      <c r="J199" s="140">
        <v>1</v>
      </c>
      <c r="K199" s="140">
        <v>5</v>
      </c>
      <c r="L199" s="140">
        <v>61</v>
      </c>
      <c r="M199" s="140">
        <v>47</v>
      </c>
      <c r="N199" s="140">
        <v>108</v>
      </c>
      <c r="O199" s="137">
        <v>0</v>
      </c>
      <c r="P199" s="137">
        <v>0</v>
      </c>
      <c r="Q199" s="137">
        <v>0</v>
      </c>
      <c r="R199" s="137">
        <v>2</v>
      </c>
      <c r="S199" s="137">
        <v>0</v>
      </c>
      <c r="T199" s="137">
        <v>2</v>
      </c>
      <c r="U199" s="137">
        <v>9</v>
      </c>
      <c r="V199" s="137">
        <v>10</v>
      </c>
      <c r="W199" s="137">
        <v>19</v>
      </c>
      <c r="X199" s="137">
        <v>0</v>
      </c>
      <c r="Y199" s="137">
        <v>0</v>
      </c>
      <c r="Z199" s="137">
        <v>0</v>
      </c>
    </row>
    <row r="200" spans="1:26">
      <c r="A200" s="251">
        <v>196</v>
      </c>
      <c r="B200" s="140" t="s">
        <v>524</v>
      </c>
      <c r="C200" s="137">
        <v>436</v>
      </c>
      <c r="D200" s="137">
        <v>508</v>
      </c>
      <c r="E200" s="137">
        <v>944</v>
      </c>
      <c r="F200" s="137">
        <v>33</v>
      </c>
      <c r="G200" s="137">
        <v>28</v>
      </c>
      <c r="H200" s="137">
        <v>61</v>
      </c>
      <c r="I200" s="137">
        <v>5</v>
      </c>
      <c r="J200" s="137">
        <v>3</v>
      </c>
      <c r="K200" s="137">
        <v>8</v>
      </c>
      <c r="L200" s="137">
        <v>54</v>
      </c>
      <c r="M200" s="137">
        <v>55</v>
      </c>
      <c r="N200" s="137">
        <v>109</v>
      </c>
      <c r="O200" s="137">
        <v>0</v>
      </c>
      <c r="P200" s="137">
        <v>0</v>
      </c>
      <c r="Q200" s="137">
        <v>0</v>
      </c>
      <c r="R200" s="137">
        <v>5</v>
      </c>
      <c r="S200" s="137">
        <v>5</v>
      </c>
      <c r="T200" s="137">
        <v>10</v>
      </c>
      <c r="U200" s="137">
        <v>12</v>
      </c>
      <c r="V200" s="137">
        <v>34</v>
      </c>
      <c r="W200" s="137">
        <v>46</v>
      </c>
      <c r="X200" s="137">
        <v>5</v>
      </c>
      <c r="Y200" s="137">
        <v>0</v>
      </c>
      <c r="Z200" s="137">
        <v>5</v>
      </c>
    </row>
    <row r="201" spans="1:26" ht="28">
      <c r="A201" s="251">
        <v>197</v>
      </c>
      <c r="B201" s="136" t="s">
        <v>526</v>
      </c>
      <c r="C201" s="140">
        <v>405</v>
      </c>
      <c r="D201" s="140">
        <v>510</v>
      </c>
      <c r="E201" s="140">
        <v>915</v>
      </c>
      <c r="F201" s="140">
        <v>33</v>
      </c>
      <c r="G201" s="140">
        <v>31</v>
      </c>
      <c r="H201" s="140">
        <v>64</v>
      </c>
      <c r="I201" s="140">
        <v>36</v>
      </c>
      <c r="J201" s="140">
        <v>21</v>
      </c>
      <c r="K201" s="140">
        <v>57</v>
      </c>
      <c r="L201" s="140">
        <v>40</v>
      </c>
      <c r="M201" s="140">
        <v>56</v>
      </c>
      <c r="N201" s="140">
        <v>96</v>
      </c>
      <c r="O201" s="137">
        <v>0</v>
      </c>
      <c r="P201" s="137">
        <v>0</v>
      </c>
      <c r="Q201" s="137">
        <v>0</v>
      </c>
      <c r="R201" s="137">
        <v>21</v>
      </c>
      <c r="S201" s="137">
        <v>47</v>
      </c>
      <c r="T201" s="137">
        <v>68</v>
      </c>
      <c r="U201" s="137">
        <v>0</v>
      </c>
      <c r="V201" s="137">
        <v>0</v>
      </c>
      <c r="W201" s="137">
        <v>0</v>
      </c>
      <c r="X201" s="137">
        <v>4</v>
      </c>
      <c r="Y201" s="137">
        <v>3</v>
      </c>
      <c r="Z201" s="137">
        <v>7</v>
      </c>
    </row>
    <row r="202" spans="1:26">
      <c r="A202" s="251">
        <v>198</v>
      </c>
      <c r="B202" s="136" t="s">
        <v>913</v>
      </c>
      <c r="C202" s="140">
        <v>210</v>
      </c>
      <c r="D202" s="140">
        <v>104</v>
      </c>
      <c r="E202" s="140">
        <v>314</v>
      </c>
      <c r="F202" s="140">
        <v>9</v>
      </c>
      <c r="G202" s="140">
        <v>4</v>
      </c>
      <c r="H202" s="140">
        <v>13</v>
      </c>
      <c r="I202" s="140">
        <v>2</v>
      </c>
      <c r="J202" s="140">
        <v>1</v>
      </c>
      <c r="K202" s="140">
        <v>3</v>
      </c>
      <c r="L202" s="140">
        <v>1</v>
      </c>
      <c r="M202" s="140">
        <v>5</v>
      </c>
      <c r="N202" s="140">
        <v>6</v>
      </c>
      <c r="O202" s="137">
        <v>0</v>
      </c>
      <c r="P202" s="137">
        <v>0</v>
      </c>
      <c r="Q202" s="137">
        <v>0</v>
      </c>
      <c r="R202" s="137">
        <v>36</v>
      </c>
      <c r="S202" s="137">
        <v>21</v>
      </c>
      <c r="T202" s="137">
        <v>57</v>
      </c>
      <c r="U202" s="137">
        <v>34</v>
      </c>
      <c r="V202" s="137">
        <v>15</v>
      </c>
      <c r="W202" s="137">
        <v>49</v>
      </c>
      <c r="X202" s="137">
        <v>0</v>
      </c>
      <c r="Y202" s="137">
        <v>0</v>
      </c>
      <c r="Z202" s="137">
        <v>0</v>
      </c>
    </row>
    <row r="203" spans="1:26" ht="28">
      <c r="A203" s="251">
        <v>199</v>
      </c>
      <c r="B203" s="136" t="s">
        <v>528</v>
      </c>
      <c r="C203" s="140">
        <v>109</v>
      </c>
      <c r="D203" s="140">
        <v>113</v>
      </c>
      <c r="E203" s="140">
        <v>222</v>
      </c>
      <c r="F203" s="140">
        <v>10</v>
      </c>
      <c r="G203" s="140">
        <v>3</v>
      </c>
      <c r="H203" s="140">
        <v>13</v>
      </c>
      <c r="I203" s="140">
        <v>2</v>
      </c>
      <c r="J203" s="140">
        <v>1</v>
      </c>
      <c r="K203" s="140">
        <v>3</v>
      </c>
      <c r="L203" s="140">
        <v>17</v>
      </c>
      <c r="M203" s="140">
        <v>18</v>
      </c>
      <c r="N203" s="140">
        <v>35</v>
      </c>
      <c r="O203" s="137">
        <v>0</v>
      </c>
      <c r="P203" s="137">
        <v>0</v>
      </c>
      <c r="Q203" s="137">
        <v>0</v>
      </c>
      <c r="R203" s="137">
        <v>5</v>
      </c>
      <c r="S203" s="137">
        <v>0</v>
      </c>
      <c r="T203" s="137">
        <v>5</v>
      </c>
      <c r="U203" s="137">
        <v>2</v>
      </c>
      <c r="V203" s="137">
        <v>5</v>
      </c>
      <c r="W203" s="137">
        <v>7</v>
      </c>
      <c r="X203" s="137">
        <v>1</v>
      </c>
      <c r="Y203" s="137">
        <v>0</v>
      </c>
      <c r="Z203" s="137">
        <v>1</v>
      </c>
    </row>
    <row r="204" spans="1:26" ht="28">
      <c r="A204" s="251">
        <v>200</v>
      </c>
      <c r="B204" s="136" t="s">
        <v>529</v>
      </c>
      <c r="C204" s="140">
        <v>102</v>
      </c>
      <c r="D204" s="140">
        <v>115</v>
      </c>
      <c r="E204" s="140">
        <v>217</v>
      </c>
      <c r="F204" s="140">
        <v>10</v>
      </c>
      <c r="G204" s="140">
        <v>16</v>
      </c>
      <c r="H204" s="140">
        <v>26</v>
      </c>
      <c r="I204" s="140">
        <v>15</v>
      </c>
      <c r="J204" s="140">
        <v>9</v>
      </c>
      <c r="K204" s="140">
        <v>24</v>
      </c>
      <c r="L204" s="140">
        <v>35</v>
      </c>
      <c r="M204" s="140">
        <v>16</v>
      </c>
      <c r="N204" s="140">
        <v>51</v>
      </c>
      <c r="O204" s="137">
        <v>0</v>
      </c>
      <c r="P204" s="137">
        <v>0</v>
      </c>
      <c r="Q204" s="137">
        <v>0</v>
      </c>
      <c r="R204" s="137">
        <v>9</v>
      </c>
      <c r="S204" s="137">
        <v>2</v>
      </c>
      <c r="T204" s="137">
        <v>11</v>
      </c>
      <c r="U204" s="137">
        <v>0</v>
      </c>
      <c r="V204" s="137">
        <v>1</v>
      </c>
      <c r="W204" s="137">
        <v>1</v>
      </c>
      <c r="X204" s="137">
        <v>0</v>
      </c>
      <c r="Y204" s="137">
        <v>0</v>
      </c>
      <c r="Z204" s="137">
        <v>0</v>
      </c>
    </row>
    <row r="205" spans="1:26">
      <c r="A205" s="251">
        <v>201</v>
      </c>
      <c r="B205" s="136" t="s">
        <v>912</v>
      </c>
      <c r="C205" s="140">
        <v>79</v>
      </c>
      <c r="D205" s="140">
        <v>73</v>
      </c>
      <c r="E205" s="140">
        <v>152</v>
      </c>
      <c r="F205" s="140">
        <v>3</v>
      </c>
      <c r="G205" s="140">
        <v>1</v>
      </c>
      <c r="H205" s="140">
        <v>4</v>
      </c>
      <c r="I205" s="140">
        <v>1</v>
      </c>
      <c r="J205" s="140">
        <v>1</v>
      </c>
      <c r="K205" s="140">
        <v>2</v>
      </c>
      <c r="L205" s="140">
        <v>6</v>
      </c>
      <c r="M205" s="140">
        <v>8</v>
      </c>
      <c r="N205" s="140">
        <v>14</v>
      </c>
      <c r="O205" s="137">
        <v>0</v>
      </c>
      <c r="P205" s="137">
        <v>0</v>
      </c>
      <c r="Q205" s="137">
        <v>0</v>
      </c>
      <c r="R205" s="137">
        <v>0</v>
      </c>
      <c r="S205" s="137">
        <v>0</v>
      </c>
      <c r="T205" s="137">
        <v>0</v>
      </c>
      <c r="U205" s="137">
        <v>0</v>
      </c>
      <c r="V205" s="137">
        <v>0</v>
      </c>
      <c r="W205" s="137">
        <v>0</v>
      </c>
      <c r="X205" s="137">
        <v>0</v>
      </c>
      <c r="Y205" s="137">
        <v>0</v>
      </c>
      <c r="Z205" s="137">
        <v>0</v>
      </c>
    </row>
    <row r="206" spans="1:26" ht="28">
      <c r="A206" s="251">
        <v>202</v>
      </c>
      <c r="B206" s="136" t="s">
        <v>530</v>
      </c>
      <c r="C206" s="140">
        <v>36</v>
      </c>
      <c r="D206" s="140">
        <v>39</v>
      </c>
      <c r="E206" s="140">
        <v>75</v>
      </c>
      <c r="F206" s="140">
        <v>4</v>
      </c>
      <c r="G206" s="140">
        <v>1</v>
      </c>
      <c r="H206" s="140">
        <v>5</v>
      </c>
      <c r="I206" s="140">
        <v>2</v>
      </c>
      <c r="J206" s="140">
        <v>3</v>
      </c>
      <c r="K206" s="140">
        <v>5</v>
      </c>
      <c r="L206" s="140">
        <v>22</v>
      </c>
      <c r="M206" s="140">
        <v>11</v>
      </c>
      <c r="N206" s="140">
        <v>33</v>
      </c>
      <c r="O206" s="137">
        <v>0</v>
      </c>
      <c r="P206" s="137">
        <v>0</v>
      </c>
      <c r="Q206" s="137">
        <v>0</v>
      </c>
      <c r="R206" s="137">
        <v>0</v>
      </c>
      <c r="S206" s="137">
        <v>0</v>
      </c>
      <c r="T206" s="137">
        <v>0</v>
      </c>
      <c r="U206" s="137">
        <v>1</v>
      </c>
      <c r="V206" s="137">
        <v>4</v>
      </c>
      <c r="W206" s="137">
        <v>5</v>
      </c>
      <c r="X206" s="137">
        <v>0</v>
      </c>
      <c r="Y206" s="137">
        <v>0</v>
      </c>
      <c r="Z206" s="137">
        <v>0</v>
      </c>
    </row>
    <row r="207" spans="1:26" ht="42">
      <c r="A207" s="251">
        <v>203</v>
      </c>
      <c r="B207" s="136" t="s">
        <v>532</v>
      </c>
      <c r="C207" s="140">
        <v>20</v>
      </c>
      <c r="D207" s="140">
        <v>48</v>
      </c>
      <c r="E207" s="140">
        <v>68</v>
      </c>
      <c r="F207" s="140">
        <v>2</v>
      </c>
      <c r="G207" s="140">
        <v>6</v>
      </c>
      <c r="H207" s="140">
        <v>8</v>
      </c>
      <c r="I207" s="140">
        <v>0</v>
      </c>
      <c r="J207" s="140">
        <v>0</v>
      </c>
      <c r="K207" s="140">
        <v>0</v>
      </c>
      <c r="L207" s="140">
        <v>5</v>
      </c>
      <c r="M207" s="140">
        <v>13</v>
      </c>
      <c r="N207" s="140">
        <v>18</v>
      </c>
      <c r="O207" s="137">
        <v>0</v>
      </c>
      <c r="P207" s="137">
        <v>0</v>
      </c>
      <c r="Q207" s="137">
        <v>0</v>
      </c>
      <c r="R207" s="137">
        <v>0</v>
      </c>
      <c r="S207" s="137">
        <v>0</v>
      </c>
      <c r="T207" s="137">
        <v>0</v>
      </c>
      <c r="U207" s="137">
        <v>1</v>
      </c>
      <c r="V207" s="137">
        <v>1</v>
      </c>
      <c r="W207" s="137">
        <v>2</v>
      </c>
      <c r="X207" s="137">
        <v>1</v>
      </c>
      <c r="Y207" s="137">
        <v>0</v>
      </c>
      <c r="Z207" s="137">
        <v>1</v>
      </c>
    </row>
    <row r="208" spans="1:26" ht="42">
      <c r="A208" s="251">
        <v>204</v>
      </c>
      <c r="B208" s="136" t="s">
        <v>533</v>
      </c>
      <c r="C208" s="140">
        <v>7</v>
      </c>
      <c r="D208" s="140">
        <v>52</v>
      </c>
      <c r="E208" s="140">
        <v>59</v>
      </c>
      <c r="F208" s="140">
        <v>2</v>
      </c>
      <c r="G208" s="140">
        <v>3</v>
      </c>
      <c r="H208" s="140">
        <v>5</v>
      </c>
      <c r="I208" s="140">
        <v>0</v>
      </c>
      <c r="J208" s="140">
        <v>0</v>
      </c>
      <c r="K208" s="140">
        <v>0</v>
      </c>
      <c r="L208" s="140">
        <v>0</v>
      </c>
      <c r="M208" s="140">
        <v>0</v>
      </c>
      <c r="N208" s="140">
        <v>0</v>
      </c>
      <c r="O208" s="137">
        <v>0</v>
      </c>
      <c r="P208" s="137">
        <v>0</v>
      </c>
      <c r="Q208" s="137">
        <v>0</v>
      </c>
      <c r="R208" s="137">
        <v>3</v>
      </c>
      <c r="S208" s="137">
        <v>32</v>
      </c>
      <c r="T208" s="137">
        <v>35</v>
      </c>
      <c r="U208" s="137">
        <v>0</v>
      </c>
      <c r="V208" s="137">
        <v>0</v>
      </c>
      <c r="W208" s="137">
        <v>0</v>
      </c>
      <c r="X208" s="137">
        <v>2</v>
      </c>
      <c r="Y208" s="137">
        <v>3</v>
      </c>
      <c r="Z208" s="137">
        <v>5</v>
      </c>
    </row>
    <row r="209" spans="1:26">
      <c r="A209" s="251">
        <v>205</v>
      </c>
      <c r="B209" s="136" t="s">
        <v>915</v>
      </c>
      <c r="C209" s="140">
        <v>36</v>
      </c>
      <c r="D209" s="140">
        <v>14</v>
      </c>
      <c r="E209" s="140">
        <v>50</v>
      </c>
      <c r="F209" s="140">
        <v>3</v>
      </c>
      <c r="G209" s="140">
        <v>1</v>
      </c>
      <c r="H209" s="140">
        <v>4</v>
      </c>
      <c r="I209" s="140">
        <v>4</v>
      </c>
      <c r="J209" s="140">
        <v>1</v>
      </c>
      <c r="K209" s="140">
        <v>5</v>
      </c>
      <c r="L209" s="140">
        <v>1</v>
      </c>
      <c r="M209" s="140">
        <v>0</v>
      </c>
      <c r="N209" s="140">
        <v>1</v>
      </c>
      <c r="O209" s="137">
        <v>0</v>
      </c>
      <c r="P209" s="137">
        <v>0</v>
      </c>
      <c r="Q209" s="137">
        <v>0</v>
      </c>
      <c r="R209" s="137">
        <v>0</v>
      </c>
      <c r="S209" s="137">
        <v>0</v>
      </c>
      <c r="T209" s="137">
        <v>0</v>
      </c>
      <c r="U209" s="137">
        <v>0</v>
      </c>
      <c r="V209" s="137">
        <v>0</v>
      </c>
      <c r="W209" s="137">
        <v>0</v>
      </c>
      <c r="X209" s="137">
        <v>0</v>
      </c>
      <c r="Y209" s="137">
        <v>0</v>
      </c>
      <c r="Z209" s="137">
        <v>0</v>
      </c>
    </row>
    <row r="210" spans="1:26" ht="28">
      <c r="A210" s="251">
        <v>206</v>
      </c>
      <c r="B210" s="136" t="s">
        <v>914</v>
      </c>
      <c r="C210" s="140">
        <v>46</v>
      </c>
      <c r="D210" s="140">
        <v>1</v>
      </c>
      <c r="E210" s="140">
        <v>47</v>
      </c>
      <c r="F210" s="140">
        <v>4</v>
      </c>
      <c r="G210" s="140">
        <v>1</v>
      </c>
      <c r="H210" s="140">
        <v>5</v>
      </c>
      <c r="I210" s="140">
        <v>0</v>
      </c>
      <c r="J210" s="140">
        <v>0</v>
      </c>
      <c r="K210" s="140">
        <v>0</v>
      </c>
      <c r="L210" s="140">
        <v>15</v>
      </c>
      <c r="M210" s="140">
        <v>0</v>
      </c>
      <c r="N210" s="140">
        <v>15</v>
      </c>
      <c r="O210" s="137">
        <v>0</v>
      </c>
      <c r="P210" s="137">
        <v>0</v>
      </c>
      <c r="Q210" s="137">
        <v>0</v>
      </c>
      <c r="R210" s="137">
        <v>0</v>
      </c>
      <c r="S210" s="137">
        <v>0</v>
      </c>
      <c r="T210" s="137">
        <v>0</v>
      </c>
      <c r="U210" s="137">
        <v>0</v>
      </c>
      <c r="V210" s="137">
        <v>0</v>
      </c>
      <c r="W210" s="137">
        <v>0</v>
      </c>
      <c r="X210" s="137">
        <v>11</v>
      </c>
      <c r="Y210" s="137">
        <v>0</v>
      </c>
      <c r="Z210" s="137">
        <v>11</v>
      </c>
    </row>
    <row r="211" spans="1:26" ht="28">
      <c r="A211" s="251">
        <v>207</v>
      </c>
      <c r="B211" s="136" t="s">
        <v>531</v>
      </c>
      <c r="C211" s="140">
        <v>9</v>
      </c>
      <c r="D211" s="140">
        <v>11</v>
      </c>
      <c r="E211" s="140">
        <v>20</v>
      </c>
      <c r="F211" s="140">
        <v>0</v>
      </c>
      <c r="G211" s="140">
        <v>0</v>
      </c>
      <c r="H211" s="140">
        <v>0</v>
      </c>
      <c r="I211" s="140">
        <v>0</v>
      </c>
      <c r="J211" s="140">
        <v>0</v>
      </c>
      <c r="K211" s="140">
        <v>0</v>
      </c>
      <c r="L211" s="140">
        <v>1</v>
      </c>
      <c r="M211" s="140">
        <v>1</v>
      </c>
      <c r="N211" s="140">
        <v>2</v>
      </c>
      <c r="O211" s="137">
        <v>0</v>
      </c>
      <c r="P211" s="137">
        <v>0</v>
      </c>
      <c r="Q211" s="137">
        <v>0</v>
      </c>
      <c r="R211" s="137">
        <v>0</v>
      </c>
      <c r="S211" s="137">
        <v>0</v>
      </c>
      <c r="T211" s="137">
        <v>0</v>
      </c>
      <c r="U211" s="137">
        <v>0</v>
      </c>
      <c r="V211" s="137">
        <v>0</v>
      </c>
      <c r="W211" s="137">
        <v>0</v>
      </c>
      <c r="X211" s="137">
        <v>0</v>
      </c>
      <c r="Y211" s="137">
        <v>0</v>
      </c>
      <c r="Z211" s="137">
        <v>0</v>
      </c>
    </row>
    <row r="212" spans="1:26" ht="28">
      <c r="A212" s="251">
        <v>208</v>
      </c>
      <c r="B212" s="136" t="s">
        <v>916</v>
      </c>
      <c r="C212" s="140">
        <v>10</v>
      </c>
      <c r="D212" s="140">
        <v>9</v>
      </c>
      <c r="E212" s="140">
        <v>19</v>
      </c>
      <c r="F212" s="140">
        <v>0</v>
      </c>
      <c r="G212" s="140">
        <v>0</v>
      </c>
      <c r="H212" s="140">
        <v>0</v>
      </c>
      <c r="I212" s="140">
        <v>0</v>
      </c>
      <c r="J212" s="140">
        <v>0</v>
      </c>
      <c r="K212" s="140">
        <v>0</v>
      </c>
      <c r="L212" s="140">
        <v>0</v>
      </c>
      <c r="M212" s="140">
        <v>0</v>
      </c>
      <c r="N212" s="140">
        <v>0</v>
      </c>
      <c r="O212" s="137">
        <v>0</v>
      </c>
      <c r="P212" s="137">
        <v>0</v>
      </c>
      <c r="Q212" s="137">
        <v>0</v>
      </c>
      <c r="R212" s="137">
        <v>0</v>
      </c>
      <c r="S212" s="137">
        <v>0</v>
      </c>
      <c r="T212" s="137">
        <v>0</v>
      </c>
      <c r="U212" s="137">
        <v>0</v>
      </c>
      <c r="V212" s="137">
        <v>0</v>
      </c>
      <c r="W212" s="137">
        <v>0</v>
      </c>
      <c r="X212" s="137">
        <v>0</v>
      </c>
      <c r="Y212" s="137">
        <v>0</v>
      </c>
      <c r="Z212" s="137">
        <v>0</v>
      </c>
    </row>
    <row r="213" spans="1:26" ht="27" customHeight="1">
      <c r="A213" s="1118" t="s">
        <v>49</v>
      </c>
      <c r="B213" s="1119"/>
      <c r="C213" s="147">
        <v>4651823</v>
      </c>
      <c r="D213" s="147">
        <v>4889213</v>
      </c>
      <c r="E213" s="147">
        <v>9541036</v>
      </c>
      <c r="F213" s="147">
        <v>521342</v>
      </c>
      <c r="G213" s="147">
        <v>566808</v>
      </c>
      <c r="H213" s="147">
        <v>1088150</v>
      </c>
      <c r="I213" s="147">
        <v>209588</v>
      </c>
      <c r="J213" s="147">
        <v>233828</v>
      </c>
      <c r="K213" s="147">
        <v>443416</v>
      </c>
      <c r="L213" s="147">
        <v>1372074</v>
      </c>
      <c r="M213" s="147">
        <v>1494828</v>
      </c>
      <c r="N213" s="147">
        <v>2866902</v>
      </c>
      <c r="O213" s="147">
        <v>4715</v>
      </c>
      <c r="P213" s="147">
        <v>3087</v>
      </c>
      <c r="Q213" s="147">
        <v>7802</v>
      </c>
      <c r="R213" s="147">
        <v>148417</v>
      </c>
      <c r="S213" s="147">
        <v>161073</v>
      </c>
      <c r="T213" s="147">
        <v>309490</v>
      </c>
      <c r="U213" s="147">
        <v>60432</v>
      </c>
      <c r="V213" s="147">
        <v>92027</v>
      </c>
      <c r="W213" s="147">
        <v>152459</v>
      </c>
      <c r="X213" s="147">
        <v>32813</v>
      </c>
      <c r="Y213" s="147">
        <v>32787</v>
      </c>
      <c r="Z213" s="147">
        <v>65600</v>
      </c>
    </row>
  </sheetData>
  <mergeCells count="14">
    <mergeCell ref="O2:Q2"/>
    <mergeCell ref="R2:T2"/>
    <mergeCell ref="U2:W2"/>
    <mergeCell ref="X2:Z2"/>
    <mergeCell ref="A213:B213"/>
    <mergeCell ref="A1:B1"/>
    <mergeCell ref="C1:H1"/>
    <mergeCell ref="I1:N1"/>
    <mergeCell ref="A2:A3"/>
    <mergeCell ref="B2:B3"/>
    <mergeCell ref="C2:E2"/>
    <mergeCell ref="F2:H2"/>
    <mergeCell ref="I2:K2"/>
    <mergeCell ref="L2:N2"/>
  </mergeCells>
  <pageMargins left="0.51181102362204722" right="0.51181102362204722" top="0.39370078740157483" bottom="0.39370078740157483" header="0.19685039370078741" footer="7.874015748031496E-2"/>
  <pageSetup paperSize="9" scale="62" firstPageNumber="28" pageOrder="overThenDown" orientation="portrait" useFirstPageNumber="1" r:id="rId1"/>
  <headerFooter>
    <oddFooter>&amp;L&amp;9     AISHE 2020-21&amp;CT-34a</oddFooter>
  </headerFooter>
  <rowBreaks count="1" manualBreakCount="1">
    <brk id="187" max="25" man="1"/>
  </rowBreaks>
  <colBreaks count="2" manualBreakCount="2">
    <brk id="8" max="218" man="1"/>
    <brk id="14" max="218" man="1"/>
  </colBreaks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00B050"/>
  </sheetPr>
  <dimension ref="A1:E94"/>
  <sheetViews>
    <sheetView view="pageBreakPreview" topLeftCell="A69" zoomScaleSheetLayoutView="100" workbookViewId="0">
      <selection activeCell="E94" sqref="E94"/>
    </sheetView>
  </sheetViews>
  <sheetFormatPr defaultColWidth="9.1796875" defaultRowHeight="14"/>
  <cols>
    <col min="1" max="1" width="33.81640625" style="138" customWidth="1"/>
    <col min="2" max="2" width="32.54296875" style="138" customWidth="1"/>
    <col min="3" max="5" width="19.453125" style="138" customWidth="1"/>
    <col min="6" max="16384" width="9.1796875" style="138"/>
  </cols>
  <sheetData>
    <row r="1" spans="1:5" ht="39" customHeight="1">
      <c r="A1" s="798" t="s">
        <v>1077</v>
      </c>
      <c r="B1" s="992" t="s">
        <v>1080</v>
      </c>
      <c r="C1" s="992"/>
      <c r="D1" s="992"/>
      <c r="E1" s="992"/>
    </row>
    <row r="2" spans="1:5" s="641" customFormat="1" ht="22.5" customHeight="1">
      <c r="A2" s="1120" t="s">
        <v>539</v>
      </c>
      <c r="B2" s="1121"/>
      <c r="C2" s="583" t="s">
        <v>87</v>
      </c>
      <c r="D2" s="583" t="s">
        <v>88</v>
      </c>
      <c r="E2" s="583" t="s">
        <v>12</v>
      </c>
    </row>
    <row r="3" spans="1:5" s="642" customFormat="1" ht="12.65" customHeight="1">
      <c r="A3" s="229">
        <v>1</v>
      </c>
      <c r="B3" s="230">
        <v>2</v>
      </c>
      <c r="C3" s="231">
        <v>3</v>
      </c>
      <c r="D3" s="230">
        <v>4</v>
      </c>
      <c r="E3" s="230">
        <v>5</v>
      </c>
    </row>
    <row r="4" spans="1:5" ht="22.5" customHeight="1">
      <c r="A4" s="643" t="s">
        <v>256</v>
      </c>
      <c r="B4" s="644"/>
      <c r="C4" s="647">
        <v>908169</v>
      </c>
      <c r="D4" s="647">
        <v>1135968</v>
      </c>
      <c r="E4" s="647">
        <v>2044137</v>
      </c>
    </row>
    <row r="5" spans="1:5" ht="22.5" customHeight="1">
      <c r="A5" s="643" t="s">
        <v>254</v>
      </c>
      <c r="B5" s="785"/>
      <c r="C5" s="647">
        <v>504531</v>
      </c>
      <c r="D5" s="647">
        <v>604498</v>
      </c>
      <c r="E5" s="647">
        <v>1109029</v>
      </c>
    </row>
    <row r="6" spans="1:5" ht="22.5" customHeight="1">
      <c r="A6" s="643" t="s">
        <v>257</v>
      </c>
      <c r="B6" s="785"/>
      <c r="C6" s="647">
        <v>496879</v>
      </c>
      <c r="D6" s="647">
        <v>523734</v>
      </c>
      <c r="E6" s="647">
        <v>1020613</v>
      </c>
    </row>
    <row r="7" spans="1:5" ht="22.5" customHeight="1">
      <c r="A7" s="997" t="s">
        <v>260</v>
      </c>
      <c r="B7" s="786" t="s">
        <v>540</v>
      </c>
      <c r="C7" s="647">
        <v>121756</v>
      </c>
      <c r="D7" s="647">
        <v>83874</v>
      </c>
      <c r="E7" s="647">
        <v>205630</v>
      </c>
    </row>
    <row r="8" spans="1:5" ht="22.5" customHeight="1">
      <c r="A8" s="998"/>
      <c r="B8" s="786" t="s">
        <v>541</v>
      </c>
      <c r="C8" s="647">
        <v>153508</v>
      </c>
      <c r="D8" s="647">
        <v>9439</v>
      </c>
      <c r="E8" s="647">
        <v>162947</v>
      </c>
    </row>
    <row r="9" spans="1:5" ht="22.5" customHeight="1">
      <c r="A9" s="998"/>
      <c r="B9" s="786" t="s">
        <v>542</v>
      </c>
      <c r="C9" s="647">
        <v>73672</v>
      </c>
      <c r="D9" s="647">
        <v>59779</v>
      </c>
      <c r="E9" s="647">
        <v>133451</v>
      </c>
    </row>
    <row r="10" spans="1:5" ht="22.5" customHeight="1">
      <c r="A10" s="998"/>
      <c r="B10" s="786" t="s">
        <v>543</v>
      </c>
      <c r="C10" s="647">
        <v>87954</v>
      </c>
      <c r="D10" s="647">
        <v>26364</v>
      </c>
      <c r="E10" s="647">
        <v>114318</v>
      </c>
    </row>
    <row r="11" spans="1:5" ht="22.5" customHeight="1">
      <c r="A11" s="998"/>
      <c r="B11" s="786" t="s">
        <v>544</v>
      </c>
      <c r="C11" s="647">
        <v>59026</v>
      </c>
      <c r="D11" s="647">
        <v>24576</v>
      </c>
      <c r="E11" s="647">
        <v>83602</v>
      </c>
    </row>
    <row r="12" spans="1:5" ht="22.5" customHeight="1">
      <c r="A12" s="998"/>
      <c r="B12" s="786" t="s">
        <v>546</v>
      </c>
      <c r="C12" s="647">
        <v>28191</v>
      </c>
      <c r="D12" s="647">
        <v>14276</v>
      </c>
      <c r="E12" s="647">
        <v>42467</v>
      </c>
    </row>
    <row r="13" spans="1:5" ht="22.5" customHeight="1">
      <c r="A13" s="998"/>
      <c r="B13" s="786" t="s">
        <v>545</v>
      </c>
      <c r="C13" s="647">
        <v>26855</v>
      </c>
      <c r="D13" s="647">
        <v>12746</v>
      </c>
      <c r="E13" s="647">
        <v>39601</v>
      </c>
    </row>
    <row r="14" spans="1:5" ht="22.5" customHeight="1">
      <c r="A14" s="998"/>
      <c r="B14" s="786" t="s">
        <v>255</v>
      </c>
      <c r="C14" s="647">
        <v>6634</v>
      </c>
      <c r="D14" s="647">
        <v>7705</v>
      </c>
      <c r="E14" s="647">
        <v>14339</v>
      </c>
    </row>
    <row r="15" spans="1:5" ht="22.5" customHeight="1">
      <c r="A15" s="998"/>
      <c r="B15" s="786" t="s">
        <v>547</v>
      </c>
      <c r="C15" s="647">
        <v>8870</v>
      </c>
      <c r="D15" s="647">
        <v>2901</v>
      </c>
      <c r="E15" s="647">
        <v>11771</v>
      </c>
    </row>
    <row r="16" spans="1:5" ht="22.5" customHeight="1">
      <c r="A16" s="998"/>
      <c r="B16" s="786" t="s">
        <v>548</v>
      </c>
      <c r="C16" s="647">
        <v>3087</v>
      </c>
      <c r="D16" s="647">
        <v>1427</v>
      </c>
      <c r="E16" s="647">
        <v>4514</v>
      </c>
    </row>
    <row r="17" spans="1:5" ht="22.5" customHeight="1">
      <c r="A17" s="998"/>
      <c r="B17" s="786" t="s">
        <v>549</v>
      </c>
      <c r="C17" s="647">
        <v>3041</v>
      </c>
      <c r="D17" s="647">
        <v>973</v>
      </c>
      <c r="E17" s="647">
        <v>4014</v>
      </c>
    </row>
    <row r="18" spans="1:5" ht="22.5" customHeight="1">
      <c r="A18" s="998"/>
      <c r="B18" s="786" t="s">
        <v>550</v>
      </c>
      <c r="C18" s="647">
        <v>1782</v>
      </c>
      <c r="D18" s="647">
        <v>1538</v>
      </c>
      <c r="E18" s="647">
        <v>3320</v>
      </c>
    </row>
    <row r="19" spans="1:5" ht="22.5" customHeight="1">
      <c r="A19" s="998"/>
      <c r="B19" s="786" t="s">
        <v>551</v>
      </c>
      <c r="C19" s="647">
        <v>1500</v>
      </c>
      <c r="D19" s="647">
        <v>456</v>
      </c>
      <c r="E19" s="647">
        <v>1956</v>
      </c>
    </row>
    <row r="20" spans="1:5" ht="22.5" customHeight="1">
      <c r="A20" s="998"/>
      <c r="B20" s="786" t="s">
        <v>552</v>
      </c>
      <c r="C20" s="647">
        <v>1649</v>
      </c>
      <c r="D20" s="647">
        <v>36</v>
      </c>
      <c r="E20" s="647">
        <v>1685</v>
      </c>
    </row>
    <row r="21" spans="1:5" ht="22.5" customHeight="1">
      <c r="A21" s="998"/>
      <c r="B21" s="786" t="s">
        <v>918</v>
      </c>
      <c r="C21" s="647">
        <v>1002</v>
      </c>
      <c r="D21" s="647">
        <v>639</v>
      </c>
      <c r="E21" s="647">
        <v>1641</v>
      </c>
    </row>
    <row r="22" spans="1:5" ht="22.5" customHeight="1">
      <c r="A22" s="998"/>
      <c r="B22" s="786" t="s">
        <v>553</v>
      </c>
      <c r="C22" s="647">
        <v>1147</v>
      </c>
      <c r="D22" s="647">
        <v>99</v>
      </c>
      <c r="E22" s="647">
        <v>1246</v>
      </c>
    </row>
    <row r="23" spans="1:5" ht="22.5" customHeight="1">
      <c r="A23" s="998"/>
      <c r="B23" s="786" t="s">
        <v>554</v>
      </c>
      <c r="C23" s="647">
        <v>538</v>
      </c>
      <c r="D23" s="647">
        <v>263</v>
      </c>
      <c r="E23" s="647">
        <v>801</v>
      </c>
    </row>
    <row r="24" spans="1:5" ht="22.5" customHeight="1">
      <c r="A24" s="998"/>
      <c r="B24" s="786" t="s">
        <v>555</v>
      </c>
      <c r="C24" s="647">
        <v>270</v>
      </c>
      <c r="D24" s="647">
        <v>192</v>
      </c>
      <c r="E24" s="647">
        <v>462</v>
      </c>
    </row>
    <row r="25" spans="1:5" ht="22.5" customHeight="1">
      <c r="A25" s="998"/>
      <c r="B25" s="786" t="s">
        <v>919</v>
      </c>
      <c r="C25" s="647">
        <v>328</v>
      </c>
      <c r="D25" s="647">
        <v>9</v>
      </c>
      <c r="E25" s="647">
        <v>337</v>
      </c>
    </row>
    <row r="26" spans="1:5" ht="22.5" customHeight="1">
      <c r="A26" s="998"/>
      <c r="B26" s="787" t="s">
        <v>601</v>
      </c>
      <c r="C26" s="647">
        <v>12</v>
      </c>
      <c r="D26" s="647">
        <v>6</v>
      </c>
      <c r="E26" s="647">
        <v>18</v>
      </c>
    </row>
    <row r="27" spans="1:5" ht="22.5" customHeight="1">
      <c r="A27" s="597" t="s">
        <v>556</v>
      </c>
      <c r="B27" s="788"/>
      <c r="C27" s="790">
        <f>SUM(C7:C26)</f>
        <v>580822</v>
      </c>
      <c r="D27" s="790">
        <f t="shared" ref="D27:E27" si="0">SUM(D7:D26)</f>
        <v>247298</v>
      </c>
      <c r="E27" s="790">
        <f t="shared" si="0"/>
        <v>828120</v>
      </c>
    </row>
    <row r="28" spans="1:5" ht="22.5" customHeight="1">
      <c r="A28" s="645" t="s">
        <v>245</v>
      </c>
      <c r="B28" s="644"/>
      <c r="C28" s="644">
        <v>230318</v>
      </c>
      <c r="D28" s="646">
        <v>425157</v>
      </c>
      <c r="E28" s="646">
        <v>655475</v>
      </c>
    </row>
    <row r="29" spans="1:5" ht="22.5" customHeight="1">
      <c r="A29" s="997" t="s">
        <v>557</v>
      </c>
      <c r="B29" s="789" t="s">
        <v>76</v>
      </c>
      <c r="C29" s="647">
        <v>15844</v>
      </c>
      <c r="D29" s="647">
        <v>63083</v>
      </c>
      <c r="E29" s="647">
        <v>78927</v>
      </c>
    </row>
    <row r="30" spans="1:5" ht="22.5" customHeight="1">
      <c r="A30" s="998"/>
      <c r="B30" s="786" t="s">
        <v>268</v>
      </c>
      <c r="C30" s="647">
        <v>31590</v>
      </c>
      <c r="D30" s="647">
        <v>24386</v>
      </c>
      <c r="E30" s="647">
        <v>55976</v>
      </c>
    </row>
    <row r="31" spans="1:5" ht="22.5" customHeight="1">
      <c r="A31" s="998"/>
      <c r="B31" s="786" t="s">
        <v>558</v>
      </c>
      <c r="C31" s="647">
        <v>12899</v>
      </c>
      <c r="D31" s="647">
        <v>13983</v>
      </c>
      <c r="E31" s="647">
        <v>26882</v>
      </c>
    </row>
    <row r="32" spans="1:5" ht="22.5" customHeight="1">
      <c r="A32" s="998"/>
      <c r="B32" s="786" t="s">
        <v>557</v>
      </c>
      <c r="C32" s="647">
        <v>10148</v>
      </c>
      <c r="D32" s="647">
        <v>15451</v>
      </c>
      <c r="E32" s="647">
        <v>25599</v>
      </c>
    </row>
    <row r="33" spans="1:5" ht="22.5" customHeight="1">
      <c r="A33" s="998"/>
      <c r="B33" s="786" t="s">
        <v>559</v>
      </c>
      <c r="C33" s="647">
        <v>4410</v>
      </c>
      <c r="D33" s="647">
        <v>13483</v>
      </c>
      <c r="E33" s="647">
        <v>17893</v>
      </c>
    </row>
    <row r="34" spans="1:5" ht="22.5" customHeight="1">
      <c r="A34" s="998"/>
      <c r="B34" s="786" t="s">
        <v>269</v>
      </c>
      <c r="C34" s="647">
        <v>3488</v>
      </c>
      <c r="D34" s="647">
        <v>8676</v>
      </c>
      <c r="E34" s="647">
        <v>12164</v>
      </c>
    </row>
    <row r="35" spans="1:5" ht="22.5" customHeight="1">
      <c r="A35" s="998"/>
      <c r="B35" s="786" t="s">
        <v>560</v>
      </c>
      <c r="C35" s="647">
        <v>3946</v>
      </c>
      <c r="D35" s="647">
        <v>6256</v>
      </c>
      <c r="E35" s="647">
        <v>10202</v>
      </c>
    </row>
    <row r="36" spans="1:5" ht="22.5" customHeight="1">
      <c r="A36" s="998"/>
      <c r="B36" s="786" t="s">
        <v>561</v>
      </c>
      <c r="C36" s="647">
        <v>2657</v>
      </c>
      <c r="D36" s="647">
        <v>4912</v>
      </c>
      <c r="E36" s="647">
        <v>7569</v>
      </c>
    </row>
    <row r="37" spans="1:5" ht="22.5" customHeight="1">
      <c r="A37" s="998"/>
      <c r="B37" s="786" t="s">
        <v>564</v>
      </c>
      <c r="C37" s="647">
        <v>1943</v>
      </c>
      <c r="D37" s="647">
        <v>2517</v>
      </c>
      <c r="E37" s="647">
        <v>4460</v>
      </c>
    </row>
    <row r="38" spans="1:5" ht="22.5" customHeight="1">
      <c r="A38" s="998"/>
      <c r="B38" s="786" t="s">
        <v>570</v>
      </c>
      <c r="C38" s="647">
        <v>696</v>
      </c>
      <c r="D38" s="647">
        <v>1132</v>
      </c>
      <c r="E38" s="647">
        <v>1828</v>
      </c>
    </row>
    <row r="39" spans="1:5" ht="22.5" customHeight="1">
      <c r="A39" s="998"/>
      <c r="B39" s="786" t="s">
        <v>562</v>
      </c>
      <c r="C39" s="647">
        <v>610</v>
      </c>
      <c r="D39" s="647">
        <v>854</v>
      </c>
      <c r="E39" s="647">
        <v>1464</v>
      </c>
    </row>
    <row r="40" spans="1:5" ht="22.5" customHeight="1">
      <c r="A40" s="998"/>
      <c r="B40" s="786" t="s">
        <v>665</v>
      </c>
      <c r="C40" s="647">
        <v>494</v>
      </c>
      <c r="D40" s="647">
        <v>873</v>
      </c>
      <c r="E40" s="647">
        <v>1367</v>
      </c>
    </row>
    <row r="41" spans="1:5" ht="22.5" customHeight="1">
      <c r="A41" s="998"/>
      <c r="B41" s="786" t="s">
        <v>563</v>
      </c>
      <c r="C41" s="647">
        <v>484</v>
      </c>
      <c r="D41" s="647">
        <v>794</v>
      </c>
      <c r="E41" s="647">
        <v>1278</v>
      </c>
    </row>
    <row r="42" spans="1:5" ht="22.5" customHeight="1">
      <c r="A42" s="998"/>
      <c r="B42" s="786" t="s">
        <v>567</v>
      </c>
      <c r="C42" s="647">
        <v>683</v>
      </c>
      <c r="D42" s="647">
        <v>399</v>
      </c>
      <c r="E42" s="647">
        <v>1082</v>
      </c>
    </row>
    <row r="43" spans="1:5" ht="22.5" customHeight="1">
      <c r="A43" s="998"/>
      <c r="B43" s="786" t="s">
        <v>565</v>
      </c>
      <c r="C43" s="647">
        <v>269</v>
      </c>
      <c r="D43" s="647">
        <v>648</v>
      </c>
      <c r="E43" s="647">
        <v>917</v>
      </c>
    </row>
    <row r="44" spans="1:5" ht="22.5" customHeight="1">
      <c r="A44" s="998"/>
      <c r="B44" s="786" t="s">
        <v>661</v>
      </c>
      <c r="C44" s="647">
        <v>250</v>
      </c>
      <c r="D44" s="647">
        <v>667</v>
      </c>
      <c r="E44" s="647">
        <v>917</v>
      </c>
    </row>
    <row r="45" spans="1:5" ht="18" customHeight="1">
      <c r="A45" s="998" t="s">
        <v>557</v>
      </c>
      <c r="B45" s="786" t="s">
        <v>656</v>
      </c>
      <c r="C45" s="647">
        <v>215</v>
      </c>
      <c r="D45" s="647">
        <v>417</v>
      </c>
      <c r="E45" s="647">
        <v>632</v>
      </c>
    </row>
    <row r="46" spans="1:5" ht="18" customHeight="1">
      <c r="A46" s="998"/>
      <c r="B46" s="786" t="s">
        <v>568</v>
      </c>
      <c r="C46" s="647">
        <v>158</v>
      </c>
      <c r="D46" s="647">
        <v>416</v>
      </c>
      <c r="E46" s="647">
        <v>574</v>
      </c>
    </row>
    <row r="47" spans="1:5" ht="18" customHeight="1">
      <c r="A47" s="998"/>
      <c r="B47" s="786" t="s">
        <v>569</v>
      </c>
      <c r="C47" s="647">
        <v>81</v>
      </c>
      <c r="D47" s="647">
        <v>128</v>
      </c>
      <c r="E47" s="647">
        <v>209</v>
      </c>
    </row>
    <row r="48" spans="1:5" ht="18" customHeight="1">
      <c r="A48" s="998"/>
      <c r="B48" s="786" t="s">
        <v>654</v>
      </c>
      <c r="C48" s="647">
        <v>103</v>
      </c>
      <c r="D48" s="647">
        <v>91</v>
      </c>
      <c r="E48" s="647">
        <v>194</v>
      </c>
    </row>
    <row r="49" spans="1:5" ht="18" customHeight="1">
      <c r="A49" s="998"/>
      <c r="B49" s="786" t="s">
        <v>659</v>
      </c>
      <c r="C49" s="647">
        <v>54</v>
      </c>
      <c r="D49" s="647">
        <v>78</v>
      </c>
      <c r="E49" s="647">
        <v>132</v>
      </c>
    </row>
    <row r="50" spans="1:5" ht="18" customHeight="1">
      <c r="A50" s="998"/>
      <c r="B50" s="786" t="s">
        <v>657</v>
      </c>
      <c r="C50" s="647">
        <v>55</v>
      </c>
      <c r="D50" s="647">
        <v>48</v>
      </c>
      <c r="E50" s="647">
        <v>103</v>
      </c>
    </row>
    <row r="51" spans="1:5" ht="18" customHeight="1">
      <c r="A51" s="998"/>
      <c r="B51" s="786" t="s">
        <v>662</v>
      </c>
      <c r="C51" s="647">
        <v>46</v>
      </c>
      <c r="D51" s="647">
        <v>52</v>
      </c>
      <c r="E51" s="647">
        <v>98</v>
      </c>
    </row>
    <row r="52" spans="1:5" ht="18" customHeight="1">
      <c r="A52" s="998"/>
      <c r="B52" s="786" t="s">
        <v>655</v>
      </c>
      <c r="C52" s="647">
        <v>54</v>
      </c>
      <c r="D52" s="647">
        <v>42</v>
      </c>
      <c r="E52" s="647">
        <v>96</v>
      </c>
    </row>
    <row r="53" spans="1:5" ht="18" customHeight="1">
      <c r="A53" s="998"/>
      <c r="B53" s="786" t="s">
        <v>651</v>
      </c>
      <c r="C53" s="647">
        <v>50</v>
      </c>
      <c r="D53" s="647">
        <v>46</v>
      </c>
      <c r="E53" s="647">
        <v>96</v>
      </c>
    </row>
    <row r="54" spans="1:5" ht="18" customHeight="1">
      <c r="A54" s="998"/>
      <c r="B54" s="786" t="s">
        <v>652</v>
      </c>
      <c r="C54" s="647">
        <v>50</v>
      </c>
      <c r="D54" s="647">
        <v>46</v>
      </c>
      <c r="E54" s="647">
        <v>96</v>
      </c>
    </row>
    <row r="55" spans="1:5" ht="18" customHeight="1">
      <c r="A55" s="998"/>
      <c r="B55" s="786" t="s">
        <v>664</v>
      </c>
      <c r="C55" s="647">
        <v>32</v>
      </c>
      <c r="D55" s="647">
        <v>48</v>
      </c>
      <c r="E55" s="647">
        <v>80</v>
      </c>
    </row>
    <row r="56" spans="1:5" ht="18" customHeight="1">
      <c r="A56" s="998"/>
      <c r="B56" s="786" t="s">
        <v>666</v>
      </c>
      <c r="C56" s="647">
        <v>44</v>
      </c>
      <c r="D56" s="647">
        <v>34</v>
      </c>
      <c r="E56" s="647">
        <v>78</v>
      </c>
    </row>
    <row r="57" spans="1:5" ht="18" customHeight="1">
      <c r="A57" s="998"/>
      <c r="B57" s="786" t="s">
        <v>650</v>
      </c>
      <c r="C57" s="647">
        <v>21</v>
      </c>
      <c r="D57" s="647">
        <v>20</v>
      </c>
      <c r="E57" s="647">
        <v>41</v>
      </c>
    </row>
    <row r="58" spans="1:5" ht="18" customHeight="1">
      <c r="A58" s="998"/>
      <c r="B58" s="786" t="s">
        <v>676</v>
      </c>
      <c r="C58" s="647">
        <v>10</v>
      </c>
      <c r="D58" s="647">
        <v>14</v>
      </c>
      <c r="E58" s="647">
        <v>24</v>
      </c>
    </row>
    <row r="59" spans="1:5" ht="18" customHeight="1">
      <c r="A59" s="998"/>
      <c r="B59" s="786" t="s">
        <v>667</v>
      </c>
      <c r="C59" s="647">
        <v>10</v>
      </c>
      <c r="D59" s="647">
        <v>9</v>
      </c>
      <c r="E59" s="647">
        <v>19</v>
      </c>
    </row>
    <row r="60" spans="1:5" ht="18" customHeight="1">
      <c r="A60" s="998"/>
      <c r="B60" s="786" t="s">
        <v>668</v>
      </c>
      <c r="C60" s="647">
        <v>4</v>
      </c>
      <c r="D60" s="647">
        <v>5</v>
      </c>
      <c r="E60" s="647">
        <v>9</v>
      </c>
    </row>
    <row r="61" spans="1:5" ht="18" customHeight="1">
      <c r="A61" s="998"/>
      <c r="B61" s="786" t="s">
        <v>670</v>
      </c>
      <c r="C61" s="647">
        <v>2</v>
      </c>
      <c r="D61" s="647">
        <v>3</v>
      </c>
      <c r="E61" s="647">
        <v>5</v>
      </c>
    </row>
    <row r="62" spans="1:5" ht="18" customHeight="1">
      <c r="A62" s="998"/>
      <c r="B62" s="787" t="s">
        <v>663</v>
      </c>
      <c r="C62" s="647">
        <v>2</v>
      </c>
      <c r="D62" s="647">
        <v>2</v>
      </c>
      <c r="E62" s="647">
        <v>4</v>
      </c>
    </row>
    <row r="63" spans="1:5" ht="18" customHeight="1">
      <c r="A63" s="597" t="s">
        <v>571</v>
      </c>
      <c r="B63" s="788"/>
      <c r="C63" s="790">
        <f>SUM(C29:C62)</f>
        <v>91402</v>
      </c>
      <c r="D63" s="790">
        <f t="shared" ref="D63:E63" si="1">SUM(D29:D62)</f>
        <v>159613</v>
      </c>
      <c r="E63" s="790">
        <f t="shared" si="1"/>
        <v>251015</v>
      </c>
    </row>
    <row r="64" spans="1:5" ht="20.25" customHeight="1">
      <c r="A64" s="643" t="s">
        <v>277</v>
      </c>
      <c r="B64" s="788"/>
      <c r="C64" s="785">
        <v>107678</v>
      </c>
      <c r="D64" s="647">
        <v>114456</v>
      </c>
      <c r="E64" s="647">
        <v>222134</v>
      </c>
    </row>
    <row r="65" spans="1:5" ht="20.25" customHeight="1">
      <c r="A65" s="645" t="s">
        <v>572</v>
      </c>
      <c r="B65" s="644"/>
      <c r="C65" s="646">
        <v>117985</v>
      </c>
      <c r="D65" s="646">
        <v>92512</v>
      </c>
      <c r="E65" s="646">
        <v>210497</v>
      </c>
    </row>
    <row r="66" spans="1:5" ht="20.25" customHeight="1">
      <c r="A66" s="645" t="s">
        <v>250</v>
      </c>
      <c r="B66" s="785"/>
      <c r="C66" s="647">
        <v>108622</v>
      </c>
      <c r="D66" s="647">
        <v>72064</v>
      </c>
      <c r="E66" s="647">
        <v>180686</v>
      </c>
    </row>
    <row r="67" spans="1:5" ht="20.25" customHeight="1">
      <c r="A67" s="645" t="s">
        <v>8</v>
      </c>
      <c r="B67" s="785"/>
      <c r="C67" s="647">
        <v>61125</v>
      </c>
      <c r="D67" s="647">
        <v>30103</v>
      </c>
      <c r="E67" s="647">
        <v>91228</v>
      </c>
    </row>
    <row r="68" spans="1:5" ht="20.25" customHeight="1">
      <c r="A68" s="645" t="s">
        <v>573</v>
      </c>
      <c r="B68" s="785"/>
      <c r="C68" s="647">
        <v>22685</v>
      </c>
      <c r="D68" s="647">
        <v>43553</v>
      </c>
      <c r="E68" s="647">
        <v>66238</v>
      </c>
    </row>
    <row r="69" spans="1:5" ht="20.25" customHeight="1">
      <c r="A69" s="645" t="s">
        <v>6</v>
      </c>
      <c r="B69" s="785"/>
      <c r="C69" s="647">
        <v>38212</v>
      </c>
      <c r="D69" s="647">
        <v>15387</v>
      </c>
      <c r="E69" s="647">
        <v>53599</v>
      </c>
    </row>
    <row r="70" spans="1:5" ht="20.25" customHeight="1">
      <c r="A70" s="645" t="s">
        <v>574</v>
      </c>
      <c r="B70" s="785"/>
      <c r="C70" s="647">
        <v>14508</v>
      </c>
      <c r="D70" s="647">
        <v>19475</v>
      </c>
      <c r="E70" s="647">
        <v>33983</v>
      </c>
    </row>
    <row r="71" spans="1:5" ht="20.25" customHeight="1">
      <c r="A71" s="645" t="s">
        <v>577</v>
      </c>
      <c r="B71" s="785"/>
      <c r="C71" s="647">
        <v>10377</v>
      </c>
      <c r="D71" s="647">
        <v>10646</v>
      </c>
      <c r="E71" s="647">
        <v>21023</v>
      </c>
    </row>
    <row r="72" spans="1:5" ht="20.25" customHeight="1">
      <c r="A72" s="645" t="s">
        <v>576</v>
      </c>
      <c r="B72" s="785"/>
      <c r="C72" s="647">
        <v>13926</v>
      </c>
      <c r="D72" s="647">
        <v>6481</v>
      </c>
      <c r="E72" s="647">
        <v>20407</v>
      </c>
    </row>
    <row r="73" spans="1:5" ht="20.25" customHeight="1">
      <c r="A73" s="645" t="s">
        <v>251</v>
      </c>
      <c r="B73" s="785"/>
      <c r="C73" s="647">
        <v>10910</v>
      </c>
      <c r="D73" s="647">
        <v>9290</v>
      </c>
      <c r="E73" s="647">
        <v>20200</v>
      </c>
    </row>
    <row r="74" spans="1:5" ht="20.25" customHeight="1">
      <c r="A74" s="645" t="s">
        <v>279</v>
      </c>
      <c r="B74" s="785"/>
      <c r="C74" s="647">
        <v>1729</v>
      </c>
      <c r="D74" s="647">
        <v>14629</v>
      </c>
      <c r="E74" s="647">
        <v>16358</v>
      </c>
    </row>
    <row r="75" spans="1:5" ht="20.25" customHeight="1">
      <c r="A75" s="645" t="s">
        <v>246</v>
      </c>
      <c r="B75" s="785"/>
      <c r="C75" s="647">
        <v>4620</v>
      </c>
      <c r="D75" s="647">
        <v>5322</v>
      </c>
      <c r="E75" s="647">
        <v>9942</v>
      </c>
    </row>
    <row r="76" spans="1:5" ht="20.25" customHeight="1">
      <c r="A76" s="645" t="s">
        <v>248</v>
      </c>
      <c r="B76" s="785"/>
      <c r="C76" s="647">
        <v>4209</v>
      </c>
      <c r="D76" s="647">
        <v>4091</v>
      </c>
      <c r="E76" s="647">
        <v>8300</v>
      </c>
    </row>
    <row r="77" spans="1:5" ht="20.25" customHeight="1">
      <c r="A77" s="645" t="s">
        <v>575</v>
      </c>
      <c r="B77" s="785"/>
      <c r="C77" s="647">
        <v>3108</v>
      </c>
      <c r="D77" s="647">
        <v>4711</v>
      </c>
      <c r="E77" s="647">
        <v>7819</v>
      </c>
    </row>
    <row r="78" spans="1:5" ht="20.25" customHeight="1">
      <c r="A78" s="645" t="s">
        <v>270</v>
      </c>
      <c r="B78" s="785"/>
      <c r="C78" s="647">
        <v>2982</v>
      </c>
      <c r="D78" s="647">
        <v>3358</v>
      </c>
      <c r="E78" s="647">
        <v>6340</v>
      </c>
    </row>
    <row r="79" spans="1:5" ht="20.25" customHeight="1">
      <c r="A79" s="645" t="s">
        <v>578</v>
      </c>
      <c r="B79" s="785"/>
      <c r="C79" s="647">
        <v>1776</v>
      </c>
      <c r="D79" s="647">
        <v>4506</v>
      </c>
      <c r="E79" s="647">
        <v>6282</v>
      </c>
    </row>
    <row r="80" spans="1:5" ht="20.25" customHeight="1">
      <c r="A80" s="645" t="s">
        <v>582</v>
      </c>
      <c r="B80" s="785"/>
      <c r="C80" s="647">
        <v>2955</v>
      </c>
      <c r="D80" s="647">
        <v>2845</v>
      </c>
      <c r="E80" s="647">
        <v>5800</v>
      </c>
    </row>
    <row r="81" spans="1:5" ht="20.25" customHeight="1">
      <c r="A81" s="645" t="s">
        <v>580</v>
      </c>
      <c r="B81" s="785"/>
      <c r="C81" s="647">
        <v>901</v>
      </c>
      <c r="D81" s="647">
        <v>3469</v>
      </c>
      <c r="E81" s="647">
        <v>4370</v>
      </c>
    </row>
    <row r="82" spans="1:5" ht="20.25" customHeight="1">
      <c r="A82" s="645" t="s">
        <v>583</v>
      </c>
      <c r="B82" s="785"/>
      <c r="C82" s="647">
        <v>3299</v>
      </c>
      <c r="D82" s="647">
        <v>879</v>
      </c>
      <c r="E82" s="647">
        <v>4178</v>
      </c>
    </row>
    <row r="83" spans="1:5" ht="20.25" customHeight="1">
      <c r="A83" s="645" t="s">
        <v>581</v>
      </c>
      <c r="B83" s="785"/>
      <c r="C83" s="647">
        <v>2437</v>
      </c>
      <c r="D83" s="647">
        <v>1413</v>
      </c>
      <c r="E83" s="647">
        <v>3850</v>
      </c>
    </row>
    <row r="84" spans="1:5" ht="20.25" customHeight="1">
      <c r="A84" s="645" t="s">
        <v>579</v>
      </c>
      <c r="B84" s="785"/>
      <c r="C84" s="647">
        <v>858</v>
      </c>
      <c r="D84" s="647">
        <v>1976</v>
      </c>
      <c r="E84" s="647">
        <v>2834</v>
      </c>
    </row>
    <row r="85" spans="1:5" ht="20.25" customHeight="1">
      <c r="A85" s="645" t="s">
        <v>585</v>
      </c>
      <c r="B85" s="785"/>
      <c r="C85" s="647">
        <v>756</v>
      </c>
      <c r="D85" s="647">
        <v>750</v>
      </c>
      <c r="E85" s="647">
        <v>1506</v>
      </c>
    </row>
    <row r="86" spans="1:5" ht="20.25" customHeight="1">
      <c r="A86" s="645" t="s">
        <v>584</v>
      </c>
      <c r="B86" s="785"/>
      <c r="C86" s="647">
        <v>461</v>
      </c>
      <c r="D86" s="647">
        <v>889</v>
      </c>
      <c r="E86" s="647">
        <v>1350</v>
      </c>
    </row>
    <row r="87" spans="1:5" ht="20.25" customHeight="1">
      <c r="A87" s="645" t="s">
        <v>586</v>
      </c>
      <c r="B87" s="785"/>
      <c r="C87" s="647">
        <v>647</v>
      </c>
      <c r="D87" s="647">
        <v>646</v>
      </c>
      <c r="E87" s="647">
        <v>1293</v>
      </c>
    </row>
    <row r="88" spans="1:5" ht="20.25" customHeight="1">
      <c r="A88" s="645" t="s">
        <v>590</v>
      </c>
      <c r="B88" s="785"/>
      <c r="C88" s="647">
        <v>346</v>
      </c>
      <c r="D88" s="647">
        <v>24</v>
      </c>
      <c r="E88" s="647">
        <v>370</v>
      </c>
    </row>
    <row r="89" spans="1:5" ht="20.25" customHeight="1">
      <c r="A89" s="645" t="s">
        <v>589</v>
      </c>
      <c r="B89" s="785"/>
      <c r="C89" s="647">
        <v>124</v>
      </c>
      <c r="D89" s="647">
        <v>166</v>
      </c>
      <c r="E89" s="647">
        <v>290</v>
      </c>
    </row>
    <row r="90" spans="1:5" ht="20.25" customHeight="1">
      <c r="A90" s="645" t="s">
        <v>587</v>
      </c>
      <c r="B90" s="785"/>
      <c r="C90" s="647">
        <v>0</v>
      </c>
      <c r="D90" s="647">
        <v>276</v>
      </c>
      <c r="E90" s="647">
        <v>276</v>
      </c>
    </row>
    <row r="91" spans="1:5" ht="20.25" customHeight="1">
      <c r="A91" s="645" t="s">
        <v>592</v>
      </c>
      <c r="B91" s="785"/>
      <c r="C91" s="647">
        <v>100</v>
      </c>
      <c r="D91" s="647">
        <v>11</v>
      </c>
      <c r="E91" s="647">
        <v>111</v>
      </c>
    </row>
    <row r="92" spans="1:5" ht="20.25" customHeight="1">
      <c r="A92" s="645" t="s">
        <v>588</v>
      </c>
      <c r="B92" s="785"/>
      <c r="C92" s="647">
        <v>32</v>
      </c>
      <c r="D92" s="647">
        <v>67</v>
      </c>
      <c r="E92" s="647">
        <v>99</v>
      </c>
    </row>
    <row r="93" spans="1:5" ht="20.25" customHeight="1">
      <c r="A93" s="645" t="s">
        <v>591</v>
      </c>
      <c r="B93" s="785"/>
      <c r="C93" s="647">
        <v>60</v>
      </c>
      <c r="D93" s="647">
        <v>34</v>
      </c>
      <c r="E93" s="647">
        <v>94</v>
      </c>
    </row>
    <row r="94" spans="1:5" ht="20.25" customHeight="1">
      <c r="A94" s="645" t="s">
        <v>49</v>
      </c>
      <c r="B94" s="644"/>
      <c r="C94" s="646">
        <v>3349549</v>
      </c>
      <c r="D94" s="646">
        <v>3560297</v>
      </c>
      <c r="E94" s="646">
        <v>6909846</v>
      </c>
    </row>
  </sheetData>
  <mergeCells count="5">
    <mergeCell ref="B1:E1"/>
    <mergeCell ref="A29:A44"/>
    <mergeCell ref="A45:A62"/>
    <mergeCell ref="A2:B2"/>
    <mergeCell ref="A7:A26"/>
  </mergeCells>
  <pageMargins left="0.59055118110236227" right="0.31496062992125984" top="0.51181102362204722" bottom="0.51181102362204722" header="0.31496062992125984" footer="0.31496062992125984"/>
  <pageSetup paperSize="9" scale="76" firstPageNumber="103" orientation="portrait" useFirstPageNumber="1" r:id="rId1"/>
  <headerFooter>
    <oddFooter>&amp;L     AISHE 2020-21&amp;CT-35</oddFooter>
  </headerFooter>
  <rowBreaks count="1" manualBreakCount="1">
    <brk id="44" max="4" man="1"/>
  </rowBreaks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00B050"/>
  </sheetPr>
  <dimension ref="A1:K245"/>
  <sheetViews>
    <sheetView view="pageBreakPreview" topLeftCell="A231" zoomScale="112" zoomScaleSheetLayoutView="112" workbookViewId="0">
      <selection activeCell="K245" sqref="K245"/>
    </sheetView>
  </sheetViews>
  <sheetFormatPr defaultColWidth="9.1796875" defaultRowHeight="14"/>
  <cols>
    <col min="1" max="1" width="26.26953125" style="640" customWidth="1"/>
    <col min="2" max="2" width="29" style="142" customWidth="1"/>
    <col min="3" max="11" width="9.453125" style="138" customWidth="1"/>
    <col min="12" max="16384" width="9.1796875" style="138"/>
  </cols>
  <sheetData>
    <row r="1" spans="1:11" ht="35.25" customHeight="1">
      <c r="A1" s="799" t="s">
        <v>1078</v>
      </c>
      <c r="B1" s="992" t="s">
        <v>1079</v>
      </c>
      <c r="C1" s="992"/>
      <c r="D1" s="992"/>
      <c r="E1" s="992"/>
      <c r="F1" s="992"/>
      <c r="G1" s="992"/>
      <c r="H1" s="992"/>
      <c r="I1" s="992"/>
      <c r="J1" s="992"/>
      <c r="K1" s="992"/>
    </row>
    <row r="2" spans="1:11" s="227" customFormat="1" ht="17.5" customHeight="1">
      <c r="A2" s="1127" t="s">
        <v>539</v>
      </c>
      <c r="B2" s="1127"/>
      <c r="C2" s="990" t="s">
        <v>89</v>
      </c>
      <c r="D2" s="990"/>
      <c r="E2" s="990"/>
      <c r="F2" s="990" t="s">
        <v>90</v>
      </c>
      <c r="G2" s="990"/>
      <c r="H2" s="990"/>
      <c r="I2" s="990" t="s">
        <v>85</v>
      </c>
      <c r="J2" s="990"/>
      <c r="K2" s="990"/>
    </row>
    <row r="3" spans="1:11" s="227" customFormat="1" ht="17.5" customHeight="1">
      <c r="A3" s="1127"/>
      <c r="B3" s="1127"/>
      <c r="C3" s="226" t="s">
        <v>87</v>
      </c>
      <c r="D3" s="226" t="s">
        <v>88</v>
      </c>
      <c r="E3" s="226" t="s">
        <v>12</v>
      </c>
      <c r="F3" s="226" t="s">
        <v>87</v>
      </c>
      <c r="G3" s="226" t="s">
        <v>88</v>
      </c>
      <c r="H3" s="226" t="s">
        <v>12</v>
      </c>
      <c r="I3" s="226" t="s">
        <v>87</v>
      </c>
      <c r="J3" s="226" t="s">
        <v>88</v>
      </c>
      <c r="K3" s="226" t="s">
        <v>12</v>
      </c>
    </row>
    <row r="4" spans="1:11" s="142" customFormat="1" ht="11.25" customHeight="1">
      <c r="A4" s="465">
        <v>1</v>
      </c>
      <c r="B4" s="230">
        <v>2</v>
      </c>
      <c r="C4" s="231">
        <v>3</v>
      </c>
      <c r="D4" s="230">
        <v>4</v>
      </c>
      <c r="E4" s="230">
        <v>5</v>
      </c>
      <c r="F4" s="230">
        <v>6</v>
      </c>
      <c r="G4" s="230">
        <v>7</v>
      </c>
      <c r="H4" s="230">
        <v>8</v>
      </c>
      <c r="I4" s="230">
        <v>9</v>
      </c>
      <c r="J4" s="230">
        <v>10</v>
      </c>
      <c r="K4" s="230">
        <v>11</v>
      </c>
    </row>
    <row r="5" spans="1:11" ht="15" customHeight="1">
      <c r="A5" s="1122" t="s">
        <v>6</v>
      </c>
      <c r="B5" s="136" t="s">
        <v>6</v>
      </c>
      <c r="C5" s="137">
        <v>870</v>
      </c>
      <c r="D5" s="137">
        <v>610</v>
      </c>
      <c r="E5" s="137">
        <v>1480</v>
      </c>
      <c r="F5" s="137">
        <v>9</v>
      </c>
      <c r="G5" s="137">
        <v>1</v>
      </c>
      <c r="H5" s="137">
        <v>10</v>
      </c>
      <c r="I5" s="137">
        <v>6232</v>
      </c>
      <c r="J5" s="137">
        <v>3078</v>
      </c>
      <c r="K5" s="137">
        <v>9310</v>
      </c>
    </row>
    <row r="6" spans="1:11" ht="15" customHeight="1">
      <c r="A6" s="1123"/>
      <c r="B6" s="136" t="s">
        <v>593</v>
      </c>
      <c r="C6" s="137">
        <v>100</v>
      </c>
      <c r="D6" s="137">
        <v>83</v>
      </c>
      <c r="E6" s="137">
        <v>183</v>
      </c>
      <c r="F6" s="137">
        <v>8</v>
      </c>
      <c r="G6" s="137">
        <v>0</v>
      </c>
      <c r="H6" s="137">
        <v>8</v>
      </c>
      <c r="I6" s="137">
        <v>1047</v>
      </c>
      <c r="J6" s="137">
        <v>616</v>
      </c>
      <c r="K6" s="137">
        <v>1663</v>
      </c>
    </row>
    <row r="7" spans="1:11" ht="15" customHeight="1">
      <c r="A7" s="1123"/>
      <c r="B7" s="136" t="s">
        <v>594</v>
      </c>
      <c r="C7" s="137">
        <v>37</v>
      </c>
      <c r="D7" s="137">
        <v>6</v>
      </c>
      <c r="E7" s="137">
        <v>43</v>
      </c>
      <c r="F7" s="137">
        <v>0</v>
      </c>
      <c r="G7" s="137">
        <v>1</v>
      </c>
      <c r="H7" s="137">
        <v>1</v>
      </c>
      <c r="I7" s="137">
        <v>186</v>
      </c>
      <c r="J7" s="137">
        <v>168</v>
      </c>
      <c r="K7" s="137">
        <v>354</v>
      </c>
    </row>
    <row r="8" spans="1:11" ht="15" customHeight="1">
      <c r="A8" s="1123"/>
      <c r="B8" s="467" t="s">
        <v>595</v>
      </c>
      <c r="C8" s="137">
        <v>2</v>
      </c>
      <c r="D8" s="137">
        <v>4</v>
      </c>
      <c r="E8" s="137">
        <v>6</v>
      </c>
      <c r="F8" s="137"/>
      <c r="G8" s="137"/>
      <c r="H8" s="137"/>
      <c r="I8" s="137">
        <v>5</v>
      </c>
      <c r="J8" s="137">
        <v>8</v>
      </c>
      <c r="K8" s="137">
        <v>13</v>
      </c>
    </row>
    <row r="9" spans="1:11">
      <c r="A9" s="468" t="s">
        <v>596</v>
      </c>
      <c r="B9" s="477"/>
      <c r="C9" s="466">
        <v>1009</v>
      </c>
      <c r="D9" s="141">
        <v>703</v>
      </c>
      <c r="E9" s="141">
        <v>1712</v>
      </c>
      <c r="F9" s="141">
        <v>17</v>
      </c>
      <c r="G9" s="141">
        <v>2</v>
      </c>
      <c r="H9" s="141">
        <v>19</v>
      </c>
      <c r="I9" s="141">
        <v>7470</v>
      </c>
      <c r="J9" s="141">
        <v>3870</v>
      </c>
      <c r="K9" s="141">
        <v>11340</v>
      </c>
    </row>
    <row r="10" spans="1:11">
      <c r="A10" s="468" t="s">
        <v>575</v>
      </c>
      <c r="B10" s="477"/>
      <c r="C10" s="137">
        <v>132</v>
      </c>
      <c r="D10" s="137">
        <v>136</v>
      </c>
      <c r="E10" s="137">
        <v>268</v>
      </c>
      <c r="F10" s="137">
        <v>122</v>
      </c>
      <c r="G10" s="137">
        <v>222</v>
      </c>
      <c r="H10" s="137">
        <v>344</v>
      </c>
      <c r="I10" s="137">
        <v>10215</v>
      </c>
      <c r="J10" s="137">
        <v>16708</v>
      </c>
      <c r="K10" s="137">
        <v>26923</v>
      </c>
    </row>
    <row r="11" spans="1:11">
      <c r="A11" s="464" t="s">
        <v>257</v>
      </c>
      <c r="B11" s="140" t="s">
        <v>257</v>
      </c>
      <c r="C11" s="137">
        <v>361</v>
      </c>
      <c r="D11" s="137">
        <v>283</v>
      </c>
      <c r="E11" s="137">
        <v>644</v>
      </c>
      <c r="F11" s="137">
        <v>223</v>
      </c>
      <c r="G11" s="137">
        <v>496</v>
      </c>
      <c r="H11" s="137">
        <v>719</v>
      </c>
      <c r="I11" s="137">
        <v>56924</v>
      </c>
      <c r="J11" s="137">
        <v>102786</v>
      </c>
      <c r="K11" s="137">
        <v>159710</v>
      </c>
    </row>
    <row r="12" spans="1:11">
      <c r="A12" s="464"/>
      <c r="B12" s="140" t="s">
        <v>597</v>
      </c>
      <c r="C12" s="137"/>
      <c r="D12" s="137"/>
      <c r="E12" s="137"/>
      <c r="F12" s="137"/>
      <c r="G12" s="137"/>
      <c r="H12" s="137"/>
      <c r="I12" s="137">
        <v>11</v>
      </c>
      <c r="J12" s="137">
        <v>133</v>
      </c>
      <c r="K12" s="137">
        <v>144</v>
      </c>
    </row>
    <row r="13" spans="1:11">
      <c r="A13" s="468" t="s">
        <v>598</v>
      </c>
      <c r="B13" s="477"/>
      <c r="C13" s="141">
        <v>361</v>
      </c>
      <c r="D13" s="141">
        <v>283</v>
      </c>
      <c r="E13" s="141">
        <v>644</v>
      </c>
      <c r="F13" s="141">
        <v>223</v>
      </c>
      <c r="G13" s="141">
        <v>496</v>
      </c>
      <c r="H13" s="141">
        <v>719</v>
      </c>
      <c r="I13" s="141">
        <v>56935</v>
      </c>
      <c r="J13" s="141">
        <v>102919</v>
      </c>
      <c r="K13" s="141">
        <v>159854</v>
      </c>
    </row>
    <row r="14" spans="1:11">
      <c r="A14" s="470" t="s">
        <v>588</v>
      </c>
      <c r="B14" s="477"/>
      <c r="C14" s="137">
        <v>2</v>
      </c>
      <c r="D14" s="137">
        <v>4</v>
      </c>
      <c r="E14" s="137">
        <v>6</v>
      </c>
      <c r="F14" s="137"/>
      <c r="G14" s="137"/>
      <c r="H14" s="137"/>
      <c r="I14" s="137">
        <v>234</v>
      </c>
      <c r="J14" s="137">
        <v>225</v>
      </c>
      <c r="K14" s="137">
        <v>459</v>
      </c>
    </row>
    <row r="15" spans="1:11">
      <c r="A15" s="468" t="s">
        <v>584</v>
      </c>
      <c r="B15" s="477"/>
      <c r="C15" s="137">
        <v>20</v>
      </c>
      <c r="D15" s="137">
        <v>35</v>
      </c>
      <c r="E15" s="137">
        <v>55</v>
      </c>
      <c r="F15" s="137">
        <v>24</v>
      </c>
      <c r="G15" s="137">
        <v>42</v>
      </c>
      <c r="H15" s="137">
        <v>66</v>
      </c>
      <c r="I15" s="137">
        <v>1763</v>
      </c>
      <c r="J15" s="137">
        <v>3729</v>
      </c>
      <c r="K15" s="137">
        <v>5492</v>
      </c>
    </row>
    <row r="16" spans="1:11">
      <c r="A16" s="468" t="s">
        <v>589</v>
      </c>
      <c r="B16" s="477"/>
      <c r="C16" s="137">
        <v>15</v>
      </c>
      <c r="D16" s="137">
        <v>1</v>
      </c>
      <c r="E16" s="137">
        <v>16</v>
      </c>
      <c r="F16" s="137">
        <v>19</v>
      </c>
      <c r="G16" s="137">
        <v>3</v>
      </c>
      <c r="H16" s="137">
        <v>22</v>
      </c>
      <c r="I16" s="137">
        <v>412</v>
      </c>
      <c r="J16" s="137">
        <v>161</v>
      </c>
      <c r="K16" s="137">
        <v>573</v>
      </c>
    </row>
    <row r="17" spans="1:11">
      <c r="A17" s="468" t="s">
        <v>578</v>
      </c>
      <c r="B17" s="471"/>
      <c r="C17" s="137">
        <v>15</v>
      </c>
      <c r="D17" s="137">
        <v>14</v>
      </c>
      <c r="E17" s="137">
        <v>29</v>
      </c>
      <c r="F17" s="137"/>
      <c r="G17" s="137"/>
      <c r="H17" s="137"/>
      <c r="I17" s="137">
        <v>755</v>
      </c>
      <c r="J17" s="137">
        <v>1048</v>
      </c>
      <c r="K17" s="137">
        <v>1803</v>
      </c>
    </row>
    <row r="18" spans="1:11" ht="16.5" customHeight="1">
      <c r="A18" s="468" t="s">
        <v>922</v>
      </c>
      <c r="B18" s="477"/>
      <c r="C18" s="137">
        <v>2</v>
      </c>
      <c r="D18" s="137">
        <v>0</v>
      </c>
      <c r="E18" s="137">
        <v>2</v>
      </c>
      <c r="F18" s="137">
        <v>1</v>
      </c>
      <c r="G18" s="137">
        <v>5</v>
      </c>
      <c r="H18" s="137">
        <v>6</v>
      </c>
      <c r="I18" s="137">
        <v>49</v>
      </c>
      <c r="J18" s="137">
        <v>63</v>
      </c>
      <c r="K18" s="137">
        <v>112</v>
      </c>
    </row>
    <row r="19" spans="1:11">
      <c r="A19" s="468" t="s">
        <v>245</v>
      </c>
      <c r="B19" s="477"/>
      <c r="C19" s="137">
        <v>339</v>
      </c>
      <c r="D19" s="137">
        <v>414</v>
      </c>
      <c r="E19" s="137">
        <v>753</v>
      </c>
      <c r="F19" s="137">
        <v>165</v>
      </c>
      <c r="G19" s="137">
        <v>259</v>
      </c>
      <c r="H19" s="137">
        <v>424</v>
      </c>
      <c r="I19" s="137">
        <v>27014</v>
      </c>
      <c r="J19" s="137">
        <v>46948</v>
      </c>
      <c r="K19" s="137">
        <v>73962</v>
      </c>
    </row>
    <row r="20" spans="1:11">
      <c r="A20" s="1122" t="s">
        <v>260</v>
      </c>
      <c r="B20" s="136" t="s">
        <v>543</v>
      </c>
      <c r="C20" s="137">
        <v>283</v>
      </c>
      <c r="D20" s="137">
        <v>86</v>
      </c>
      <c r="E20" s="137">
        <v>369</v>
      </c>
      <c r="F20" s="137"/>
      <c r="G20" s="137"/>
      <c r="H20" s="137"/>
      <c r="I20" s="137">
        <v>8708</v>
      </c>
      <c r="J20" s="137">
        <v>4020</v>
      </c>
      <c r="K20" s="137">
        <v>12728</v>
      </c>
    </row>
    <row r="21" spans="1:11" ht="15" customHeight="1">
      <c r="A21" s="1123"/>
      <c r="B21" s="136" t="s">
        <v>540</v>
      </c>
      <c r="C21" s="137">
        <v>378</v>
      </c>
      <c r="D21" s="137">
        <v>207</v>
      </c>
      <c r="E21" s="137">
        <v>585</v>
      </c>
      <c r="F21" s="137"/>
      <c r="G21" s="137"/>
      <c r="H21" s="137"/>
      <c r="I21" s="137">
        <v>4633</v>
      </c>
      <c r="J21" s="137">
        <v>5618</v>
      </c>
      <c r="K21" s="137">
        <v>10251</v>
      </c>
    </row>
    <row r="22" spans="1:11" ht="15" customHeight="1">
      <c r="A22" s="1123"/>
      <c r="B22" s="136" t="s">
        <v>541</v>
      </c>
      <c r="C22" s="137">
        <v>514</v>
      </c>
      <c r="D22" s="137">
        <v>50</v>
      </c>
      <c r="E22" s="137">
        <v>564</v>
      </c>
      <c r="F22" s="137"/>
      <c r="G22" s="137"/>
      <c r="H22" s="137"/>
      <c r="I22" s="137">
        <v>7920</v>
      </c>
      <c r="J22" s="137">
        <v>965</v>
      </c>
      <c r="K22" s="137">
        <v>8885</v>
      </c>
    </row>
    <row r="23" spans="1:11" ht="15" customHeight="1">
      <c r="A23" s="1123"/>
      <c r="B23" s="136" t="s">
        <v>542</v>
      </c>
      <c r="C23" s="137">
        <v>367</v>
      </c>
      <c r="D23" s="137">
        <v>190</v>
      </c>
      <c r="E23" s="137">
        <v>557</v>
      </c>
      <c r="F23" s="137"/>
      <c r="G23" s="137"/>
      <c r="H23" s="137"/>
      <c r="I23" s="137">
        <v>4121</v>
      </c>
      <c r="J23" s="137">
        <v>4764</v>
      </c>
      <c r="K23" s="137">
        <v>8885</v>
      </c>
    </row>
    <row r="24" spans="1:11" ht="28">
      <c r="A24" s="1123"/>
      <c r="B24" s="136" t="s">
        <v>545</v>
      </c>
      <c r="C24" s="137">
        <v>715</v>
      </c>
      <c r="D24" s="137">
        <v>495</v>
      </c>
      <c r="E24" s="137">
        <v>1210</v>
      </c>
      <c r="F24" s="137">
        <v>0</v>
      </c>
      <c r="G24" s="137">
        <v>3</v>
      </c>
      <c r="H24" s="137">
        <v>3</v>
      </c>
      <c r="I24" s="137">
        <v>4859</v>
      </c>
      <c r="J24" s="137">
        <v>2473</v>
      </c>
      <c r="K24" s="137">
        <v>7332</v>
      </c>
    </row>
    <row r="25" spans="1:11" ht="15" customHeight="1">
      <c r="A25" s="1123"/>
      <c r="B25" s="136" t="s">
        <v>544</v>
      </c>
      <c r="C25" s="137">
        <v>337</v>
      </c>
      <c r="D25" s="137">
        <v>110</v>
      </c>
      <c r="E25" s="137">
        <v>447</v>
      </c>
      <c r="F25" s="137"/>
      <c r="G25" s="137"/>
      <c r="H25" s="137"/>
      <c r="I25" s="137">
        <v>3827</v>
      </c>
      <c r="J25" s="137">
        <v>2242</v>
      </c>
      <c r="K25" s="137">
        <v>6069</v>
      </c>
    </row>
    <row r="26" spans="1:11" ht="15" customHeight="1">
      <c r="A26" s="1123"/>
      <c r="B26" s="136" t="s">
        <v>546</v>
      </c>
      <c r="C26" s="137">
        <v>252</v>
      </c>
      <c r="D26" s="137">
        <v>160</v>
      </c>
      <c r="E26" s="137">
        <v>412</v>
      </c>
      <c r="F26" s="137"/>
      <c r="G26" s="137"/>
      <c r="H26" s="137"/>
      <c r="I26" s="137">
        <v>1313</v>
      </c>
      <c r="J26" s="137">
        <v>756</v>
      </c>
      <c r="K26" s="137">
        <v>2069</v>
      </c>
    </row>
    <row r="27" spans="1:11" ht="15" customHeight="1">
      <c r="A27" s="1123"/>
      <c r="B27" s="136" t="s">
        <v>255</v>
      </c>
      <c r="C27" s="137">
        <v>10</v>
      </c>
      <c r="D27" s="137">
        <v>13</v>
      </c>
      <c r="E27" s="137">
        <v>23</v>
      </c>
      <c r="F27" s="137"/>
      <c r="G27" s="137"/>
      <c r="H27" s="137"/>
      <c r="I27" s="137">
        <v>535</v>
      </c>
      <c r="J27" s="137">
        <v>892</v>
      </c>
      <c r="K27" s="137">
        <v>1427</v>
      </c>
    </row>
    <row r="28" spans="1:11" ht="15" customHeight="1">
      <c r="A28" s="1123"/>
      <c r="B28" s="136" t="s">
        <v>547</v>
      </c>
      <c r="C28" s="137">
        <v>91</v>
      </c>
      <c r="D28" s="137">
        <v>49</v>
      </c>
      <c r="E28" s="137">
        <v>140</v>
      </c>
      <c r="F28" s="137"/>
      <c r="G28" s="137"/>
      <c r="H28" s="137"/>
      <c r="I28" s="137">
        <v>622</v>
      </c>
      <c r="J28" s="137">
        <v>379</v>
      </c>
      <c r="K28" s="137">
        <v>1001</v>
      </c>
    </row>
    <row r="29" spans="1:11" ht="15" customHeight="1">
      <c r="A29" s="1123"/>
      <c r="B29" s="136" t="s">
        <v>555</v>
      </c>
      <c r="C29" s="137">
        <v>5</v>
      </c>
      <c r="D29" s="137">
        <v>9</v>
      </c>
      <c r="E29" s="137">
        <v>14</v>
      </c>
      <c r="F29" s="137"/>
      <c r="G29" s="137"/>
      <c r="H29" s="137"/>
      <c r="I29" s="137">
        <v>271</v>
      </c>
      <c r="J29" s="137">
        <v>335</v>
      </c>
      <c r="K29" s="137">
        <v>606</v>
      </c>
    </row>
    <row r="30" spans="1:11" ht="15" customHeight="1">
      <c r="A30" s="1123"/>
      <c r="B30" s="136" t="s">
        <v>551</v>
      </c>
      <c r="C30" s="137">
        <v>36</v>
      </c>
      <c r="D30" s="137">
        <v>14</v>
      </c>
      <c r="E30" s="137">
        <v>50</v>
      </c>
      <c r="F30" s="137"/>
      <c r="G30" s="137"/>
      <c r="H30" s="137"/>
      <c r="I30" s="137">
        <v>431</v>
      </c>
      <c r="J30" s="137">
        <v>90</v>
      </c>
      <c r="K30" s="137">
        <v>521</v>
      </c>
    </row>
    <row r="31" spans="1:11" ht="15" customHeight="1">
      <c r="A31" s="1123"/>
      <c r="B31" s="140" t="s">
        <v>550</v>
      </c>
      <c r="C31" s="137">
        <v>17</v>
      </c>
      <c r="D31" s="137">
        <v>17</v>
      </c>
      <c r="E31" s="137">
        <v>34</v>
      </c>
      <c r="F31" s="137"/>
      <c r="G31" s="137"/>
      <c r="H31" s="137"/>
      <c r="I31" s="137">
        <v>201</v>
      </c>
      <c r="J31" s="137">
        <v>264</v>
      </c>
      <c r="K31" s="137">
        <v>465</v>
      </c>
    </row>
    <row r="32" spans="1:11" ht="15" customHeight="1">
      <c r="A32" s="1123"/>
      <c r="B32" s="140" t="s">
        <v>548</v>
      </c>
      <c r="C32" s="137">
        <v>47</v>
      </c>
      <c r="D32" s="252">
        <v>15</v>
      </c>
      <c r="E32" s="137">
        <v>62</v>
      </c>
      <c r="F32" s="137"/>
      <c r="G32" s="137"/>
      <c r="H32" s="137"/>
      <c r="I32" s="137">
        <v>255</v>
      </c>
      <c r="J32" s="137">
        <v>144</v>
      </c>
      <c r="K32" s="137">
        <v>399</v>
      </c>
    </row>
    <row r="33" spans="1:11" ht="15" customHeight="1">
      <c r="A33" s="1123"/>
      <c r="B33" s="136" t="s">
        <v>549</v>
      </c>
      <c r="C33" s="137">
        <v>21</v>
      </c>
      <c r="D33" s="137">
        <v>2</v>
      </c>
      <c r="E33" s="137">
        <v>23</v>
      </c>
      <c r="F33" s="137"/>
      <c r="G33" s="137"/>
      <c r="H33" s="137"/>
      <c r="I33" s="137">
        <v>222</v>
      </c>
      <c r="J33" s="137">
        <v>37</v>
      </c>
      <c r="K33" s="137">
        <v>259</v>
      </c>
    </row>
    <row r="34" spans="1:11" ht="15" customHeight="1">
      <c r="A34" s="1123"/>
      <c r="B34" s="136" t="s">
        <v>601</v>
      </c>
      <c r="C34" s="137"/>
      <c r="D34" s="137"/>
      <c r="E34" s="137"/>
      <c r="F34" s="137"/>
      <c r="G34" s="137"/>
      <c r="H34" s="137"/>
      <c r="I34" s="137">
        <v>111</v>
      </c>
      <c r="J34" s="137">
        <v>110</v>
      </c>
      <c r="K34" s="137">
        <v>221</v>
      </c>
    </row>
    <row r="35" spans="1:11" ht="15" customHeight="1">
      <c r="A35" s="1123"/>
      <c r="B35" s="136" t="s">
        <v>552</v>
      </c>
      <c r="C35" s="137">
        <v>16</v>
      </c>
      <c r="D35" s="137">
        <v>3</v>
      </c>
      <c r="E35" s="137">
        <v>19</v>
      </c>
      <c r="F35" s="137"/>
      <c r="G35" s="137"/>
      <c r="H35" s="137"/>
      <c r="I35" s="137">
        <v>108</v>
      </c>
      <c r="J35" s="137">
        <v>4</v>
      </c>
      <c r="K35" s="137">
        <v>112</v>
      </c>
    </row>
    <row r="36" spans="1:11" ht="15" customHeight="1">
      <c r="A36" s="1123"/>
      <c r="B36" s="136" t="s">
        <v>553</v>
      </c>
      <c r="C36" s="137">
        <v>11</v>
      </c>
      <c r="D36" s="137">
        <v>1</v>
      </c>
      <c r="E36" s="137">
        <v>12</v>
      </c>
      <c r="F36" s="137"/>
      <c r="G36" s="137"/>
      <c r="H36" s="137"/>
      <c r="I36" s="137">
        <v>70</v>
      </c>
      <c r="J36" s="137">
        <v>28</v>
      </c>
      <c r="K36" s="137">
        <v>98</v>
      </c>
    </row>
    <row r="37" spans="1:11" ht="15" customHeight="1">
      <c r="A37" s="1123"/>
      <c r="B37" s="140" t="s">
        <v>554</v>
      </c>
      <c r="C37" s="137">
        <v>5</v>
      </c>
      <c r="D37" s="137">
        <v>4</v>
      </c>
      <c r="E37" s="137">
        <v>9</v>
      </c>
      <c r="F37" s="137"/>
      <c r="G37" s="137"/>
      <c r="H37" s="137"/>
      <c r="I37" s="137">
        <v>48</v>
      </c>
      <c r="J37" s="137">
        <v>25</v>
      </c>
      <c r="K37" s="137">
        <v>73</v>
      </c>
    </row>
    <row r="38" spans="1:11">
      <c r="A38" s="1123"/>
      <c r="B38" s="140" t="s">
        <v>918</v>
      </c>
      <c r="C38" s="137">
        <v>5</v>
      </c>
      <c r="D38" s="137">
        <v>2</v>
      </c>
      <c r="E38" s="137">
        <v>7</v>
      </c>
      <c r="F38" s="137"/>
      <c r="G38" s="137"/>
      <c r="H38" s="137"/>
      <c r="I38" s="137">
        <v>31</v>
      </c>
      <c r="J38" s="137">
        <v>39</v>
      </c>
      <c r="K38" s="137">
        <v>70</v>
      </c>
    </row>
    <row r="39" spans="1:11">
      <c r="A39" s="1123"/>
      <c r="B39" s="140" t="s">
        <v>602</v>
      </c>
      <c r="C39" s="137"/>
      <c r="D39" s="137"/>
      <c r="E39" s="137"/>
      <c r="F39" s="137"/>
      <c r="G39" s="137"/>
      <c r="H39" s="137"/>
      <c r="I39" s="137">
        <v>31</v>
      </c>
      <c r="J39" s="137">
        <v>9</v>
      </c>
      <c r="K39" s="137">
        <v>40</v>
      </c>
    </row>
    <row r="40" spans="1:11" ht="15" customHeight="1">
      <c r="A40" s="1123"/>
      <c r="B40" s="467" t="s">
        <v>919</v>
      </c>
      <c r="C40" s="137">
        <v>16</v>
      </c>
      <c r="D40" s="137">
        <v>3</v>
      </c>
      <c r="E40" s="137">
        <v>19</v>
      </c>
      <c r="F40" s="137"/>
      <c r="G40" s="137"/>
      <c r="H40" s="137"/>
      <c r="I40" s="137">
        <v>24</v>
      </c>
      <c r="J40" s="137">
        <v>3</v>
      </c>
      <c r="K40" s="137">
        <v>27</v>
      </c>
    </row>
    <row r="41" spans="1:11">
      <c r="A41" s="470" t="s">
        <v>556</v>
      </c>
      <c r="B41" s="476"/>
      <c r="C41" s="466">
        <v>3126</v>
      </c>
      <c r="D41" s="141">
        <v>1430</v>
      </c>
      <c r="E41" s="141">
        <v>4556</v>
      </c>
      <c r="F41" s="141">
        <v>0</v>
      </c>
      <c r="G41" s="141">
        <v>3</v>
      </c>
      <c r="H41" s="141">
        <v>3</v>
      </c>
      <c r="I41" s="141">
        <v>38341</v>
      </c>
      <c r="J41" s="141">
        <v>23197</v>
      </c>
      <c r="K41" s="141">
        <v>61538</v>
      </c>
    </row>
    <row r="42" spans="1:11">
      <c r="A42" s="468" t="s">
        <v>580</v>
      </c>
      <c r="B42" s="471"/>
      <c r="C42" s="137">
        <v>2</v>
      </c>
      <c r="D42" s="137">
        <v>10</v>
      </c>
      <c r="E42" s="137">
        <v>12</v>
      </c>
      <c r="F42" s="137">
        <v>0</v>
      </c>
      <c r="G42" s="137">
        <v>5</v>
      </c>
      <c r="H42" s="137">
        <v>5</v>
      </c>
      <c r="I42" s="137">
        <v>98</v>
      </c>
      <c r="J42" s="137">
        <v>688</v>
      </c>
      <c r="K42" s="137">
        <v>786</v>
      </c>
    </row>
    <row r="43" spans="1:11" ht="15" customHeight="1">
      <c r="A43" s="1122" t="s">
        <v>246</v>
      </c>
      <c r="B43" s="140" t="s">
        <v>246</v>
      </c>
      <c r="C43" s="137">
        <v>8</v>
      </c>
      <c r="D43" s="137">
        <v>19</v>
      </c>
      <c r="E43" s="137">
        <v>27</v>
      </c>
      <c r="F43" s="137">
        <v>12</v>
      </c>
      <c r="G43" s="137">
        <v>16</v>
      </c>
      <c r="H43" s="137">
        <v>28</v>
      </c>
      <c r="I43" s="137">
        <v>509</v>
      </c>
      <c r="J43" s="137">
        <v>929</v>
      </c>
      <c r="K43" s="137">
        <v>1438</v>
      </c>
    </row>
    <row r="44" spans="1:11">
      <c r="A44" s="1123"/>
      <c r="B44" s="140" t="s">
        <v>605</v>
      </c>
      <c r="C44" s="137">
        <v>28</v>
      </c>
      <c r="D44" s="137">
        <v>40</v>
      </c>
      <c r="E44" s="137">
        <v>68</v>
      </c>
      <c r="F44" s="137">
        <v>10</v>
      </c>
      <c r="G44" s="137">
        <v>2</v>
      </c>
      <c r="H44" s="137">
        <v>12</v>
      </c>
      <c r="I44" s="137">
        <v>416</v>
      </c>
      <c r="J44" s="137">
        <v>610</v>
      </c>
      <c r="K44" s="137">
        <v>1026</v>
      </c>
    </row>
    <row r="45" spans="1:11">
      <c r="A45" s="1123"/>
      <c r="B45" s="140" t="s">
        <v>604</v>
      </c>
      <c r="C45" s="137">
        <v>23</v>
      </c>
      <c r="D45" s="137">
        <v>28</v>
      </c>
      <c r="E45" s="137">
        <v>51</v>
      </c>
      <c r="F45" s="137">
        <v>7</v>
      </c>
      <c r="G45" s="137">
        <v>2</v>
      </c>
      <c r="H45" s="137">
        <v>9</v>
      </c>
      <c r="I45" s="137">
        <v>233</v>
      </c>
      <c r="J45" s="137">
        <v>305</v>
      </c>
      <c r="K45" s="137">
        <v>538</v>
      </c>
    </row>
    <row r="46" spans="1:11" ht="15" customHeight="1">
      <c r="A46" s="1123"/>
      <c r="B46" s="136" t="s">
        <v>603</v>
      </c>
      <c r="C46" s="137">
        <v>6</v>
      </c>
      <c r="D46" s="137">
        <v>9</v>
      </c>
      <c r="E46" s="137">
        <v>15</v>
      </c>
      <c r="F46" s="137">
        <v>3</v>
      </c>
      <c r="G46" s="137">
        <v>6</v>
      </c>
      <c r="H46" s="137">
        <v>9</v>
      </c>
      <c r="I46" s="137">
        <v>232</v>
      </c>
      <c r="J46" s="137">
        <v>227</v>
      </c>
      <c r="K46" s="137">
        <v>459</v>
      </c>
    </row>
    <row r="47" spans="1:11" ht="15" customHeight="1">
      <c r="A47" s="1123"/>
      <c r="B47" s="140" t="s">
        <v>924</v>
      </c>
      <c r="C47" s="137"/>
      <c r="D47" s="137"/>
      <c r="E47" s="137"/>
      <c r="F47" s="137"/>
      <c r="G47" s="137"/>
      <c r="H47" s="137"/>
      <c r="I47" s="137">
        <v>7</v>
      </c>
      <c r="J47" s="137">
        <v>3</v>
      </c>
      <c r="K47" s="137">
        <v>10</v>
      </c>
    </row>
    <row r="48" spans="1:11" ht="15" customHeight="1">
      <c r="A48" s="1123"/>
      <c r="B48" s="467" t="s">
        <v>923</v>
      </c>
      <c r="C48" s="137"/>
      <c r="D48" s="137"/>
      <c r="E48" s="137"/>
      <c r="F48" s="137"/>
      <c r="G48" s="137"/>
      <c r="H48" s="137"/>
      <c r="I48" s="137">
        <v>4</v>
      </c>
      <c r="J48" s="137">
        <v>3</v>
      </c>
      <c r="K48" s="137">
        <v>7</v>
      </c>
    </row>
    <row r="49" spans="1:11">
      <c r="A49" s="468" t="s">
        <v>606</v>
      </c>
      <c r="B49" s="471"/>
      <c r="C49" s="466">
        <v>65</v>
      </c>
      <c r="D49" s="141">
        <v>96</v>
      </c>
      <c r="E49" s="141">
        <v>161</v>
      </c>
      <c r="F49" s="141">
        <v>32</v>
      </c>
      <c r="G49" s="141">
        <v>26</v>
      </c>
      <c r="H49" s="141">
        <v>58</v>
      </c>
      <c r="I49" s="141">
        <v>1401</v>
      </c>
      <c r="J49" s="141">
        <v>2077</v>
      </c>
      <c r="K49" s="141">
        <v>3478</v>
      </c>
    </row>
    <row r="50" spans="1:11">
      <c r="A50" s="468" t="s">
        <v>585</v>
      </c>
      <c r="B50" s="477"/>
      <c r="C50" s="137">
        <v>46</v>
      </c>
      <c r="D50" s="137">
        <v>35</v>
      </c>
      <c r="E50" s="137">
        <v>81</v>
      </c>
      <c r="F50" s="137"/>
      <c r="G50" s="137"/>
      <c r="H50" s="137"/>
      <c r="I50" s="137">
        <v>305</v>
      </c>
      <c r="J50" s="137">
        <v>273</v>
      </c>
      <c r="K50" s="137">
        <v>578</v>
      </c>
    </row>
    <row r="51" spans="1:11" ht="15" customHeight="1">
      <c r="A51" s="1122" t="s">
        <v>591</v>
      </c>
      <c r="B51" s="140" t="s">
        <v>608</v>
      </c>
      <c r="C51" s="137"/>
      <c r="D51" s="137"/>
      <c r="E51" s="137"/>
      <c r="F51" s="137"/>
      <c r="G51" s="137"/>
      <c r="H51" s="137"/>
      <c r="I51" s="137">
        <v>17</v>
      </c>
      <c r="J51" s="137">
        <v>15</v>
      </c>
      <c r="K51" s="137">
        <v>32</v>
      </c>
    </row>
    <row r="52" spans="1:11" ht="15" customHeight="1">
      <c r="A52" s="1124"/>
      <c r="B52" s="140" t="s">
        <v>607</v>
      </c>
      <c r="C52" s="137"/>
      <c r="D52" s="137"/>
      <c r="E52" s="137"/>
      <c r="F52" s="137"/>
      <c r="G52" s="137"/>
      <c r="H52" s="137"/>
      <c r="I52" s="137">
        <v>11</v>
      </c>
      <c r="J52" s="137">
        <v>6</v>
      </c>
      <c r="K52" s="137">
        <v>17</v>
      </c>
    </row>
    <row r="53" spans="1:11">
      <c r="A53" s="468" t="s">
        <v>879</v>
      </c>
      <c r="B53" s="471"/>
      <c r="C53" s="141"/>
      <c r="D53" s="141"/>
      <c r="E53" s="141"/>
      <c r="F53" s="141"/>
      <c r="G53" s="141"/>
      <c r="H53" s="141"/>
      <c r="I53" s="141">
        <v>28</v>
      </c>
      <c r="J53" s="141">
        <v>21</v>
      </c>
      <c r="K53" s="141">
        <v>49</v>
      </c>
    </row>
    <row r="54" spans="1:11" ht="15" customHeight="1">
      <c r="A54" s="1122" t="s">
        <v>574</v>
      </c>
      <c r="B54" s="136" t="s">
        <v>609</v>
      </c>
      <c r="C54" s="137">
        <v>206</v>
      </c>
      <c r="D54" s="137">
        <v>294</v>
      </c>
      <c r="E54" s="137">
        <v>500</v>
      </c>
      <c r="F54" s="137">
        <v>168</v>
      </c>
      <c r="G54" s="137">
        <v>841</v>
      </c>
      <c r="H54" s="137">
        <v>1009</v>
      </c>
      <c r="I54" s="137">
        <v>22800</v>
      </c>
      <c r="J54" s="137">
        <v>44606</v>
      </c>
      <c r="K54" s="137">
        <v>67406</v>
      </c>
    </row>
    <row r="55" spans="1:11" ht="15" customHeight="1">
      <c r="A55" s="1123"/>
      <c r="B55" s="136" t="s">
        <v>610</v>
      </c>
      <c r="C55" s="137">
        <v>60</v>
      </c>
      <c r="D55" s="137">
        <v>13</v>
      </c>
      <c r="E55" s="137">
        <v>73</v>
      </c>
      <c r="F55" s="137">
        <v>32</v>
      </c>
      <c r="G55" s="137">
        <v>4</v>
      </c>
      <c r="H55" s="137">
        <v>36</v>
      </c>
      <c r="I55" s="137">
        <v>777</v>
      </c>
      <c r="J55" s="137">
        <v>837</v>
      </c>
      <c r="K55" s="137">
        <v>1614</v>
      </c>
    </row>
    <row r="56" spans="1:11">
      <c r="A56" s="1123"/>
      <c r="B56" s="140" t="s">
        <v>611</v>
      </c>
      <c r="C56" s="137">
        <v>1</v>
      </c>
      <c r="D56" s="137">
        <v>2</v>
      </c>
      <c r="E56" s="137">
        <v>3</v>
      </c>
      <c r="F56" s="137"/>
      <c r="G56" s="137"/>
      <c r="H56" s="137"/>
      <c r="I56" s="137">
        <v>25</v>
      </c>
      <c r="J56" s="137">
        <v>61</v>
      </c>
      <c r="K56" s="137">
        <v>86</v>
      </c>
    </row>
    <row r="57" spans="1:11">
      <c r="A57" s="1123"/>
      <c r="B57" s="140" t="s">
        <v>612</v>
      </c>
      <c r="C57" s="137">
        <v>0</v>
      </c>
      <c r="D57" s="137">
        <v>2</v>
      </c>
      <c r="E57" s="137">
        <v>2</v>
      </c>
      <c r="F57" s="137">
        <v>4</v>
      </c>
      <c r="G57" s="137">
        <v>1</v>
      </c>
      <c r="H57" s="137">
        <v>5</v>
      </c>
      <c r="I57" s="137">
        <v>26</v>
      </c>
      <c r="J57" s="137">
        <v>32</v>
      </c>
      <c r="K57" s="137">
        <v>58</v>
      </c>
    </row>
    <row r="58" spans="1:11" ht="15" customHeight="1">
      <c r="A58" s="1123"/>
      <c r="B58" s="473" t="s">
        <v>613</v>
      </c>
      <c r="C58" s="137"/>
      <c r="D58" s="137"/>
      <c r="E58" s="137"/>
      <c r="F58" s="137"/>
      <c r="G58" s="137"/>
      <c r="H58" s="137"/>
      <c r="I58" s="137">
        <v>9</v>
      </c>
      <c r="J58" s="137">
        <v>2</v>
      </c>
      <c r="K58" s="137">
        <v>11</v>
      </c>
    </row>
    <row r="59" spans="1:11">
      <c r="A59" s="468" t="s">
        <v>614</v>
      </c>
      <c r="B59" s="471"/>
      <c r="C59" s="466">
        <v>267</v>
      </c>
      <c r="D59" s="141">
        <v>311</v>
      </c>
      <c r="E59" s="141">
        <v>578</v>
      </c>
      <c r="F59" s="141">
        <v>204</v>
      </c>
      <c r="G59" s="141">
        <v>846</v>
      </c>
      <c r="H59" s="141">
        <v>1050</v>
      </c>
      <c r="I59" s="141">
        <v>23637</v>
      </c>
      <c r="J59" s="141">
        <v>45538</v>
      </c>
      <c r="K59" s="141">
        <v>69175</v>
      </c>
    </row>
    <row r="60" spans="1:11">
      <c r="A60" s="468" t="s">
        <v>592</v>
      </c>
      <c r="B60" s="471"/>
      <c r="C60" s="137">
        <v>16</v>
      </c>
      <c r="D60" s="137">
        <v>8</v>
      </c>
      <c r="E60" s="137">
        <v>24</v>
      </c>
      <c r="F60" s="137">
        <v>6</v>
      </c>
      <c r="G60" s="137">
        <v>3</v>
      </c>
      <c r="H60" s="137">
        <v>9</v>
      </c>
      <c r="I60" s="137">
        <v>93</v>
      </c>
      <c r="J60" s="137">
        <v>168</v>
      </c>
      <c r="K60" s="137">
        <v>261</v>
      </c>
    </row>
    <row r="61" spans="1:11">
      <c r="A61" s="1122" t="s">
        <v>279</v>
      </c>
      <c r="B61" s="140" t="s">
        <v>279</v>
      </c>
      <c r="C61" s="137">
        <v>13</v>
      </c>
      <c r="D61" s="137">
        <v>115</v>
      </c>
      <c r="E61" s="137">
        <v>128</v>
      </c>
      <c r="F61" s="137">
        <v>0</v>
      </c>
      <c r="G61" s="137">
        <v>17</v>
      </c>
      <c r="H61" s="137">
        <v>17</v>
      </c>
      <c r="I61" s="137">
        <v>188</v>
      </c>
      <c r="J61" s="137">
        <v>3477</v>
      </c>
      <c r="K61" s="137">
        <v>3665</v>
      </c>
    </row>
    <row r="62" spans="1:11">
      <c r="A62" s="1123"/>
      <c r="B62" s="473" t="s">
        <v>615</v>
      </c>
      <c r="C62" s="137">
        <v>1</v>
      </c>
      <c r="D62" s="137">
        <v>15</v>
      </c>
      <c r="E62" s="137">
        <v>16</v>
      </c>
      <c r="F62" s="137">
        <v>1</v>
      </c>
      <c r="G62" s="137">
        <v>2</v>
      </c>
      <c r="H62" s="137">
        <v>3</v>
      </c>
      <c r="I62" s="137">
        <v>76</v>
      </c>
      <c r="J62" s="137">
        <v>1029</v>
      </c>
      <c r="K62" s="137">
        <v>1105</v>
      </c>
    </row>
    <row r="63" spans="1:11">
      <c r="A63" s="468" t="s">
        <v>616</v>
      </c>
      <c r="B63" s="471"/>
      <c r="C63" s="466">
        <v>14</v>
      </c>
      <c r="D63" s="141">
        <v>130</v>
      </c>
      <c r="E63" s="141">
        <v>144</v>
      </c>
      <c r="F63" s="141">
        <v>1</v>
      </c>
      <c r="G63" s="141">
        <v>19</v>
      </c>
      <c r="H63" s="141">
        <v>20</v>
      </c>
      <c r="I63" s="141">
        <v>264</v>
      </c>
      <c r="J63" s="141">
        <v>4506</v>
      </c>
      <c r="K63" s="141">
        <v>4770</v>
      </c>
    </row>
    <row r="64" spans="1:11" ht="15" customHeight="1">
      <c r="A64" s="1122" t="s">
        <v>583</v>
      </c>
      <c r="B64" s="475" t="s">
        <v>925</v>
      </c>
      <c r="C64" s="137"/>
      <c r="D64" s="137"/>
      <c r="E64" s="137"/>
      <c r="F64" s="137"/>
      <c r="G64" s="137"/>
      <c r="H64" s="137"/>
      <c r="I64" s="137">
        <v>47</v>
      </c>
      <c r="J64" s="137">
        <v>26</v>
      </c>
      <c r="K64" s="137">
        <v>73</v>
      </c>
    </row>
    <row r="65" spans="1:11" ht="28">
      <c r="A65" s="1123"/>
      <c r="B65" s="136" t="s">
        <v>926</v>
      </c>
      <c r="C65" s="137"/>
      <c r="D65" s="137"/>
      <c r="E65" s="137"/>
      <c r="F65" s="137"/>
      <c r="G65" s="137"/>
      <c r="H65" s="137"/>
      <c r="I65" s="137">
        <v>4</v>
      </c>
      <c r="J65" s="137">
        <v>15</v>
      </c>
      <c r="K65" s="137">
        <v>19</v>
      </c>
    </row>
    <row r="66" spans="1:11" ht="15" customHeight="1">
      <c r="A66" s="1123"/>
      <c r="B66" s="136" t="s">
        <v>927</v>
      </c>
      <c r="C66" s="137"/>
      <c r="D66" s="137"/>
      <c r="E66" s="137"/>
      <c r="F66" s="137"/>
      <c r="G66" s="137"/>
      <c r="H66" s="137"/>
      <c r="I66" s="137">
        <v>4</v>
      </c>
      <c r="J66" s="137">
        <v>6</v>
      </c>
      <c r="K66" s="137">
        <v>10</v>
      </c>
    </row>
    <row r="67" spans="1:11" ht="15" customHeight="1">
      <c r="A67" s="1123"/>
      <c r="B67" s="473" t="s">
        <v>928</v>
      </c>
      <c r="C67" s="137"/>
      <c r="D67" s="137"/>
      <c r="E67" s="137"/>
      <c r="F67" s="137"/>
      <c r="G67" s="137"/>
      <c r="H67" s="137"/>
      <c r="I67" s="137">
        <v>2</v>
      </c>
      <c r="J67" s="137">
        <v>6</v>
      </c>
      <c r="K67" s="137">
        <v>8</v>
      </c>
    </row>
    <row r="68" spans="1:11">
      <c r="A68" s="470" t="s">
        <v>974</v>
      </c>
      <c r="B68" s="471"/>
      <c r="C68" s="466"/>
      <c r="D68" s="141"/>
      <c r="E68" s="141"/>
      <c r="F68" s="141"/>
      <c r="G68" s="141"/>
      <c r="H68" s="141"/>
      <c r="I68" s="141">
        <v>57</v>
      </c>
      <c r="J68" s="141">
        <v>53</v>
      </c>
      <c r="K68" s="141">
        <v>110</v>
      </c>
    </row>
    <row r="69" spans="1:11" ht="15" customHeight="1">
      <c r="A69" s="1122" t="s">
        <v>573</v>
      </c>
      <c r="B69" s="472" t="s">
        <v>617</v>
      </c>
      <c r="C69" s="137">
        <v>386</v>
      </c>
      <c r="D69" s="137">
        <v>342</v>
      </c>
      <c r="E69" s="137">
        <v>728</v>
      </c>
      <c r="F69" s="137">
        <v>205</v>
      </c>
      <c r="G69" s="137">
        <v>339</v>
      </c>
      <c r="H69" s="137">
        <v>544</v>
      </c>
      <c r="I69" s="137">
        <v>16387</v>
      </c>
      <c r="J69" s="137">
        <v>31670</v>
      </c>
      <c r="K69" s="137">
        <v>48057</v>
      </c>
    </row>
    <row r="70" spans="1:11" ht="15" customHeight="1">
      <c r="A70" s="1123"/>
      <c r="B70" s="136" t="s">
        <v>618</v>
      </c>
      <c r="C70" s="137">
        <v>155</v>
      </c>
      <c r="D70" s="137">
        <v>134</v>
      </c>
      <c r="E70" s="137">
        <v>289</v>
      </c>
      <c r="F70" s="137">
        <v>33</v>
      </c>
      <c r="G70" s="137">
        <v>55</v>
      </c>
      <c r="H70" s="137">
        <v>88</v>
      </c>
      <c r="I70" s="137">
        <v>9759</v>
      </c>
      <c r="J70" s="137">
        <v>12260</v>
      </c>
      <c r="K70" s="137">
        <v>22019</v>
      </c>
    </row>
    <row r="71" spans="1:11" ht="15" customHeight="1">
      <c r="A71" s="1123"/>
      <c r="B71" s="140" t="s">
        <v>619</v>
      </c>
      <c r="C71" s="137">
        <v>58</v>
      </c>
      <c r="D71" s="137">
        <v>41</v>
      </c>
      <c r="E71" s="137">
        <v>99</v>
      </c>
      <c r="F71" s="137">
        <v>57</v>
      </c>
      <c r="G71" s="137">
        <v>32</v>
      </c>
      <c r="H71" s="137">
        <v>89</v>
      </c>
      <c r="I71" s="137">
        <v>4909</v>
      </c>
      <c r="J71" s="137">
        <v>15775</v>
      </c>
      <c r="K71" s="137">
        <v>20684</v>
      </c>
    </row>
    <row r="72" spans="1:11" ht="15" customHeight="1">
      <c r="A72" s="1123"/>
      <c r="B72" s="140" t="s">
        <v>253</v>
      </c>
      <c r="C72" s="137">
        <v>190</v>
      </c>
      <c r="D72" s="137">
        <v>125</v>
      </c>
      <c r="E72" s="137">
        <v>315</v>
      </c>
      <c r="F72" s="137">
        <v>61</v>
      </c>
      <c r="G72" s="137">
        <v>65</v>
      </c>
      <c r="H72" s="137">
        <v>126</v>
      </c>
      <c r="I72" s="137">
        <v>3107</v>
      </c>
      <c r="J72" s="137">
        <v>6730</v>
      </c>
      <c r="K72" s="137">
        <v>9837</v>
      </c>
    </row>
    <row r="73" spans="1:11" ht="15" customHeight="1">
      <c r="A73" s="1123"/>
      <c r="B73" s="140" t="s">
        <v>622</v>
      </c>
      <c r="C73" s="137">
        <v>18</v>
      </c>
      <c r="D73" s="137">
        <v>6</v>
      </c>
      <c r="E73" s="137">
        <v>24</v>
      </c>
      <c r="F73" s="137">
        <v>2</v>
      </c>
      <c r="G73" s="137">
        <v>0</v>
      </c>
      <c r="H73" s="137">
        <v>2</v>
      </c>
      <c r="I73" s="137">
        <v>2465</v>
      </c>
      <c r="J73" s="137">
        <v>4117</v>
      </c>
      <c r="K73" s="137">
        <v>6582</v>
      </c>
    </row>
    <row r="74" spans="1:11">
      <c r="A74" s="1123"/>
      <c r="B74" s="140" t="s">
        <v>621</v>
      </c>
      <c r="C74" s="137">
        <v>125</v>
      </c>
      <c r="D74" s="137">
        <v>152</v>
      </c>
      <c r="E74" s="137">
        <v>277</v>
      </c>
      <c r="F74" s="137">
        <v>107</v>
      </c>
      <c r="G74" s="137">
        <v>335</v>
      </c>
      <c r="H74" s="137">
        <v>442</v>
      </c>
      <c r="I74" s="137">
        <v>1931</v>
      </c>
      <c r="J74" s="137">
        <v>3317</v>
      </c>
      <c r="K74" s="137">
        <v>5248</v>
      </c>
    </row>
    <row r="75" spans="1:11" ht="15" customHeight="1">
      <c r="A75" s="1123"/>
      <c r="B75" s="136" t="s">
        <v>620</v>
      </c>
      <c r="C75" s="137">
        <v>88</v>
      </c>
      <c r="D75" s="137">
        <v>50</v>
      </c>
      <c r="E75" s="137">
        <v>138</v>
      </c>
      <c r="F75" s="137">
        <v>38</v>
      </c>
      <c r="G75" s="137">
        <v>15</v>
      </c>
      <c r="H75" s="137">
        <v>53</v>
      </c>
      <c r="I75" s="137">
        <v>1610</v>
      </c>
      <c r="J75" s="137">
        <v>3563</v>
      </c>
      <c r="K75" s="137">
        <v>5173</v>
      </c>
    </row>
    <row r="76" spans="1:11" ht="15" customHeight="1">
      <c r="A76" s="1123"/>
      <c r="B76" s="136" t="s">
        <v>624</v>
      </c>
      <c r="C76" s="137">
        <v>59</v>
      </c>
      <c r="D76" s="137">
        <v>30</v>
      </c>
      <c r="E76" s="137">
        <v>89</v>
      </c>
      <c r="F76" s="137">
        <v>0</v>
      </c>
      <c r="G76" s="137">
        <v>1</v>
      </c>
      <c r="H76" s="137">
        <v>1</v>
      </c>
      <c r="I76" s="137">
        <v>1182</v>
      </c>
      <c r="J76" s="137">
        <v>2182</v>
      </c>
      <c r="K76" s="137">
        <v>3364</v>
      </c>
    </row>
    <row r="77" spans="1:11" ht="15" customHeight="1">
      <c r="A77" s="1123"/>
      <c r="B77" s="136" t="s">
        <v>625</v>
      </c>
      <c r="C77" s="137">
        <v>17</v>
      </c>
      <c r="D77" s="137">
        <v>32</v>
      </c>
      <c r="E77" s="137">
        <v>49</v>
      </c>
      <c r="F77" s="137">
        <v>16</v>
      </c>
      <c r="G77" s="137">
        <v>20</v>
      </c>
      <c r="H77" s="137">
        <v>36</v>
      </c>
      <c r="I77" s="137">
        <v>811</v>
      </c>
      <c r="J77" s="137">
        <v>1802</v>
      </c>
      <c r="K77" s="137">
        <v>2613</v>
      </c>
    </row>
    <row r="78" spans="1:11" ht="15" customHeight="1">
      <c r="A78" s="1123"/>
      <c r="B78" s="136" t="s">
        <v>626</v>
      </c>
      <c r="C78" s="137">
        <v>20</v>
      </c>
      <c r="D78" s="137">
        <v>40</v>
      </c>
      <c r="E78" s="137">
        <v>60</v>
      </c>
      <c r="F78" s="137">
        <v>8</v>
      </c>
      <c r="G78" s="137">
        <v>30</v>
      </c>
      <c r="H78" s="137">
        <v>38</v>
      </c>
      <c r="I78" s="137">
        <v>198</v>
      </c>
      <c r="J78" s="137">
        <v>961</v>
      </c>
      <c r="K78" s="137">
        <v>1159</v>
      </c>
    </row>
    <row r="79" spans="1:11" ht="15" customHeight="1">
      <c r="A79" s="1123"/>
      <c r="B79" s="136" t="s">
        <v>623</v>
      </c>
      <c r="C79" s="137">
        <v>12</v>
      </c>
      <c r="D79" s="137">
        <v>17</v>
      </c>
      <c r="E79" s="137">
        <v>29</v>
      </c>
      <c r="F79" s="137">
        <v>35</v>
      </c>
      <c r="G79" s="137">
        <v>18</v>
      </c>
      <c r="H79" s="137">
        <v>53</v>
      </c>
      <c r="I79" s="137">
        <v>261</v>
      </c>
      <c r="J79" s="137">
        <v>723</v>
      </c>
      <c r="K79" s="137">
        <v>984</v>
      </c>
    </row>
    <row r="80" spans="1:11">
      <c r="A80" s="1123"/>
      <c r="B80" s="473" t="s">
        <v>930</v>
      </c>
      <c r="C80" s="137"/>
      <c r="D80" s="137"/>
      <c r="E80" s="137"/>
      <c r="F80" s="137"/>
      <c r="G80" s="137"/>
      <c r="H80" s="137"/>
      <c r="I80" s="137">
        <v>21</v>
      </c>
      <c r="J80" s="137">
        <v>20</v>
      </c>
      <c r="K80" s="137">
        <v>41</v>
      </c>
    </row>
    <row r="81" spans="1:11">
      <c r="A81" s="468" t="s">
        <v>627</v>
      </c>
      <c r="B81" s="477"/>
      <c r="C81" s="466">
        <v>1128</v>
      </c>
      <c r="D81" s="141">
        <v>969</v>
      </c>
      <c r="E81" s="141">
        <v>2097</v>
      </c>
      <c r="F81" s="141">
        <v>562</v>
      </c>
      <c r="G81" s="141">
        <v>910</v>
      </c>
      <c r="H81" s="141">
        <v>1472</v>
      </c>
      <c r="I81" s="141">
        <v>42641</v>
      </c>
      <c r="J81" s="141">
        <v>83120</v>
      </c>
      <c r="K81" s="141">
        <v>125761</v>
      </c>
    </row>
    <row r="82" spans="1:11" ht="15" customHeight="1">
      <c r="A82" s="1125" t="s">
        <v>572</v>
      </c>
      <c r="B82" s="475" t="s">
        <v>258</v>
      </c>
      <c r="C82" s="137">
        <v>61</v>
      </c>
      <c r="D82" s="137">
        <v>69</v>
      </c>
      <c r="E82" s="137">
        <v>130</v>
      </c>
      <c r="F82" s="137">
        <v>11</v>
      </c>
      <c r="G82" s="137">
        <v>9</v>
      </c>
      <c r="H82" s="137">
        <v>20</v>
      </c>
      <c r="I82" s="137">
        <v>23725</v>
      </c>
      <c r="J82" s="137">
        <v>20676</v>
      </c>
      <c r="K82" s="137">
        <v>44401</v>
      </c>
    </row>
    <row r="83" spans="1:11" ht="15" customHeight="1">
      <c r="A83" s="1126"/>
      <c r="B83" s="140" t="s">
        <v>628</v>
      </c>
      <c r="C83" s="137">
        <v>137</v>
      </c>
      <c r="D83" s="137">
        <v>145</v>
      </c>
      <c r="E83" s="137">
        <v>282</v>
      </c>
      <c r="F83" s="137">
        <v>39</v>
      </c>
      <c r="G83" s="137">
        <v>203</v>
      </c>
      <c r="H83" s="137">
        <v>242</v>
      </c>
      <c r="I83" s="137">
        <v>5424</v>
      </c>
      <c r="J83" s="137">
        <v>9214</v>
      </c>
      <c r="K83" s="137">
        <v>14638</v>
      </c>
    </row>
    <row r="84" spans="1:11" ht="15" customHeight="1">
      <c r="A84" s="1126"/>
      <c r="B84" s="140" t="s">
        <v>546</v>
      </c>
      <c r="C84" s="137">
        <v>20</v>
      </c>
      <c r="D84" s="137">
        <v>12</v>
      </c>
      <c r="E84" s="137">
        <v>32</v>
      </c>
      <c r="F84" s="137">
        <v>1</v>
      </c>
      <c r="G84" s="137">
        <v>0</v>
      </c>
      <c r="H84" s="137">
        <v>1</v>
      </c>
      <c r="I84" s="137">
        <v>2369</v>
      </c>
      <c r="J84" s="137">
        <v>2750</v>
      </c>
      <c r="K84" s="137">
        <v>5119</v>
      </c>
    </row>
    <row r="85" spans="1:11" ht="15" customHeight="1">
      <c r="A85" s="1126"/>
      <c r="B85" s="136" t="s">
        <v>931</v>
      </c>
      <c r="C85" s="137">
        <v>1</v>
      </c>
      <c r="D85" s="137">
        <v>0</v>
      </c>
      <c r="E85" s="137">
        <v>1</v>
      </c>
      <c r="F85" s="137">
        <v>0</v>
      </c>
      <c r="G85" s="137">
        <v>0</v>
      </c>
      <c r="H85" s="137">
        <v>0</v>
      </c>
      <c r="I85" s="137">
        <v>336</v>
      </c>
      <c r="J85" s="137">
        <v>550</v>
      </c>
      <c r="K85" s="137">
        <v>886</v>
      </c>
    </row>
    <row r="86" spans="1:11" ht="15" customHeight="1">
      <c r="A86" s="1126"/>
      <c r="B86" s="136" t="s">
        <v>932</v>
      </c>
      <c r="C86" s="137"/>
      <c r="D86" s="137"/>
      <c r="E86" s="137"/>
      <c r="F86" s="137"/>
      <c r="G86" s="137"/>
      <c r="H86" s="137"/>
      <c r="I86" s="137">
        <v>61</v>
      </c>
      <c r="J86" s="137">
        <v>95</v>
      </c>
      <c r="K86" s="137">
        <v>156</v>
      </c>
    </row>
    <row r="87" spans="1:11">
      <c r="A87" s="1126"/>
      <c r="B87" s="140" t="s">
        <v>629</v>
      </c>
      <c r="C87" s="137"/>
      <c r="D87" s="137"/>
      <c r="E87" s="137"/>
      <c r="F87" s="137"/>
      <c r="G87" s="137"/>
      <c r="H87" s="137"/>
      <c r="I87" s="137">
        <v>16</v>
      </c>
      <c r="J87" s="137">
        <v>13</v>
      </c>
      <c r="K87" s="137">
        <v>29</v>
      </c>
    </row>
    <row r="88" spans="1:11" ht="15" customHeight="1">
      <c r="A88" s="1126"/>
      <c r="B88" s="473" t="s">
        <v>630</v>
      </c>
      <c r="C88" s="137"/>
      <c r="D88" s="137"/>
      <c r="E88" s="137"/>
      <c r="F88" s="137"/>
      <c r="G88" s="137"/>
      <c r="H88" s="137"/>
      <c r="I88" s="137">
        <v>14</v>
      </c>
      <c r="J88" s="137">
        <v>13</v>
      </c>
      <c r="K88" s="137">
        <v>27</v>
      </c>
    </row>
    <row r="89" spans="1:11">
      <c r="A89" s="468" t="s">
        <v>631</v>
      </c>
      <c r="B89" s="477"/>
      <c r="C89" s="466">
        <v>219</v>
      </c>
      <c r="D89" s="141">
        <v>226</v>
      </c>
      <c r="E89" s="141">
        <v>445</v>
      </c>
      <c r="F89" s="141">
        <v>51</v>
      </c>
      <c r="G89" s="141">
        <v>212</v>
      </c>
      <c r="H89" s="141">
        <v>263</v>
      </c>
      <c r="I89" s="141">
        <v>31945</v>
      </c>
      <c r="J89" s="141">
        <v>33311</v>
      </c>
      <c r="K89" s="141">
        <v>65256</v>
      </c>
    </row>
    <row r="90" spans="1:11" ht="30" customHeight="1">
      <c r="A90" s="1123" t="s">
        <v>248</v>
      </c>
      <c r="B90" s="472" t="s">
        <v>248</v>
      </c>
      <c r="C90" s="137">
        <v>72</v>
      </c>
      <c r="D90" s="137">
        <v>33</v>
      </c>
      <c r="E90" s="137">
        <v>105</v>
      </c>
      <c r="F90" s="137">
        <v>12</v>
      </c>
      <c r="G90" s="137">
        <v>10</v>
      </c>
      <c r="H90" s="137">
        <v>22</v>
      </c>
      <c r="I90" s="137">
        <v>3517</v>
      </c>
      <c r="J90" s="137">
        <v>3542</v>
      </c>
      <c r="K90" s="137">
        <v>7059</v>
      </c>
    </row>
    <row r="91" spans="1:11" ht="28">
      <c r="A91" s="1124"/>
      <c r="B91" s="136" t="s">
        <v>933</v>
      </c>
      <c r="C91" s="137">
        <v>2</v>
      </c>
      <c r="D91" s="137">
        <v>0</v>
      </c>
      <c r="E91" s="137">
        <v>2</v>
      </c>
      <c r="F91" s="137">
        <v>1</v>
      </c>
      <c r="G91" s="137">
        <v>5</v>
      </c>
      <c r="H91" s="137">
        <v>6</v>
      </c>
      <c r="I91" s="137">
        <v>112</v>
      </c>
      <c r="J91" s="137">
        <v>131</v>
      </c>
      <c r="K91" s="137">
        <v>243</v>
      </c>
    </row>
    <row r="92" spans="1:11">
      <c r="A92" s="463" t="s">
        <v>975</v>
      </c>
      <c r="B92" s="136"/>
      <c r="C92" s="141">
        <v>74</v>
      </c>
      <c r="D92" s="141">
        <v>33</v>
      </c>
      <c r="E92" s="141">
        <v>107</v>
      </c>
      <c r="F92" s="141">
        <v>13</v>
      </c>
      <c r="G92" s="141">
        <v>15</v>
      </c>
      <c r="H92" s="141">
        <v>28</v>
      </c>
      <c r="I92" s="141">
        <v>3629</v>
      </c>
      <c r="J92" s="141">
        <v>3673</v>
      </c>
      <c r="K92" s="141">
        <v>7302</v>
      </c>
    </row>
    <row r="93" spans="1:11" ht="15" customHeight="1">
      <c r="A93" s="1122" t="s">
        <v>8</v>
      </c>
      <c r="B93" s="136" t="s">
        <v>8</v>
      </c>
      <c r="C93" s="137">
        <v>147</v>
      </c>
      <c r="D93" s="137">
        <v>142</v>
      </c>
      <c r="E93" s="137">
        <v>289</v>
      </c>
      <c r="F93" s="137">
        <v>0</v>
      </c>
      <c r="G93" s="137">
        <v>0</v>
      </c>
      <c r="H93" s="137">
        <v>0</v>
      </c>
      <c r="I93" s="137">
        <v>5983</v>
      </c>
      <c r="J93" s="137">
        <v>5465</v>
      </c>
      <c r="K93" s="137">
        <v>11448</v>
      </c>
    </row>
    <row r="94" spans="1:11" ht="15" customHeight="1">
      <c r="A94" s="1123"/>
      <c r="B94" s="136" t="s">
        <v>632</v>
      </c>
      <c r="C94" s="137"/>
      <c r="D94" s="137"/>
      <c r="E94" s="137"/>
      <c r="F94" s="137"/>
      <c r="G94" s="137"/>
      <c r="H94" s="137"/>
      <c r="I94" s="137">
        <v>262</v>
      </c>
      <c r="J94" s="137">
        <v>191</v>
      </c>
      <c r="K94" s="137">
        <v>453</v>
      </c>
    </row>
    <row r="95" spans="1:11" ht="15" customHeight="1">
      <c r="A95" s="1123"/>
      <c r="B95" s="140" t="s">
        <v>634</v>
      </c>
      <c r="C95" s="137"/>
      <c r="D95" s="137"/>
      <c r="E95" s="137"/>
      <c r="F95" s="137"/>
      <c r="G95" s="137"/>
      <c r="H95" s="137"/>
      <c r="I95" s="137">
        <v>85</v>
      </c>
      <c r="J95" s="137">
        <v>55</v>
      </c>
      <c r="K95" s="137">
        <v>140</v>
      </c>
    </row>
    <row r="96" spans="1:11" ht="15" customHeight="1">
      <c r="A96" s="1123"/>
      <c r="B96" s="140" t="s">
        <v>633</v>
      </c>
      <c r="C96" s="137"/>
      <c r="D96" s="137"/>
      <c r="E96" s="137"/>
      <c r="F96" s="137"/>
      <c r="G96" s="137"/>
      <c r="H96" s="137"/>
      <c r="I96" s="137">
        <v>48</v>
      </c>
      <c r="J96" s="137">
        <v>34</v>
      </c>
      <c r="K96" s="137">
        <v>82</v>
      </c>
    </row>
    <row r="97" spans="1:11" ht="15" customHeight="1">
      <c r="A97" s="1124"/>
      <c r="B97" s="140" t="s">
        <v>635</v>
      </c>
      <c r="C97" s="137"/>
      <c r="D97" s="137"/>
      <c r="E97" s="137"/>
      <c r="F97" s="137"/>
      <c r="G97" s="137"/>
      <c r="H97" s="137"/>
      <c r="I97" s="137">
        <v>10</v>
      </c>
      <c r="J97" s="137">
        <v>7</v>
      </c>
      <c r="K97" s="137">
        <v>17</v>
      </c>
    </row>
    <row r="98" spans="1:11">
      <c r="A98" s="468" t="s">
        <v>636</v>
      </c>
      <c r="B98" s="471"/>
      <c r="C98" s="141">
        <v>147</v>
      </c>
      <c r="D98" s="141">
        <v>142</v>
      </c>
      <c r="E98" s="141">
        <v>289</v>
      </c>
      <c r="F98" s="141">
        <v>0</v>
      </c>
      <c r="G98" s="141">
        <v>0</v>
      </c>
      <c r="H98" s="141">
        <v>0</v>
      </c>
      <c r="I98" s="141">
        <v>6388</v>
      </c>
      <c r="J98" s="141">
        <v>5752</v>
      </c>
      <c r="K98" s="141">
        <v>12140</v>
      </c>
    </row>
    <row r="99" spans="1:11">
      <c r="A99" s="463" t="s">
        <v>577</v>
      </c>
      <c r="B99" s="136"/>
      <c r="C99" s="137">
        <v>68</v>
      </c>
      <c r="D99" s="137">
        <v>43</v>
      </c>
      <c r="E99" s="137">
        <v>111</v>
      </c>
      <c r="F99" s="137">
        <v>30</v>
      </c>
      <c r="G99" s="137">
        <v>32</v>
      </c>
      <c r="H99" s="137">
        <v>62</v>
      </c>
      <c r="I99" s="137">
        <v>2973</v>
      </c>
      <c r="J99" s="137">
        <v>3447</v>
      </c>
      <c r="K99" s="137">
        <v>6420</v>
      </c>
    </row>
    <row r="100" spans="1:11">
      <c r="A100" s="468" t="s">
        <v>579</v>
      </c>
      <c r="B100" s="471"/>
      <c r="C100" s="137">
        <v>54</v>
      </c>
      <c r="D100" s="137">
        <v>42</v>
      </c>
      <c r="E100" s="137">
        <v>96</v>
      </c>
      <c r="F100" s="137">
        <v>7</v>
      </c>
      <c r="G100" s="137">
        <v>64</v>
      </c>
      <c r="H100" s="137">
        <v>71</v>
      </c>
      <c r="I100" s="137">
        <v>23</v>
      </c>
      <c r="J100" s="137">
        <v>87</v>
      </c>
      <c r="K100" s="137">
        <v>110</v>
      </c>
    </row>
    <row r="101" spans="1:11" ht="15" customHeight="1">
      <c r="A101" s="1122" t="s">
        <v>250</v>
      </c>
      <c r="B101" s="136" t="s">
        <v>637</v>
      </c>
      <c r="C101" s="137">
        <v>257</v>
      </c>
      <c r="D101" s="137">
        <v>200</v>
      </c>
      <c r="E101" s="137">
        <v>457</v>
      </c>
      <c r="F101" s="137">
        <v>77</v>
      </c>
      <c r="G101" s="137">
        <v>63</v>
      </c>
      <c r="H101" s="137">
        <v>140</v>
      </c>
      <c r="I101" s="137">
        <v>110071</v>
      </c>
      <c r="J101" s="137">
        <v>91598</v>
      </c>
      <c r="K101" s="137">
        <v>201669</v>
      </c>
    </row>
    <row r="102" spans="1:11" ht="15" customHeight="1">
      <c r="A102" s="1123"/>
      <c r="B102" s="136" t="s">
        <v>638</v>
      </c>
      <c r="C102" s="137">
        <v>264</v>
      </c>
      <c r="D102" s="137">
        <v>204</v>
      </c>
      <c r="E102" s="137">
        <v>468</v>
      </c>
      <c r="F102" s="137">
        <v>12</v>
      </c>
      <c r="G102" s="137">
        <v>25</v>
      </c>
      <c r="H102" s="137">
        <v>37</v>
      </c>
      <c r="I102" s="137">
        <v>7062</v>
      </c>
      <c r="J102" s="137">
        <v>4818</v>
      </c>
      <c r="K102" s="137">
        <v>11880</v>
      </c>
    </row>
    <row r="103" spans="1:11">
      <c r="A103" s="1123"/>
      <c r="B103" s="140" t="s">
        <v>639</v>
      </c>
      <c r="C103" s="137">
        <v>135</v>
      </c>
      <c r="D103" s="137">
        <v>82</v>
      </c>
      <c r="E103" s="137">
        <v>217</v>
      </c>
      <c r="F103" s="137">
        <v>8</v>
      </c>
      <c r="G103" s="137">
        <v>13</v>
      </c>
      <c r="H103" s="137">
        <v>21</v>
      </c>
      <c r="I103" s="137">
        <v>4301</v>
      </c>
      <c r="J103" s="137">
        <v>3448</v>
      </c>
      <c r="K103" s="137">
        <v>7749</v>
      </c>
    </row>
    <row r="104" spans="1:11" ht="15" customHeight="1">
      <c r="A104" s="1123"/>
      <c r="B104" s="140" t="s">
        <v>1041</v>
      </c>
      <c r="C104" s="137">
        <v>12</v>
      </c>
      <c r="D104" s="137">
        <v>12</v>
      </c>
      <c r="E104" s="137">
        <v>24</v>
      </c>
      <c r="F104" s="137">
        <v>1</v>
      </c>
      <c r="G104" s="137">
        <v>2</v>
      </c>
      <c r="H104" s="137">
        <v>3</v>
      </c>
      <c r="I104" s="137">
        <v>1735</v>
      </c>
      <c r="J104" s="137">
        <v>2312</v>
      </c>
      <c r="K104" s="137">
        <v>4047</v>
      </c>
    </row>
    <row r="105" spans="1:11" ht="28">
      <c r="A105" s="1123"/>
      <c r="B105" s="136" t="s">
        <v>934</v>
      </c>
      <c r="C105" s="137">
        <v>32</v>
      </c>
      <c r="D105" s="137">
        <v>15</v>
      </c>
      <c r="E105" s="137">
        <v>47</v>
      </c>
      <c r="F105" s="137">
        <v>0</v>
      </c>
      <c r="G105" s="137">
        <v>1</v>
      </c>
      <c r="H105" s="137">
        <v>1</v>
      </c>
      <c r="I105" s="137">
        <v>1559</v>
      </c>
      <c r="J105" s="137">
        <v>1079</v>
      </c>
      <c r="K105" s="137">
        <v>2638</v>
      </c>
    </row>
    <row r="106" spans="1:11" ht="15" customHeight="1">
      <c r="A106" s="1123"/>
      <c r="B106" s="136" t="s">
        <v>641</v>
      </c>
      <c r="C106" s="137">
        <v>0</v>
      </c>
      <c r="D106" s="137">
        <v>2</v>
      </c>
      <c r="E106" s="137">
        <v>2</v>
      </c>
      <c r="F106" s="137">
        <v>0</v>
      </c>
      <c r="G106" s="137">
        <v>3</v>
      </c>
      <c r="H106" s="137">
        <v>3</v>
      </c>
      <c r="I106" s="137">
        <v>1230</v>
      </c>
      <c r="J106" s="137">
        <v>1238</v>
      </c>
      <c r="K106" s="137">
        <v>2468</v>
      </c>
    </row>
    <row r="107" spans="1:11" ht="15" customHeight="1">
      <c r="A107" s="1123"/>
      <c r="B107" s="136" t="s">
        <v>566</v>
      </c>
      <c r="C107" s="137">
        <v>4</v>
      </c>
      <c r="D107" s="137">
        <v>3</v>
      </c>
      <c r="E107" s="137">
        <v>7</v>
      </c>
      <c r="F107" s="137"/>
      <c r="G107" s="137"/>
      <c r="H107" s="137"/>
      <c r="I107" s="137">
        <v>742</v>
      </c>
      <c r="J107" s="137">
        <v>1194</v>
      </c>
      <c r="K107" s="137">
        <v>1936</v>
      </c>
    </row>
    <row r="108" spans="1:11" ht="15" customHeight="1">
      <c r="A108" s="1123"/>
      <c r="B108" s="136" t="s">
        <v>643</v>
      </c>
      <c r="C108" s="137">
        <v>6</v>
      </c>
      <c r="D108" s="137">
        <v>4</v>
      </c>
      <c r="E108" s="137">
        <v>10</v>
      </c>
      <c r="F108" s="137">
        <v>0</v>
      </c>
      <c r="G108" s="137">
        <v>1</v>
      </c>
      <c r="H108" s="137">
        <v>1</v>
      </c>
      <c r="I108" s="137">
        <v>1162</v>
      </c>
      <c r="J108" s="137">
        <v>771</v>
      </c>
      <c r="K108" s="137">
        <v>1933</v>
      </c>
    </row>
    <row r="109" spans="1:11" ht="15" customHeight="1">
      <c r="A109" s="1123"/>
      <c r="B109" s="136" t="s">
        <v>647</v>
      </c>
      <c r="C109" s="137">
        <v>2</v>
      </c>
      <c r="D109" s="137">
        <v>7</v>
      </c>
      <c r="E109" s="137">
        <v>9</v>
      </c>
      <c r="F109" s="137"/>
      <c r="G109" s="137"/>
      <c r="H109" s="137"/>
      <c r="I109" s="137">
        <v>859</v>
      </c>
      <c r="J109" s="137">
        <v>597</v>
      </c>
      <c r="K109" s="137">
        <v>1456</v>
      </c>
    </row>
    <row r="110" spans="1:11" ht="15" customHeight="1">
      <c r="A110" s="1123"/>
      <c r="B110" s="136" t="s">
        <v>644</v>
      </c>
      <c r="C110" s="137"/>
      <c r="D110" s="137"/>
      <c r="E110" s="137"/>
      <c r="F110" s="137"/>
      <c r="G110" s="137"/>
      <c r="H110" s="137"/>
      <c r="I110" s="137">
        <v>817</v>
      </c>
      <c r="J110" s="137">
        <v>614</v>
      </c>
      <c r="K110" s="137">
        <v>1431</v>
      </c>
    </row>
    <row r="111" spans="1:11" ht="15" customHeight="1">
      <c r="A111" s="1123"/>
      <c r="B111" s="136" t="s">
        <v>640</v>
      </c>
      <c r="C111" s="137"/>
      <c r="D111" s="137"/>
      <c r="E111" s="137"/>
      <c r="F111" s="137"/>
      <c r="G111" s="137"/>
      <c r="H111" s="137"/>
      <c r="I111" s="137">
        <v>615</v>
      </c>
      <c r="J111" s="137">
        <v>473</v>
      </c>
      <c r="K111" s="137">
        <v>1088</v>
      </c>
    </row>
    <row r="112" spans="1:11" ht="15" customHeight="1">
      <c r="A112" s="1123"/>
      <c r="B112" s="136" t="s">
        <v>645</v>
      </c>
      <c r="C112" s="137">
        <v>0</v>
      </c>
      <c r="D112" s="137">
        <v>2</v>
      </c>
      <c r="E112" s="137">
        <v>2</v>
      </c>
      <c r="F112" s="137"/>
      <c r="G112" s="137"/>
      <c r="H112" s="137"/>
      <c r="I112" s="137">
        <v>541</v>
      </c>
      <c r="J112" s="137">
        <v>259</v>
      </c>
      <c r="K112" s="137">
        <v>800</v>
      </c>
    </row>
    <row r="113" spans="1:11" ht="15" customHeight="1">
      <c r="A113" s="1123"/>
      <c r="B113" s="136" t="s">
        <v>250</v>
      </c>
      <c r="C113" s="137">
        <v>2</v>
      </c>
      <c r="D113" s="137">
        <v>2</v>
      </c>
      <c r="E113" s="137">
        <v>4</v>
      </c>
      <c r="F113" s="137"/>
      <c r="G113" s="137"/>
      <c r="H113" s="137"/>
      <c r="I113" s="137">
        <v>506</v>
      </c>
      <c r="J113" s="137">
        <v>210</v>
      </c>
      <c r="K113" s="137">
        <v>716</v>
      </c>
    </row>
    <row r="114" spans="1:11" ht="15" customHeight="1">
      <c r="A114" s="1123"/>
      <c r="B114" s="136" t="s">
        <v>935</v>
      </c>
      <c r="C114" s="137">
        <v>15</v>
      </c>
      <c r="D114" s="137">
        <v>14</v>
      </c>
      <c r="E114" s="137">
        <v>29</v>
      </c>
      <c r="F114" s="137">
        <v>1</v>
      </c>
      <c r="G114" s="137">
        <v>2</v>
      </c>
      <c r="H114" s="137">
        <v>3</v>
      </c>
      <c r="I114" s="137">
        <v>345</v>
      </c>
      <c r="J114" s="137">
        <v>313</v>
      </c>
      <c r="K114" s="137">
        <v>658</v>
      </c>
    </row>
    <row r="115" spans="1:11" ht="15" customHeight="1">
      <c r="A115" s="1123"/>
      <c r="B115" s="136" t="s">
        <v>648</v>
      </c>
      <c r="C115" s="137">
        <v>5</v>
      </c>
      <c r="D115" s="137">
        <v>1</v>
      </c>
      <c r="E115" s="137">
        <v>6</v>
      </c>
      <c r="F115" s="137"/>
      <c r="G115" s="137"/>
      <c r="H115" s="137"/>
      <c r="I115" s="137">
        <v>249</v>
      </c>
      <c r="J115" s="137">
        <v>95</v>
      </c>
      <c r="K115" s="137">
        <v>344</v>
      </c>
    </row>
    <row r="116" spans="1:11" ht="15" customHeight="1">
      <c r="A116" s="1123"/>
      <c r="B116" s="136" t="s">
        <v>646</v>
      </c>
      <c r="C116" s="137"/>
      <c r="D116" s="137"/>
      <c r="E116" s="137"/>
      <c r="F116" s="137"/>
      <c r="G116" s="137"/>
      <c r="H116" s="137"/>
      <c r="I116" s="137">
        <v>94</v>
      </c>
      <c r="J116" s="137">
        <v>62</v>
      </c>
      <c r="K116" s="137">
        <v>156</v>
      </c>
    </row>
    <row r="117" spans="1:11" ht="15" customHeight="1">
      <c r="A117" s="1123"/>
      <c r="B117" s="136" t="s">
        <v>937</v>
      </c>
      <c r="C117" s="137"/>
      <c r="D117" s="137"/>
      <c r="E117" s="137"/>
      <c r="F117" s="137"/>
      <c r="G117" s="137"/>
      <c r="H117" s="137"/>
      <c r="I117" s="137">
        <v>73</v>
      </c>
      <c r="J117" s="137">
        <v>77</v>
      </c>
      <c r="K117" s="137">
        <v>150</v>
      </c>
    </row>
    <row r="118" spans="1:11" ht="28">
      <c r="A118" s="1123"/>
      <c r="B118" s="136" t="s">
        <v>936</v>
      </c>
      <c r="C118" s="137"/>
      <c r="D118" s="137"/>
      <c r="E118" s="137"/>
      <c r="F118" s="137"/>
      <c r="G118" s="137"/>
      <c r="H118" s="137"/>
      <c r="I118" s="137">
        <v>63</v>
      </c>
      <c r="J118" s="137">
        <v>57</v>
      </c>
      <c r="K118" s="137">
        <v>120</v>
      </c>
    </row>
    <row r="119" spans="1:11" ht="15" customHeight="1">
      <c r="A119" s="1124"/>
      <c r="B119" s="136" t="s">
        <v>938</v>
      </c>
      <c r="C119" s="137"/>
      <c r="D119" s="137"/>
      <c r="E119" s="137"/>
      <c r="F119" s="137"/>
      <c r="G119" s="137"/>
      <c r="H119" s="137"/>
      <c r="I119" s="137">
        <v>2</v>
      </c>
      <c r="J119" s="137">
        <v>1</v>
      </c>
      <c r="K119" s="137">
        <v>3</v>
      </c>
    </row>
    <row r="120" spans="1:11">
      <c r="A120" s="468" t="s">
        <v>649</v>
      </c>
      <c r="B120" s="471"/>
      <c r="C120" s="141">
        <v>734</v>
      </c>
      <c r="D120" s="141">
        <v>548</v>
      </c>
      <c r="E120" s="141">
        <v>1282</v>
      </c>
      <c r="F120" s="141">
        <v>99</v>
      </c>
      <c r="G120" s="141">
        <v>110</v>
      </c>
      <c r="H120" s="141">
        <v>209</v>
      </c>
      <c r="I120" s="141">
        <v>132026</v>
      </c>
      <c r="J120" s="141">
        <v>109216</v>
      </c>
      <c r="K120" s="141">
        <v>241242</v>
      </c>
    </row>
    <row r="121" spans="1:11">
      <c r="A121" s="463" t="s">
        <v>590</v>
      </c>
      <c r="B121" s="136"/>
      <c r="C121" s="137">
        <v>66</v>
      </c>
      <c r="D121" s="137">
        <v>144</v>
      </c>
      <c r="E121" s="137">
        <v>210</v>
      </c>
      <c r="F121" s="137">
        <v>2</v>
      </c>
      <c r="G121" s="137">
        <v>19</v>
      </c>
      <c r="H121" s="137">
        <v>21</v>
      </c>
      <c r="I121" s="137">
        <v>178</v>
      </c>
      <c r="J121" s="137">
        <v>276</v>
      </c>
      <c r="K121" s="137">
        <v>454</v>
      </c>
    </row>
    <row r="122" spans="1:11" ht="15" customHeight="1">
      <c r="A122" s="1122" t="s">
        <v>557</v>
      </c>
      <c r="B122" s="136" t="s">
        <v>268</v>
      </c>
      <c r="C122" s="137">
        <v>127</v>
      </c>
      <c r="D122" s="137">
        <v>91</v>
      </c>
      <c r="E122" s="137">
        <v>218</v>
      </c>
      <c r="F122" s="137"/>
      <c r="G122" s="137"/>
      <c r="H122" s="137"/>
      <c r="I122" s="137">
        <v>7297</v>
      </c>
      <c r="J122" s="137">
        <v>10600</v>
      </c>
      <c r="K122" s="137">
        <v>17897</v>
      </c>
    </row>
    <row r="123" spans="1:11" ht="15" customHeight="1">
      <c r="A123" s="1123"/>
      <c r="B123" s="136" t="s">
        <v>76</v>
      </c>
      <c r="C123" s="137">
        <v>7</v>
      </c>
      <c r="D123" s="137">
        <v>62</v>
      </c>
      <c r="E123" s="137">
        <v>69</v>
      </c>
      <c r="F123" s="137">
        <v>0</v>
      </c>
      <c r="G123" s="137">
        <v>12</v>
      </c>
      <c r="H123" s="137">
        <v>12</v>
      </c>
      <c r="I123" s="137">
        <v>1217</v>
      </c>
      <c r="J123" s="137">
        <v>6324</v>
      </c>
      <c r="K123" s="137">
        <v>7541</v>
      </c>
    </row>
    <row r="124" spans="1:11" ht="15" customHeight="1">
      <c r="A124" s="1123"/>
      <c r="B124" s="136" t="s">
        <v>558</v>
      </c>
      <c r="C124" s="137">
        <v>13</v>
      </c>
      <c r="D124" s="137">
        <v>17</v>
      </c>
      <c r="E124" s="137">
        <v>30</v>
      </c>
      <c r="F124" s="137">
        <v>1</v>
      </c>
      <c r="G124" s="137">
        <v>5</v>
      </c>
      <c r="H124" s="137">
        <v>6</v>
      </c>
      <c r="I124" s="137">
        <v>2424</v>
      </c>
      <c r="J124" s="137">
        <v>1879</v>
      </c>
      <c r="K124" s="137">
        <v>4303</v>
      </c>
    </row>
    <row r="125" spans="1:11" ht="15" customHeight="1">
      <c r="A125" s="1123"/>
      <c r="B125" s="136" t="s">
        <v>559</v>
      </c>
      <c r="C125" s="137">
        <v>14</v>
      </c>
      <c r="D125" s="137">
        <v>21</v>
      </c>
      <c r="E125" s="137">
        <v>35</v>
      </c>
      <c r="F125" s="137"/>
      <c r="G125" s="137"/>
      <c r="H125" s="137"/>
      <c r="I125" s="137">
        <v>1322</v>
      </c>
      <c r="J125" s="137">
        <v>2944</v>
      </c>
      <c r="K125" s="137">
        <v>4266</v>
      </c>
    </row>
    <row r="126" spans="1:11" ht="15" customHeight="1">
      <c r="A126" s="1123"/>
      <c r="B126" s="136" t="s">
        <v>661</v>
      </c>
      <c r="C126" s="137">
        <v>12</v>
      </c>
      <c r="D126" s="137">
        <v>13</v>
      </c>
      <c r="E126" s="137">
        <v>25</v>
      </c>
      <c r="F126" s="137">
        <v>2</v>
      </c>
      <c r="G126" s="137">
        <v>11</v>
      </c>
      <c r="H126" s="137">
        <v>13</v>
      </c>
      <c r="I126" s="137">
        <v>835</v>
      </c>
      <c r="J126" s="137">
        <v>2259</v>
      </c>
      <c r="K126" s="137">
        <v>3094</v>
      </c>
    </row>
    <row r="127" spans="1:11" ht="15" customHeight="1">
      <c r="A127" s="1123"/>
      <c r="B127" s="136" t="s">
        <v>564</v>
      </c>
      <c r="C127" s="137">
        <v>137</v>
      </c>
      <c r="D127" s="137">
        <v>98</v>
      </c>
      <c r="E127" s="137">
        <v>235</v>
      </c>
      <c r="F127" s="137">
        <v>5</v>
      </c>
      <c r="G127" s="137">
        <v>23</v>
      </c>
      <c r="H127" s="137">
        <v>28</v>
      </c>
      <c r="I127" s="137">
        <v>1359</v>
      </c>
      <c r="J127" s="137">
        <v>1622</v>
      </c>
      <c r="K127" s="137">
        <v>2981</v>
      </c>
    </row>
    <row r="128" spans="1:11" ht="15" customHeight="1">
      <c r="A128" s="1123"/>
      <c r="B128" s="136" t="s">
        <v>269</v>
      </c>
      <c r="C128" s="137">
        <v>8</v>
      </c>
      <c r="D128" s="137">
        <v>5</v>
      </c>
      <c r="E128" s="137">
        <v>13</v>
      </c>
      <c r="F128" s="137"/>
      <c r="G128" s="137"/>
      <c r="H128" s="137"/>
      <c r="I128" s="137">
        <v>734</v>
      </c>
      <c r="J128" s="137">
        <v>1722</v>
      </c>
      <c r="K128" s="137">
        <v>2456</v>
      </c>
    </row>
    <row r="129" spans="1:11" ht="15" customHeight="1">
      <c r="A129" s="1123"/>
      <c r="B129" s="136" t="s">
        <v>557</v>
      </c>
      <c r="C129" s="137">
        <v>100</v>
      </c>
      <c r="D129" s="137">
        <v>136</v>
      </c>
      <c r="E129" s="137">
        <v>236</v>
      </c>
      <c r="F129" s="137">
        <v>5</v>
      </c>
      <c r="G129" s="137">
        <v>5</v>
      </c>
      <c r="H129" s="137">
        <v>10</v>
      </c>
      <c r="I129" s="137">
        <v>674</v>
      </c>
      <c r="J129" s="137">
        <v>1459</v>
      </c>
      <c r="K129" s="137">
        <v>2133</v>
      </c>
    </row>
    <row r="130" spans="1:11" ht="15" customHeight="1">
      <c r="A130" s="1124"/>
      <c r="B130" s="136" t="s">
        <v>665</v>
      </c>
      <c r="C130" s="137">
        <v>18</v>
      </c>
      <c r="D130" s="137">
        <v>20</v>
      </c>
      <c r="E130" s="137">
        <v>38</v>
      </c>
      <c r="F130" s="137">
        <v>38</v>
      </c>
      <c r="G130" s="137">
        <v>24</v>
      </c>
      <c r="H130" s="137">
        <v>62</v>
      </c>
      <c r="I130" s="137">
        <v>560</v>
      </c>
      <c r="J130" s="137">
        <v>1517</v>
      </c>
      <c r="K130" s="137">
        <v>2077</v>
      </c>
    </row>
    <row r="131" spans="1:11" ht="14.25" customHeight="1">
      <c r="A131" s="1122" t="s">
        <v>557</v>
      </c>
      <c r="B131" s="136" t="s">
        <v>560</v>
      </c>
      <c r="C131" s="137">
        <v>59</v>
      </c>
      <c r="D131" s="137">
        <v>47</v>
      </c>
      <c r="E131" s="137">
        <v>106</v>
      </c>
      <c r="F131" s="137"/>
      <c r="G131" s="137"/>
      <c r="H131" s="137"/>
      <c r="I131" s="137">
        <v>730</v>
      </c>
      <c r="J131" s="137">
        <v>1282</v>
      </c>
      <c r="K131" s="137">
        <v>2012</v>
      </c>
    </row>
    <row r="132" spans="1:11" ht="14.25" customHeight="1">
      <c r="A132" s="1123"/>
      <c r="B132" s="140" t="s">
        <v>569</v>
      </c>
      <c r="C132" s="137">
        <v>2</v>
      </c>
      <c r="D132" s="137">
        <v>1</v>
      </c>
      <c r="E132" s="137">
        <v>3</v>
      </c>
      <c r="F132" s="137"/>
      <c r="G132" s="137"/>
      <c r="H132" s="137"/>
      <c r="I132" s="137">
        <v>1288</v>
      </c>
      <c r="J132" s="137">
        <v>480</v>
      </c>
      <c r="K132" s="137">
        <v>1768</v>
      </c>
    </row>
    <row r="133" spans="1:11" ht="14.25" customHeight="1">
      <c r="A133" s="1123"/>
      <c r="B133" s="136" t="s">
        <v>650</v>
      </c>
      <c r="C133" s="137">
        <v>15</v>
      </c>
      <c r="D133" s="137">
        <v>10</v>
      </c>
      <c r="E133" s="137">
        <v>25</v>
      </c>
      <c r="F133" s="137"/>
      <c r="G133" s="137"/>
      <c r="H133" s="137"/>
      <c r="I133" s="137">
        <v>587</v>
      </c>
      <c r="J133" s="137">
        <v>683</v>
      </c>
      <c r="K133" s="137">
        <v>1270</v>
      </c>
    </row>
    <row r="134" spans="1:11" ht="14.25" customHeight="1">
      <c r="A134" s="1123"/>
      <c r="B134" s="136" t="s">
        <v>656</v>
      </c>
      <c r="C134" s="137">
        <v>8</v>
      </c>
      <c r="D134" s="137">
        <v>11</v>
      </c>
      <c r="E134" s="137">
        <v>19</v>
      </c>
      <c r="F134" s="137">
        <v>3</v>
      </c>
      <c r="G134" s="137">
        <v>13</v>
      </c>
      <c r="H134" s="137">
        <v>16</v>
      </c>
      <c r="I134" s="137">
        <v>283</v>
      </c>
      <c r="J134" s="137">
        <v>783</v>
      </c>
      <c r="K134" s="137">
        <v>1066</v>
      </c>
    </row>
    <row r="135" spans="1:11" ht="14.25" customHeight="1">
      <c r="A135" s="1123"/>
      <c r="B135" s="136" t="s">
        <v>651</v>
      </c>
      <c r="C135" s="137">
        <v>1</v>
      </c>
      <c r="D135" s="137">
        <v>5</v>
      </c>
      <c r="E135" s="137">
        <v>6</v>
      </c>
      <c r="F135" s="137"/>
      <c r="G135" s="137"/>
      <c r="H135" s="137"/>
      <c r="I135" s="137">
        <v>150</v>
      </c>
      <c r="J135" s="137">
        <v>824</v>
      </c>
      <c r="K135" s="137">
        <v>974</v>
      </c>
    </row>
    <row r="136" spans="1:11" ht="14.25" customHeight="1">
      <c r="A136" s="1123"/>
      <c r="B136" s="140" t="s">
        <v>655</v>
      </c>
      <c r="C136" s="137">
        <v>0</v>
      </c>
      <c r="D136" s="137">
        <v>5</v>
      </c>
      <c r="E136" s="137">
        <v>5</v>
      </c>
      <c r="F136" s="137"/>
      <c r="G136" s="137"/>
      <c r="H136" s="137"/>
      <c r="I136" s="137">
        <v>352</v>
      </c>
      <c r="J136" s="137">
        <v>610</v>
      </c>
      <c r="K136" s="137">
        <v>962</v>
      </c>
    </row>
    <row r="137" spans="1:11" ht="14.25" customHeight="1">
      <c r="A137" s="1123"/>
      <c r="B137" s="136" t="s">
        <v>652</v>
      </c>
      <c r="C137" s="137">
        <v>31</v>
      </c>
      <c r="D137" s="137">
        <v>8</v>
      </c>
      <c r="E137" s="137">
        <v>39</v>
      </c>
      <c r="F137" s="137"/>
      <c r="G137" s="137"/>
      <c r="H137" s="137"/>
      <c r="I137" s="137">
        <v>478</v>
      </c>
      <c r="J137" s="137">
        <v>418</v>
      </c>
      <c r="K137" s="137">
        <v>896</v>
      </c>
    </row>
    <row r="138" spans="1:11" ht="14.25" customHeight="1">
      <c r="A138" s="1123"/>
      <c r="B138" s="136" t="s">
        <v>568</v>
      </c>
      <c r="C138" s="137">
        <v>0</v>
      </c>
      <c r="D138" s="137">
        <v>4</v>
      </c>
      <c r="E138" s="137">
        <v>4</v>
      </c>
      <c r="F138" s="137"/>
      <c r="G138" s="137"/>
      <c r="H138" s="137"/>
      <c r="I138" s="137">
        <v>210</v>
      </c>
      <c r="J138" s="137">
        <v>647</v>
      </c>
      <c r="K138" s="137">
        <v>857</v>
      </c>
    </row>
    <row r="139" spans="1:11" ht="14.25" customHeight="1">
      <c r="A139" s="1123"/>
      <c r="B139" s="140" t="s">
        <v>653</v>
      </c>
      <c r="C139" s="137">
        <v>12</v>
      </c>
      <c r="D139" s="137">
        <v>0</v>
      </c>
      <c r="E139" s="137">
        <v>12</v>
      </c>
      <c r="F139" s="137"/>
      <c r="G139" s="137"/>
      <c r="H139" s="137"/>
      <c r="I139" s="137">
        <v>732</v>
      </c>
      <c r="J139" s="137">
        <v>39</v>
      </c>
      <c r="K139" s="137">
        <v>771</v>
      </c>
    </row>
    <row r="140" spans="1:11" ht="15" customHeight="1">
      <c r="A140" s="1123"/>
      <c r="B140" s="136" t="s">
        <v>563</v>
      </c>
      <c r="C140" s="137">
        <v>1</v>
      </c>
      <c r="D140" s="137">
        <v>0</v>
      </c>
      <c r="E140" s="137">
        <v>1</v>
      </c>
      <c r="F140" s="137"/>
      <c r="G140" s="137"/>
      <c r="H140" s="137"/>
      <c r="I140" s="137">
        <v>262</v>
      </c>
      <c r="J140" s="137">
        <v>499</v>
      </c>
      <c r="K140" s="137">
        <v>761</v>
      </c>
    </row>
    <row r="141" spans="1:11" ht="15" customHeight="1">
      <c r="A141" s="1123"/>
      <c r="B141" s="136" t="s">
        <v>561</v>
      </c>
      <c r="C141" s="137">
        <v>9</v>
      </c>
      <c r="D141" s="137">
        <v>6</v>
      </c>
      <c r="E141" s="137">
        <v>15</v>
      </c>
      <c r="F141" s="137"/>
      <c r="G141" s="137"/>
      <c r="H141" s="137"/>
      <c r="I141" s="137">
        <v>230</v>
      </c>
      <c r="J141" s="137">
        <v>431</v>
      </c>
      <c r="K141" s="137">
        <v>661</v>
      </c>
    </row>
    <row r="142" spans="1:11" ht="15" customHeight="1">
      <c r="A142" s="1123"/>
      <c r="B142" s="136" t="s">
        <v>654</v>
      </c>
      <c r="C142" s="137">
        <v>19</v>
      </c>
      <c r="D142" s="137">
        <v>6</v>
      </c>
      <c r="E142" s="137">
        <v>25</v>
      </c>
      <c r="F142" s="137"/>
      <c r="G142" s="137"/>
      <c r="H142" s="137"/>
      <c r="I142" s="137">
        <v>378</v>
      </c>
      <c r="J142" s="137">
        <v>248</v>
      </c>
      <c r="K142" s="137">
        <v>626</v>
      </c>
    </row>
    <row r="143" spans="1:11" ht="15" customHeight="1">
      <c r="A143" s="1123"/>
      <c r="B143" s="136" t="s">
        <v>657</v>
      </c>
      <c r="C143" s="137">
        <v>0</v>
      </c>
      <c r="D143" s="137">
        <v>5</v>
      </c>
      <c r="E143" s="137">
        <v>5</v>
      </c>
      <c r="F143" s="137"/>
      <c r="G143" s="137"/>
      <c r="H143" s="137"/>
      <c r="I143" s="137">
        <v>209</v>
      </c>
      <c r="J143" s="137">
        <v>225</v>
      </c>
      <c r="K143" s="137">
        <v>434</v>
      </c>
    </row>
    <row r="144" spans="1:11" ht="15" customHeight="1">
      <c r="A144" s="1123"/>
      <c r="B144" s="136" t="s">
        <v>660</v>
      </c>
      <c r="C144" s="137"/>
      <c r="D144" s="137"/>
      <c r="E144" s="137"/>
      <c r="F144" s="137"/>
      <c r="G144" s="137"/>
      <c r="H144" s="137"/>
      <c r="I144" s="137">
        <v>145</v>
      </c>
      <c r="J144" s="137">
        <v>265</v>
      </c>
      <c r="K144" s="137">
        <v>410</v>
      </c>
    </row>
    <row r="145" spans="1:11" ht="15" customHeight="1">
      <c r="A145" s="1123"/>
      <c r="B145" s="140" t="s">
        <v>658</v>
      </c>
      <c r="C145" s="137">
        <v>9</v>
      </c>
      <c r="D145" s="137">
        <v>4</v>
      </c>
      <c r="E145" s="137">
        <v>13</v>
      </c>
      <c r="F145" s="137">
        <v>4</v>
      </c>
      <c r="G145" s="137">
        <v>43</v>
      </c>
      <c r="H145" s="137">
        <v>47</v>
      </c>
      <c r="I145" s="137">
        <v>159</v>
      </c>
      <c r="J145" s="137">
        <v>199</v>
      </c>
      <c r="K145" s="137">
        <v>358</v>
      </c>
    </row>
    <row r="146" spans="1:11" ht="15" customHeight="1">
      <c r="A146" s="1123"/>
      <c r="B146" s="140" t="s">
        <v>570</v>
      </c>
      <c r="C146" s="137"/>
      <c r="D146" s="137"/>
      <c r="E146" s="137"/>
      <c r="F146" s="137"/>
      <c r="G146" s="137"/>
      <c r="H146" s="137"/>
      <c r="I146" s="137">
        <v>113</v>
      </c>
      <c r="J146" s="137">
        <v>190</v>
      </c>
      <c r="K146" s="137">
        <v>303</v>
      </c>
    </row>
    <row r="147" spans="1:11" ht="15" customHeight="1">
      <c r="A147" s="1123"/>
      <c r="B147" s="136" t="s">
        <v>562</v>
      </c>
      <c r="C147" s="137"/>
      <c r="D147" s="137"/>
      <c r="E147" s="137"/>
      <c r="F147" s="137"/>
      <c r="G147" s="137"/>
      <c r="H147" s="137"/>
      <c r="I147" s="137">
        <v>74</v>
      </c>
      <c r="J147" s="137">
        <v>118</v>
      </c>
      <c r="K147" s="137">
        <v>192</v>
      </c>
    </row>
    <row r="148" spans="1:11" ht="15" customHeight="1">
      <c r="A148" s="1123"/>
      <c r="B148" s="136" t="s">
        <v>662</v>
      </c>
      <c r="C148" s="137">
        <v>2</v>
      </c>
      <c r="D148" s="137">
        <v>3</v>
      </c>
      <c r="E148" s="137">
        <v>5</v>
      </c>
      <c r="F148" s="137"/>
      <c r="G148" s="137"/>
      <c r="H148" s="137"/>
      <c r="I148" s="137">
        <v>64</v>
      </c>
      <c r="J148" s="137">
        <v>85</v>
      </c>
      <c r="K148" s="137">
        <v>149</v>
      </c>
    </row>
    <row r="149" spans="1:11" ht="15" customHeight="1">
      <c r="A149" s="1123"/>
      <c r="B149" s="140" t="s">
        <v>659</v>
      </c>
      <c r="C149" s="137">
        <v>4</v>
      </c>
      <c r="D149" s="137">
        <v>4</v>
      </c>
      <c r="E149" s="137">
        <v>8</v>
      </c>
      <c r="F149" s="137">
        <v>1</v>
      </c>
      <c r="G149" s="137">
        <v>10</v>
      </c>
      <c r="H149" s="137">
        <v>11</v>
      </c>
      <c r="I149" s="137">
        <v>57</v>
      </c>
      <c r="J149" s="137">
        <v>82</v>
      </c>
      <c r="K149" s="137">
        <v>139</v>
      </c>
    </row>
    <row r="150" spans="1:11" ht="15" customHeight="1">
      <c r="A150" s="1123"/>
      <c r="B150" s="136" t="s">
        <v>565</v>
      </c>
      <c r="C150" s="137"/>
      <c r="D150" s="137"/>
      <c r="E150" s="137"/>
      <c r="F150" s="137"/>
      <c r="G150" s="137"/>
      <c r="H150" s="137"/>
      <c r="I150" s="137">
        <v>30</v>
      </c>
      <c r="J150" s="137">
        <v>104</v>
      </c>
      <c r="K150" s="137">
        <v>134</v>
      </c>
    </row>
    <row r="151" spans="1:11" ht="15" customHeight="1">
      <c r="A151" s="1123"/>
      <c r="B151" s="136" t="s">
        <v>663</v>
      </c>
      <c r="C151" s="137"/>
      <c r="D151" s="137"/>
      <c r="E151" s="137"/>
      <c r="F151" s="137"/>
      <c r="G151" s="137"/>
      <c r="H151" s="137"/>
      <c r="I151" s="137">
        <v>56</v>
      </c>
      <c r="J151" s="137">
        <v>69</v>
      </c>
      <c r="K151" s="137">
        <v>125</v>
      </c>
    </row>
    <row r="152" spans="1:11" ht="15" customHeight="1">
      <c r="A152" s="1123"/>
      <c r="B152" s="140" t="s">
        <v>674</v>
      </c>
      <c r="C152" s="137"/>
      <c r="D152" s="137"/>
      <c r="E152" s="137"/>
      <c r="F152" s="137"/>
      <c r="G152" s="137"/>
      <c r="H152" s="137"/>
      <c r="I152" s="137">
        <v>36</v>
      </c>
      <c r="J152" s="137">
        <v>53</v>
      </c>
      <c r="K152" s="137">
        <v>89</v>
      </c>
    </row>
    <row r="153" spans="1:11">
      <c r="A153" s="1123"/>
      <c r="B153" s="140" t="s">
        <v>664</v>
      </c>
      <c r="C153" s="137"/>
      <c r="D153" s="137"/>
      <c r="E153" s="137"/>
      <c r="F153" s="137"/>
      <c r="G153" s="137"/>
      <c r="H153" s="137"/>
      <c r="I153" s="137">
        <v>62</v>
      </c>
      <c r="J153" s="137">
        <v>23</v>
      </c>
      <c r="K153" s="137">
        <v>85</v>
      </c>
    </row>
    <row r="154" spans="1:11" ht="15" customHeight="1">
      <c r="A154" s="1123"/>
      <c r="B154" s="136" t="s">
        <v>673</v>
      </c>
      <c r="C154" s="137">
        <v>1</v>
      </c>
      <c r="D154" s="137">
        <v>2</v>
      </c>
      <c r="E154" s="137">
        <v>3</v>
      </c>
      <c r="F154" s="137"/>
      <c r="G154" s="137"/>
      <c r="H154" s="137"/>
      <c r="I154" s="137">
        <v>10</v>
      </c>
      <c r="J154" s="137">
        <v>68</v>
      </c>
      <c r="K154" s="137">
        <v>78</v>
      </c>
    </row>
    <row r="155" spans="1:11" ht="15" customHeight="1">
      <c r="A155" s="1123"/>
      <c r="B155" s="136" t="s">
        <v>666</v>
      </c>
      <c r="C155" s="137">
        <v>3</v>
      </c>
      <c r="D155" s="137">
        <v>11</v>
      </c>
      <c r="E155" s="137">
        <v>14</v>
      </c>
      <c r="F155" s="137"/>
      <c r="G155" s="137"/>
      <c r="H155" s="137"/>
      <c r="I155" s="137">
        <v>18</v>
      </c>
      <c r="J155" s="137">
        <v>35</v>
      </c>
      <c r="K155" s="137">
        <v>53</v>
      </c>
    </row>
    <row r="156" spans="1:11" ht="15" customHeight="1">
      <c r="A156" s="1123"/>
      <c r="B156" s="136" t="s">
        <v>567</v>
      </c>
      <c r="C156" s="137"/>
      <c r="D156" s="137"/>
      <c r="E156" s="137"/>
      <c r="F156" s="137"/>
      <c r="G156" s="137"/>
      <c r="H156" s="137"/>
      <c r="I156" s="137">
        <v>32</v>
      </c>
      <c r="J156" s="137">
        <v>19</v>
      </c>
      <c r="K156" s="137">
        <v>51</v>
      </c>
    </row>
    <row r="157" spans="1:11">
      <c r="A157" s="1123"/>
      <c r="B157" s="140" t="s">
        <v>670</v>
      </c>
      <c r="C157" s="137">
        <v>88</v>
      </c>
      <c r="D157" s="137">
        <v>17</v>
      </c>
      <c r="E157" s="137">
        <v>105</v>
      </c>
      <c r="F157" s="137"/>
      <c r="G157" s="137"/>
      <c r="H157" s="137"/>
      <c r="I157" s="137">
        <v>28</v>
      </c>
      <c r="J157" s="137">
        <v>16</v>
      </c>
      <c r="K157" s="137">
        <v>44</v>
      </c>
    </row>
    <row r="158" spans="1:11" ht="15" customHeight="1">
      <c r="A158" s="1123"/>
      <c r="B158" s="140" t="s">
        <v>667</v>
      </c>
      <c r="C158" s="137">
        <v>2</v>
      </c>
      <c r="D158" s="137">
        <v>2</v>
      </c>
      <c r="E158" s="137">
        <v>4</v>
      </c>
      <c r="F158" s="137"/>
      <c r="G158" s="137"/>
      <c r="H158" s="137"/>
      <c r="I158" s="137">
        <v>14</v>
      </c>
      <c r="J158" s="137">
        <v>28</v>
      </c>
      <c r="K158" s="137">
        <v>42</v>
      </c>
    </row>
    <row r="159" spans="1:11" ht="15" customHeight="1">
      <c r="A159" s="1123"/>
      <c r="B159" s="140" t="s">
        <v>669</v>
      </c>
      <c r="C159" s="137">
        <v>63</v>
      </c>
      <c r="D159" s="137">
        <v>17</v>
      </c>
      <c r="E159" s="137">
        <v>80</v>
      </c>
      <c r="F159" s="137"/>
      <c r="G159" s="137"/>
      <c r="H159" s="137"/>
      <c r="I159" s="137">
        <v>22</v>
      </c>
      <c r="J159" s="137">
        <v>18</v>
      </c>
      <c r="K159" s="137">
        <v>40</v>
      </c>
    </row>
    <row r="160" spans="1:11" ht="15" customHeight="1">
      <c r="A160" s="1123"/>
      <c r="B160" s="136" t="s">
        <v>668</v>
      </c>
      <c r="C160" s="137">
        <v>68</v>
      </c>
      <c r="D160" s="137">
        <v>9</v>
      </c>
      <c r="E160" s="137">
        <v>77</v>
      </c>
      <c r="F160" s="137"/>
      <c r="G160" s="137"/>
      <c r="H160" s="137"/>
      <c r="I160" s="137">
        <v>28</v>
      </c>
      <c r="J160" s="137">
        <v>8</v>
      </c>
      <c r="K160" s="137">
        <v>36</v>
      </c>
    </row>
    <row r="161" spans="1:11">
      <c r="A161" s="1123"/>
      <c r="B161" s="140" t="s">
        <v>672</v>
      </c>
      <c r="C161" s="137">
        <v>111</v>
      </c>
      <c r="D161" s="137">
        <v>9</v>
      </c>
      <c r="E161" s="137">
        <v>120</v>
      </c>
      <c r="F161" s="137"/>
      <c r="G161" s="137"/>
      <c r="H161" s="137"/>
      <c r="I161" s="137">
        <v>33</v>
      </c>
      <c r="J161" s="137">
        <v>0</v>
      </c>
      <c r="K161" s="137">
        <v>33</v>
      </c>
    </row>
    <row r="162" spans="1:11" ht="15" customHeight="1">
      <c r="A162" s="1123"/>
      <c r="B162" s="136" t="s">
        <v>671</v>
      </c>
      <c r="C162" s="137">
        <v>2</v>
      </c>
      <c r="D162" s="137">
        <v>1</v>
      </c>
      <c r="E162" s="137">
        <v>3</v>
      </c>
      <c r="F162" s="137"/>
      <c r="G162" s="137"/>
      <c r="H162" s="137"/>
      <c r="I162" s="137">
        <v>13</v>
      </c>
      <c r="J162" s="137">
        <v>19</v>
      </c>
      <c r="K162" s="137">
        <v>32</v>
      </c>
    </row>
    <row r="163" spans="1:11" ht="15" customHeight="1">
      <c r="A163" s="1123"/>
      <c r="B163" s="136" t="s">
        <v>675</v>
      </c>
      <c r="C163" s="137">
        <v>52</v>
      </c>
      <c r="D163" s="137">
        <v>4</v>
      </c>
      <c r="E163" s="137">
        <v>56</v>
      </c>
      <c r="F163" s="137"/>
      <c r="G163" s="137"/>
      <c r="H163" s="137"/>
      <c r="I163" s="137">
        <v>21</v>
      </c>
      <c r="J163" s="137">
        <v>3</v>
      </c>
      <c r="K163" s="137">
        <v>24</v>
      </c>
    </row>
    <row r="164" spans="1:11" ht="15" customHeight="1">
      <c r="A164" s="1123"/>
      <c r="B164" s="140" t="s">
        <v>676</v>
      </c>
      <c r="C164" s="137">
        <v>27</v>
      </c>
      <c r="D164" s="137">
        <v>8</v>
      </c>
      <c r="E164" s="137">
        <v>35</v>
      </c>
      <c r="F164" s="137"/>
      <c r="G164" s="137"/>
      <c r="H164" s="137"/>
      <c r="I164" s="137">
        <v>16</v>
      </c>
      <c r="J164" s="137">
        <v>3</v>
      </c>
      <c r="K164" s="137">
        <v>19</v>
      </c>
    </row>
    <row r="165" spans="1:11" ht="15" customHeight="1">
      <c r="A165" s="1123"/>
      <c r="B165" s="136" t="s">
        <v>677</v>
      </c>
      <c r="C165" s="137">
        <v>13</v>
      </c>
      <c r="D165" s="137">
        <v>6</v>
      </c>
      <c r="E165" s="137">
        <v>19</v>
      </c>
      <c r="F165" s="137"/>
      <c r="G165" s="137"/>
      <c r="H165" s="137"/>
      <c r="I165" s="137">
        <v>8</v>
      </c>
      <c r="J165" s="137">
        <v>6</v>
      </c>
      <c r="K165" s="137">
        <v>14</v>
      </c>
    </row>
    <row r="166" spans="1:11" ht="15" customHeight="1">
      <c r="A166" s="1123"/>
      <c r="B166" s="136" t="s">
        <v>679</v>
      </c>
      <c r="C166" s="137">
        <v>30</v>
      </c>
      <c r="D166" s="137">
        <v>15</v>
      </c>
      <c r="E166" s="137">
        <v>45</v>
      </c>
      <c r="F166" s="137"/>
      <c r="G166" s="137"/>
      <c r="H166" s="137"/>
      <c r="I166" s="137">
        <v>7</v>
      </c>
      <c r="J166" s="137">
        <v>1</v>
      </c>
      <c r="K166" s="137">
        <v>8</v>
      </c>
    </row>
    <row r="167" spans="1:11" ht="15" customHeight="1">
      <c r="A167" s="1123"/>
      <c r="B167" s="136" t="s">
        <v>678</v>
      </c>
      <c r="C167" s="137"/>
      <c r="D167" s="137"/>
      <c r="E167" s="137"/>
      <c r="F167" s="137">
        <v>0</v>
      </c>
      <c r="G167" s="137">
        <v>1</v>
      </c>
      <c r="H167" s="137">
        <v>1</v>
      </c>
      <c r="I167" s="137"/>
      <c r="J167" s="137"/>
      <c r="K167" s="137"/>
    </row>
    <row r="168" spans="1:11">
      <c r="A168" s="1124"/>
      <c r="B168" s="140" t="s">
        <v>680</v>
      </c>
      <c r="C168" s="137">
        <v>6</v>
      </c>
      <c r="D168" s="137">
        <v>0</v>
      </c>
      <c r="E168" s="137">
        <v>6</v>
      </c>
      <c r="F168" s="137"/>
      <c r="G168" s="137"/>
      <c r="H168" s="137"/>
      <c r="I168" s="137"/>
      <c r="J168" s="137"/>
      <c r="K168" s="137"/>
    </row>
    <row r="169" spans="1:11">
      <c r="A169" s="468" t="s">
        <v>571</v>
      </c>
      <c r="B169" s="476"/>
      <c r="C169" s="141">
        <v>1074</v>
      </c>
      <c r="D169" s="141">
        <v>683</v>
      </c>
      <c r="E169" s="141">
        <v>1757</v>
      </c>
      <c r="F169" s="141">
        <v>59</v>
      </c>
      <c r="G169" s="141">
        <v>147</v>
      </c>
      <c r="H169" s="141">
        <v>206</v>
      </c>
      <c r="I169" s="141">
        <v>23357</v>
      </c>
      <c r="J169" s="141">
        <v>38907</v>
      </c>
      <c r="K169" s="141">
        <v>62264</v>
      </c>
    </row>
    <row r="170" spans="1:11" ht="15" customHeight="1">
      <c r="A170" s="1122" t="s">
        <v>251</v>
      </c>
      <c r="B170" s="136" t="s">
        <v>251</v>
      </c>
      <c r="C170" s="137">
        <v>158</v>
      </c>
      <c r="D170" s="137">
        <v>91</v>
      </c>
      <c r="E170" s="137">
        <v>249</v>
      </c>
      <c r="F170" s="137">
        <v>68</v>
      </c>
      <c r="G170" s="137">
        <v>91</v>
      </c>
      <c r="H170" s="137">
        <v>159</v>
      </c>
      <c r="I170" s="137">
        <v>5141</v>
      </c>
      <c r="J170" s="137">
        <v>3965</v>
      </c>
      <c r="K170" s="137">
        <v>9106</v>
      </c>
    </row>
    <row r="171" spans="1:11" ht="15" customHeight="1">
      <c r="A171" s="1123"/>
      <c r="B171" s="136" t="s">
        <v>941</v>
      </c>
      <c r="C171" s="137"/>
      <c r="D171" s="137"/>
      <c r="E171" s="137"/>
      <c r="F171" s="137">
        <v>4</v>
      </c>
      <c r="G171" s="137">
        <v>14</v>
      </c>
      <c r="H171" s="137">
        <v>18</v>
      </c>
      <c r="I171" s="137">
        <v>73</v>
      </c>
      <c r="J171" s="137">
        <v>89</v>
      </c>
      <c r="K171" s="137">
        <v>162</v>
      </c>
    </row>
    <row r="172" spans="1:11" ht="15" customHeight="1">
      <c r="A172" s="1123"/>
      <c r="B172" s="136" t="s">
        <v>681</v>
      </c>
      <c r="C172" s="137">
        <v>13</v>
      </c>
      <c r="D172" s="137">
        <v>2</v>
      </c>
      <c r="E172" s="137">
        <v>15</v>
      </c>
      <c r="F172" s="137">
        <v>3</v>
      </c>
      <c r="G172" s="137">
        <v>4</v>
      </c>
      <c r="H172" s="137">
        <v>7</v>
      </c>
      <c r="I172" s="137">
        <v>80</v>
      </c>
      <c r="J172" s="137">
        <v>52</v>
      </c>
      <c r="K172" s="137">
        <v>132</v>
      </c>
    </row>
    <row r="173" spans="1:11" ht="15" customHeight="1">
      <c r="A173" s="1123"/>
      <c r="B173" s="136" t="s">
        <v>682</v>
      </c>
      <c r="C173" s="137">
        <v>15</v>
      </c>
      <c r="D173" s="137">
        <v>8</v>
      </c>
      <c r="E173" s="137">
        <v>23</v>
      </c>
      <c r="F173" s="137">
        <v>4</v>
      </c>
      <c r="G173" s="137">
        <v>2</v>
      </c>
      <c r="H173" s="137">
        <v>6</v>
      </c>
      <c r="I173" s="137">
        <v>111</v>
      </c>
      <c r="J173" s="137">
        <v>17</v>
      </c>
      <c r="K173" s="137">
        <v>128</v>
      </c>
    </row>
    <row r="174" spans="1:11" ht="15" customHeight="1">
      <c r="A174" s="1123"/>
      <c r="B174" s="136" t="s">
        <v>709</v>
      </c>
      <c r="C174" s="137">
        <v>4</v>
      </c>
      <c r="D174" s="137">
        <v>1</v>
      </c>
      <c r="E174" s="137">
        <v>5</v>
      </c>
      <c r="F174" s="137"/>
      <c r="G174" s="137"/>
      <c r="H174" s="137"/>
      <c r="I174" s="137">
        <v>39</v>
      </c>
      <c r="J174" s="137">
        <v>35</v>
      </c>
      <c r="K174" s="137">
        <v>74</v>
      </c>
    </row>
    <row r="175" spans="1:11" ht="15" customHeight="1">
      <c r="A175" s="1124"/>
      <c r="B175" s="136" t="s">
        <v>586</v>
      </c>
      <c r="C175" s="137"/>
      <c r="D175" s="137"/>
      <c r="E175" s="137"/>
      <c r="F175" s="137"/>
      <c r="G175" s="137"/>
      <c r="H175" s="137"/>
      <c r="I175" s="137">
        <v>22</v>
      </c>
      <c r="J175" s="137">
        <v>15</v>
      </c>
      <c r="K175" s="137">
        <v>37</v>
      </c>
    </row>
    <row r="176" spans="1:11">
      <c r="A176" s="468" t="s">
        <v>683</v>
      </c>
      <c r="B176" s="476"/>
      <c r="C176" s="141">
        <v>190</v>
      </c>
      <c r="D176" s="141">
        <v>102</v>
      </c>
      <c r="E176" s="141">
        <v>292</v>
      </c>
      <c r="F176" s="141">
        <v>79</v>
      </c>
      <c r="G176" s="141">
        <v>111</v>
      </c>
      <c r="H176" s="141">
        <v>190</v>
      </c>
      <c r="I176" s="141">
        <v>5466</v>
      </c>
      <c r="J176" s="141">
        <v>4173</v>
      </c>
      <c r="K176" s="141">
        <v>9639</v>
      </c>
    </row>
    <row r="177" spans="1:11" ht="15" customHeight="1">
      <c r="A177" s="1122" t="s">
        <v>582</v>
      </c>
      <c r="B177" s="140" t="s">
        <v>942</v>
      </c>
      <c r="C177" s="137"/>
      <c r="D177" s="137"/>
      <c r="E177" s="137"/>
      <c r="F177" s="137"/>
      <c r="G177" s="137"/>
      <c r="H177" s="137"/>
      <c r="I177" s="137">
        <v>475</v>
      </c>
      <c r="J177" s="137">
        <v>1369</v>
      </c>
      <c r="K177" s="137">
        <v>1844</v>
      </c>
    </row>
    <row r="178" spans="1:11" ht="15" customHeight="1">
      <c r="A178" s="1123"/>
      <c r="B178" s="140" t="s">
        <v>943</v>
      </c>
      <c r="C178" s="137"/>
      <c r="D178" s="137"/>
      <c r="E178" s="137"/>
      <c r="F178" s="137"/>
      <c r="G178" s="137"/>
      <c r="H178" s="137"/>
      <c r="I178" s="137">
        <v>49</v>
      </c>
      <c r="J178" s="137">
        <v>95</v>
      </c>
      <c r="K178" s="137">
        <v>144</v>
      </c>
    </row>
    <row r="179" spans="1:11" ht="15" customHeight="1">
      <c r="A179" s="1123"/>
      <c r="B179" s="140" t="s">
        <v>947</v>
      </c>
      <c r="C179" s="137"/>
      <c r="D179" s="137"/>
      <c r="E179" s="137"/>
      <c r="F179" s="137"/>
      <c r="G179" s="137"/>
      <c r="H179" s="137"/>
      <c r="I179" s="137">
        <v>16</v>
      </c>
      <c r="J179" s="137">
        <v>5</v>
      </c>
      <c r="K179" s="137">
        <v>21</v>
      </c>
    </row>
    <row r="180" spans="1:11" ht="15" customHeight="1">
      <c r="A180" s="1123"/>
      <c r="B180" s="136" t="s">
        <v>946</v>
      </c>
      <c r="C180" s="137"/>
      <c r="D180" s="137"/>
      <c r="E180" s="137"/>
      <c r="F180" s="137"/>
      <c r="G180" s="137"/>
      <c r="H180" s="137"/>
      <c r="I180" s="137">
        <v>0</v>
      </c>
      <c r="J180" s="137">
        <v>19</v>
      </c>
      <c r="K180" s="137">
        <v>19</v>
      </c>
    </row>
    <row r="181" spans="1:11" ht="28">
      <c r="A181" s="1123"/>
      <c r="B181" s="136" t="s">
        <v>944</v>
      </c>
      <c r="C181" s="137"/>
      <c r="D181" s="137"/>
      <c r="E181" s="137"/>
      <c r="F181" s="137"/>
      <c r="G181" s="137"/>
      <c r="H181" s="137"/>
      <c r="I181" s="137">
        <v>8</v>
      </c>
      <c r="J181" s="137">
        <v>8</v>
      </c>
      <c r="K181" s="137">
        <v>16</v>
      </c>
    </row>
    <row r="182" spans="1:11" ht="15" customHeight="1">
      <c r="A182" s="1123"/>
      <c r="B182" s="140" t="s">
        <v>945</v>
      </c>
      <c r="C182" s="137"/>
      <c r="D182" s="137"/>
      <c r="E182" s="137"/>
      <c r="F182" s="137"/>
      <c r="G182" s="137"/>
      <c r="H182" s="137"/>
      <c r="I182" s="137">
        <v>2</v>
      </c>
      <c r="J182" s="137">
        <v>12</v>
      </c>
      <c r="K182" s="137">
        <v>14</v>
      </c>
    </row>
    <row r="183" spans="1:11" ht="15" customHeight="1">
      <c r="A183" s="1123"/>
      <c r="B183" s="140" t="s">
        <v>948</v>
      </c>
      <c r="C183" s="137"/>
      <c r="D183" s="137"/>
      <c r="E183" s="137"/>
      <c r="F183" s="137"/>
      <c r="G183" s="137"/>
      <c r="H183" s="137"/>
      <c r="I183" s="137">
        <v>4</v>
      </c>
      <c r="J183" s="137">
        <v>3</v>
      </c>
      <c r="K183" s="137">
        <v>7</v>
      </c>
    </row>
    <row r="184" spans="1:11" ht="15" customHeight="1">
      <c r="A184" s="1123"/>
      <c r="B184" s="140" t="s">
        <v>953</v>
      </c>
      <c r="C184" s="137"/>
      <c r="D184" s="137"/>
      <c r="E184" s="137"/>
      <c r="F184" s="137"/>
      <c r="G184" s="137"/>
      <c r="H184" s="137"/>
      <c r="I184" s="137">
        <v>4</v>
      </c>
      <c r="J184" s="137">
        <v>3</v>
      </c>
      <c r="K184" s="137">
        <v>7</v>
      </c>
    </row>
    <row r="185" spans="1:11" ht="15" customHeight="1">
      <c r="A185" s="1123"/>
      <c r="B185" s="136" t="s">
        <v>949</v>
      </c>
      <c r="C185" s="137"/>
      <c r="D185" s="137"/>
      <c r="E185" s="137"/>
      <c r="F185" s="137"/>
      <c r="G185" s="137"/>
      <c r="H185" s="137"/>
      <c r="I185" s="137">
        <v>2</v>
      </c>
      <c r="J185" s="137">
        <v>4</v>
      </c>
      <c r="K185" s="137">
        <v>6</v>
      </c>
    </row>
    <row r="186" spans="1:11" ht="28">
      <c r="A186" s="1123"/>
      <c r="B186" s="136" t="s">
        <v>952</v>
      </c>
      <c r="C186" s="137"/>
      <c r="D186" s="137"/>
      <c r="E186" s="137"/>
      <c r="F186" s="137"/>
      <c r="G186" s="137"/>
      <c r="H186" s="137"/>
      <c r="I186" s="137">
        <v>5</v>
      </c>
      <c r="J186" s="137">
        <v>1</v>
      </c>
      <c r="K186" s="137">
        <v>6</v>
      </c>
    </row>
    <row r="187" spans="1:11">
      <c r="A187" s="1123"/>
      <c r="B187" s="140" t="s">
        <v>960</v>
      </c>
      <c r="C187" s="137"/>
      <c r="D187" s="137"/>
      <c r="E187" s="137"/>
      <c r="F187" s="137"/>
      <c r="G187" s="137"/>
      <c r="H187" s="137"/>
      <c r="I187" s="137">
        <v>4</v>
      </c>
      <c r="J187" s="137">
        <v>0</v>
      </c>
      <c r="K187" s="137">
        <v>4</v>
      </c>
    </row>
    <row r="188" spans="1:11">
      <c r="A188" s="1124"/>
      <c r="B188" s="136" t="s">
        <v>955</v>
      </c>
      <c r="C188" s="137"/>
      <c r="D188" s="137"/>
      <c r="E188" s="137"/>
      <c r="F188" s="137"/>
      <c r="G188" s="137"/>
      <c r="H188" s="137"/>
      <c r="I188" s="137">
        <v>2</v>
      </c>
      <c r="J188" s="137">
        <v>1</v>
      </c>
      <c r="K188" s="137">
        <v>3</v>
      </c>
    </row>
    <row r="189" spans="1:11" ht="28">
      <c r="A189" s="1122" t="s">
        <v>582</v>
      </c>
      <c r="B189" s="136" t="s">
        <v>954</v>
      </c>
      <c r="C189" s="137"/>
      <c r="D189" s="137"/>
      <c r="E189" s="137"/>
      <c r="F189" s="137"/>
      <c r="G189" s="137"/>
      <c r="H189" s="137"/>
      <c r="I189" s="137">
        <v>1</v>
      </c>
      <c r="J189" s="137">
        <v>0</v>
      </c>
      <c r="K189" s="137">
        <v>1</v>
      </c>
    </row>
    <row r="190" spans="1:11" ht="15" customHeight="1">
      <c r="A190" s="1123"/>
      <c r="B190" s="136" t="s">
        <v>961</v>
      </c>
      <c r="C190" s="137"/>
      <c r="D190" s="137"/>
      <c r="E190" s="137"/>
      <c r="F190" s="137"/>
      <c r="G190" s="137"/>
      <c r="H190" s="137"/>
      <c r="I190" s="137">
        <v>0</v>
      </c>
      <c r="J190" s="137">
        <v>0</v>
      </c>
      <c r="K190" s="137">
        <v>0</v>
      </c>
    </row>
    <row r="191" spans="1:11" ht="15" customHeight="1">
      <c r="A191" s="1124"/>
      <c r="B191" s="140" t="s">
        <v>957</v>
      </c>
      <c r="C191" s="137"/>
      <c r="D191" s="137"/>
      <c r="E191" s="137"/>
      <c r="F191" s="137"/>
      <c r="G191" s="137"/>
      <c r="H191" s="137"/>
      <c r="I191" s="137">
        <v>0</v>
      </c>
      <c r="J191" s="137">
        <v>0</v>
      </c>
      <c r="K191" s="137">
        <v>0</v>
      </c>
    </row>
    <row r="192" spans="1:11">
      <c r="A192" s="470" t="s">
        <v>976</v>
      </c>
      <c r="B192" s="469"/>
      <c r="C192" s="141"/>
      <c r="D192" s="141"/>
      <c r="E192" s="141"/>
      <c r="F192" s="141"/>
      <c r="G192" s="141"/>
      <c r="H192" s="141"/>
      <c r="I192" s="141">
        <v>572</v>
      </c>
      <c r="J192" s="141">
        <v>1520</v>
      </c>
      <c r="K192" s="141">
        <v>2092</v>
      </c>
    </row>
    <row r="193" spans="1:11" ht="15" customHeight="1">
      <c r="A193" s="1122" t="s">
        <v>576</v>
      </c>
      <c r="B193" s="136" t="s">
        <v>576</v>
      </c>
      <c r="C193" s="137">
        <v>109</v>
      </c>
      <c r="D193" s="137">
        <v>31</v>
      </c>
      <c r="E193" s="137">
        <v>140</v>
      </c>
      <c r="F193" s="137">
        <v>97</v>
      </c>
      <c r="G193" s="137">
        <v>31</v>
      </c>
      <c r="H193" s="137">
        <v>128</v>
      </c>
      <c r="I193" s="137">
        <v>3065</v>
      </c>
      <c r="J193" s="137">
        <v>1428</v>
      </c>
      <c r="K193" s="137">
        <v>4493</v>
      </c>
    </row>
    <row r="194" spans="1:11" ht="15" customHeight="1">
      <c r="A194" s="1124"/>
      <c r="B194" s="136" t="s">
        <v>684</v>
      </c>
      <c r="C194" s="137">
        <v>10</v>
      </c>
      <c r="D194" s="137">
        <v>1</v>
      </c>
      <c r="E194" s="137">
        <v>11</v>
      </c>
      <c r="F194" s="137">
        <v>2</v>
      </c>
      <c r="G194" s="137">
        <v>0</v>
      </c>
      <c r="H194" s="137">
        <v>2</v>
      </c>
      <c r="I194" s="137">
        <v>497</v>
      </c>
      <c r="J194" s="137">
        <v>1389</v>
      </c>
      <c r="K194" s="137">
        <v>1886</v>
      </c>
    </row>
    <row r="195" spans="1:11">
      <c r="A195" s="468" t="s">
        <v>685</v>
      </c>
      <c r="B195" s="469"/>
      <c r="C195" s="141">
        <v>119</v>
      </c>
      <c r="D195" s="141">
        <v>32</v>
      </c>
      <c r="E195" s="141">
        <v>151</v>
      </c>
      <c r="F195" s="141">
        <v>99</v>
      </c>
      <c r="G195" s="141">
        <v>31</v>
      </c>
      <c r="H195" s="141">
        <v>130</v>
      </c>
      <c r="I195" s="141">
        <v>3562</v>
      </c>
      <c r="J195" s="141">
        <v>2817</v>
      </c>
      <c r="K195" s="141">
        <v>6379</v>
      </c>
    </row>
    <row r="196" spans="1:11" ht="15" customHeight="1">
      <c r="A196" s="1122" t="s">
        <v>586</v>
      </c>
      <c r="B196" s="140" t="s">
        <v>586</v>
      </c>
      <c r="C196" s="137">
        <v>22</v>
      </c>
      <c r="D196" s="137">
        <v>15</v>
      </c>
      <c r="E196" s="137">
        <v>37</v>
      </c>
      <c r="F196" s="137">
        <v>1</v>
      </c>
      <c r="G196" s="137">
        <v>4</v>
      </c>
      <c r="H196" s="137">
        <v>5</v>
      </c>
      <c r="I196" s="137">
        <v>284</v>
      </c>
      <c r="J196" s="137">
        <v>404</v>
      </c>
      <c r="K196" s="137">
        <v>688</v>
      </c>
    </row>
    <row r="197" spans="1:11" ht="15" customHeight="1">
      <c r="A197" s="1123"/>
      <c r="B197" s="140" t="s">
        <v>880</v>
      </c>
      <c r="C197" s="137">
        <v>10</v>
      </c>
      <c r="D197" s="137">
        <v>5</v>
      </c>
      <c r="E197" s="137">
        <v>15</v>
      </c>
      <c r="F197" s="137">
        <v>2</v>
      </c>
      <c r="G197" s="137">
        <v>0</v>
      </c>
      <c r="H197" s="137">
        <v>2</v>
      </c>
      <c r="I197" s="137">
        <v>200</v>
      </c>
      <c r="J197" s="137">
        <v>219</v>
      </c>
      <c r="K197" s="137">
        <v>419</v>
      </c>
    </row>
    <row r="198" spans="1:11" ht="15" customHeight="1">
      <c r="A198" s="1123"/>
      <c r="B198" s="136" t="s">
        <v>881</v>
      </c>
      <c r="C198" s="140">
        <v>5</v>
      </c>
      <c r="D198" s="140">
        <v>1</v>
      </c>
      <c r="E198" s="140">
        <v>6</v>
      </c>
      <c r="F198" s="140"/>
      <c r="G198" s="140"/>
      <c r="H198" s="140"/>
      <c r="I198" s="140">
        <v>174</v>
      </c>
      <c r="J198" s="140">
        <v>66</v>
      </c>
      <c r="K198" s="140">
        <v>240</v>
      </c>
    </row>
    <row r="199" spans="1:11" ht="15" customHeight="1">
      <c r="A199" s="1123"/>
      <c r="B199" s="136" t="s">
        <v>882</v>
      </c>
      <c r="C199" s="140">
        <v>13</v>
      </c>
      <c r="D199" s="140">
        <v>8</v>
      </c>
      <c r="E199" s="140">
        <v>21</v>
      </c>
      <c r="F199" s="140">
        <v>2</v>
      </c>
      <c r="G199" s="140">
        <v>1</v>
      </c>
      <c r="H199" s="140">
        <v>3</v>
      </c>
      <c r="I199" s="140">
        <v>88</v>
      </c>
      <c r="J199" s="140">
        <v>55</v>
      </c>
      <c r="K199" s="140">
        <v>143</v>
      </c>
    </row>
    <row r="200" spans="1:11" ht="15" customHeight="1">
      <c r="A200" s="1124"/>
      <c r="B200" s="136" t="s">
        <v>883</v>
      </c>
      <c r="C200" s="140">
        <v>1</v>
      </c>
      <c r="D200" s="140">
        <v>1</v>
      </c>
      <c r="E200" s="140">
        <v>2</v>
      </c>
      <c r="F200" s="140"/>
      <c r="G200" s="140"/>
      <c r="H200" s="140"/>
      <c r="I200" s="140">
        <v>16</v>
      </c>
      <c r="J200" s="140">
        <v>1</v>
      </c>
      <c r="K200" s="140">
        <v>17</v>
      </c>
    </row>
    <row r="201" spans="1:11">
      <c r="A201" s="468" t="s">
        <v>885</v>
      </c>
      <c r="B201" s="477"/>
      <c r="C201" s="147">
        <v>51</v>
      </c>
      <c r="D201" s="147">
        <v>30</v>
      </c>
      <c r="E201" s="147">
        <v>81</v>
      </c>
      <c r="F201" s="147">
        <v>5</v>
      </c>
      <c r="G201" s="147">
        <v>5</v>
      </c>
      <c r="H201" s="147">
        <v>10</v>
      </c>
      <c r="I201" s="147">
        <v>762</v>
      </c>
      <c r="J201" s="147">
        <v>745</v>
      </c>
      <c r="K201" s="147">
        <v>1507</v>
      </c>
    </row>
    <row r="202" spans="1:11" ht="15" customHeight="1">
      <c r="A202" s="1122" t="s">
        <v>254</v>
      </c>
      <c r="B202" s="140" t="s">
        <v>687</v>
      </c>
      <c r="C202" s="140">
        <v>615</v>
      </c>
      <c r="D202" s="140">
        <v>526</v>
      </c>
      <c r="E202" s="140">
        <v>1141</v>
      </c>
      <c r="F202" s="140">
        <v>98</v>
      </c>
      <c r="G202" s="140">
        <v>165</v>
      </c>
      <c r="H202" s="140">
        <v>263</v>
      </c>
      <c r="I202" s="140">
        <v>22263</v>
      </c>
      <c r="J202" s="140">
        <v>29799</v>
      </c>
      <c r="K202" s="140">
        <v>52062</v>
      </c>
    </row>
    <row r="203" spans="1:11" ht="15" customHeight="1">
      <c r="A203" s="1123"/>
      <c r="B203" s="140" t="s">
        <v>686</v>
      </c>
      <c r="C203" s="140">
        <v>281</v>
      </c>
      <c r="D203" s="140">
        <v>267</v>
      </c>
      <c r="E203" s="140">
        <v>548</v>
      </c>
      <c r="F203" s="140">
        <v>65</v>
      </c>
      <c r="G203" s="140">
        <v>431</v>
      </c>
      <c r="H203" s="140">
        <v>496</v>
      </c>
      <c r="I203" s="140">
        <v>11556</v>
      </c>
      <c r="J203" s="140">
        <v>21010</v>
      </c>
      <c r="K203" s="140">
        <v>32566</v>
      </c>
    </row>
    <row r="204" spans="1:11" ht="15" customHeight="1">
      <c r="A204" s="1123"/>
      <c r="B204" s="136" t="s">
        <v>254</v>
      </c>
      <c r="C204" s="140">
        <v>427</v>
      </c>
      <c r="D204" s="140">
        <v>424</v>
      </c>
      <c r="E204" s="140">
        <v>851</v>
      </c>
      <c r="F204" s="140">
        <v>238</v>
      </c>
      <c r="G204" s="140">
        <v>434</v>
      </c>
      <c r="H204" s="140">
        <v>672</v>
      </c>
      <c r="I204" s="140">
        <v>11165</v>
      </c>
      <c r="J204" s="140">
        <v>20723</v>
      </c>
      <c r="K204" s="140">
        <v>31888</v>
      </c>
    </row>
    <row r="205" spans="1:11">
      <c r="A205" s="1123"/>
      <c r="B205" s="140" t="s">
        <v>689</v>
      </c>
      <c r="C205" s="140">
        <v>574</v>
      </c>
      <c r="D205" s="140">
        <v>365</v>
      </c>
      <c r="E205" s="140">
        <v>939</v>
      </c>
      <c r="F205" s="140">
        <v>105</v>
      </c>
      <c r="G205" s="140">
        <v>199</v>
      </c>
      <c r="H205" s="140">
        <v>304</v>
      </c>
      <c r="I205" s="140">
        <v>11406</v>
      </c>
      <c r="J205" s="140">
        <v>16858</v>
      </c>
      <c r="K205" s="140">
        <v>28264</v>
      </c>
    </row>
    <row r="206" spans="1:11" ht="15" customHeight="1">
      <c r="A206" s="1123"/>
      <c r="B206" s="140" t="s">
        <v>690</v>
      </c>
      <c r="C206" s="140">
        <v>166</v>
      </c>
      <c r="D206" s="140">
        <v>189</v>
      </c>
      <c r="E206" s="140">
        <v>355</v>
      </c>
      <c r="F206" s="140">
        <v>51</v>
      </c>
      <c r="G206" s="140">
        <v>99</v>
      </c>
      <c r="H206" s="140">
        <v>150</v>
      </c>
      <c r="I206" s="140">
        <v>6088</v>
      </c>
      <c r="J206" s="140">
        <v>15951</v>
      </c>
      <c r="K206" s="140">
        <v>22039</v>
      </c>
    </row>
    <row r="207" spans="1:11">
      <c r="A207" s="1123"/>
      <c r="B207" s="140" t="s">
        <v>688</v>
      </c>
      <c r="C207" s="140">
        <v>369</v>
      </c>
      <c r="D207" s="140">
        <v>376</v>
      </c>
      <c r="E207" s="140">
        <v>745</v>
      </c>
      <c r="F207" s="140">
        <v>46</v>
      </c>
      <c r="G207" s="140">
        <v>130</v>
      </c>
      <c r="H207" s="140">
        <v>176</v>
      </c>
      <c r="I207" s="140">
        <v>8088</v>
      </c>
      <c r="J207" s="140">
        <v>13068</v>
      </c>
      <c r="K207" s="140">
        <v>21156</v>
      </c>
    </row>
    <row r="208" spans="1:11">
      <c r="A208" s="1123"/>
      <c r="B208" s="140" t="s">
        <v>691</v>
      </c>
      <c r="C208" s="140">
        <v>138</v>
      </c>
      <c r="D208" s="140">
        <v>230</v>
      </c>
      <c r="E208" s="140">
        <v>368</v>
      </c>
      <c r="F208" s="140">
        <v>31</v>
      </c>
      <c r="G208" s="140">
        <v>96</v>
      </c>
      <c r="H208" s="140">
        <v>127</v>
      </c>
      <c r="I208" s="140">
        <v>4702</v>
      </c>
      <c r="J208" s="140">
        <v>13693</v>
      </c>
      <c r="K208" s="140">
        <v>18395</v>
      </c>
    </row>
    <row r="209" spans="1:11">
      <c r="A209" s="1123"/>
      <c r="B209" s="140" t="s">
        <v>696</v>
      </c>
      <c r="C209" s="140">
        <v>187</v>
      </c>
      <c r="D209" s="140">
        <v>245</v>
      </c>
      <c r="E209" s="140">
        <v>432</v>
      </c>
      <c r="F209" s="140">
        <v>11</v>
      </c>
      <c r="G209" s="140">
        <v>37</v>
      </c>
      <c r="H209" s="140">
        <v>48</v>
      </c>
      <c r="I209" s="140">
        <v>2234</v>
      </c>
      <c r="J209" s="140">
        <v>5189</v>
      </c>
      <c r="K209" s="140">
        <v>7423</v>
      </c>
    </row>
    <row r="210" spans="1:11">
      <c r="A210" s="1123"/>
      <c r="B210" s="140" t="s">
        <v>693</v>
      </c>
      <c r="C210" s="140">
        <v>97</v>
      </c>
      <c r="D210" s="140">
        <v>155</v>
      </c>
      <c r="E210" s="140">
        <v>252</v>
      </c>
      <c r="F210" s="140">
        <v>11</v>
      </c>
      <c r="G210" s="140">
        <v>27</v>
      </c>
      <c r="H210" s="140">
        <v>38</v>
      </c>
      <c r="I210" s="140">
        <v>1710</v>
      </c>
      <c r="J210" s="140">
        <v>4439</v>
      </c>
      <c r="K210" s="140">
        <v>6149</v>
      </c>
    </row>
    <row r="211" spans="1:11">
      <c r="A211" s="1123"/>
      <c r="B211" s="140" t="s">
        <v>694</v>
      </c>
      <c r="C211" s="140">
        <v>57</v>
      </c>
      <c r="D211" s="140">
        <v>82</v>
      </c>
      <c r="E211" s="140">
        <v>139</v>
      </c>
      <c r="F211" s="140">
        <v>11</v>
      </c>
      <c r="G211" s="140">
        <v>30</v>
      </c>
      <c r="H211" s="140">
        <v>41</v>
      </c>
      <c r="I211" s="140">
        <v>1372</v>
      </c>
      <c r="J211" s="140">
        <v>1919</v>
      </c>
      <c r="K211" s="140">
        <v>3291</v>
      </c>
    </row>
    <row r="212" spans="1:11">
      <c r="A212" s="1123"/>
      <c r="B212" s="140" t="s">
        <v>695</v>
      </c>
      <c r="C212" s="140">
        <v>91</v>
      </c>
      <c r="D212" s="140">
        <v>29</v>
      </c>
      <c r="E212" s="140">
        <v>120</v>
      </c>
      <c r="F212" s="140">
        <v>12</v>
      </c>
      <c r="G212" s="140">
        <v>13</v>
      </c>
      <c r="H212" s="140">
        <v>25</v>
      </c>
      <c r="I212" s="140">
        <v>1408</v>
      </c>
      <c r="J212" s="140">
        <v>1112</v>
      </c>
      <c r="K212" s="140">
        <v>2520</v>
      </c>
    </row>
    <row r="213" spans="1:11">
      <c r="A213" s="1123"/>
      <c r="B213" s="140" t="s">
        <v>697</v>
      </c>
      <c r="C213" s="140">
        <v>36</v>
      </c>
      <c r="D213" s="140">
        <v>42</v>
      </c>
      <c r="E213" s="140">
        <v>78</v>
      </c>
      <c r="F213" s="140">
        <v>0</v>
      </c>
      <c r="G213" s="140">
        <v>1</v>
      </c>
      <c r="H213" s="140">
        <v>1</v>
      </c>
      <c r="I213" s="140">
        <v>734</v>
      </c>
      <c r="J213" s="140">
        <v>625</v>
      </c>
      <c r="K213" s="140">
        <v>1359</v>
      </c>
    </row>
    <row r="214" spans="1:11">
      <c r="A214" s="1123"/>
      <c r="B214" s="140" t="s">
        <v>698</v>
      </c>
      <c r="C214" s="140">
        <v>14</v>
      </c>
      <c r="D214" s="140">
        <v>22</v>
      </c>
      <c r="E214" s="140">
        <v>36</v>
      </c>
      <c r="F214" s="140">
        <v>0</v>
      </c>
      <c r="G214" s="140">
        <v>2</v>
      </c>
      <c r="H214" s="140">
        <v>2</v>
      </c>
      <c r="I214" s="140">
        <v>129</v>
      </c>
      <c r="J214" s="140">
        <v>301</v>
      </c>
      <c r="K214" s="140">
        <v>430</v>
      </c>
    </row>
    <row r="215" spans="1:11">
      <c r="A215" s="1123"/>
      <c r="B215" s="140" t="s">
        <v>699</v>
      </c>
      <c r="C215" s="140">
        <v>8</v>
      </c>
      <c r="D215" s="140">
        <v>7</v>
      </c>
      <c r="E215" s="140">
        <v>15</v>
      </c>
      <c r="F215" s="140"/>
      <c r="G215" s="140"/>
      <c r="H215" s="140"/>
      <c r="I215" s="140">
        <v>250</v>
      </c>
      <c r="J215" s="140">
        <v>167</v>
      </c>
      <c r="K215" s="140">
        <v>417</v>
      </c>
    </row>
    <row r="216" spans="1:11">
      <c r="A216" s="1123"/>
      <c r="B216" s="140" t="s">
        <v>966</v>
      </c>
      <c r="C216" s="140">
        <v>3</v>
      </c>
      <c r="D216" s="140">
        <v>0</v>
      </c>
      <c r="E216" s="140">
        <v>3</v>
      </c>
      <c r="F216" s="140"/>
      <c r="G216" s="140"/>
      <c r="H216" s="140"/>
      <c r="I216" s="140">
        <v>79</v>
      </c>
      <c r="J216" s="140">
        <v>109</v>
      </c>
      <c r="K216" s="140">
        <v>188</v>
      </c>
    </row>
    <row r="217" spans="1:11" ht="28">
      <c r="A217" s="1123"/>
      <c r="B217" s="136" t="s">
        <v>967</v>
      </c>
      <c r="C217" s="140"/>
      <c r="D217" s="140"/>
      <c r="E217" s="140"/>
      <c r="F217" s="140"/>
      <c r="G217" s="140"/>
      <c r="H217" s="140"/>
      <c r="I217" s="140">
        <v>42</v>
      </c>
      <c r="J217" s="140">
        <v>17</v>
      </c>
      <c r="K217" s="140">
        <v>59</v>
      </c>
    </row>
    <row r="218" spans="1:11" ht="28">
      <c r="A218" s="1123"/>
      <c r="B218" s="467" t="s">
        <v>1066</v>
      </c>
      <c r="C218" s="140"/>
      <c r="D218" s="140"/>
      <c r="E218" s="140"/>
      <c r="F218" s="140"/>
      <c r="G218" s="140"/>
      <c r="H218" s="140"/>
      <c r="I218" s="140">
        <v>1</v>
      </c>
      <c r="J218" s="140">
        <v>12</v>
      </c>
      <c r="K218" s="140">
        <v>13</v>
      </c>
    </row>
    <row r="219" spans="1:11">
      <c r="A219" s="478" t="s">
        <v>700</v>
      </c>
      <c r="B219" s="469"/>
      <c r="C219" s="469">
        <v>3063</v>
      </c>
      <c r="D219" s="147">
        <v>2959</v>
      </c>
      <c r="E219" s="147">
        <v>6022</v>
      </c>
      <c r="F219" s="147">
        <v>679</v>
      </c>
      <c r="G219" s="147">
        <v>1664</v>
      </c>
      <c r="H219" s="147">
        <v>2343</v>
      </c>
      <c r="I219" s="147">
        <v>83227</v>
      </c>
      <c r="J219" s="147">
        <v>144992</v>
      </c>
      <c r="K219" s="147">
        <v>228219</v>
      </c>
    </row>
    <row r="220" spans="1:11" ht="16.5" customHeight="1">
      <c r="A220" s="1122" t="s">
        <v>277</v>
      </c>
      <c r="B220" s="475" t="s">
        <v>702</v>
      </c>
      <c r="C220" s="140">
        <v>337</v>
      </c>
      <c r="D220" s="140">
        <v>228</v>
      </c>
      <c r="E220" s="140">
        <v>565</v>
      </c>
      <c r="F220" s="140">
        <v>134</v>
      </c>
      <c r="G220" s="140">
        <v>278</v>
      </c>
      <c r="H220" s="140">
        <v>412</v>
      </c>
      <c r="I220" s="140">
        <v>23083</v>
      </c>
      <c r="J220" s="140">
        <v>29312</v>
      </c>
      <c r="K220" s="140">
        <v>52395</v>
      </c>
    </row>
    <row r="221" spans="1:11" ht="16.5" customHeight="1">
      <c r="A221" s="1123"/>
      <c r="B221" s="140" t="s">
        <v>703</v>
      </c>
      <c r="C221" s="140">
        <v>118</v>
      </c>
      <c r="D221" s="140">
        <v>118</v>
      </c>
      <c r="E221" s="140">
        <v>236</v>
      </c>
      <c r="F221" s="140">
        <v>47</v>
      </c>
      <c r="G221" s="140">
        <v>74</v>
      </c>
      <c r="H221" s="140">
        <v>121</v>
      </c>
      <c r="I221" s="140">
        <v>14606</v>
      </c>
      <c r="J221" s="140">
        <v>28380</v>
      </c>
      <c r="K221" s="140">
        <v>42986</v>
      </c>
    </row>
    <row r="222" spans="1:11" ht="16.5" customHeight="1">
      <c r="A222" s="1123"/>
      <c r="B222" s="140" t="s">
        <v>701</v>
      </c>
      <c r="C222" s="140">
        <v>193</v>
      </c>
      <c r="D222" s="140">
        <v>154</v>
      </c>
      <c r="E222" s="140">
        <v>347</v>
      </c>
      <c r="F222" s="140">
        <v>103</v>
      </c>
      <c r="G222" s="140">
        <v>104</v>
      </c>
      <c r="H222" s="140">
        <v>207</v>
      </c>
      <c r="I222" s="140">
        <v>16779</v>
      </c>
      <c r="J222" s="140">
        <v>22021</v>
      </c>
      <c r="K222" s="140">
        <v>38800</v>
      </c>
    </row>
    <row r="223" spans="1:11" ht="16.5" customHeight="1">
      <c r="A223" s="1123"/>
      <c r="B223" s="140" t="s">
        <v>704</v>
      </c>
      <c r="C223" s="140">
        <v>278</v>
      </c>
      <c r="D223" s="140">
        <v>226</v>
      </c>
      <c r="E223" s="140">
        <v>504</v>
      </c>
      <c r="F223" s="140">
        <v>128</v>
      </c>
      <c r="G223" s="140">
        <v>297</v>
      </c>
      <c r="H223" s="140">
        <v>425</v>
      </c>
      <c r="I223" s="140">
        <v>11357</v>
      </c>
      <c r="J223" s="140">
        <v>19381</v>
      </c>
      <c r="K223" s="140">
        <v>30738</v>
      </c>
    </row>
    <row r="224" spans="1:11" ht="16.5" customHeight="1">
      <c r="A224" s="1123"/>
      <c r="B224" s="140" t="s">
        <v>277</v>
      </c>
      <c r="C224" s="140">
        <v>337</v>
      </c>
      <c r="D224" s="140">
        <v>76</v>
      </c>
      <c r="E224" s="140">
        <v>413</v>
      </c>
      <c r="F224" s="140">
        <v>27</v>
      </c>
      <c r="G224" s="140">
        <v>25</v>
      </c>
      <c r="H224" s="140">
        <v>52</v>
      </c>
      <c r="I224" s="140">
        <v>10550</v>
      </c>
      <c r="J224" s="140">
        <v>16522</v>
      </c>
      <c r="K224" s="140">
        <v>27072</v>
      </c>
    </row>
    <row r="225" spans="1:11" ht="16.5" customHeight="1">
      <c r="A225" s="1123"/>
      <c r="B225" s="140" t="s">
        <v>706</v>
      </c>
      <c r="C225" s="140">
        <v>127</v>
      </c>
      <c r="D225" s="140">
        <v>67</v>
      </c>
      <c r="E225" s="140">
        <v>194</v>
      </c>
      <c r="F225" s="140">
        <v>32</v>
      </c>
      <c r="G225" s="140">
        <v>24</v>
      </c>
      <c r="H225" s="140">
        <v>56</v>
      </c>
      <c r="I225" s="140">
        <v>8044</v>
      </c>
      <c r="J225" s="140">
        <v>11487</v>
      </c>
      <c r="K225" s="140">
        <v>19531</v>
      </c>
    </row>
    <row r="226" spans="1:11" ht="16.5" customHeight="1">
      <c r="A226" s="1123"/>
      <c r="B226" s="140" t="s">
        <v>705</v>
      </c>
      <c r="C226" s="140">
        <v>179</v>
      </c>
      <c r="D226" s="140">
        <v>212</v>
      </c>
      <c r="E226" s="140">
        <v>391</v>
      </c>
      <c r="F226" s="140">
        <v>92</v>
      </c>
      <c r="G226" s="140">
        <v>103</v>
      </c>
      <c r="H226" s="140">
        <v>195</v>
      </c>
      <c r="I226" s="140">
        <v>6140</v>
      </c>
      <c r="J226" s="140">
        <v>12712</v>
      </c>
      <c r="K226" s="140">
        <v>18852</v>
      </c>
    </row>
    <row r="227" spans="1:11" ht="16.5" customHeight="1">
      <c r="A227" s="1123"/>
      <c r="B227" s="140" t="s">
        <v>707</v>
      </c>
      <c r="C227" s="140">
        <v>68</v>
      </c>
      <c r="D227" s="140">
        <v>98</v>
      </c>
      <c r="E227" s="140">
        <v>166</v>
      </c>
      <c r="F227" s="140">
        <v>34</v>
      </c>
      <c r="G227" s="140">
        <v>129</v>
      </c>
      <c r="H227" s="140">
        <v>163</v>
      </c>
      <c r="I227" s="140">
        <v>3492</v>
      </c>
      <c r="J227" s="140">
        <v>8812</v>
      </c>
      <c r="K227" s="140">
        <v>12304</v>
      </c>
    </row>
    <row r="228" spans="1:11" ht="16.5" customHeight="1">
      <c r="A228" s="1123"/>
      <c r="B228" s="140" t="s">
        <v>686</v>
      </c>
      <c r="C228" s="140">
        <v>44</v>
      </c>
      <c r="D228" s="140">
        <v>46</v>
      </c>
      <c r="E228" s="140">
        <v>90</v>
      </c>
      <c r="F228" s="140">
        <v>39</v>
      </c>
      <c r="G228" s="140">
        <v>83</v>
      </c>
      <c r="H228" s="140">
        <v>122</v>
      </c>
      <c r="I228" s="140">
        <v>3774</v>
      </c>
      <c r="J228" s="140">
        <v>7383</v>
      </c>
      <c r="K228" s="140">
        <v>11157</v>
      </c>
    </row>
    <row r="229" spans="1:11" ht="16.5" customHeight="1">
      <c r="A229" s="1123"/>
      <c r="B229" s="140" t="s">
        <v>708</v>
      </c>
      <c r="C229" s="140">
        <v>16</v>
      </c>
      <c r="D229" s="140">
        <v>15</v>
      </c>
      <c r="E229" s="140">
        <v>31</v>
      </c>
      <c r="F229" s="140">
        <v>5</v>
      </c>
      <c r="G229" s="140">
        <v>4</v>
      </c>
      <c r="H229" s="140">
        <v>9</v>
      </c>
      <c r="I229" s="140">
        <v>3272</v>
      </c>
      <c r="J229" s="140">
        <v>2382</v>
      </c>
      <c r="K229" s="140">
        <v>5654</v>
      </c>
    </row>
    <row r="230" spans="1:11" ht="16.5" customHeight="1">
      <c r="A230" s="1123"/>
      <c r="B230" s="140" t="s">
        <v>969</v>
      </c>
      <c r="C230" s="140">
        <v>22</v>
      </c>
      <c r="D230" s="140">
        <v>31</v>
      </c>
      <c r="E230" s="140">
        <v>53</v>
      </c>
      <c r="F230" s="140">
        <v>7</v>
      </c>
      <c r="G230" s="140">
        <v>22</v>
      </c>
      <c r="H230" s="140">
        <v>29</v>
      </c>
      <c r="I230" s="140">
        <v>1442</v>
      </c>
      <c r="J230" s="140">
        <v>2342</v>
      </c>
      <c r="K230" s="140">
        <v>3784</v>
      </c>
    </row>
    <row r="231" spans="1:11" ht="16.5" customHeight="1">
      <c r="A231" s="1123"/>
      <c r="B231" s="140" t="s">
        <v>709</v>
      </c>
      <c r="C231" s="140">
        <v>43</v>
      </c>
      <c r="D231" s="140">
        <v>66</v>
      </c>
      <c r="E231" s="140">
        <v>109</v>
      </c>
      <c r="F231" s="140">
        <v>24</v>
      </c>
      <c r="G231" s="140">
        <v>47</v>
      </c>
      <c r="H231" s="140">
        <v>71</v>
      </c>
      <c r="I231" s="140">
        <v>1240</v>
      </c>
      <c r="J231" s="140">
        <v>1754</v>
      </c>
      <c r="K231" s="140">
        <v>2994</v>
      </c>
    </row>
    <row r="232" spans="1:11" ht="16.5" customHeight="1">
      <c r="A232" s="1123"/>
      <c r="B232" s="140" t="s">
        <v>692</v>
      </c>
      <c r="C232" s="140">
        <v>3</v>
      </c>
      <c r="D232" s="140">
        <v>4</v>
      </c>
      <c r="E232" s="140">
        <v>7</v>
      </c>
      <c r="F232" s="140">
        <v>13</v>
      </c>
      <c r="G232" s="140">
        <v>12</v>
      </c>
      <c r="H232" s="140">
        <v>25</v>
      </c>
      <c r="I232" s="140">
        <v>448</v>
      </c>
      <c r="J232" s="140">
        <v>717</v>
      </c>
      <c r="K232" s="140">
        <v>1165</v>
      </c>
    </row>
    <row r="233" spans="1:11" ht="16.5" customHeight="1">
      <c r="A233" s="1123"/>
      <c r="B233" s="140" t="s">
        <v>710</v>
      </c>
      <c r="C233" s="140">
        <v>15</v>
      </c>
      <c r="D233" s="140">
        <v>14</v>
      </c>
      <c r="E233" s="140">
        <v>29</v>
      </c>
      <c r="F233" s="140">
        <v>6</v>
      </c>
      <c r="G233" s="140">
        <v>6</v>
      </c>
      <c r="H233" s="140">
        <v>12</v>
      </c>
      <c r="I233" s="140">
        <v>315</v>
      </c>
      <c r="J233" s="140">
        <v>530</v>
      </c>
      <c r="K233" s="140">
        <v>845</v>
      </c>
    </row>
    <row r="234" spans="1:11" ht="16.5" customHeight="1">
      <c r="A234" s="1123"/>
      <c r="B234" s="140" t="s">
        <v>970</v>
      </c>
      <c r="C234" s="140">
        <v>7</v>
      </c>
      <c r="D234" s="140">
        <v>9</v>
      </c>
      <c r="E234" s="140">
        <v>16</v>
      </c>
      <c r="F234" s="140">
        <v>12</v>
      </c>
      <c r="G234" s="140">
        <v>16</v>
      </c>
      <c r="H234" s="140">
        <v>28</v>
      </c>
      <c r="I234" s="140">
        <v>83</v>
      </c>
      <c r="J234" s="140">
        <v>73</v>
      </c>
      <c r="K234" s="140">
        <v>156</v>
      </c>
    </row>
    <row r="235" spans="1:11" ht="16.5" customHeight="1">
      <c r="A235" s="1123"/>
      <c r="B235" s="140" t="s">
        <v>971</v>
      </c>
      <c r="C235" s="140"/>
      <c r="D235" s="140"/>
      <c r="E235" s="140"/>
      <c r="F235" s="140"/>
      <c r="G235" s="140"/>
      <c r="H235" s="140"/>
      <c r="I235" s="140">
        <v>76</v>
      </c>
      <c r="J235" s="140">
        <v>77</v>
      </c>
      <c r="K235" s="140">
        <v>153</v>
      </c>
    </row>
    <row r="236" spans="1:11" ht="16.5" customHeight="1">
      <c r="A236" s="1123"/>
      <c r="B236" s="140" t="s">
        <v>711</v>
      </c>
      <c r="C236" s="140">
        <v>9</v>
      </c>
      <c r="D236" s="140">
        <v>6</v>
      </c>
      <c r="E236" s="140">
        <v>15</v>
      </c>
      <c r="F236" s="140">
        <v>41</v>
      </c>
      <c r="G236" s="140">
        <v>24</v>
      </c>
      <c r="H236" s="140">
        <v>65</v>
      </c>
      <c r="I236" s="140">
        <v>46</v>
      </c>
      <c r="J236" s="140">
        <v>33</v>
      </c>
      <c r="K236" s="140">
        <v>79</v>
      </c>
    </row>
    <row r="237" spans="1:11" ht="16.5" customHeight="1">
      <c r="A237" s="1123"/>
      <c r="B237" s="140" t="s">
        <v>972</v>
      </c>
      <c r="C237" s="140">
        <v>0</v>
      </c>
      <c r="D237" s="140">
        <v>2</v>
      </c>
      <c r="E237" s="140">
        <v>2</v>
      </c>
      <c r="F237" s="140"/>
      <c r="G237" s="140"/>
      <c r="H237" s="140"/>
      <c r="I237" s="140">
        <v>11</v>
      </c>
      <c r="J237" s="140">
        <v>59</v>
      </c>
      <c r="K237" s="140">
        <v>70</v>
      </c>
    </row>
    <row r="238" spans="1:11" ht="28">
      <c r="A238" s="1123"/>
      <c r="B238" s="467" t="s">
        <v>973</v>
      </c>
      <c r="C238" s="140"/>
      <c r="D238" s="140"/>
      <c r="E238" s="140"/>
      <c r="F238" s="140"/>
      <c r="G238" s="140"/>
      <c r="H238" s="140"/>
      <c r="I238" s="140">
        <v>4</v>
      </c>
      <c r="J238" s="140">
        <v>46</v>
      </c>
      <c r="K238" s="140">
        <v>50</v>
      </c>
    </row>
    <row r="239" spans="1:11">
      <c r="A239" s="479" t="s">
        <v>712</v>
      </c>
      <c r="B239" s="481"/>
      <c r="C239" s="469">
        <v>1796</v>
      </c>
      <c r="D239" s="147">
        <v>1372</v>
      </c>
      <c r="E239" s="147">
        <v>3168</v>
      </c>
      <c r="F239" s="147">
        <v>744</v>
      </c>
      <c r="G239" s="147">
        <v>1248</v>
      </c>
      <c r="H239" s="147">
        <v>1992</v>
      </c>
      <c r="I239" s="147">
        <v>104762</v>
      </c>
      <c r="J239" s="147">
        <v>164023</v>
      </c>
      <c r="K239" s="147">
        <v>268785</v>
      </c>
    </row>
    <row r="240" spans="1:11">
      <c r="A240" s="478" t="s">
        <v>270</v>
      </c>
      <c r="B240" s="477"/>
      <c r="C240" s="477">
        <v>75</v>
      </c>
      <c r="D240" s="140">
        <v>93</v>
      </c>
      <c r="E240" s="140">
        <v>168</v>
      </c>
      <c r="F240" s="140">
        <v>52</v>
      </c>
      <c r="G240" s="140">
        <v>89</v>
      </c>
      <c r="H240" s="140">
        <v>141</v>
      </c>
      <c r="I240" s="140">
        <v>8997</v>
      </c>
      <c r="J240" s="140">
        <v>10845</v>
      </c>
      <c r="K240" s="140">
        <v>19842</v>
      </c>
    </row>
    <row r="241" spans="1:11">
      <c r="A241" s="1122" t="s">
        <v>581</v>
      </c>
      <c r="B241" s="475" t="s">
        <v>581</v>
      </c>
      <c r="C241" s="140">
        <v>117</v>
      </c>
      <c r="D241" s="140">
        <v>79</v>
      </c>
      <c r="E241" s="140">
        <v>196</v>
      </c>
      <c r="F241" s="140"/>
      <c r="G241" s="140"/>
      <c r="H241" s="140"/>
      <c r="I241" s="140">
        <v>830</v>
      </c>
      <c r="J241" s="140">
        <v>553</v>
      </c>
      <c r="K241" s="140">
        <v>1383</v>
      </c>
    </row>
    <row r="242" spans="1:11" ht="21" customHeight="1">
      <c r="A242" s="1124"/>
      <c r="B242" s="140" t="s">
        <v>713</v>
      </c>
      <c r="C242" s="140">
        <v>4</v>
      </c>
      <c r="D242" s="140">
        <v>0</v>
      </c>
      <c r="E242" s="140">
        <v>4</v>
      </c>
      <c r="F242" s="140"/>
      <c r="G242" s="140"/>
      <c r="H242" s="140"/>
      <c r="I242" s="140">
        <v>2</v>
      </c>
      <c r="J242" s="140">
        <v>0</v>
      </c>
      <c r="K242" s="140">
        <v>2</v>
      </c>
    </row>
    <row r="243" spans="1:11">
      <c r="A243" s="480" t="s">
        <v>714</v>
      </c>
      <c r="B243" s="474"/>
      <c r="C243" s="147">
        <v>121</v>
      </c>
      <c r="D243" s="147">
        <v>79</v>
      </c>
      <c r="E243" s="147">
        <v>200</v>
      </c>
      <c r="F243" s="147"/>
      <c r="G243" s="147"/>
      <c r="H243" s="147"/>
      <c r="I243" s="147">
        <v>832</v>
      </c>
      <c r="J243" s="147">
        <v>553</v>
      </c>
      <c r="K243" s="147">
        <v>1385</v>
      </c>
    </row>
    <row r="244" spans="1:11">
      <c r="A244" s="478" t="s">
        <v>587</v>
      </c>
      <c r="B244" s="477"/>
      <c r="C244" s="477">
        <v>12</v>
      </c>
      <c r="D244" s="140">
        <v>21</v>
      </c>
      <c r="E244" s="140">
        <v>33</v>
      </c>
      <c r="F244" s="140">
        <v>4</v>
      </c>
      <c r="G244" s="140">
        <v>10</v>
      </c>
      <c r="H244" s="140">
        <v>14</v>
      </c>
      <c r="I244" s="140">
        <v>253</v>
      </c>
      <c r="J244" s="140">
        <v>3515</v>
      </c>
      <c r="K244" s="140">
        <v>3768</v>
      </c>
    </row>
    <row r="245" spans="1:11">
      <c r="A245" s="478" t="s">
        <v>60</v>
      </c>
      <c r="B245" s="477"/>
      <c r="C245" s="147">
        <v>14422</v>
      </c>
      <c r="D245" s="147">
        <v>11128</v>
      </c>
      <c r="E245" s="147">
        <v>25550</v>
      </c>
      <c r="F245" s="147">
        <v>3299</v>
      </c>
      <c r="G245" s="147">
        <v>6598</v>
      </c>
      <c r="H245" s="147">
        <v>9897</v>
      </c>
      <c r="I245" s="147">
        <v>620664</v>
      </c>
      <c r="J245" s="147">
        <v>863164</v>
      </c>
      <c r="K245" s="147">
        <v>1483828</v>
      </c>
    </row>
  </sheetData>
  <mergeCells count="27">
    <mergeCell ref="A2:B3"/>
    <mergeCell ref="C2:E2"/>
    <mergeCell ref="F2:H2"/>
    <mergeCell ref="I2:K2"/>
    <mergeCell ref="B1:K1"/>
    <mergeCell ref="A5:A8"/>
    <mergeCell ref="A20:A40"/>
    <mergeCell ref="A43:A48"/>
    <mergeCell ref="A51:A52"/>
    <mergeCell ref="A54:A58"/>
    <mergeCell ref="A93:A97"/>
    <mergeCell ref="A101:A119"/>
    <mergeCell ref="A122:A130"/>
    <mergeCell ref="A131:A168"/>
    <mergeCell ref="A61:A62"/>
    <mergeCell ref="A64:A67"/>
    <mergeCell ref="A69:A80"/>
    <mergeCell ref="A82:A88"/>
    <mergeCell ref="A90:A91"/>
    <mergeCell ref="A202:A218"/>
    <mergeCell ref="A220:A238"/>
    <mergeCell ref="A241:A242"/>
    <mergeCell ref="A170:A175"/>
    <mergeCell ref="A177:A188"/>
    <mergeCell ref="A189:A191"/>
    <mergeCell ref="A193:A194"/>
    <mergeCell ref="A196:A200"/>
  </mergeCells>
  <pageMargins left="0.51181102362204722" right="0.19685039370078741" top="0.39370078740157483" bottom="0.39370078740157483" header="0.31496062992125984" footer="0.19685039370078741"/>
  <pageSetup paperSize="9" scale="69" firstPageNumber="105" orientation="portrait" useFirstPageNumber="1" r:id="rId1"/>
  <headerFooter>
    <oddFooter>&amp;L     AISHE 2020-21&amp;CT-36</oddFooter>
  </headerFooter>
  <rowBreaks count="3" manualBreakCount="3">
    <brk id="68" max="10" man="1"/>
    <brk id="130" max="10" man="1"/>
    <brk id="188" max="10" man="1"/>
  </rowBreaks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00B050"/>
  </sheetPr>
  <dimension ref="A1:AG44"/>
  <sheetViews>
    <sheetView view="pageBreakPreview" zoomScale="85" zoomScaleSheetLayoutView="85" workbookViewId="0">
      <pane xSplit="2" ySplit="4" topLeftCell="X23" activePane="bottomRight" state="frozen"/>
      <selection activeCell="H31" sqref="H31"/>
      <selection pane="topRight" activeCell="H31" sqref="H31"/>
      <selection pane="bottomLeft" activeCell="H31" sqref="H31"/>
      <selection pane="bottomRight" activeCell="AM5" sqref="AM5"/>
    </sheetView>
  </sheetViews>
  <sheetFormatPr defaultColWidth="9.1796875" defaultRowHeight="14"/>
  <cols>
    <col min="1" max="1" width="7.1796875" style="87" bestFit="1" customWidth="1"/>
    <col min="2" max="2" width="18.7265625" style="639" customWidth="1"/>
    <col min="3" max="6" width="8.81640625" style="183" customWidth="1"/>
    <col min="7" max="7" width="11.453125" style="183" customWidth="1"/>
    <col min="8" max="11" width="8.81640625" style="183" customWidth="1"/>
    <col min="12" max="12" width="12.7265625" style="87" customWidth="1"/>
    <col min="13" max="15" width="7.26953125" style="87" customWidth="1"/>
    <col min="16" max="16" width="12.1796875" style="87" customWidth="1"/>
    <col min="17" max="18" width="7.26953125" style="87" customWidth="1"/>
    <col min="19" max="19" width="7.54296875" style="87" customWidth="1"/>
    <col min="20" max="20" width="13.7265625" style="87" customWidth="1"/>
    <col min="21" max="22" width="11.1796875" style="87" customWidth="1"/>
    <col min="23" max="23" width="13.7265625" style="87" customWidth="1"/>
    <col min="24" max="26" width="7.26953125" style="87" customWidth="1"/>
    <col min="27" max="28" width="10.54296875" style="87" customWidth="1"/>
    <col min="29" max="29" width="14.26953125" style="87" customWidth="1"/>
    <col min="30" max="30" width="7.26953125" style="87" customWidth="1"/>
    <col min="31" max="31" width="12.7265625" style="87" customWidth="1"/>
    <col min="32" max="32" width="14.26953125" style="87" customWidth="1"/>
    <col min="33" max="16384" width="9.1796875" style="87"/>
  </cols>
  <sheetData>
    <row r="1" spans="1:32" s="62" customFormat="1" ht="24.75" customHeight="1">
      <c r="A1" s="1128" t="s">
        <v>53</v>
      </c>
      <c r="B1" s="1128"/>
      <c r="C1" s="628" t="s">
        <v>234</v>
      </c>
      <c r="D1" s="628"/>
      <c r="E1" s="629"/>
      <c r="F1" s="629"/>
      <c r="G1" s="629"/>
      <c r="H1" s="629"/>
      <c r="I1" s="629"/>
      <c r="J1" s="629"/>
      <c r="K1" s="629"/>
      <c r="M1" s="630" t="str">
        <f>C1</f>
        <v>37. Number of different types of Institutions attached with University</v>
      </c>
      <c r="X1" s="630" t="str">
        <f>C1</f>
        <v>37. Number of different types of Institutions attached with University</v>
      </c>
    </row>
    <row r="2" spans="1:32" s="632" customFormat="1" ht="56">
      <c r="A2" s="915" t="s">
        <v>235</v>
      </c>
      <c r="B2" s="915" t="s">
        <v>2</v>
      </c>
      <c r="C2" s="1135" t="s">
        <v>125</v>
      </c>
      <c r="D2" s="1135"/>
      <c r="E2" s="1135"/>
      <c r="F2" s="1135"/>
      <c r="G2" s="1135" t="s">
        <v>227</v>
      </c>
      <c r="H2" s="1135" t="s">
        <v>128</v>
      </c>
      <c r="I2" s="1135"/>
      <c r="J2" s="1135"/>
      <c r="K2" s="1135"/>
      <c r="L2" s="1135" t="s">
        <v>228</v>
      </c>
      <c r="M2" s="1135" t="s">
        <v>130</v>
      </c>
      <c r="N2" s="1135"/>
      <c r="O2" s="1135"/>
      <c r="P2" s="1135" t="s">
        <v>229</v>
      </c>
      <c r="Q2" s="1135" t="s">
        <v>132</v>
      </c>
      <c r="R2" s="1135"/>
      <c r="S2" s="1135"/>
      <c r="T2" s="1135" t="s">
        <v>230</v>
      </c>
      <c r="U2" s="1135" t="s">
        <v>133</v>
      </c>
      <c r="V2" s="1135"/>
      <c r="W2" s="1135" t="s">
        <v>231</v>
      </c>
      <c r="X2" s="1136" t="s">
        <v>134</v>
      </c>
      <c r="Y2" s="1137"/>
      <c r="Z2" s="1138"/>
      <c r="AA2" s="1130" t="s">
        <v>232</v>
      </c>
      <c r="AB2" s="1132" t="s">
        <v>127</v>
      </c>
      <c r="AC2" s="1133"/>
      <c r="AD2" s="1134"/>
      <c r="AE2" s="1130" t="s">
        <v>233</v>
      </c>
      <c r="AF2" s="631" t="s">
        <v>131</v>
      </c>
    </row>
    <row r="3" spans="1:32" s="635" customFormat="1" ht="68.25" customHeight="1">
      <c r="A3" s="915"/>
      <c r="B3" s="915"/>
      <c r="C3" s="633" t="s">
        <v>71</v>
      </c>
      <c r="D3" s="633" t="s">
        <v>72</v>
      </c>
      <c r="E3" s="633" t="s">
        <v>73</v>
      </c>
      <c r="F3" s="633" t="s">
        <v>74</v>
      </c>
      <c r="G3" s="1135"/>
      <c r="H3" s="633" t="s">
        <v>71</v>
      </c>
      <c r="I3" s="633" t="s">
        <v>72</v>
      </c>
      <c r="J3" s="633" t="s">
        <v>73</v>
      </c>
      <c r="K3" s="633" t="s">
        <v>74</v>
      </c>
      <c r="L3" s="1135"/>
      <c r="M3" s="633" t="s">
        <v>72</v>
      </c>
      <c r="N3" s="633" t="s">
        <v>73</v>
      </c>
      <c r="O3" s="633" t="s">
        <v>74</v>
      </c>
      <c r="P3" s="1135"/>
      <c r="Q3" s="633" t="s">
        <v>72</v>
      </c>
      <c r="R3" s="633" t="s">
        <v>73</v>
      </c>
      <c r="S3" s="633" t="s">
        <v>74</v>
      </c>
      <c r="T3" s="1135"/>
      <c r="U3" s="633" t="s">
        <v>72</v>
      </c>
      <c r="V3" s="633" t="s">
        <v>73</v>
      </c>
      <c r="W3" s="1135"/>
      <c r="X3" s="633" t="s">
        <v>72</v>
      </c>
      <c r="Y3" s="633" t="s">
        <v>73</v>
      </c>
      <c r="Z3" s="633" t="s">
        <v>74</v>
      </c>
      <c r="AA3" s="1131"/>
      <c r="AB3" s="634" t="s">
        <v>72</v>
      </c>
      <c r="AC3" s="633" t="s">
        <v>73</v>
      </c>
      <c r="AD3" s="633" t="s">
        <v>74</v>
      </c>
      <c r="AE3" s="1131"/>
      <c r="AF3" s="633" t="s">
        <v>72</v>
      </c>
    </row>
    <row r="4" spans="1:32" s="632" customFormat="1">
      <c r="A4" s="636">
        <v>1</v>
      </c>
      <c r="B4" s="636">
        <v>2</v>
      </c>
      <c r="C4" s="636">
        <v>3</v>
      </c>
      <c r="D4" s="636">
        <v>4</v>
      </c>
      <c r="E4" s="636">
        <v>5</v>
      </c>
      <c r="F4" s="636">
        <v>6</v>
      </c>
      <c r="G4" s="636">
        <v>7</v>
      </c>
      <c r="H4" s="636">
        <v>8</v>
      </c>
      <c r="I4" s="636">
        <v>9</v>
      </c>
      <c r="J4" s="636">
        <v>10</v>
      </c>
      <c r="K4" s="636">
        <v>11</v>
      </c>
      <c r="L4" s="636">
        <v>12</v>
      </c>
      <c r="M4" s="636">
        <v>13</v>
      </c>
      <c r="N4" s="636">
        <v>14</v>
      </c>
      <c r="O4" s="636">
        <v>15</v>
      </c>
      <c r="P4" s="636">
        <v>16</v>
      </c>
      <c r="Q4" s="636">
        <v>17</v>
      </c>
      <c r="R4" s="636">
        <v>18</v>
      </c>
      <c r="S4" s="636">
        <v>19</v>
      </c>
      <c r="T4" s="636">
        <v>20</v>
      </c>
      <c r="U4" s="636">
        <v>21</v>
      </c>
      <c r="V4" s="636">
        <v>22</v>
      </c>
      <c r="W4" s="636">
        <v>23</v>
      </c>
      <c r="X4" s="636">
        <v>24</v>
      </c>
      <c r="Y4" s="636">
        <v>25</v>
      </c>
      <c r="Z4" s="636">
        <v>26</v>
      </c>
      <c r="AA4" s="636">
        <v>27</v>
      </c>
      <c r="AB4" s="636">
        <v>28</v>
      </c>
      <c r="AC4" s="636">
        <v>29</v>
      </c>
      <c r="AD4" s="636">
        <v>30</v>
      </c>
      <c r="AE4" s="636">
        <v>31</v>
      </c>
      <c r="AF4" s="636">
        <v>32</v>
      </c>
    </row>
    <row r="5" spans="1:32" ht="32.25" customHeight="1">
      <c r="A5" s="82">
        <v>1</v>
      </c>
      <c r="B5" s="637" t="s">
        <v>171</v>
      </c>
      <c r="C5" s="638">
        <v>9</v>
      </c>
      <c r="D5" s="638">
        <v>0</v>
      </c>
      <c r="E5" s="638">
        <v>0</v>
      </c>
      <c r="F5" s="638">
        <v>0</v>
      </c>
      <c r="G5" s="638">
        <v>9</v>
      </c>
      <c r="H5" s="638">
        <v>0</v>
      </c>
      <c r="I5" s="638">
        <v>0</v>
      </c>
      <c r="J5" s="638">
        <v>0</v>
      </c>
      <c r="K5" s="638">
        <v>0</v>
      </c>
      <c r="L5" s="638">
        <v>0</v>
      </c>
      <c r="M5" s="638">
        <v>0</v>
      </c>
      <c r="N5" s="638">
        <v>0</v>
      </c>
      <c r="O5" s="638">
        <v>0</v>
      </c>
      <c r="P5" s="638">
        <v>0</v>
      </c>
      <c r="Q5" s="638">
        <v>0</v>
      </c>
      <c r="R5" s="638">
        <v>0</v>
      </c>
      <c r="S5" s="638">
        <v>0</v>
      </c>
      <c r="T5" s="638">
        <v>0</v>
      </c>
      <c r="U5" s="638">
        <v>0</v>
      </c>
      <c r="V5" s="638">
        <v>0</v>
      </c>
      <c r="W5" s="638">
        <v>0</v>
      </c>
      <c r="X5" s="638">
        <v>0</v>
      </c>
      <c r="Y5" s="638">
        <v>0</v>
      </c>
      <c r="Z5" s="638">
        <v>0</v>
      </c>
      <c r="AA5" s="638">
        <v>0</v>
      </c>
      <c r="AB5" s="638">
        <v>0</v>
      </c>
      <c r="AC5" s="638">
        <v>0</v>
      </c>
      <c r="AD5" s="638">
        <v>0</v>
      </c>
      <c r="AE5" s="638">
        <v>0</v>
      </c>
      <c r="AF5" s="638">
        <v>0</v>
      </c>
    </row>
    <row r="6" spans="1:32" ht="21" customHeight="1">
      <c r="A6" s="82">
        <v>2</v>
      </c>
      <c r="B6" s="637" t="s">
        <v>15</v>
      </c>
      <c r="C6" s="638">
        <v>0</v>
      </c>
      <c r="D6" s="638">
        <v>2</v>
      </c>
      <c r="E6" s="638">
        <v>0</v>
      </c>
      <c r="F6" s="638">
        <v>0</v>
      </c>
      <c r="G6" s="638">
        <v>2</v>
      </c>
      <c r="H6" s="638">
        <v>2541</v>
      </c>
      <c r="I6" s="638">
        <v>58</v>
      </c>
      <c r="J6" s="638">
        <v>7</v>
      </c>
      <c r="K6" s="638">
        <v>1</v>
      </c>
      <c r="L6" s="638">
        <v>2607</v>
      </c>
      <c r="M6" s="638">
        <v>0</v>
      </c>
      <c r="N6" s="638">
        <v>0</v>
      </c>
      <c r="O6" s="638">
        <v>0</v>
      </c>
      <c r="P6" s="638">
        <v>0</v>
      </c>
      <c r="Q6" s="638">
        <v>0</v>
      </c>
      <c r="R6" s="638">
        <v>0</v>
      </c>
      <c r="S6" s="638">
        <v>0</v>
      </c>
      <c r="T6" s="638">
        <v>0</v>
      </c>
      <c r="U6" s="638">
        <v>0</v>
      </c>
      <c r="V6" s="638">
        <v>0</v>
      </c>
      <c r="W6" s="638">
        <v>0</v>
      </c>
      <c r="X6" s="638">
        <v>0</v>
      </c>
      <c r="Y6" s="638">
        <v>0</v>
      </c>
      <c r="Z6" s="638">
        <v>0</v>
      </c>
      <c r="AA6" s="638">
        <v>0</v>
      </c>
      <c r="AB6" s="638">
        <v>1</v>
      </c>
      <c r="AC6" s="638">
        <v>0</v>
      </c>
      <c r="AD6" s="638">
        <v>0</v>
      </c>
      <c r="AE6" s="638">
        <v>1</v>
      </c>
      <c r="AF6" s="638">
        <v>3</v>
      </c>
    </row>
    <row r="7" spans="1:32" ht="21" customHeight="1">
      <c r="A7" s="82">
        <v>3</v>
      </c>
      <c r="B7" s="637" t="s">
        <v>16</v>
      </c>
      <c r="C7" s="638">
        <v>40</v>
      </c>
      <c r="D7" s="638">
        <v>2</v>
      </c>
      <c r="E7" s="638">
        <v>0</v>
      </c>
      <c r="F7" s="638">
        <v>0</v>
      </c>
      <c r="G7" s="638">
        <v>42</v>
      </c>
      <c r="H7" s="638">
        <v>0</v>
      </c>
      <c r="I7" s="638">
        <v>0</v>
      </c>
      <c r="J7" s="638">
        <v>0</v>
      </c>
      <c r="K7" s="638">
        <v>0</v>
      </c>
      <c r="L7" s="638">
        <v>0</v>
      </c>
      <c r="M7" s="638">
        <v>0</v>
      </c>
      <c r="N7" s="638">
        <v>0</v>
      </c>
      <c r="O7" s="638">
        <v>0</v>
      </c>
      <c r="P7" s="638">
        <v>0</v>
      </c>
      <c r="Q7" s="638">
        <v>0</v>
      </c>
      <c r="R7" s="638">
        <v>0</v>
      </c>
      <c r="S7" s="638">
        <v>0</v>
      </c>
      <c r="T7" s="638">
        <v>0</v>
      </c>
      <c r="U7" s="638">
        <v>0</v>
      </c>
      <c r="V7" s="638">
        <v>0</v>
      </c>
      <c r="W7" s="638">
        <v>0</v>
      </c>
      <c r="X7" s="638">
        <v>0</v>
      </c>
      <c r="Y7" s="638">
        <v>0</v>
      </c>
      <c r="Z7" s="638">
        <v>0</v>
      </c>
      <c r="AA7" s="638">
        <v>0</v>
      </c>
      <c r="AB7" s="638">
        <v>0</v>
      </c>
      <c r="AC7" s="638">
        <v>0</v>
      </c>
      <c r="AD7" s="638">
        <v>0</v>
      </c>
      <c r="AE7" s="638">
        <v>0</v>
      </c>
      <c r="AF7" s="638">
        <v>0</v>
      </c>
    </row>
    <row r="8" spans="1:32" ht="21" customHeight="1">
      <c r="A8" s="82">
        <v>4</v>
      </c>
      <c r="B8" s="637" t="s">
        <v>17</v>
      </c>
      <c r="C8" s="638">
        <v>64</v>
      </c>
      <c r="D8" s="638">
        <v>0</v>
      </c>
      <c r="E8" s="638">
        <v>0</v>
      </c>
      <c r="F8" s="638">
        <v>0</v>
      </c>
      <c r="G8" s="638">
        <v>64</v>
      </c>
      <c r="H8" s="638">
        <v>525</v>
      </c>
      <c r="I8" s="638">
        <v>6</v>
      </c>
      <c r="J8" s="638">
        <v>0</v>
      </c>
      <c r="K8" s="638">
        <v>1</v>
      </c>
      <c r="L8" s="638">
        <v>532</v>
      </c>
      <c r="M8" s="638">
        <v>0</v>
      </c>
      <c r="N8" s="638">
        <v>0</v>
      </c>
      <c r="O8" s="638">
        <v>0</v>
      </c>
      <c r="P8" s="638">
        <v>0</v>
      </c>
      <c r="Q8" s="638">
        <v>0</v>
      </c>
      <c r="R8" s="638">
        <v>1</v>
      </c>
      <c r="S8" s="638">
        <v>0</v>
      </c>
      <c r="T8" s="638">
        <v>1</v>
      </c>
      <c r="U8" s="638">
        <v>0</v>
      </c>
      <c r="V8" s="638">
        <v>1</v>
      </c>
      <c r="W8" s="638">
        <v>1</v>
      </c>
      <c r="X8" s="638">
        <v>0</v>
      </c>
      <c r="Y8" s="638">
        <v>0</v>
      </c>
      <c r="Z8" s="638">
        <v>0</v>
      </c>
      <c r="AA8" s="638">
        <v>0</v>
      </c>
      <c r="AB8" s="638">
        <v>0</v>
      </c>
      <c r="AC8" s="638">
        <v>1</v>
      </c>
      <c r="AD8" s="638">
        <v>0</v>
      </c>
      <c r="AE8" s="638">
        <v>1</v>
      </c>
      <c r="AF8" s="638">
        <v>0</v>
      </c>
    </row>
    <row r="9" spans="1:32" ht="21" customHeight="1">
      <c r="A9" s="82">
        <v>5</v>
      </c>
      <c r="B9" s="637" t="s">
        <v>18</v>
      </c>
      <c r="C9" s="638">
        <v>0</v>
      </c>
      <c r="D9" s="638">
        <v>8</v>
      </c>
      <c r="E9" s="638">
        <v>0</v>
      </c>
      <c r="F9" s="638">
        <v>0</v>
      </c>
      <c r="G9" s="638">
        <v>8</v>
      </c>
      <c r="H9" s="638">
        <v>755</v>
      </c>
      <c r="I9" s="638">
        <v>272</v>
      </c>
      <c r="J9" s="638">
        <v>0</v>
      </c>
      <c r="K9" s="638">
        <v>28</v>
      </c>
      <c r="L9" s="638">
        <v>1055</v>
      </c>
      <c r="M9" s="638">
        <v>4</v>
      </c>
      <c r="N9" s="638">
        <v>0</v>
      </c>
      <c r="O9" s="638">
        <v>0</v>
      </c>
      <c r="P9" s="638">
        <v>4</v>
      </c>
      <c r="Q9" s="638">
        <v>0</v>
      </c>
      <c r="R9" s="638">
        <v>0</v>
      </c>
      <c r="S9" s="638">
        <v>0</v>
      </c>
      <c r="T9" s="638">
        <v>0</v>
      </c>
      <c r="U9" s="638">
        <v>0</v>
      </c>
      <c r="V9" s="638">
        <v>0</v>
      </c>
      <c r="W9" s="638">
        <v>0</v>
      </c>
      <c r="X9" s="638">
        <v>0</v>
      </c>
      <c r="Y9" s="638">
        <v>1</v>
      </c>
      <c r="Z9" s="638">
        <v>0</v>
      </c>
      <c r="AA9" s="638">
        <v>1</v>
      </c>
      <c r="AB9" s="638">
        <v>1</v>
      </c>
      <c r="AC9" s="638">
        <v>1</v>
      </c>
      <c r="AD9" s="638">
        <v>0</v>
      </c>
      <c r="AE9" s="638">
        <v>2</v>
      </c>
      <c r="AF9" s="638">
        <v>1</v>
      </c>
    </row>
    <row r="10" spans="1:32" ht="21" customHeight="1">
      <c r="A10" s="82">
        <v>6</v>
      </c>
      <c r="B10" s="637" t="s">
        <v>19</v>
      </c>
      <c r="C10" s="638">
        <v>0</v>
      </c>
      <c r="D10" s="638">
        <v>0</v>
      </c>
      <c r="E10" s="638">
        <v>0</v>
      </c>
      <c r="F10" s="638">
        <v>0</v>
      </c>
      <c r="G10" s="638">
        <v>0</v>
      </c>
      <c r="H10" s="638">
        <v>26</v>
      </c>
      <c r="I10" s="638">
        <v>0</v>
      </c>
      <c r="J10" s="638">
        <v>0</v>
      </c>
      <c r="K10" s="638">
        <v>0</v>
      </c>
      <c r="L10" s="638">
        <v>26</v>
      </c>
      <c r="M10" s="638">
        <v>0</v>
      </c>
      <c r="N10" s="638">
        <v>0</v>
      </c>
      <c r="O10" s="638">
        <v>0</v>
      </c>
      <c r="P10" s="638">
        <v>0</v>
      </c>
      <c r="Q10" s="638">
        <v>0</v>
      </c>
      <c r="R10" s="638">
        <v>0</v>
      </c>
      <c r="S10" s="638">
        <v>0</v>
      </c>
      <c r="T10" s="638">
        <v>0</v>
      </c>
      <c r="U10" s="638">
        <v>0</v>
      </c>
      <c r="V10" s="638">
        <v>0</v>
      </c>
      <c r="W10" s="638">
        <v>0</v>
      </c>
      <c r="X10" s="638">
        <v>0</v>
      </c>
      <c r="Y10" s="638">
        <v>0</v>
      </c>
      <c r="Z10" s="638">
        <v>0</v>
      </c>
      <c r="AA10" s="638">
        <v>0</v>
      </c>
      <c r="AB10" s="638">
        <v>0</v>
      </c>
      <c r="AC10" s="638">
        <v>0</v>
      </c>
      <c r="AD10" s="638">
        <v>0</v>
      </c>
      <c r="AE10" s="638">
        <v>0</v>
      </c>
      <c r="AF10" s="638">
        <v>0</v>
      </c>
    </row>
    <row r="11" spans="1:32" ht="21" customHeight="1">
      <c r="A11" s="82">
        <v>7</v>
      </c>
      <c r="B11" s="637" t="s">
        <v>20</v>
      </c>
      <c r="C11" s="638">
        <v>0</v>
      </c>
      <c r="D11" s="638">
        <v>0</v>
      </c>
      <c r="E11" s="638">
        <v>0</v>
      </c>
      <c r="F11" s="638">
        <v>0</v>
      </c>
      <c r="G11" s="638">
        <v>0</v>
      </c>
      <c r="H11" s="638">
        <v>833</v>
      </c>
      <c r="I11" s="638">
        <v>37</v>
      </c>
      <c r="J11" s="638">
        <v>1</v>
      </c>
      <c r="K11" s="638">
        <v>4</v>
      </c>
      <c r="L11" s="638">
        <v>875</v>
      </c>
      <c r="M11" s="638">
        <v>0</v>
      </c>
      <c r="N11" s="638">
        <v>0</v>
      </c>
      <c r="O11" s="638">
        <v>0</v>
      </c>
      <c r="P11" s="638">
        <v>0</v>
      </c>
      <c r="Q11" s="638">
        <v>0</v>
      </c>
      <c r="R11" s="638">
        <v>0</v>
      </c>
      <c r="S11" s="638">
        <v>0</v>
      </c>
      <c r="T11" s="638">
        <v>0</v>
      </c>
      <c r="U11" s="638">
        <v>0</v>
      </c>
      <c r="V11" s="638">
        <v>0</v>
      </c>
      <c r="W11" s="638">
        <v>0</v>
      </c>
      <c r="X11" s="638">
        <v>0</v>
      </c>
      <c r="Y11" s="638">
        <v>0</v>
      </c>
      <c r="Z11" s="638">
        <v>0</v>
      </c>
      <c r="AA11" s="638">
        <v>0</v>
      </c>
      <c r="AB11" s="638">
        <v>0</v>
      </c>
      <c r="AC11" s="638">
        <v>0</v>
      </c>
      <c r="AD11" s="638">
        <v>0</v>
      </c>
      <c r="AE11" s="638">
        <v>0</v>
      </c>
      <c r="AF11" s="638">
        <v>0</v>
      </c>
    </row>
    <row r="12" spans="1:32" ht="21" customHeight="1">
      <c r="A12" s="82">
        <v>8</v>
      </c>
      <c r="B12" s="637" t="s">
        <v>23</v>
      </c>
      <c r="C12" s="638">
        <v>9</v>
      </c>
      <c r="D12" s="638">
        <v>69</v>
      </c>
      <c r="E12" s="638">
        <v>0</v>
      </c>
      <c r="F12" s="638">
        <v>4</v>
      </c>
      <c r="G12" s="638">
        <v>82</v>
      </c>
      <c r="H12" s="638">
        <v>101</v>
      </c>
      <c r="I12" s="638">
        <v>1</v>
      </c>
      <c r="J12" s="638">
        <v>0</v>
      </c>
      <c r="K12" s="638">
        <v>2</v>
      </c>
      <c r="L12" s="638">
        <v>104</v>
      </c>
      <c r="M12" s="638">
        <v>0</v>
      </c>
      <c r="N12" s="638">
        <v>0</v>
      </c>
      <c r="O12" s="638">
        <v>0</v>
      </c>
      <c r="P12" s="638">
        <v>0</v>
      </c>
      <c r="Q12" s="638">
        <v>1</v>
      </c>
      <c r="R12" s="638">
        <v>0</v>
      </c>
      <c r="S12" s="638">
        <v>0</v>
      </c>
      <c r="T12" s="638">
        <v>1</v>
      </c>
      <c r="U12" s="638">
        <v>0</v>
      </c>
      <c r="V12" s="638">
        <v>0</v>
      </c>
      <c r="W12" s="638">
        <v>0</v>
      </c>
      <c r="X12" s="638">
        <v>1</v>
      </c>
      <c r="Y12" s="638">
        <v>0</v>
      </c>
      <c r="Z12" s="638">
        <v>0</v>
      </c>
      <c r="AA12" s="638">
        <v>1</v>
      </c>
      <c r="AB12" s="638">
        <v>0</v>
      </c>
      <c r="AC12" s="638">
        <v>1</v>
      </c>
      <c r="AD12" s="638">
        <v>0</v>
      </c>
      <c r="AE12" s="638">
        <v>1</v>
      </c>
      <c r="AF12" s="638">
        <v>0</v>
      </c>
    </row>
    <row r="13" spans="1:32" ht="21" customHeight="1">
      <c r="A13" s="82">
        <v>9</v>
      </c>
      <c r="B13" s="637" t="s">
        <v>24</v>
      </c>
      <c r="C13" s="638">
        <v>0</v>
      </c>
      <c r="D13" s="638">
        <v>0</v>
      </c>
      <c r="E13" s="638">
        <v>0</v>
      </c>
      <c r="F13" s="638">
        <v>0</v>
      </c>
      <c r="G13" s="638">
        <v>0</v>
      </c>
      <c r="H13" s="638">
        <v>60</v>
      </c>
      <c r="I13" s="638">
        <v>1</v>
      </c>
      <c r="J13" s="638">
        <v>2</v>
      </c>
      <c r="K13" s="638">
        <v>8</v>
      </c>
      <c r="L13" s="638">
        <v>71</v>
      </c>
      <c r="M13" s="638">
        <v>0</v>
      </c>
      <c r="N13" s="638">
        <v>0</v>
      </c>
      <c r="O13" s="638">
        <v>0</v>
      </c>
      <c r="P13" s="638">
        <v>0</v>
      </c>
      <c r="Q13" s="638">
        <v>0</v>
      </c>
      <c r="R13" s="638">
        <v>0</v>
      </c>
      <c r="S13" s="638">
        <v>0</v>
      </c>
      <c r="T13" s="638">
        <v>0</v>
      </c>
      <c r="U13" s="638">
        <v>0</v>
      </c>
      <c r="V13" s="638">
        <v>0</v>
      </c>
      <c r="W13" s="638">
        <v>0</v>
      </c>
      <c r="X13" s="638">
        <v>0</v>
      </c>
      <c r="Y13" s="638">
        <v>1</v>
      </c>
      <c r="Z13" s="638">
        <v>0</v>
      </c>
      <c r="AA13" s="638">
        <v>1</v>
      </c>
      <c r="AB13" s="638">
        <v>0</v>
      </c>
      <c r="AC13" s="638">
        <v>0</v>
      </c>
      <c r="AD13" s="638">
        <v>0</v>
      </c>
      <c r="AE13" s="638">
        <v>0</v>
      </c>
      <c r="AF13" s="638">
        <v>0</v>
      </c>
    </row>
    <row r="14" spans="1:32" ht="21" customHeight="1">
      <c r="A14" s="82">
        <v>10</v>
      </c>
      <c r="B14" s="637" t="s">
        <v>25</v>
      </c>
      <c r="C14" s="638">
        <v>1</v>
      </c>
      <c r="D14" s="638">
        <v>0</v>
      </c>
      <c r="E14" s="638">
        <v>0</v>
      </c>
      <c r="F14" s="638">
        <v>0</v>
      </c>
      <c r="G14" s="638">
        <v>1</v>
      </c>
      <c r="H14" s="638">
        <v>2190</v>
      </c>
      <c r="I14" s="638">
        <v>76</v>
      </c>
      <c r="J14" s="638">
        <v>24</v>
      </c>
      <c r="K14" s="638">
        <v>42</v>
      </c>
      <c r="L14" s="638">
        <v>2332</v>
      </c>
      <c r="M14" s="638">
        <v>265</v>
      </c>
      <c r="N14" s="638">
        <v>0</v>
      </c>
      <c r="O14" s="638">
        <v>8</v>
      </c>
      <c r="P14" s="638">
        <v>273</v>
      </c>
      <c r="Q14" s="638">
        <v>1</v>
      </c>
      <c r="R14" s="638">
        <v>0</v>
      </c>
      <c r="S14" s="638">
        <v>0</v>
      </c>
      <c r="T14" s="638">
        <v>1</v>
      </c>
      <c r="U14" s="638">
        <v>8</v>
      </c>
      <c r="V14" s="638">
        <v>2</v>
      </c>
      <c r="W14" s="638">
        <v>10</v>
      </c>
      <c r="X14" s="638">
        <v>6</v>
      </c>
      <c r="Y14" s="638">
        <v>0</v>
      </c>
      <c r="Z14" s="638">
        <v>0</v>
      </c>
      <c r="AA14" s="638">
        <v>6</v>
      </c>
      <c r="AB14" s="638">
        <v>4</v>
      </c>
      <c r="AC14" s="638">
        <v>1</v>
      </c>
      <c r="AD14" s="638">
        <v>0</v>
      </c>
      <c r="AE14" s="638">
        <v>5</v>
      </c>
      <c r="AF14" s="638">
        <v>0</v>
      </c>
    </row>
    <row r="15" spans="1:32" ht="21" customHeight="1">
      <c r="A15" s="82">
        <v>11</v>
      </c>
      <c r="B15" s="637" t="s">
        <v>26</v>
      </c>
      <c r="C15" s="638">
        <v>0</v>
      </c>
      <c r="D15" s="638">
        <v>1</v>
      </c>
      <c r="E15" s="638">
        <v>0</v>
      </c>
      <c r="F15" s="638">
        <v>0</v>
      </c>
      <c r="G15" s="638">
        <v>1</v>
      </c>
      <c r="H15" s="638">
        <v>1062</v>
      </c>
      <c r="I15" s="638">
        <v>20</v>
      </c>
      <c r="J15" s="638">
        <v>1</v>
      </c>
      <c r="K15" s="638">
        <v>1</v>
      </c>
      <c r="L15" s="638">
        <v>1084</v>
      </c>
      <c r="M15" s="638">
        <v>5</v>
      </c>
      <c r="N15" s="638">
        <v>0</v>
      </c>
      <c r="O15" s="638">
        <v>0</v>
      </c>
      <c r="P15" s="638">
        <v>5</v>
      </c>
      <c r="Q15" s="638">
        <v>0</v>
      </c>
      <c r="R15" s="638">
        <v>0</v>
      </c>
      <c r="S15" s="638">
        <v>0</v>
      </c>
      <c r="T15" s="638">
        <v>0</v>
      </c>
      <c r="U15" s="638">
        <v>1</v>
      </c>
      <c r="V15" s="638">
        <v>0</v>
      </c>
      <c r="W15" s="638">
        <v>1</v>
      </c>
      <c r="X15" s="638">
        <v>0</v>
      </c>
      <c r="Y15" s="638">
        <v>0</v>
      </c>
      <c r="Z15" s="638">
        <v>0</v>
      </c>
      <c r="AA15" s="638">
        <v>0</v>
      </c>
      <c r="AB15" s="638">
        <v>1</v>
      </c>
      <c r="AC15" s="638">
        <v>1</v>
      </c>
      <c r="AD15" s="638">
        <v>0</v>
      </c>
      <c r="AE15" s="638">
        <v>2</v>
      </c>
      <c r="AF15" s="638">
        <v>0</v>
      </c>
    </row>
    <row r="16" spans="1:32" ht="21" customHeight="1">
      <c r="A16" s="82">
        <v>12</v>
      </c>
      <c r="B16" s="637" t="s">
        <v>27</v>
      </c>
      <c r="C16" s="638">
        <v>0</v>
      </c>
      <c r="D16" s="638">
        <v>0</v>
      </c>
      <c r="E16" s="638">
        <v>0</v>
      </c>
      <c r="F16" s="638">
        <v>0</v>
      </c>
      <c r="G16" s="638">
        <v>0</v>
      </c>
      <c r="H16" s="638">
        <v>340</v>
      </c>
      <c r="I16" s="638">
        <v>8</v>
      </c>
      <c r="J16" s="638">
        <v>1</v>
      </c>
      <c r="K16" s="638">
        <v>7</v>
      </c>
      <c r="L16" s="638">
        <v>356</v>
      </c>
      <c r="M16" s="638">
        <v>0</v>
      </c>
      <c r="N16" s="638">
        <v>0</v>
      </c>
      <c r="O16" s="638">
        <v>0</v>
      </c>
      <c r="P16" s="638">
        <v>0</v>
      </c>
      <c r="Q16" s="638">
        <v>0</v>
      </c>
      <c r="R16" s="638">
        <v>0</v>
      </c>
      <c r="S16" s="638">
        <v>0</v>
      </c>
      <c r="T16" s="638">
        <v>0</v>
      </c>
      <c r="U16" s="638">
        <v>0</v>
      </c>
      <c r="V16" s="638">
        <v>0</v>
      </c>
      <c r="W16" s="638">
        <v>0</v>
      </c>
      <c r="X16" s="638">
        <v>0</v>
      </c>
      <c r="Y16" s="638">
        <v>0</v>
      </c>
      <c r="Z16" s="638">
        <v>0</v>
      </c>
      <c r="AA16" s="638">
        <v>0</v>
      </c>
      <c r="AB16" s="638">
        <v>0</v>
      </c>
      <c r="AC16" s="638">
        <v>1</v>
      </c>
      <c r="AD16" s="638">
        <v>0</v>
      </c>
      <c r="AE16" s="638">
        <v>1</v>
      </c>
      <c r="AF16" s="638">
        <v>0</v>
      </c>
    </row>
    <row r="17" spans="1:32" ht="28">
      <c r="A17" s="82">
        <v>13</v>
      </c>
      <c r="B17" s="637" t="s">
        <v>57</v>
      </c>
      <c r="C17" s="638">
        <v>0</v>
      </c>
      <c r="D17" s="638">
        <v>2</v>
      </c>
      <c r="E17" s="638">
        <v>0</v>
      </c>
      <c r="F17" s="638">
        <v>0</v>
      </c>
      <c r="G17" s="638">
        <v>2</v>
      </c>
      <c r="H17" s="638">
        <v>324</v>
      </c>
      <c r="I17" s="638">
        <v>22</v>
      </c>
      <c r="J17" s="638">
        <v>10</v>
      </c>
      <c r="K17" s="638">
        <v>1</v>
      </c>
      <c r="L17" s="638">
        <v>357</v>
      </c>
      <c r="M17" s="638">
        <v>0</v>
      </c>
      <c r="N17" s="638">
        <v>0</v>
      </c>
      <c r="O17" s="638">
        <v>0</v>
      </c>
      <c r="P17" s="638">
        <v>0</v>
      </c>
      <c r="Q17" s="638">
        <v>0</v>
      </c>
      <c r="R17" s="638">
        <v>0</v>
      </c>
      <c r="S17" s="638">
        <v>0</v>
      </c>
      <c r="T17" s="638">
        <v>0</v>
      </c>
      <c r="U17" s="638">
        <v>0</v>
      </c>
      <c r="V17" s="638">
        <v>0</v>
      </c>
      <c r="W17" s="638">
        <v>0</v>
      </c>
      <c r="X17" s="638">
        <v>0</v>
      </c>
      <c r="Y17" s="638">
        <v>0</v>
      </c>
      <c r="Z17" s="638">
        <v>0</v>
      </c>
      <c r="AA17" s="638">
        <v>0</v>
      </c>
      <c r="AB17" s="638">
        <v>0</v>
      </c>
      <c r="AC17" s="638">
        <v>0</v>
      </c>
      <c r="AD17" s="638">
        <v>0</v>
      </c>
      <c r="AE17" s="638">
        <v>0</v>
      </c>
      <c r="AF17" s="638">
        <v>0</v>
      </c>
    </row>
    <row r="18" spans="1:32" ht="21" customHeight="1">
      <c r="A18" s="82">
        <v>14</v>
      </c>
      <c r="B18" s="637" t="s">
        <v>29</v>
      </c>
      <c r="C18" s="638">
        <v>0</v>
      </c>
      <c r="D18" s="638">
        <v>0</v>
      </c>
      <c r="E18" s="638">
        <v>0</v>
      </c>
      <c r="F18" s="638">
        <v>0</v>
      </c>
      <c r="G18" s="638">
        <v>0</v>
      </c>
      <c r="H18" s="638">
        <v>255</v>
      </c>
      <c r="I18" s="638">
        <v>81</v>
      </c>
      <c r="J18" s="638">
        <v>0</v>
      </c>
      <c r="K18" s="638">
        <v>0</v>
      </c>
      <c r="L18" s="638">
        <v>336</v>
      </c>
      <c r="M18" s="638">
        <v>5</v>
      </c>
      <c r="N18" s="638">
        <v>0</v>
      </c>
      <c r="O18" s="638">
        <v>0</v>
      </c>
      <c r="P18" s="638">
        <v>5</v>
      </c>
      <c r="Q18" s="638">
        <v>0</v>
      </c>
      <c r="R18" s="638">
        <v>0</v>
      </c>
      <c r="S18" s="638">
        <v>0</v>
      </c>
      <c r="T18" s="638">
        <v>0</v>
      </c>
      <c r="U18" s="638">
        <v>0</v>
      </c>
      <c r="V18" s="638">
        <v>0</v>
      </c>
      <c r="W18" s="638">
        <v>0</v>
      </c>
      <c r="X18" s="638">
        <v>1</v>
      </c>
      <c r="Y18" s="638">
        <v>2</v>
      </c>
      <c r="Z18" s="638">
        <v>0</v>
      </c>
      <c r="AA18" s="638">
        <v>3</v>
      </c>
      <c r="AB18" s="638">
        <v>0</v>
      </c>
      <c r="AC18" s="638">
        <v>0</v>
      </c>
      <c r="AD18" s="638">
        <v>0</v>
      </c>
      <c r="AE18" s="638">
        <v>0</v>
      </c>
      <c r="AF18" s="638">
        <v>0</v>
      </c>
    </row>
    <row r="19" spans="1:32" ht="21" customHeight="1">
      <c r="A19" s="82">
        <v>15</v>
      </c>
      <c r="B19" s="637" t="s">
        <v>30</v>
      </c>
      <c r="C19" s="638">
        <v>0</v>
      </c>
      <c r="D19" s="638">
        <v>2</v>
      </c>
      <c r="E19" s="638">
        <v>1</v>
      </c>
      <c r="F19" s="638">
        <v>0</v>
      </c>
      <c r="G19" s="638">
        <v>3</v>
      </c>
      <c r="H19" s="638">
        <v>4158</v>
      </c>
      <c r="I19" s="638">
        <v>73</v>
      </c>
      <c r="J19" s="638">
        <v>30</v>
      </c>
      <c r="K19" s="638">
        <v>55</v>
      </c>
      <c r="L19" s="638">
        <v>4316</v>
      </c>
      <c r="M19" s="638">
        <v>7</v>
      </c>
      <c r="N19" s="638">
        <v>2</v>
      </c>
      <c r="O19" s="638">
        <v>0</v>
      </c>
      <c r="P19" s="638">
        <v>9</v>
      </c>
      <c r="Q19" s="638">
        <v>0</v>
      </c>
      <c r="R19" s="638">
        <v>0</v>
      </c>
      <c r="S19" s="638">
        <v>0</v>
      </c>
      <c r="T19" s="638">
        <v>0</v>
      </c>
      <c r="U19" s="638">
        <v>0</v>
      </c>
      <c r="V19" s="638">
        <v>0</v>
      </c>
      <c r="W19" s="638">
        <v>0</v>
      </c>
      <c r="X19" s="638">
        <v>53</v>
      </c>
      <c r="Y19" s="638">
        <v>7</v>
      </c>
      <c r="Z19" s="638">
        <v>0</v>
      </c>
      <c r="AA19" s="638">
        <v>60</v>
      </c>
      <c r="AB19" s="638">
        <v>4</v>
      </c>
      <c r="AC19" s="638">
        <v>1</v>
      </c>
      <c r="AD19" s="638">
        <v>1</v>
      </c>
      <c r="AE19" s="638">
        <v>6</v>
      </c>
      <c r="AF19" s="638">
        <v>0</v>
      </c>
    </row>
    <row r="20" spans="1:32" ht="21" customHeight="1">
      <c r="A20" s="82">
        <v>16</v>
      </c>
      <c r="B20" s="637" t="s">
        <v>31</v>
      </c>
      <c r="C20" s="638">
        <v>2</v>
      </c>
      <c r="D20" s="638">
        <v>1</v>
      </c>
      <c r="E20" s="638">
        <v>2</v>
      </c>
      <c r="F20" s="638">
        <v>0</v>
      </c>
      <c r="G20" s="638">
        <v>5</v>
      </c>
      <c r="H20" s="638">
        <v>1380</v>
      </c>
      <c r="I20" s="638">
        <v>65</v>
      </c>
      <c r="J20" s="638">
        <v>5</v>
      </c>
      <c r="K20" s="638">
        <v>67</v>
      </c>
      <c r="L20" s="638">
        <v>1517</v>
      </c>
      <c r="M20" s="638">
        <v>0</v>
      </c>
      <c r="N20" s="638">
        <v>0</v>
      </c>
      <c r="O20" s="638">
        <v>0</v>
      </c>
      <c r="P20" s="638">
        <v>0</v>
      </c>
      <c r="Q20" s="638">
        <v>0</v>
      </c>
      <c r="R20" s="638">
        <v>0</v>
      </c>
      <c r="S20" s="638">
        <v>0</v>
      </c>
      <c r="T20" s="638">
        <v>0</v>
      </c>
      <c r="U20" s="638">
        <v>1</v>
      </c>
      <c r="V20" s="638">
        <v>0</v>
      </c>
      <c r="W20" s="638">
        <v>1</v>
      </c>
      <c r="X20" s="638">
        <v>0</v>
      </c>
      <c r="Y20" s="638">
        <v>12</v>
      </c>
      <c r="Z20" s="638">
        <v>0</v>
      </c>
      <c r="AA20" s="638">
        <v>12</v>
      </c>
      <c r="AB20" s="638">
        <v>0</v>
      </c>
      <c r="AC20" s="638">
        <v>1</v>
      </c>
      <c r="AD20" s="638">
        <v>1</v>
      </c>
      <c r="AE20" s="638">
        <v>2</v>
      </c>
      <c r="AF20" s="638">
        <v>0</v>
      </c>
    </row>
    <row r="21" spans="1:32" ht="21" customHeight="1">
      <c r="A21" s="82">
        <v>17</v>
      </c>
      <c r="B21" s="637" t="s">
        <v>172</v>
      </c>
      <c r="C21" s="638">
        <v>0</v>
      </c>
      <c r="D21" s="638">
        <v>0</v>
      </c>
      <c r="E21" s="638">
        <v>0</v>
      </c>
      <c r="F21" s="638">
        <v>0</v>
      </c>
      <c r="G21" s="638">
        <v>0</v>
      </c>
      <c r="H21" s="638">
        <v>3</v>
      </c>
      <c r="I21" s="638">
        <v>0</v>
      </c>
      <c r="J21" s="638">
        <v>1</v>
      </c>
      <c r="K21" s="638">
        <v>0</v>
      </c>
      <c r="L21" s="638">
        <v>4</v>
      </c>
      <c r="M21" s="638">
        <v>0</v>
      </c>
      <c r="N21" s="638">
        <v>0</v>
      </c>
      <c r="O21" s="638">
        <v>0</v>
      </c>
      <c r="P21" s="638">
        <v>0</v>
      </c>
      <c r="Q21" s="638">
        <v>0</v>
      </c>
      <c r="R21" s="638">
        <v>0</v>
      </c>
      <c r="S21" s="638">
        <v>0</v>
      </c>
      <c r="T21" s="638">
        <v>0</v>
      </c>
      <c r="U21" s="638">
        <v>0</v>
      </c>
      <c r="V21" s="638">
        <v>0</v>
      </c>
      <c r="W21" s="638">
        <v>0</v>
      </c>
      <c r="X21" s="638">
        <v>0</v>
      </c>
      <c r="Y21" s="638">
        <v>0</v>
      </c>
      <c r="Z21" s="638">
        <v>0</v>
      </c>
      <c r="AA21" s="638">
        <v>0</v>
      </c>
      <c r="AB21" s="638">
        <v>0</v>
      </c>
      <c r="AC21" s="638">
        <v>0</v>
      </c>
      <c r="AD21" s="638">
        <v>0</v>
      </c>
      <c r="AE21" s="638">
        <v>0</v>
      </c>
      <c r="AF21" s="638">
        <v>0</v>
      </c>
    </row>
    <row r="22" spans="1:32" ht="21" customHeight="1">
      <c r="A22" s="82">
        <v>18</v>
      </c>
      <c r="B22" s="637" t="s">
        <v>32</v>
      </c>
      <c r="C22" s="638">
        <v>0</v>
      </c>
      <c r="D22" s="638">
        <v>0</v>
      </c>
      <c r="E22" s="638">
        <v>0</v>
      </c>
      <c r="F22" s="638">
        <v>0</v>
      </c>
      <c r="G22" s="638">
        <v>0</v>
      </c>
      <c r="H22" s="638">
        <v>0</v>
      </c>
      <c r="I22" s="638">
        <v>0</v>
      </c>
      <c r="J22" s="638">
        <v>3</v>
      </c>
      <c r="K22" s="638">
        <v>0</v>
      </c>
      <c r="L22" s="638">
        <v>3</v>
      </c>
      <c r="M22" s="638">
        <v>0</v>
      </c>
      <c r="N22" s="638">
        <v>0</v>
      </c>
      <c r="O22" s="638">
        <v>0</v>
      </c>
      <c r="P22" s="638">
        <v>0</v>
      </c>
      <c r="Q22" s="638">
        <v>0</v>
      </c>
      <c r="R22" s="638">
        <v>0</v>
      </c>
      <c r="S22" s="638">
        <v>0</v>
      </c>
      <c r="T22" s="638">
        <v>0</v>
      </c>
      <c r="U22" s="638">
        <v>0</v>
      </c>
      <c r="V22" s="638">
        <v>0</v>
      </c>
      <c r="W22" s="638">
        <v>0</v>
      </c>
      <c r="X22" s="638">
        <v>0</v>
      </c>
      <c r="Y22" s="638">
        <v>0</v>
      </c>
      <c r="Z22" s="638">
        <v>0</v>
      </c>
      <c r="AA22" s="638">
        <v>0</v>
      </c>
      <c r="AB22" s="638">
        <v>0</v>
      </c>
      <c r="AC22" s="638">
        <v>0</v>
      </c>
      <c r="AD22" s="638">
        <v>0</v>
      </c>
      <c r="AE22" s="638">
        <v>0</v>
      </c>
      <c r="AF22" s="638">
        <v>0</v>
      </c>
    </row>
    <row r="23" spans="1:32" ht="21" customHeight="1">
      <c r="A23" s="82">
        <v>19</v>
      </c>
      <c r="B23" s="637" t="s">
        <v>33</v>
      </c>
      <c r="C23" s="638">
        <v>34</v>
      </c>
      <c r="D23" s="638">
        <v>1</v>
      </c>
      <c r="E23" s="638">
        <v>1</v>
      </c>
      <c r="F23" s="638">
        <v>0</v>
      </c>
      <c r="G23" s="638">
        <v>36</v>
      </c>
      <c r="H23" s="638">
        <v>2537</v>
      </c>
      <c r="I23" s="638">
        <v>38</v>
      </c>
      <c r="J23" s="638">
        <v>0</v>
      </c>
      <c r="K23" s="638">
        <v>830</v>
      </c>
      <c r="L23" s="638">
        <v>3405</v>
      </c>
      <c r="M23" s="638">
        <v>68</v>
      </c>
      <c r="N23" s="638">
        <v>0</v>
      </c>
      <c r="O23" s="638">
        <v>0</v>
      </c>
      <c r="P23" s="638">
        <v>68</v>
      </c>
      <c r="Q23" s="638">
        <v>1</v>
      </c>
      <c r="R23" s="638">
        <v>0</v>
      </c>
      <c r="S23" s="638">
        <v>0</v>
      </c>
      <c r="T23" s="638">
        <v>1</v>
      </c>
      <c r="U23" s="638">
        <v>0</v>
      </c>
      <c r="V23" s="638">
        <v>0</v>
      </c>
      <c r="W23" s="638">
        <v>0</v>
      </c>
      <c r="X23" s="638">
        <v>0</v>
      </c>
      <c r="Y23" s="638">
        <v>0</v>
      </c>
      <c r="Z23" s="638">
        <v>0</v>
      </c>
      <c r="AA23" s="638">
        <v>0</v>
      </c>
      <c r="AB23" s="638">
        <v>2</v>
      </c>
      <c r="AC23" s="638">
        <v>1</v>
      </c>
      <c r="AD23" s="638">
        <v>0</v>
      </c>
      <c r="AE23" s="638">
        <v>3</v>
      </c>
      <c r="AF23" s="638">
        <v>0</v>
      </c>
    </row>
    <row r="24" spans="1:32" ht="21" customHeight="1">
      <c r="A24" s="82">
        <v>20</v>
      </c>
      <c r="B24" s="637" t="s">
        <v>34</v>
      </c>
      <c r="C24" s="638">
        <v>2</v>
      </c>
      <c r="D24" s="638">
        <v>3</v>
      </c>
      <c r="E24" s="638">
        <v>1</v>
      </c>
      <c r="F24" s="638">
        <v>1</v>
      </c>
      <c r="G24" s="638">
        <v>7</v>
      </c>
      <c r="H24" s="638">
        <v>4449</v>
      </c>
      <c r="I24" s="638">
        <v>78</v>
      </c>
      <c r="J24" s="638">
        <v>2</v>
      </c>
      <c r="K24" s="638">
        <v>130</v>
      </c>
      <c r="L24" s="638">
        <v>4659</v>
      </c>
      <c r="M24" s="638">
        <v>3</v>
      </c>
      <c r="N24" s="638">
        <v>0</v>
      </c>
      <c r="O24" s="638">
        <v>0</v>
      </c>
      <c r="P24" s="638">
        <v>3</v>
      </c>
      <c r="Q24" s="638">
        <v>2</v>
      </c>
      <c r="R24" s="638">
        <v>2</v>
      </c>
      <c r="S24" s="638">
        <v>0</v>
      </c>
      <c r="T24" s="638">
        <v>4</v>
      </c>
      <c r="U24" s="638">
        <v>0</v>
      </c>
      <c r="V24" s="638">
        <v>1</v>
      </c>
      <c r="W24" s="638">
        <v>1</v>
      </c>
      <c r="X24" s="638">
        <v>88</v>
      </c>
      <c r="Y24" s="638">
        <v>4</v>
      </c>
      <c r="Z24" s="638">
        <v>0</v>
      </c>
      <c r="AA24" s="638">
        <v>92</v>
      </c>
      <c r="AB24" s="638">
        <v>0</v>
      </c>
      <c r="AC24" s="638">
        <v>1</v>
      </c>
      <c r="AD24" s="638">
        <v>0</v>
      </c>
      <c r="AE24" s="638">
        <v>1</v>
      </c>
      <c r="AF24" s="638">
        <v>0</v>
      </c>
    </row>
    <row r="25" spans="1:32" ht="21" customHeight="1">
      <c r="A25" s="82">
        <v>21</v>
      </c>
      <c r="B25" s="637" t="s">
        <v>35</v>
      </c>
      <c r="C25" s="638">
        <v>102</v>
      </c>
      <c r="D25" s="638">
        <v>3</v>
      </c>
      <c r="E25" s="638">
        <v>0</v>
      </c>
      <c r="F25" s="638">
        <v>0</v>
      </c>
      <c r="G25" s="638">
        <v>105</v>
      </c>
      <c r="H25" s="638">
        <v>0</v>
      </c>
      <c r="I25" s="638">
        <v>0</v>
      </c>
      <c r="J25" s="638">
        <v>0</v>
      </c>
      <c r="K25" s="638">
        <v>0</v>
      </c>
      <c r="L25" s="638">
        <v>0</v>
      </c>
      <c r="M25" s="638">
        <v>0</v>
      </c>
      <c r="N25" s="638">
        <v>0</v>
      </c>
      <c r="O25" s="638">
        <v>0</v>
      </c>
      <c r="P25" s="638">
        <v>0</v>
      </c>
      <c r="Q25" s="638">
        <v>0</v>
      </c>
      <c r="R25" s="638">
        <v>0</v>
      </c>
      <c r="S25" s="638">
        <v>0</v>
      </c>
      <c r="T25" s="638">
        <v>0</v>
      </c>
      <c r="U25" s="638">
        <v>0</v>
      </c>
      <c r="V25" s="638">
        <v>0</v>
      </c>
      <c r="W25" s="638">
        <v>0</v>
      </c>
      <c r="X25" s="638">
        <v>0</v>
      </c>
      <c r="Y25" s="638">
        <v>0</v>
      </c>
      <c r="Z25" s="638">
        <v>0</v>
      </c>
      <c r="AA25" s="638">
        <v>0</v>
      </c>
      <c r="AB25" s="638">
        <v>0</v>
      </c>
      <c r="AC25" s="638">
        <v>0</v>
      </c>
      <c r="AD25" s="638">
        <v>0</v>
      </c>
      <c r="AE25" s="638">
        <v>0</v>
      </c>
      <c r="AF25" s="638">
        <v>0</v>
      </c>
    </row>
    <row r="26" spans="1:32" ht="21" customHeight="1">
      <c r="A26" s="82">
        <v>22</v>
      </c>
      <c r="B26" s="637" t="s">
        <v>36</v>
      </c>
      <c r="C26" s="638">
        <v>71</v>
      </c>
      <c r="D26" s="638">
        <v>3</v>
      </c>
      <c r="E26" s="638">
        <v>1</v>
      </c>
      <c r="F26" s="638">
        <v>0</v>
      </c>
      <c r="G26" s="638">
        <v>75</v>
      </c>
      <c r="H26" s="638">
        <v>1</v>
      </c>
      <c r="I26" s="638">
        <v>0</v>
      </c>
      <c r="J26" s="638">
        <v>0</v>
      </c>
      <c r="K26" s="638">
        <v>3</v>
      </c>
      <c r="L26" s="638">
        <v>4</v>
      </c>
      <c r="M26" s="638">
        <v>0</v>
      </c>
      <c r="N26" s="638">
        <v>0</v>
      </c>
      <c r="O26" s="638">
        <v>0</v>
      </c>
      <c r="P26" s="638">
        <v>0</v>
      </c>
      <c r="Q26" s="638">
        <v>0</v>
      </c>
      <c r="R26" s="638">
        <v>0</v>
      </c>
      <c r="S26" s="638">
        <v>0</v>
      </c>
      <c r="T26" s="638">
        <v>0</v>
      </c>
      <c r="U26" s="638">
        <v>0</v>
      </c>
      <c r="V26" s="638">
        <v>0</v>
      </c>
      <c r="W26" s="638">
        <v>0</v>
      </c>
      <c r="X26" s="638">
        <v>0</v>
      </c>
      <c r="Y26" s="638">
        <v>0</v>
      </c>
      <c r="Z26" s="638">
        <v>0</v>
      </c>
      <c r="AA26" s="638">
        <v>0</v>
      </c>
      <c r="AB26" s="638">
        <v>0</v>
      </c>
      <c r="AC26" s="638">
        <v>1</v>
      </c>
      <c r="AD26" s="638">
        <v>0</v>
      </c>
      <c r="AE26" s="638">
        <v>1</v>
      </c>
      <c r="AF26" s="638">
        <v>0</v>
      </c>
    </row>
    <row r="27" spans="1:32" ht="21" customHeight="1">
      <c r="A27" s="82">
        <v>23</v>
      </c>
      <c r="B27" s="637" t="s">
        <v>37</v>
      </c>
      <c r="C27" s="638">
        <v>36</v>
      </c>
      <c r="D27" s="638">
        <v>3</v>
      </c>
      <c r="E27" s="638">
        <v>0</v>
      </c>
      <c r="F27" s="638">
        <v>0</v>
      </c>
      <c r="G27" s="638">
        <v>39</v>
      </c>
      <c r="H27" s="638">
        <v>0</v>
      </c>
      <c r="I27" s="638">
        <v>0</v>
      </c>
      <c r="J27" s="638">
        <v>0</v>
      </c>
      <c r="K27" s="638">
        <v>0</v>
      </c>
      <c r="L27" s="638">
        <v>0</v>
      </c>
      <c r="M27" s="638">
        <v>0</v>
      </c>
      <c r="N27" s="638">
        <v>0</v>
      </c>
      <c r="O27" s="638">
        <v>0</v>
      </c>
      <c r="P27" s="638">
        <v>0</v>
      </c>
      <c r="Q27" s="638">
        <v>0</v>
      </c>
      <c r="R27" s="638">
        <v>0</v>
      </c>
      <c r="S27" s="638">
        <v>0</v>
      </c>
      <c r="T27" s="638">
        <v>0</v>
      </c>
      <c r="U27" s="638">
        <v>0</v>
      </c>
      <c r="V27" s="638">
        <v>0</v>
      </c>
      <c r="W27" s="638">
        <v>0</v>
      </c>
      <c r="X27" s="638">
        <v>0</v>
      </c>
      <c r="Y27" s="638">
        <v>0</v>
      </c>
      <c r="Z27" s="638">
        <v>0</v>
      </c>
      <c r="AA27" s="638">
        <v>0</v>
      </c>
      <c r="AB27" s="638">
        <v>0</v>
      </c>
      <c r="AC27" s="638">
        <v>0</v>
      </c>
      <c r="AD27" s="638">
        <v>0</v>
      </c>
      <c r="AE27" s="638">
        <v>0</v>
      </c>
      <c r="AF27" s="638">
        <v>0</v>
      </c>
    </row>
    <row r="28" spans="1:32" ht="21" customHeight="1">
      <c r="A28" s="82">
        <v>24</v>
      </c>
      <c r="B28" s="637" t="s">
        <v>38</v>
      </c>
      <c r="C28" s="638">
        <v>67</v>
      </c>
      <c r="D28" s="638">
        <v>1</v>
      </c>
      <c r="E28" s="638">
        <v>0</v>
      </c>
      <c r="F28" s="638">
        <v>0</v>
      </c>
      <c r="G28" s="638">
        <v>68</v>
      </c>
      <c r="H28" s="638">
        <v>0</v>
      </c>
      <c r="I28" s="638">
        <v>0</v>
      </c>
      <c r="J28" s="638">
        <v>0</v>
      </c>
      <c r="K28" s="638">
        <v>2</v>
      </c>
      <c r="L28" s="638">
        <v>2</v>
      </c>
      <c r="M28" s="638">
        <v>0</v>
      </c>
      <c r="N28" s="638">
        <v>0</v>
      </c>
      <c r="O28" s="638">
        <v>0</v>
      </c>
      <c r="P28" s="638">
        <v>0</v>
      </c>
      <c r="Q28" s="638">
        <v>0</v>
      </c>
      <c r="R28" s="638">
        <v>0</v>
      </c>
      <c r="S28" s="638">
        <v>0</v>
      </c>
      <c r="T28" s="638">
        <v>0</v>
      </c>
      <c r="U28" s="638">
        <v>0</v>
      </c>
      <c r="V28" s="638">
        <v>0</v>
      </c>
      <c r="W28" s="638">
        <v>0</v>
      </c>
      <c r="X28" s="638">
        <v>0</v>
      </c>
      <c r="Y28" s="638">
        <v>0</v>
      </c>
      <c r="Z28" s="638">
        <v>0</v>
      </c>
      <c r="AA28" s="638">
        <v>0</v>
      </c>
      <c r="AB28" s="638">
        <v>0</v>
      </c>
      <c r="AC28" s="638">
        <v>0</v>
      </c>
      <c r="AD28" s="638">
        <v>0</v>
      </c>
      <c r="AE28" s="638">
        <v>0</v>
      </c>
      <c r="AF28" s="638">
        <v>0</v>
      </c>
    </row>
    <row r="29" spans="1:32" ht="21" customHeight="1">
      <c r="A29" s="82">
        <v>25</v>
      </c>
      <c r="B29" s="637" t="s">
        <v>39</v>
      </c>
      <c r="C29" s="638">
        <v>0</v>
      </c>
      <c r="D29" s="638">
        <v>1</v>
      </c>
      <c r="E29" s="638">
        <v>1</v>
      </c>
      <c r="F29" s="638">
        <v>0</v>
      </c>
      <c r="G29" s="638">
        <v>2</v>
      </c>
      <c r="H29" s="638">
        <v>1178</v>
      </c>
      <c r="I29" s="638">
        <v>27</v>
      </c>
      <c r="J29" s="638">
        <v>1</v>
      </c>
      <c r="K29" s="638">
        <v>2</v>
      </c>
      <c r="L29" s="638">
        <v>1208</v>
      </c>
      <c r="M29" s="638">
        <v>5</v>
      </c>
      <c r="N29" s="638">
        <v>0</v>
      </c>
      <c r="O29" s="638">
        <v>0</v>
      </c>
      <c r="P29" s="638">
        <v>5</v>
      </c>
      <c r="Q29" s="638">
        <v>2</v>
      </c>
      <c r="R29" s="638">
        <v>0</v>
      </c>
      <c r="S29" s="638">
        <v>0</v>
      </c>
      <c r="T29" s="638">
        <v>2</v>
      </c>
      <c r="U29" s="638">
        <v>0</v>
      </c>
      <c r="V29" s="638">
        <v>0</v>
      </c>
      <c r="W29" s="638">
        <v>0</v>
      </c>
      <c r="X29" s="638">
        <v>8</v>
      </c>
      <c r="Y29" s="638">
        <v>0</v>
      </c>
      <c r="Z29" s="638">
        <v>1</v>
      </c>
      <c r="AA29" s="638">
        <v>9</v>
      </c>
      <c r="AB29" s="638">
        <v>0</v>
      </c>
      <c r="AC29" s="638">
        <v>1</v>
      </c>
      <c r="AD29" s="638">
        <v>0</v>
      </c>
      <c r="AE29" s="638">
        <v>1</v>
      </c>
      <c r="AF29" s="638">
        <v>0</v>
      </c>
    </row>
    <row r="30" spans="1:32" ht="21" customHeight="1">
      <c r="A30" s="82">
        <v>26</v>
      </c>
      <c r="B30" s="637" t="s">
        <v>40</v>
      </c>
      <c r="C30" s="638">
        <v>80</v>
      </c>
      <c r="D30" s="638">
        <v>1</v>
      </c>
      <c r="E30" s="638">
        <v>1</v>
      </c>
      <c r="F30" s="638">
        <v>0</v>
      </c>
      <c r="G30" s="638">
        <v>82</v>
      </c>
      <c r="H30" s="638">
        <v>0</v>
      </c>
      <c r="I30" s="638">
        <v>0</v>
      </c>
      <c r="J30" s="638">
        <v>0</v>
      </c>
      <c r="K30" s="638">
        <v>0</v>
      </c>
      <c r="L30" s="638">
        <v>0</v>
      </c>
      <c r="M30" s="638">
        <v>0</v>
      </c>
      <c r="N30" s="638">
        <v>0</v>
      </c>
      <c r="O30" s="638">
        <v>0</v>
      </c>
      <c r="P30" s="638">
        <v>0</v>
      </c>
      <c r="Q30" s="638">
        <v>0</v>
      </c>
      <c r="R30" s="638">
        <v>0</v>
      </c>
      <c r="S30" s="638">
        <v>0</v>
      </c>
      <c r="T30" s="638">
        <v>0</v>
      </c>
      <c r="U30" s="638">
        <v>0</v>
      </c>
      <c r="V30" s="638">
        <v>0</v>
      </c>
      <c r="W30" s="638">
        <v>0</v>
      </c>
      <c r="X30" s="638">
        <v>7</v>
      </c>
      <c r="Y30" s="638">
        <v>1</v>
      </c>
      <c r="Z30" s="638">
        <v>0</v>
      </c>
      <c r="AA30" s="638">
        <v>8</v>
      </c>
      <c r="AB30" s="638">
        <v>0</v>
      </c>
      <c r="AC30" s="638">
        <v>0</v>
      </c>
      <c r="AD30" s="638">
        <v>0</v>
      </c>
      <c r="AE30" s="638">
        <v>0</v>
      </c>
      <c r="AF30" s="638">
        <v>0</v>
      </c>
    </row>
    <row r="31" spans="1:32" ht="21" customHeight="1">
      <c r="A31" s="82">
        <v>27</v>
      </c>
      <c r="B31" s="637" t="s">
        <v>41</v>
      </c>
      <c r="C31" s="638">
        <v>0</v>
      </c>
      <c r="D31" s="638">
        <v>0</v>
      </c>
      <c r="E31" s="638">
        <v>0</v>
      </c>
      <c r="F31" s="638">
        <v>0</v>
      </c>
      <c r="G31" s="638">
        <v>0</v>
      </c>
      <c r="H31" s="638">
        <v>987</v>
      </c>
      <c r="I31" s="638">
        <v>52</v>
      </c>
      <c r="J31" s="638">
        <v>17</v>
      </c>
      <c r="K31" s="638">
        <v>1</v>
      </c>
      <c r="L31" s="638">
        <v>1057</v>
      </c>
      <c r="M31" s="638">
        <v>0</v>
      </c>
      <c r="N31" s="638">
        <v>0</v>
      </c>
      <c r="O31" s="638">
        <v>0</v>
      </c>
      <c r="P31" s="638">
        <v>0</v>
      </c>
      <c r="Q31" s="638">
        <v>0</v>
      </c>
      <c r="R31" s="638">
        <v>0</v>
      </c>
      <c r="S31" s="638">
        <v>0</v>
      </c>
      <c r="T31" s="638">
        <v>0</v>
      </c>
      <c r="U31" s="638">
        <v>0</v>
      </c>
      <c r="V31" s="638">
        <v>0</v>
      </c>
      <c r="W31" s="638">
        <v>0</v>
      </c>
      <c r="X31" s="638">
        <v>0</v>
      </c>
      <c r="Y31" s="638">
        <v>0</v>
      </c>
      <c r="Z31" s="638">
        <v>0</v>
      </c>
      <c r="AA31" s="638">
        <v>0</v>
      </c>
      <c r="AB31" s="638">
        <v>1</v>
      </c>
      <c r="AC31" s="638">
        <v>0</v>
      </c>
      <c r="AD31" s="638">
        <v>0</v>
      </c>
      <c r="AE31" s="638">
        <v>1</v>
      </c>
      <c r="AF31" s="638">
        <v>0</v>
      </c>
    </row>
    <row r="32" spans="1:32" ht="21" customHeight="1">
      <c r="A32" s="82">
        <v>28</v>
      </c>
      <c r="B32" s="637" t="s">
        <v>42</v>
      </c>
      <c r="C32" s="638">
        <v>0</v>
      </c>
      <c r="D32" s="638">
        <v>0</v>
      </c>
      <c r="E32" s="638">
        <v>1</v>
      </c>
      <c r="F32" s="638">
        <v>0</v>
      </c>
      <c r="G32" s="638">
        <v>1</v>
      </c>
      <c r="H32" s="638">
        <v>3658</v>
      </c>
      <c r="I32" s="638">
        <v>36</v>
      </c>
      <c r="J32" s="638">
        <v>0</v>
      </c>
      <c r="K32" s="638">
        <v>78</v>
      </c>
      <c r="L32" s="638">
        <v>3772</v>
      </c>
      <c r="M32" s="638">
        <v>8</v>
      </c>
      <c r="N32" s="638">
        <v>0</v>
      </c>
      <c r="O32" s="638">
        <v>0</v>
      </c>
      <c r="P32" s="638">
        <v>8</v>
      </c>
      <c r="Q32" s="638">
        <v>0</v>
      </c>
      <c r="R32" s="638">
        <v>0</v>
      </c>
      <c r="S32" s="638">
        <v>0</v>
      </c>
      <c r="T32" s="638">
        <v>0</v>
      </c>
      <c r="U32" s="638">
        <v>0</v>
      </c>
      <c r="V32" s="638">
        <v>0</v>
      </c>
      <c r="W32" s="638">
        <v>0</v>
      </c>
      <c r="X32" s="638">
        <v>2</v>
      </c>
      <c r="Y32" s="638">
        <v>0</v>
      </c>
      <c r="Z32" s="638">
        <v>0</v>
      </c>
      <c r="AA32" s="638">
        <v>2</v>
      </c>
      <c r="AB32" s="638">
        <v>1</v>
      </c>
      <c r="AC32" s="638">
        <v>1</v>
      </c>
      <c r="AD32" s="638">
        <v>0</v>
      </c>
      <c r="AE32" s="638">
        <v>2</v>
      </c>
      <c r="AF32" s="638">
        <v>0</v>
      </c>
    </row>
    <row r="33" spans="1:33" ht="21" customHeight="1">
      <c r="A33" s="82">
        <v>29</v>
      </c>
      <c r="B33" s="637" t="s">
        <v>43</v>
      </c>
      <c r="C33" s="638">
        <v>18</v>
      </c>
      <c r="D33" s="638">
        <v>2</v>
      </c>
      <c r="E33" s="638">
        <v>0</v>
      </c>
      <c r="F33" s="638">
        <v>0</v>
      </c>
      <c r="G33" s="638">
        <v>20</v>
      </c>
      <c r="H33" s="638">
        <v>3</v>
      </c>
      <c r="I33" s="638">
        <v>0</v>
      </c>
      <c r="J33" s="638">
        <v>0</v>
      </c>
      <c r="K33" s="638">
        <v>0</v>
      </c>
      <c r="L33" s="638">
        <v>3</v>
      </c>
      <c r="M33" s="638">
        <v>7</v>
      </c>
      <c r="N33" s="638">
        <v>0</v>
      </c>
      <c r="O33" s="638">
        <v>0</v>
      </c>
      <c r="P33" s="638">
        <v>7</v>
      </c>
      <c r="Q33" s="638">
        <v>0</v>
      </c>
      <c r="R33" s="638">
        <v>0</v>
      </c>
      <c r="S33" s="638">
        <v>0</v>
      </c>
      <c r="T33" s="638">
        <v>0</v>
      </c>
      <c r="U33" s="638">
        <v>0</v>
      </c>
      <c r="V33" s="638">
        <v>0</v>
      </c>
      <c r="W33" s="638">
        <v>0</v>
      </c>
      <c r="X33" s="638">
        <v>0</v>
      </c>
      <c r="Y33" s="638">
        <v>0</v>
      </c>
      <c r="Z33" s="638">
        <v>0</v>
      </c>
      <c r="AA33" s="638">
        <v>0</v>
      </c>
      <c r="AB33" s="638">
        <v>0</v>
      </c>
      <c r="AC33" s="638">
        <v>0</v>
      </c>
      <c r="AD33" s="638">
        <v>0</v>
      </c>
      <c r="AE33" s="638">
        <v>0</v>
      </c>
      <c r="AF33" s="638">
        <v>0</v>
      </c>
    </row>
    <row r="34" spans="1:33" ht="21" customHeight="1">
      <c r="A34" s="82">
        <v>30</v>
      </c>
      <c r="B34" s="637" t="s">
        <v>44</v>
      </c>
      <c r="C34" s="638">
        <v>0</v>
      </c>
      <c r="D34" s="638">
        <v>1</v>
      </c>
      <c r="E34" s="638">
        <v>0</v>
      </c>
      <c r="F34" s="638">
        <v>0</v>
      </c>
      <c r="G34" s="638">
        <v>1</v>
      </c>
      <c r="H34" s="638">
        <v>2576</v>
      </c>
      <c r="I34" s="638">
        <v>90</v>
      </c>
      <c r="J34" s="638">
        <v>3</v>
      </c>
      <c r="K34" s="638">
        <v>0</v>
      </c>
      <c r="L34" s="638">
        <v>2669</v>
      </c>
      <c r="M34" s="638">
        <v>0</v>
      </c>
      <c r="N34" s="638">
        <v>0</v>
      </c>
      <c r="O34" s="638">
        <v>0</v>
      </c>
      <c r="P34" s="638">
        <v>0</v>
      </c>
      <c r="Q34" s="638">
        <v>2</v>
      </c>
      <c r="R34" s="638">
        <v>0</v>
      </c>
      <c r="S34" s="638">
        <v>0</v>
      </c>
      <c r="T34" s="638">
        <v>2</v>
      </c>
      <c r="U34" s="638">
        <v>0</v>
      </c>
      <c r="V34" s="638">
        <v>0</v>
      </c>
      <c r="W34" s="638">
        <v>0</v>
      </c>
      <c r="X34" s="638">
        <v>32</v>
      </c>
      <c r="Y34" s="638">
        <v>6</v>
      </c>
      <c r="Z34" s="638">
        <v>0</v>
      </c>
      <c r="AA34" s="638">
        <v>38</v>
      </c>
      <c r="AB34" s="638">
        <v>2</v>
      </c>
      <c r="AC34" s="638">
        <v>1</v>
      </c>
      <c r="AD34" s="638">
        <v>0</v>
      </c>
      <c r="AE34" s="638">
        <v>3</v>
      </c>
      <c r="AF34" s="638">
        <v>0</v>
      </c>
    </row>
    <row r="35" spans="1:33" ht="21" customHeight="1">
      <c r="A35" s="82">
        <v>31</v>
      </c>
      <c r="B35" s="637" t="s">
        <v>142</v>
      </c>
      <c r="C35" s="638">
        <v>0</v>
      </c>
      <c r="D35" s="638">
        <v>1</v>
      </c>
      <c r="E35" s="638">
        <v>0</v>
      </c>
      <c r="F35" s="638">
        <v>2</v>
      </c>
      <c r="G35" s="638">
        <v>3</v>
      </c>
      <c r="H35" s="638">
        <v>2024</v>
      </c>
      <c r="I35" s="638">
        <v>37</v>
      </c>
      <c r="J35" s="638">
        <v>4</v>
      </c>
      <c r="K35" s="638">
        <v>0</v>
      </c>
      <c r="L35" s="638">
        <v>2065</v>
      </c>
      <c r="M35" s="638">
        <v>0</v>
      </c>
      <c r="N35" s="638">
        <v>0</v>
      </c>
      <c r="O35" s="638">
        <v>0</v>
      </c>
      <c r="P35" s="638">
        <v>0</v>
      </c>
      <c r="Q35" s="638">
        <v>0</v>
      </c>
      <c r="R35" s="638">
        <v>0</v>
      </c>
      <c r="S35" s="638">
        <v>0</v>
      </c>
      <c r="T35" s="638">
        <v>0</v>
      </c>
      <c r="U35" s="638">
        <v>0</v>
      </c>
      <c r="V35" s="638">
        <v>1</v>
      </c>
      <c r="W35" s="638">
        <v>1</v>
      </c>
      <c r="X35" s="638">
        <v>0</v>
      </c>
      <c r="Y35" s="638">
        <v>4</v>
      </c>
      <c r="Z35" s="638">
        <v>0</v>
      </c>
      <c r="AA35" s="638">
        <v>4</v>
      </c>
      <c r="AB35" s="638">
        <v>2</v>
      </c>
      <c r="AC35" s="638">
        <v>1</v>
      </c>
      <c r="AD35" s="638">
        <v>0</v>
      </c>
      <c r="AE35" s="638">
        <v>3</v>
      </c>
      <c r="AF35" s="638">
        <v>0</v>
      </c>
    </row>
    <row r="36" spans="1:33" ht="42">
      <c r="A36" s="82">
        <v>32</v>
      </c>
      <c r="B36" s="637" t="s">
        <v>173</v>
      </c>
      <c r="C36" s="638">
        <v>0</v>
      </c>
      <c r="D36" s="638">
        <v>0</v>
      </c>
      <c r="E36" s="638">
        <v>0</v>
      </c>
      <c r="F36" s="638">
        <v>0</v>
      </c>
      <c r="G36" s="638">
        <v>0</v>
      </c>
      <c r="H36" s="638">
        <v>19</v>
      </c>
      <c r="I36" s="638">
        <v>0</v>
      </c>
      <c r="J36" s="638">
        <v>0</v>
      </c>
      <c r="K36" s="638">
        <v>1</v>
      </c>
      <c r="L36" s="638">
        <v>20</v>
      </c>
      <c r="M36" s="638">
        <v>0</v>
      </c>
      <c r="N36" s="638">
        <v>0</v>
      </c>
      <c r="O36" s="638">
        <v>0</v>
      </c>
      <c r="P36" s="638">
        <v>0</v>
      </c>
      <c r="Q36" s="638">
        <v>0</v>
      </c>
      <c r="R36" s="638">
        <v>0</v>
      </c>
      <c r="S36" s="638">
        <v>0</v>
      </c>
      <c r="T36" s="638">
        <v>0</v>
      </c>
      <c r="U36" s="638">
        <v>0</v>
      </c>
      <c r="V36" s="638">
        <v>0</v>
      </c>
      <c r="W36" s="638">
        <v>0</v>
      </c>
      <c r="X36" s="638">
        <v>0</v>
      </c>
      <c r="Y36" s="638">
        <v>0</v>
      </c>
      <c r="Z36" s="638">
        <v>0</v>
      </c>
      <c r="AA36" s="638">
        <v>0</v>
      </c>
      <c r="AB36" s="638">
        <v>0</v>
      </c>
      <c r="AC36" s="638">
        <v>1</v>
      </c>
      <c r="AD36" s="638">
        <v>0</v>
      </c>
      <c r="AE36" s="638">
        <v>1</v>
      </c>
      <c r="AF36" s="638">
        <v>0</v>
      </c>
    </row>
    <row r="37" spans="1:33" ht="21" customHeight="1">
      <c r="A37" s="82">
        <v>33</v>
      </c>
      <c r="B37" s="637" t="s">
        <v>45</v>
      </c>
      <c r="C37" s="638">
        <v>52</v>
      </c>
      <c r="D37" s="638">
        <v>1</v>
      </c>
      <c r="E37" s="638">
        <v>1</v>
      </c>
      <c r="F37" s="638">
        <v>0</v>
      </c>
      <c r="G37" s="638">
        <v>54</v>
      </c>
      <c r="H37" s="638">
        <v>1</v>
      </c>
      <c r="I37" s="638">
        <v>0</v>
      </c>
      <c r="J37" s="638">
        <v>0</v>
      </c>
      <c r="K37" s="638">
        <v>0</v>
      </c>
      <c r="L37" s="638">
        <v>1</v>
      </c>
      <c r="M37" s="638">
        <v>0</v>
      </c>
      <c r="N37" s="638">
        <v>0</v>
      </c>
      <c r="O37" s="638">
        <v>0</v>
      </c>
      <c r="P37" s="638">
        <v>0</v>
      </c>
      <c r="Q37" s="638">
        <v>0</v>
      </c>
      <c r="R37" s="638">
        <v>0</v>
      </c>
      <c r="S37" s="638">
        <v>0</v>
      </c>
      <c r="T37" s="638">
        <v>0</v>
      </c>
      <c r="U37" s="638">
        <v>0</v>
      </c>
      <c r="V37" s="638">
        <v>0</v>
      </c>
      <c r="W37" s="638">
        <v>0</v>
      </c>
      <c r="X37" s="638">
        <v>0</v>
      </c>
      <c r="Y37" s="638">
        <v>0</v>
      </c>
      <c r="Z37" s="638">
        <v>0</v>
      </c>
      <c r="AA37" s="638">
        <v>0</v>
      </c>
      <c r="AB37" s="638">
        <v>0</v>
      </c>
      <c r="AC37" s="638">
        <v>0</v>
      </c>
      <c r="AD37" s="638">
        <v>0</v>
      </c>
      <c r="AE37" s="638">
        <v>0</v>
      </c>
      <c r="AF37" s="638">
        <v>0</v>
      </c>
    </row>
    <row r="38" spans="1:33" ht="21" customHeight="1">
      <c r="A38" s="82">
        <v>34</v>
      </c>
      <c r="B38" s="637" t="s">
        <v>47</v>
      </c>
      <c r="C38" s="638">
        <v>5</v>
      </c>
      <c r="D38" s="638">
        <v>15</v>
      </c>
      <c r="E38" s="638">
        <v>4</v>
      </c>
      <c r="F38" s="638">
        <v>1</v>
      </c>
      <c r="G38" s="638">
        <v>25</v>
      </c>
      <c r="H38" s="638">
        <v>8072</v>
      </c>
      <c r="I38" s="638">
        <v>22</v>
      </c>
      <c r="J38" s="638">
        <v>0</v>
      </c>
      <c r="K38" s="638">
        <v>44</v>
      </c>
      <c r="L38" s="638">
        <v>8138</v>
      </c>
      <c r="M38" s="638">
        <v>7</v>
      </c>
      <c r="N38" s="638">
        <v>2</v>
      </c>
      <c r="O38" s="638">
        <v>1</v>
      </c>
      <c r="P38" s="638">
        <v>10</v>
      </c>
      <c r="Q38" s="638">
        <v>1</v>
      </c>
      <c r="R38" s="638">
        <v>0</v>
      </c>
      <c r="S38" s="638">
        <v>0</v>
      </c>
      <c r="T38" s="638">
        <v>1</v>
      </c>
      <c r="U38" s="638">
        <v>18</v>
      </c>
      <c r="V38" s="638">
        <v>0</v>
      </c>
      <c r="W38" s="638">
        <v>18</v>
      </c>
      <c r="X38" s="638">
        <v>0</v>
      </c>
      <c r="Y38" s="638">
        <v>3</v>
      </c>
      <c r="Z38" s="638">
        <v>0</v>
      </c>
      <c r="AA38" s="638">
        <v>3</v>
      </c>
      <c r="AB38" s="638">
        <v>1</v>
      </c>
      <c r="AC38" s="638">
        <v>2</v>
      </c>
      <c r="AD38" s="638">
        <v>0</v>
      </c>
      <c r="AE38" s="638">
        <v>3</v>
      </c>
      <c r="AF38" s="638">
        <v>0</v>
      </c>
    </row>
    <row r="39" spans="1:33" ht="21" customHeight="1">
      <c r="A39" s="82">
        <v>35</v>
      </c>
      <c r="B39" s="637" t="s">
        <v>46</v>
      </c>
      <c r="C39" s="638">
        <v>82</v>
      </c>
      <c r="D39" s="638">
        <v>0</v>
      </c>
      <c r="E39" s="638">
        <v>1</v>
      </c>
      <c r="F39" s="638">
        <v>0</v>
      </c>
      <c r="G39" s="638">
        <v>83</v>
      </c>
      <c r="H39" s="638">
        <v>379</v>
      </c>
      <c r="I39" s="638">
        <v>16</v>
      </c>
      <c r="J39" s="638">
        <v>2</v>
      </c>
      <c r="K39" s="638">
        <v>3</v>
      </c>
      <c r="L39" s="638">
        <v>400</v>
      </c>
      <c r="M39" s="638">
        <v>8</v>
      </c>
      <c r="N39" s="638">
        <v>0</v>
      </c>
      <c r="O39" s="638">
        <v>0</v>
      </c>
      <c r="P39" s="638">
        <v>8</v>
      </c>
      <c r="Q39" s="638">
        <v>0</v>
      </c>
      <c r="R39" s="638">
        <v>0</v>
      </c>
      <c r="S39" s="638">
        <v>0</v>
      </c>
      <c r="T39" s="638">
        <v>0</v>
      </c>
      <c r="U39" s="638">
        <v>0</v>
      </c>
      <c r="V39" s="638">
        <v>0</v>
      </c>
      <c r="W39" s="638">
        <v>0</v>
      </c>
      <c r="X39" s="638">
        <v>0</v>
      </c>
      <c r="Y39" s="638">
        <v>0</v>
      </c>
      <c r="Z39" s="638">
        <v>0</v>
      </c>
      <c r="AA39" s="638">
        <v>0</v>
      </c>
      <c r="AB39" s="638">
        <v>0</v>
      </c>
      <c r="AC39" s="638">
        <v>0</v>
      </c>
      <c r="AD39" s="638">
        <v>0</v>
      </c>
      <c r="AE39" s="638">
        <v>0</v>
      </c>
      <c r="AF39" s="638">
        <v>0</v>
      </c>
    </row>
    <row r="40" spans="1:33" ht="21" customHeight="1">
      <c r="A40" s="82">
        <v>36</v>
      </c>
      <c r="B40" s="637" t="s">
        <v>48</v>
      </c>
      <c r="C40" s="638">
        <v>0</v>
      </c>
      <c r="D40" s="638">
        <v>3</v>
      </c>
      <c r="E40" s="638">
        <v>1</v>
      </c>
      <c r="F40" s="638">
        <v>0</v>
      </c>
      <c r="G40" s="638">
        <v>4</v>
      </c>
      <c r="H40" s="638">
        <v>1399</v>
      </c>
      <c r="I40" s="638">
        <v>44</v>
      </c>
      <c r="J40" s="638">
        <v>1</v>
      </c>
      <c r="K40" s="638">
        <v>15</v>
      </c>
      <c r="L40" s="638">
        <v>1459</v>
      </c>
      <c r="M40" s="638">
        <v>0</v>
      </c>
      <c r="N40" s="638">
        <v>0</v>
      </c>
      <c r="O40" s="638">
        <v>0</v>
      </c>
      <c r="P40" s="638">
        <v>0</v>
      </c>
      <c r="Q40" s="638">
        <v>2</v>
      </c>
      <c r="R40" s="638">
        <v>1</v>
      </c>
      <c r="S40" s="638">
        <v>1</v>
      </c>
      <c r="T40" s="638">
        <v>4</v>
      </c>
      <c r="U40" s="638">
        <v>0</v>
      </c>
      <c r="V40" s="638">
        <v>0</v>
      </c>
      <c r="W40" s="638">
        <v>0</v>
      </c>
      <c r="X40" s="638">
        <v>3</v>
      </c>
      <c r="Y40" s="638">
        <v>2</v>
      </c>
      <c r="Z40" s="638">
        <v>0</v>
      </c>
      <c r="AA40" s="638">
        <v>5</v>
      </c>
      <c r="AB40" s="638">
        <v>1</v>
      </c>
      <c r="AC40" s="638">
        <v>1</v>
      </c>
      <c r="AD40" s="638">
        <v>0</v>
      </c>
      <c r="AE40" s="638">
        <v>2</v>
      </c>
      <c r="AF40" s="638">
        <v>0</v>
      </c>
    </row>
    <row r="41" spans="1:33" s="809" customFormat="1" ht="21" customHeight="1">
      <c r="A41" s="1129" t="s">
        <v>60</v>
      </c>
      <c r="B41" s="1129"/>
      <c r="C41" s="808">
        <v>674</v>
      </c>
      <c r="D41" s="808">
        <v>126</v>
      </c>
      <c r="E41" s="808">
        <v>16</v>
      </c>
      <c r="F41" s="808">
        <v>8</v>
      </c>
      <c r="G41" s="808">
        <v>824</v>
      </c>
      <c r="H41" s="808">
        <v>41836</v>
      </c>
      <c r="I41" s="808">
        <v>1160</v>
      </c>
      <c r="J41" s="808">
        <v>115</v>
      </c>
      <c r="K41" s="808">
        <v>1326</v>
      </c>
      <c r="L41" s="808">
        <v>44437</v>
      </c>
      <c r="M41" s="808">
        <v>392</v>
      </c>
      <c r="N41" s="808">
        <v>4</v>
      </c>
      <c r="O41" s="808">
        <v>9</v>
      </c>
      <c r="P41" s="808">
        <v>405</v>
      </c>
      <c r="Q41" s="808">
        <v>12</v>
      </c>
      <c r="R41" s="808">
        <v>4</v>
      </c>
      <c r="S41" s="808">
        <v>1</v>
      </c>
      <c r="T41" s="808">
        <v>17</v>
      </c>
      <c r="U41" s="808">
        <v>28</v>
      </c>
      <c r="V41" s="808">
        <v>5</v>
      </c>
      <c r="W41" s="808">
        <v>33</v>
      </c>
      <c r="X41" s="808">
        <v>201</v>
      </c>
      <c r="Y41" s="808">
        <v>43</v>
      </c>
      <c r="Z41" s="808">
        <v>1</v>
      </c>
      <c r="AA41" s="808">
        <v>245</v>
      </c>
      <c r="AB41" s="808">
        <v>21</v>
      </c>
      <c r="AC41" s="808">
        <v>19</v>
      </c>
      <c r="AD41" s="808">
        <v>2</v>
      </c>
      <c r="AE41" s="808">
        <v>42</v>
      </c>
      <c r="AF41" s="808">
        <v>4</v>
      </c>
      <c r="AG41" s="809" t="b">
        <v>1</v>
      </c>
    </row>
    <row r="42" spans="1:33">
      <c r="A42" s="183"/>
      <c r="C42" s="183" t="b">
        <v>1</v>
      </c>
      <c r="D42" s="183" t="b">
        <v>1</v>
      </c>
      <c r="E42" s="183" t="b">
        <v>1</v>
      </c>
      <c r="F42" s="183" t="b">
        <v>1</v>
      </c>
      <c r="G42" s="183" t="b">
        <v>1</v>
      </c>
      <c r="H42" s="183" t="b">
        <v>1</v>
      </c>
      <c r="I42" s="183" t="b">
        <v>1</v>
      </c>
      <c r="J42" s="183" t="b">
        <v>1</v>
      </c>
      <c r="K42" s="183" t="b">
        <v>1</v>
      </c>
      <c r="L42" s="183" t="b">
        <v>1</v>
      </c>
      <c r="M42" s="183" t="b">
        <v>1</v>
      </c>
      <c r="N42" s="183" t="b">
        <v>1</v>
      </c>
      <c r="O42" s="183" t="b">
        <v>1</v>
      </c>
      <c r="P42" s="183" t="b">
        <v>1</v>
      </c>
      <c r="Q42" s="183" t="b">
        <v>1</v>
      </c>
      <c r="R42" s="183" t="b">
        <v>1</v>
      </c>
      <c r="S42" s="183" t="b">
        <v>1</v>
      </c>
      <c r="T42" s="183" t="b">
        <v>1</v>
      </c>
      <c r="U42" s="183" t="b">
        <v>1</v>
      </c>
      <c r="V42" s="183" t="b">
        <v>1</v>
      </c>
      <c r="W42" s="183" t="b">
        <v>1</v>
      </c>
      <c r="X42" s="183" t="b">
        <v>1</v>
      </c>
      <c r="Y42" s="183" t="b">
        <v>1</v>
      </c>
      <c r="Z42" s="183" t="b">
        <v>1</v>
      </c>
      <c r="AA42" s="183" t="b">
        <v>1</v>
      </c>
      <c r="AB42" s="183" t="b">
        <v>1</v>
      </c>
      <c r="AC42" s="183" t="b">
        <v>1</v>
      </c>
      <c r="AD42" s="183" t="b">
        <v>1</v>
      </c>
      <c r="AE42" s="183" t="b">
        <v>1</v>
      </c>
      <c r="AF42" s="183" t="b">
        <v>1</v>
      </c>
    </row>
    <row r="44" spans="1:33">
      <c r="H44" s="810">
        <v>43796</v>
      </c>
    </row>
  </sheetData>
  <mergeCells count="18">
    <mergeCell ref="AE2:AE3"/>
    <mergeCell ref="P2:P3"/>
    <mergeCell ref="Q2:S2"/>
    <mergeCell ref="T2:T3"/>
    <mergeCell ref="U2:V2"/>
    <mergeCell ref="W2:W3"/>
    <mergeCell ref="X2:Z2"/>
    <mergeCell ref="A2:A3"/>
    <mergeCell ref="A1:B1"/>
    <mergeCell ref="A41:B41"/>
    <mergeCell ref="AA2:AA3"/>
    <mergeCell ref="AB2:AD2"/>
    <mergeCell ref="M2:O2"/>
    <mergeCell ref="B2:B3"/>
    <mergeCell ref="C2:F2"/>
    <mergeCell ref="G2:G3"/>
    <mergeCell ref="H2:K2"/>
    <mergeCell ref="L2:L3"/>
  </mergeCells>
  <pageMargins left="0.59055118110236204" right="0.23622047244094499" top="0.55118110236220497" bottom="0.59055118110236204" header="0.31496062992126" footer="0.31496062992126"/>
  <pageSetup paperSize="9" scale="77" firstPageNumber="126" orientation="portrait" useFirstPageNumber="1" r:id="rId1"/>
  <headerFooter>
    <oddFooter>&amp;L&amp;"Arial,Italic"&amp;9     AISHE 2020-21&amp;CT-37</oddFooter>
  </headerFooter>
  <colBreaks count="2" manualBreakCount="2">
    <brk id="12" max="40" man="1"/>
    <brk id="23" max="40" man="1"/>
  </colBreaks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00B050"/>
  </sheetPr>
  <dimension ref="A1:O41"/>
  <sheetViews>
    <sheetView view="pageBreakPreview" topLeftCell="A16" zoomScale="90" zoomScaleSheetLayoutView="90" workbookViewId="0">
      <selection activeCell="C41" sqref="C41"/>
    </sheetView>
  </sheetViews>
  <sheetFormatPr defaultColWidth="8.7265625" defaultRowHeight="14"/>
  <cols>
    <col min="1" max="1" width="3.81640625" style="624" bestFit="1" customWidth="1"/>
    <col min="2" max="2" width="26.26953125" style="624" bestFit="1" customWidth="1"/>
    <col min="3" max="3" width="10.453125" style="624" customWidth="1"/>
    <col min="4" max="4" width="10.1796875" style="624" bestFit="1" customWidth="1"/>
    <col min="5" max="5" width="11" style="624" customWidth="1"/>
    <col min="6" max="6" width="10.1796875" style="624" bestFit="1" customWidth="1"/>
    <col min="7" max="7" width="10.453125" style="624" customWidth="1"/>
    <col min="8" max="8" width="10.1796875" style="624" bestFit="1" customWidth="1"/>
    <col min="9" max="10" width="9" style="624" bestFit="1" customWidth="1"/>
    <col min="11" max="11" width="10" style="624" customWidth="1"/>
    <col min="12" max="12" width="11.7265625" style="624" customWidth="1"/>
    <col min="13" max="13" width="10.81640625" style="624" customWidth="1"/>
    <col min="14" max="14" width="12.81640625" style="624" customWidth="1"/>
    <col min="15" max="15" width="12.54296875" style="624" customWidth="1"/>
    <col min="16" max="16384" width="8.7265625" style="624"/>
  </cols>
  <sheetData>
    <row r="1" spans="1:15" ht="18" customHeight="1">
      <c r="B1" s="793" t="s">
        <v>1073</v>
      </c>
      <c r="C1" s="792" t="s">
        <v>1076</v>
      </c>
      <c r="D1" s="791"/>
      <c r="E1" s="791"/>
      <c r="F1" s="791"/>
      <c r="G1" s="791"/>
      <c r="H1" s="791"/>
      <c r="I1" s="791"/>
      <c r="J1" s="791"/>
      <c r="K1" s="791"/>
    </row>
    <row r="2" spans="1:15" ht="20.25" customHeight="1">
      <c r="A2" s="1142" t="s">
        <v>80</v>
      </c>
      <c r="B2" s="1142" t="s">
        <v>236</v>
      </c>
      <c r="C2" s="925" t="s">
        <v>152</v>
      </c>
      <c r="D2" s="925"/>
      <c r="E2" s="925"/>
      <c r="F2" s="925" t="s">
        <v>538</v>
      </c>
      <c r="G2" s="925"/>
      <c r="H2" s="925"/>
      <c r="I2" s="925" t="s">
        <v>315</v>
      </c>
      <c r="J2" s="925"/>
      <c r="K2" s="1144"/>
      <c r="L2" s="1139" t="s">
        <v>1060</v>
      </c>
    </row>
    <row r="3" spans="1:15" ht="20.25" customHeight="1">
      <c r="A3" s="1143"/>
      <c r="B3" s="1143"/>
      <c r="C3" s="572" t="s">
        <v>87</v>
      </c>
      <c r="D3" s="572" t="s">
        <v>88</v>
      </c>
      <c r="E3" s="572" t="s">
        <v>12</v>
      </c>
      <c r="F3" s="572" t="s">
        <v>87</v>
      </c>
      <c r="G3" s="572" t="s">
        <v>88</v>
      </c>
      <c r="H3" s="572" t="s">
        <v>12</v>
      </c>
      <c r="I3" s="572" t="s">
        <v>87</v>
      </c>
      <c r="J3" s="572" t="s">
        <v>88</v>
      </c>
      <c r="K3" s="625" t="s">
        <v>12</v>
      </c>
      <c r="L3" s="1140"/>
    </row>
    <row r="4" spans="1:15" ht="15.75" customHeight="1">
      <c r="A4" s="626">
        <v>1</v>
      </c>
      <c r="B4" s="626">
        <v>2</v>
      </c>
      <c r="C4" s="626">
        <v>3</v>
      </c>
      <c r="D4" s="626">
        <v>4</v>
      </c>
      <c r="E4" s="626">
        <v>5</v>
      </c>
      <c r="F4" s="626">
        <v>6</v>
      </c>
      <c r="G4" s="626">
        <v>7</v>
      </c>
      <c r="H4" s="626">
        <v>8</v>
      </c>
      <c r="I4" s="626">
        <v>9</v>
      </c>
      <c r="J4" s="626">
        <v>10</v>
      </c>
      <c r="K4" s="627">
        <v>11</v>
      </c>
      <c r="L4" s="626">
        <v>12</v>
      </c>
    </row>
    <row r="5" spans="1:15" s="796" customFormat="1" ht="31.5" customHeight="1">
      <c r="A5" s="794">
        <v>1</v>
      </c>
      <c r="B5" s="795" t="s">
        <v>171</v>
      </c>
      <c r="C5" s="794">
        <v>25613</v>
      </c>
      <c r="D5" s="794">
        <v>23703</v>
      </c>
      <c r="E5" s="794">
        <v>49316</v>
      </c>
      <c r="F5" s="794">
        <v>0</v>
      </c>
      <c r="G5" s="794">
        <v>0</v>
      </c>
      <c r="H5" s="794">
        <v>0</v>
      </c>
      <c r="I5" s="794">
        <v>1798</v>
      </c>
      <c r="J5" s="794">
        <v>1726</v>
      </c>
      <c r="K5" s="794">
        <v>3524</v>
      </c>
      <c r="L5" s="794">
        <v>40109</v>
      </c>
      <c r="M5" s="796">
        <f>J5</f>
        <v>1726</v>
      </c>
      <c r="N5" s="796">
        <f>I5</f>
        <v>1798</v>
      </c>
      <c r="O5" s="796">
        <f>M5+N5</f>
        <v>3524</v>
      </c>
    </row>
    <row r="6" spans="1:15" s="796" customFormat="1" ht="21.75" customHeight="1">
      <c r="A6" s="794">
        <v>2</v>
      </c>
      <c r="B6" s="795" t="s">
        <v>15</v>
      </c>
      <c r="C6" s="794">
        <v>2758000</v>
      </c>
      <c r="D6" s="794">
        <v>2585200</v>
      </c>
      <c r="E6" s="794">
        <v>5343200</v>
      </c>
      <c r="F6" s="794">
        <v>505568</v>
      </c>
      <c r="G6" s="794">
        <v>482811</v>
      </c>
      <c r="H6" s="794">
        <v>988379</v>
      </c>
      <c r="I6" s="794">
        <v>142010</v>
      </c>
      <c r="J6" s="794">
        <v>149915</v>
      </c>
      <c r="K6" s="794">
        <v>291925</v>
      </c>
      <c r="L6" s="794">
        <v>4427000</v>
      </c>
      <c r="M6" s="796">
        <f t="shared" ref="M6:M40" si="0">J6</f>
        <v>149915</v>
      </c>
      <c r="N6" s="796">
        <f t="shared" ref="N6:N40" si="1">I6</f>
        <v>142010</v>
      </c>
      <c r="O6" s="796">
        <f t="shared" ref="O6:O41" si="2">M6+N6</f>
        <v>291925</v>
      </c>
    </row>
    <row r="7" spans="1:15" s="796" customFormat="1" ht="21.75" customHeight="1">
      <c r="A7" s="794">
        <v>3</v>
      </c>
      <c r="B7" s="795" t="s">
        <v>16</v>
      </c>
      <c r="C7" s="794">
        <v>90715</v>
      </c>
      <c r="D7" s="794">
        <v>86312</v>
      </c>
      <c r="E7" s="794">
        <v>177027</v>
      </c>
      <c r="F7" s="794">
        <v>0</v>
      </c>
      <c r="G7" s="794">
        <v>0</v>
      </c>
      <c r="H7" s="794">
        <v>0</v>
      </c>
      <c r="I7" s="794">
        <v>58494</v>
      </c>
      <c r="J7" s="794">
        <v>62114</v>
      </c>
      <c r="K7" s="794">
        <v>120608</v>
      </c>
      <c r="L7" s="794">
        <v>150415</v>
      </c>
      <c r="M7" s="796">
        <f t="shared" si="0"/>
        <v>62114</v>
      </c>
      <c r="N7" s="796">
        <f t="shared" si="1"/>
        <v>58494</v>
      </c>
      <c r="O7" s="796">
        <f t="shared" si="2"/>
        <v>120608</v>
      </c>
    </row>
    <row r="8" spans="1:15" s="796" customFormat="1" ht="21.75" customHeight="1">
      <c r="A8" s="794">
        <v>4</v>
      </c>
      <c r="B8" s="795" t="s">
        <v>17</v>
      </c>
      <c r="C8" s="794">
        <v>2040400</v>
      </c>
      <c r="D8" s="794">
        <v>1935000</v>
      </c>
      <c r="E8" s="794">
        <v>3975400</v>
      </c>
      <c r="F8" s="794">
        <v>159472</v>
      </c>
      <c r="G8" s="794">
        <v>141172</v>
      </c>
      <c r="H8" s="794">
        <v>300644</v>
      </c>
      <c r="I8" s="794">
        <v>249216</v>
      </c>
      <c r="J8" s="794">
        <v>249203</v>
      </c>
      <c r="K8" s="794">
        <v>498419</v>
      </c>
      <c r="L8" s="794">
        <v>3329000</v>
      </c>
      <c r="M8" s="796">
        <f t="shared" si="0"/>
        <v>249203</v>
      </c>
      <c r="N8" s="796">
        <f t="shared" si="1"/>
        <v>249216</v>
      </c>
      <c r="O8" s="796">
        <f t="shared" si="2"/>
        <v>498419</v>
      </c>
    </row>
    <row r="9" spans="1:15" s="796" customFormat="1" ht="21.75" customHeight="1">
      <c r="A9" s="794">
        <v>5</v>
      </c>
      <c r="B9" s="795" t="s">
        <v>18</v>
      </c>
      <c r="C9" s="794">
        <v>7903600</v>
      </c>
      <c r="D9" s="794">
        <v>6960400</v>
      </c>
      <c r="E9" s="794">
        <v>14864000</v>
      </c>
      <c r="F9" s="794">
        <v>1143256</v>
      </c>
      <c r="G9" s="794">
        <v>1089696</v>
      </c>
      <c r="H9" s="794">
        <v>2232952</v>
      </c>
      <c r="I9" s="794">
        <v>93629</v>
      </c>
      <c r="J9" s="794">
        <v>88777</v>
      </c>
      <c r="K9" s="794">
        <v>182406</v>
      </c>
      <c r="L9" s="794">
        <v>12588400</v>
      </c>
      <c r="M9" s="796">
        <f t="shared" si="0"/>
        <v>88777</v>
      </c>
      <c r="N9" s="796">
        <f t="shared" si="1"/>
        <v>93629</v>
      </c>
      <c r="O9" s="796">
        <f t="shared" si="2"/>
        <v>182406</v>
      </c>
    </row>
    <row r="10" spans="1:15" s="796" customFormat="1" ht="21.75" customHeight="1">
      <c r="A10" s="794">
        <v>6</v>
      </c>
      <c r="B10" s="795" t="s">
        <v>19</v>
      </c>
      <c r="C10" s="794">
        <v>94800</v>
      </c>
      <c r="D10" s="794">
        <v>72325</v>
      </c>
      <c r="E10" s="794">
        <v>167125</v>
      </c>
      <c r="F10" s="794">
        <v>17451</v>
      </c>
      <c r="G10" s="794">
        <v>14956</v>
      </c>
      <c r="H10" s="794">
        <v>32407</v>
      </c>
      <c r="I10" s="794">
        <v>0</v>
      </c>
      <c r="J10" s="794">
        <v>0</v>
      </c>
      <c r="K10" s="794">
        <v>0</v>
      </c>
      <c r="L10" s="794">
        <v>138448</v>
      </c>
      <c r="M10" s="796">
        <f t="shared" si="0"/>
        <v>0</v>
      </c>
      <c r="N10" s="796">
        <f t="shared" si="1"/>
        <v>0</v>
      </c>
      <c r="O10" s="796">
        <f t="shared" si="2"/>
        <v>0</v>
      </c>
    </row>
    <row r="11" spans="1:15" s="796" customFormat="1" ht="21.75" customHeight="1">
      <c r="A11" s="794">
        <v>7</v>
      </c>
      <c r="B11" s="795" t="s">
        <v>20</v>
      </c>
      <c r="C11" s="794">
        <v>1682000</v>
      </c>
      <c r="D11" s="794">
        <v>1645800</v>
      </c>
      <c r="E11" s="794">
        <v>3327800</v>
      </c>
      <c r="F11" s="794">
        <v>226018</v>
      </c>
      <c r="G11" s="794">
        <v>217753</v>
      </c>
      <c r="H11" s="794">
        <v>443771</v>
      </c>
      <c r="I11" s="794">
        <v>483260</v>
      </c>
      <c r="J11" s="794">
        <v>502909</v>
      </c>
      <c r="K11" s="794">
        <v>986169</v>
      </c>
      <c r="L11" s="794">
        <v>2775600</v>
      </c>
      <c r="M11" s="796">
        <f t="shared" si="0"/>
        <v>502909</v>
      </c>
      <c r="N11" s="796">
        <f t="shared" si="1"/>
        <v>483260</v>
      </c>
      <c r="O11" s="796">
        <f t="shared" si="2"/>
        <v>986169</v>
      </c>
    </row>
    <row r="12" spans="1:15" s="796" customFormat="1" ht="21.75" customHeight="1">
      <c r="A12" s="794">
        <v>8</v>
      </c>
      <c r="B12" s="795" t="s">
        <v>23</v>
      </c>
      <c r="C12" s="794">
        <v>1210200</v>
      </c>
      <c r="D12" s="794">
        <v>1115600</v>
      </c>
      <c r="E12" s="794">
        <v>2325800</v>
      </c>
      <c r="F12" s="794">
        <v>221686</v>
      </c>
      <c r="G12" s="794">
        <v>214163</v>
      </c>
      <c r="H12" s="794">
        <v>435849</v>
      </c>
      <c r="I12" s="794">
        <v>0</v>
      </c>
      <c r="J12" s="794">
        <v>0</v>
      </c>
      <c r="K12" s="794">
        <v>0</v>
      </c>
      <c r="L12" s="794">
        <v>1915600</v>
      </c>
      <c r="M12" s="796">
        <f t="shared" si="0"/>
        <v>0</v>
      </c>
      <c r="N12" s="796">
        <f t="shared" si="1"/>
        <v>0</v>
      </c>
      <c r="O12" s="796">
        <f t="shared" si="2"/>
        <v>0</v>
      </c>
    </row>
    <row r="13" spans="1:15" s="796" customFormat="1" ht="21.75" customHeight="1">
      <c r="A13" s="794">
        <v>9</v>
      </c>
      <c r="B13" s="795" t="s">
        <v>24</v>
      </c>
      <c r="C13" s="794">
        <v>95604</v>
      </c>
      <c r="D13" s="794">
        <v>82775</v>
      </c>
      <c r="E13" s="794">
        <v>178379</v>
      </c>
      <c r="F13" s="794">
        <v>1761</v>
      </c>
      <c r="G13" s="794">
        <v>1730</v>
      </c>
      <c r="H13" s="794">
        <v>3491</v>
      </c>
      <c r="I13" s="794">
        <v>8634</v>
      </c>
      <c r="J13" s="794">
        <v>8632</v>
      </c>
      <c r="K13" s="794">
        <v>17266</v>
      </c>
      <c r="L13" s="794">
        <v>147541</v>
      </c>
      <c r="M13" s="796">
        <f t="shared" si="0"/>
        <v>8632</v>
      </c>
      <c r="N13" s="796">
        <f t="shared" si="1"/>
        <v>8634</v>
      </c>
      <c r="O13" s="796">
        <f t="shared" si="2"/>
        <v>17266</v>
      </c>
    </row>
    <row r="14" spans="1:15" s="796" customFormat="1" ht="21.75" customHeight="1">
      <c r="A14" s="794">
        <v>10</v>
      </c>
      <c r="B14" s="795" t="s">
        <v>25</v>
      </c>
      <c r="C14" s="794">
        <v>3982400</v>
      </c>
      <c r="D14" s="794">
        <v>3469800</v>
      </c>
      <c r="E14" s="794">
        <v>7452200</v>
      </c>
      <c r="F14" s="794">
        <v>281874</v>
      </c>
      <c r="G14" s="794">
        <v>247001</v>
      </c>
      <c r="H14" s="794">
        <v>528875</v>
      </c>
      <c r="I14" s="794">
        <v>507978</v>
      </c>
      <c r="J14" s="794">
        <v>489546</v>
      </c>
      <c r="K14" s="794">
        <v>997524</v>
      </c>
      <c r="L14" s="794">
        <v>6195200</v>
      </c>
      <c r="M14" s="796">
        <f t="shared" si="0"/>
        <v>489546</v>
      </c>
      <c r="N14" s="796">
        <f t="shared" si="1"/>
        <v>507978</v>
      </c>
      <c r="O14" s="796">
        <f t="shared" si="2"/>
        <v>997524</v>
      </c>
    </row>
    <row r="15" spans="1:15" s="796" customFormat="1" ht="21.75" customHeight="1">
      <c r="A15" s="794">
        <v>11</v>
      </c>
      <c r="B15" s="795" t="s">
        <v>26</v>
      </c>
      <c r="C15" s="794">
        <v>1791200</v>
      </c>
      <c r="D15" s="794">
        <v>1519200</v>
      </c>
      <c r="E15" s="794">
        <v>3310400</v>
      </c>
      <c r="F15" s="794">
        <v>381213</v>
      </c>
      <c r="G15" s="794">
        <v>320091</v>
      </c>
      <c r="H15" s="794">
        <v>701304</v>
      </c>
      <c r="I15" s="794">
        <v>0</v>
      </c>
      <c r="J15" s="794">
        <v>0</v>
      </c>
      <c r="K15" s="794">
        <v>0</v>
      </c>
      <c r="L15" s="794">
        <v>2745600</v>
      </c>
      <c r="M15" s="796">
        <f t="shared" si="0"/>
        <v>0</v>
      </c>
      <c r="N15" s="796">
        <f t="shared" si="1"/>
        <v>0</v>
      </c>
      <c r="O15" s="796">
        <f t="shared" si="2"/>
        <v>0</v>
      </c>
    </row>
    <row r="16" spans="1:15" s="796" customFormat="1" ht="21.75" customHeight="1">
      <c r="A16" s="794">
        <v>12</v>
      </c>
      <c r="B16" s="795" t="s">
        <v>27</v>
      </c>
      <c r="C16" s="794">
        <v>397600</v>
      </c>
      <c r="D16" s="794">
        <v>350200</v>
      </c>
      <c r="E16" s="794">
        <v>747800</v>
      </c>
      <c r="F16" s="794">
        <v>102440</v>
      </c>
      <c r="G16" s="794">
        <v>92453</v>
      </c>
      <c r="H16" s="794">
        <v>194893</v>
      </c>
      <c r="I16" s="794">
        <v>22515</v>
      </c>
      <c r="J16" s="794">
        <v>21146</v>
      </c>
      <c r="K16" s="794">
        <v>43661</v>
      </c>
      <c r="L16" s="794">
        <v>619800</v>
      </c>
      <c r="M16" s="796">
        <f t="shared" si="0"/>
        <v>21146</v>
      </c>
      <c r="N16" s="796">
        <f t="shared" si="1"/>
        <v>22515</v>
      </c>
      <c r="O16" s="796">
        <f t="shared" si="2"/>
        <v>43661</v>
      </c>
    </row>
    <row r="17" spans="1:15" s="796" customFormat="1" ht="21.75" customHeight="1">
      <c r="A17" s="794">
        <v>13</v>
      </c>
      <c r="B17" s="795" t="s">
        <v>57</v>
      </c>
      <c r="C17" s="794">
        <v>839800</v>
      </c>
      <c r="D17" s="794">
        <v>754200</v>
      </c>
      <c r="E17" s="794">
        <v>1594000</v>
      </c>
      <c r="F17" s="794">
        <v>68706</v>
      </c>
      <c r="G17" s="794">
        <v>61187</v>
      </c>
      <c r="H17" s="794">
        <v>129893</v>
      </c>
      <c r="I17" s="794">
        <v>79423</v>
      </c>
      <c r="J17" s="794">
        <v>70845</v>
      </c>
      <c r="K17" s="794">
        <v>150268</v>
      </c>
      <c r="L17" s="794">
        <v>1336200</v>
      </c>
      <c r="M17" s="796">
        <f t="shared" si="0"/>
        <v>70845</v>
      </c>
      <c r="N17" s="796">
        <f t="shared" si="1"/>
        <v>79423</v>
      </c>
      <c r="O17" s="796">
        <f t="shared" si="2"/>
        <v>150268</v>
      </c>
    </row>
    <row r="18" spans="1:15" s="796" customFormat="1" ht="21.75" customHeight="1">
      <c r="A18" s="794">
        <v>14</v>
      </c>
      <c r="B18" s="795" t="s">
        <v>29</v>
      </c>
      <c r="C18" s="794">
        <v>2377600</v>
      </c>
      <c r="D18" s="794">
        <v>2245000</v>
      </c>
      <c r="E18" s="794">
        <v>4622600</v>
      </c>
      <c r="F18" s="794">
        <v>283913</v>
      </c>
      <c r="G18" s="794">
        <v>265031</v>
      </c>
      <c r="H18" s="794">
        <v>548944</v>
      </c>
      <c r="I18" s="794">
        <v>576001</v>
      </c>
      <c r="J18" s="794">
        <v>609452</v>
      </c>
      <c r="K18" s="794">
        <v>1185453</v>
      </c>
      <c r="L18" s="794">
        <v>3880400</v>
      </c>
      <c r="M18" s="796">
        <f t="shared" si="0"/>
        <v>609452</v>
      </c>
      <c r="N18" s="796">
        <f t="shared" si="1"/>
        <v>576001</v>
      </c>
      <c r="O18" s="796">
        <f t="shared" si="2"/>
        <v>1185453</v>
      </c>
    </row>
    <row r="19" spans="1:15" s="796" customFormat="1" ht="21.75" customHeight="1">
      <c r="A19" s="794">
        <v>15</v>
      </c>
      <c r="B19" s="795" t="s">
        <v>30</v>
      </c>
      <c r="C19" s="794">
        <v>3512600</v>
      </c>
      <c r="D19" s="794">
        <v>3273800</v>
      </c>
      <c r="E19" s="794">
        <v>6786400</v>
      </c>
      <c r="F19" s="794">
        <v>622656</v>
      </c>
      <c r="G19" s="794">
        <v>595770</v>
      </c>
      <c r="H19" s="794">
        <v>1218426</v>
      </c>
      <c r="I19" s="794">
        <v>253260</v>
      </c>
      <c r="J19" s="794">
        <v>238408</v>
      </c>
      <c r="K19" s="794">
        <v>491668</v>
      </c>
      <c r="L19" s="794">
        <v>5624400</v>
      </c>
      <c r="M19" s="796">
        <f t="shared" si="0"/>
        <v>238408</v>
      </c>
      <c r="N19" s="796">
        <f t="shared" si="1"/>
        <v>253260</v>
      </c>
      <c r="O19" s="796">
        <f t="shared" si="2"/>
        <v>491668</v>
      </c>
    </row>
    <row r="20" spans="1:15" s="796" customFormat="1" ht="21.75" customHeight="1">
      <c r="A20" s="794">
        <v>16</v>
      </c>
      <c r="B20" s="795" t="s">
        <v>31</v>
      </c>
      <c r="C20" s="794">
        <v>1624200</v>
      </c>
      <c r="D20" s="794">
        <v>1537800</v>
      </c>
      <c r="E20" s="794">
        <v>3162000</v>
      </c>
      <c r="F20" s="794">
        <v>147230</v>
      </c>
      <c r="G20" s="794">
        <v>139108</v>
      </c>
      <c r="H20" s="794">
        <v>286338</v>
      </c>
      <c r="I20" s="794">
        <v>24680</v>
      </c>
      <c r="J20" s="794">
        <v>24800</v>
      </c>
      <c r="K20" s="794">
        <v>49480</v>
      </c>
      <c r="L20" s="794">
        <v>2631600</v>
      </c>
      <c r="M20" s="796">
        <f t="shared" si="0"/>
        <v>24800</v>
      </c>
      <c r="N20" s="796">
        <f t="shared" si="1"/>
        <v>24680</v>
      </c>
      <c r="O20" s="796">
        <f t="shared" si="2"/>
        <v>49480</v>
      </c>
    </row>
    <row r="21" spans="1:15" s="796" customFormat="1" ht="21.75" customHeight="1">
      <c r="A21" s="794">
        <v>17</v>
      </c>
      <c r="B21" s="795" t="s">
        <v>172</v>
      </c>
      <c r="C21" s="794">
        <v>20449</v>
      </c>
      <c r="D21" s="794">
        <v>17094</v>
      </c>
      <c r="E21" s="794">
        <v>37543</v>
      </c>
      <c r="F21" s="794">
        <v>86</v>
      </c>
      <c r="G21" s="794">
        <v>6</v>
      </c>
      <c r="H21" s="794">
        <v>92</v>
      </c>
      <c r="I21" s="794">
        <v>14698</v>
      </c>
      <c r="J21" s="794">
        <v>15678</v>
      </c>
      <c r="K21" s="794">
        <v>30376</v>
      </c>
      <c r="L21" s="794">
        <v>30766</v>
      </c>
      <c r="M21" s="796">
        <f t="shared" si="0"/>
        <v>15678</v>
      </c>
      <c r="N21" s="796">
        <f t="shared" si="1"/>
        <v>14698</v>
      </c>
      <c r="O21" s="796">
        <f t="shared" si="2"/>
        <v>30376</v>
      </c>
    </row>
    <row r="22" spans="1:15" s="796" customFormat="1" ht="21.75" customHeight="1">
      <c r="A22" s="794">
        <v>18</v>
      </c>
      <c r="B22" s="795" t="s">
        <v>32</v>
      </c>
      <c r="C22" s="794">
        <v>4063</v>
      </c>
      <c r="D22" s="794">
        <v>3744</v>
      </c>
      <c r="E22" s="794">
        <v>7807</v>
      </c>
      <c r="F22" s="794">
        <v>0</v>
      </c>
      <c r="G22" s="794">
        <v>0</v>
      </c>
      <c r="H22" s="794">
        <v>0</v>
      </c>
      <c r="I22" s="794">
        <v>3692</v>
      </c>
      <c r="J22" s="794">
        <v>3672</v>
      </c>
      <c r="K22" s="794">
        <v>7364</v>
      </c>
      <c r="L22" s="794">
        <v>6382</v>
      </c>
      <c r="M22" s="796">
        <f t="shared" si="0"/>
        <v>3672</v>
      </c>
      <c r="N22" s="796">
        <f t="shared" si="1"/>
        <v>3692</v>
      </c>
      <c r="O22" s="796">
        <f t="shared" si="2"/>
        <v>7364</v>
      </c>
    </row>
    <row r="23" spans="1:15" s="796" customFormat="1" ht="21.75" customHeight="1">
      <c r="A23" s="794">
        <v>19</v>
      </c>
      <c r="B23" s="795" t="s">
        <v>1058</v>
      </c>
      <c r="C23" s="794">
        <v>5027000</v>
      </c>
      <c r="D23" s="794">
        <v>4569800</v>
      </c>
      <c r="E23" s="794">
        <v>9596800</v>
      </c>
      <c r="F23" s="794">
        <v>824099</v>
      </c>
      <c r="G23" s="794">
        <v>716961</v>
      </c>
      <c r="H23" s="794">
        <v>1541060</v>
      </c>
      <c r="I23" s="794">
        <v>920074</v>
      </c>
      <c r="J23" s="794">
        <v>953643</v>
      </c>
      <c r="K23" s="794">
        <v>1873717</v>
      </c>
      <c r="L23" s="794">
        <v>8024800</v>
      </c>
      <c r="M23" s="796">
        <f t="shared" si="0"/>
        <v>953643</v>
      </c>
      <c r="N23" s="796">
        <f t="shared" si="1"/>
        <v>920074</v>
      </c>
      <c r="O23" s="796">
        <f t="shared" si="2"/>
        <v>1873717</v>
      </c>
    </row>
    <row r="24" spans="1:15" s="796" customFormat="1" ht="21.75" customHeight="1">
      <c r="A24" s="794">
        <v>20</v>
      </c>
      <c r="B24" s="795" t="s">
        <v>34</v>
      </c>
      <c r="C24" s="794">
        <v>6878600</v>
      </c>
      <c r="D24" s="794">
        <v>6137600</v>
      </c>
      <c r="E24" s="794">
        <v>13016200</v>
      </c>
      <c r="F24" s="794">
        <v>838070</v>
      </c>
      <c r="G24" s="794">
        <v>772706</v>
      </c>
      <c r="H24" s="794">
        <v>1610776</v>
      </c>
      <c r="I24" s="794">
        <v>599663</v>
      </c>
      <c r="J24" s="794">
        <v>600462</v>
      </c>
      <c r="K24" s="794">
        <v>1200125</v>
      </c>
      <c r="L24" s="794">
        <v>10788200</v>
      </c>
      <c r="M24" s="796">
        <f t="shared" si="0"/>
        <v>600462</v>
      </c>
      <c r="N24" s="796">
        <f t="shared" si="1"/>
        <v>599663</v>
      </c>
      <c r="O24" s="796">
        <f t="shared" si="2"/>
        <v>1200125</v>
      </c>
    </row>
    <row r="25" spans="1:15" s="796" customFormat="1" ht="21.75" customHeight="1">
      <c r="A25" s="794">
        <v>21</v>
      </c>
      <c r="B25" s="795" t="s">
        <v>35</v>
      </c>
      <c r="C25" s="794">
        <v>186604</v>
      </c>
      <c r="D25" s="794">
        <v>180248</v>
      </c>
      <c r="E25" s="794">
        <v>366852</v>
      </c>
      <c r="F25" s="794">
        <v>6456</v>
      </c>
      <c r="G25" s="794">
        <v>6134</v>
      </c>
      <c r="H25" s="794">
        <v>12590</v>
      </c>
      <c r="I25" s="794">
        <v>101329</v>
      </c>
      <c r="J25" s="794">
        <v>94520</v>
      </c>
      <c r="K25" s="794">
        <v>195849</v>
      </c>
      <c r="L25" s="794">
        <v>304132</v>
      </c>
      <c r="M25" s="796">
        <f t="shared" si="0"/>
        <v>94520</v>
      </c>
      <c r="N25" s="796">
        <f t="shared" si="1"/>
        <v>101329</v>
      </c>
      <c r="O25" s="796">
        <f t="shared" si="2"/>
        <v>195849</v>
      </c>
    </row>
    <row r="26" spans="1:15" s="796" customFormat="1" ht="21.75" customHeight="1">
      <c r="A26" s="794">
        <v>22</v>
      </c>
      <c r="B26" s="795" t="s">
        <v>36</v>
      </c>
      <c r="C26" s="794">
        <v>190864</v>
      </c>
      <c r="D26" s="794">
        <v>187936</v>
      </c>
      <c r="E26" s="794">
        <v>378800</v>
      </c>
      <c r="F26" s="794">
        <v>1285</v>
      </c>
      <c r="G26" s="794">
        <v>1095</v>
      </c>
      <c r="H26" s="794">
        <v>2380</v>
      </c>
      <c r="I26" s="794">
        <v>161573</v>
      </c>
      <c r="J26" s="794">
        <v>163666</v>
      </c>
      <c r="K26" s="794">
        <v>325239</v>
      </c>
      <c r="L26" s="794">
        <v>316696</v>
      </c>
      <c r="M26" s="796">
        <f t="shared" si="0"/>
        <v>163666</v>
      </c>
      <c r="N26" s="796">
        <f t="shared" si="1"/>
        <v>161573</v>
      </c>
      <c r="O26" s="796">
        <f t="shared" si="2"/>
        <v>325239</v>
      </c>
    </row>
    <row r="27" spans="1:15" s="796" customFormat="1" ht="21.75" customHeight="1">
      <c r="A27" s="794">
        <v>23</v>
      </c>
      <c r="B27" s="795" t="s">
        <v>37</v>
      </c>
      <c r="C27" s="794">
        <v>73403</v>
      </c>
      <c r="D27" s="794">
        <v>70919</v>
      </c>
      <c r="E27" s="794">
        <v>144322</v>
      </c>
      <c r="F27" s="794">
        <v>122</v>
      </c>
      <c r="G27" s="794">
        <v>66</v>
      </c>
      <c r="H27" s="794">
        <v>188</v>
      </c>
      <c r="I27" s="794">
        <v>68266</v>
      </c>
      <c r="J27" s="794">
        <v>67824</v>
      </c>
      <c r="K27" s="794">
        <v>136090</v>
      </c>
      <c r="L27" s="794">
        <v>118884</v>
      </c>
      <c r="M27" s="796">
        <f t="shared" si="0"/>
        <v>67824</v>
      </c>
      <c r="N27" s="796">
        <f t="shared" si="1"/>
        <v>68266</v>
      </c>
      <c r="O27" s="796">
        <f t="shared" si="2"/>
        <v>136090</v>
      </c>
    </row>
    <row r="28" spans="1:15" s="796" customFormat="1" ht="21.75" customHeight="1">
      <c r="A28" s="794">
        <v>24</v>
      </c>
      <c r="B28" s="795" t="s">
        <v>38</v>
      </c>
      <c r="C28" s="794">
        <v>141673</v>
      </c>
      <c r="D28" s="794">
        <v>130344</v>
      </c>
      <c r="E28" s="794">
        <v>272017</v>
      </c>
      <c r="F28" s="794">
        <v>0</v>
      </c>
      <c r="G28" s="794">
        <v>0</v>
      </c>
      <c r="H28" s="794">
        <v>0</v>
      </c>
      <c r="I28" s="794">
        <v>120900</v>
      </c>
      <c r="J28" s="794">
        <v>115999</v>
      </c>
      <c r="K28" s="794">
        <v>236899</v>
      </c>
      <c r="L28" s="794">
        <v>228831</v>
      </c>
      <c r="M28" s="796">
        <f t="shared" si="0"/>
        <v>115999</v>
      </c>
      <c r="N28" s="796">
        <f t="shared" si="1"/>
        <v>120900</v>
      </c>
      <c r="O28" s="796">
        <f t="shared" si="2"/>
        <v>236899</v>
      </c>
    </row>
    <row r="29" spans="1:15" s="796" customFormat="1" ht="21.75" customHeight="1">
      <c r="A29" s="794">
        <v>25</v>
      </c>
      <c r="B29" s="795" t="s">
        <v>39</v>
      </c>
      <c r="C29" s="794">
        <v>2465200</v>
      </c>
      <c r="D29" s="794">
        <v>2390200</v>
      </c>
      <c r="E29" s="794">
        <v>4855400</v>
      </c>
      <c r="F29" s="794">
        <v>433801</v>
      </c>
      <c r="G29" s="794">
        <v>421420</v>
      </c>
      <c r="H29" s="794">
        <v>855221</v>
      </c>
      <c r="I29" s="794">
        <v>511839</v>
      </c>
      <c r="J29" s="794">
        <v>541120</v>
      </c>
      <c r="K29" s="794">
        <v>1052959</v>
      </c>
      <c r="L29" s="794">
        <v>4048400</v>
      </c>
      <c r="M29" s="796">
        <f t="shared" si="0"/>
        <v>541120</v>
      </c>
      <c r="N29" s="796">
        <f t="shared" si="1"/>
        <v>511839</v>
      </c>
      <c r="O29" s="796">
        <f t="shared" si="2"/>
        <v>1052959</v>
      </c>
    </row>
    <row r="30" spans="1:15" s="796" customFormat="1" ht="21.75" customHeight="1">
      <c r="A30" s="794">
        <v>26</v>
      </c>
      <c r="B30" s="795" t="s">
        <v>40</v>
      </c>
      <c r="C30" s="794">
        <v>71595</v>
      </c>
      <c r="D30" s="794">
        <v>78610</v>
      </c>
      <c r="E30" s="794">
        <v>150205</v>
      </c>
      <c r="F30" s="794">
        <v>12479</v>
      </c>
      <c r="G30" s="794">
        <v>13852</v>
      </c>
      <c r="H30" s="794">
        <v>26331</v>
      </c>
      <c r="I30" s="794">
        <v>0</v>
      </c>
      <c r="J30" s="794">
        <v>0</v>
      </c>
      <c r="K30" s="794">
        <v>0</v>
      </c>
      <c r="L30" s="794">
        <v>123878</v>
      </c>
      <c r="M30" s="796">
        <f t="shared" si="0"/>
        <v>0</v>
      </c>
      <c r="N30" s="796">
        <f t="shared" si="1"/>
        <v>0</v>
      </c>
      <c r="O30" s="796">
        <f t="shared" si="2"/>
        <v>0</v>
      </c>
    </row>
    <row r="31" spans="1:15" s="796" customFormat="1" ht="21.75" customHeight="1">
      <c r="A31" s="794">
        <v>27</v>
      </c>
      <c r="B31" s="795" t="s">
        <v>41</v>
      </c>
      <c r="C31" s="794">
        <v>1746800</v>
      </c>
      <c r="D31" s="794">
        <v>1425600</v>
      </c>
      <c r="E31" s="794">
        <v>3172400</v>
      </c>
      <c r="F31" s="794">
        <v>580458</v>
      </c>
      <c r="G31" s="794">
        <v>483499</v>
      </c>
      <c r="H31" s="794">
        <v>1063957</v>
      </c>
      <c r="I31" s="794">
        <v>0</v>
      </c>
      <c r="J31" s="794">
        <v>0</v>
      </c>
      <c r="K31" s="794">
        <v>0</v>
      </c>
      <c r="L31" s="794">
        <v>2621800</v>
      </c>
      <c r="M31" s="796">
        <f t="shared" si="0"/>
        <v>0</v>
      </c>
      <c r="N31" s="796">
        <f t="shared" si="1"/>
        <v>0</v>
      </c>
      <c r="O31" s="796">
        <f t="shared" si="2"/>
        <v>0</v>
      </c>
    </row>
    <row r="32" spans="1:15" s="796" customFormat="1" ht="21.75" customHeight="1">
      <c r="A32" s="794">
        <v>28</v>
      </c>
      <c r="B32" s="795" t="s">
        <v>42</v>
      </c>
      <c r="C32" s="794">
        <v>4899800</v>
      </c>
      <c r="D32" s="797">
        <v>4433800</v>
      </c>
      <c r="E32" s="794">
        <v>9333600</v>
      </c>
      <c r="F32" s="794">
        <v>913399</v>
      </c>
      <c r="G32" s="794">
        <v>799824</v>
      </c>
      <c r="H32" s="794">
        <v>1713223</v>
      </c>
      <c r="I32" s="794">
        <v>606964</v>
      </c>
      <c r="J32" s="794">
        <v>586251</v>
      </c>
      <c r="K32" s="794">
        <v>1193215</v>
      </c>
      <c r="L32" s="794">
        <v>7803400</v>
      </c>
      <c r="M32" s="796">
        <f t="shared" si="0"/>
        <v>586251</v>
      </c>
      <c r="N32" s="796">
        <f t="shared" si="1"/>
        <v>606964</v>
      </c>
      <c r="O32" s="796">
        <f t="shared" si="2"/>
        <v>1193215</v>
      </c>
    </row>
    <row r="33" spans="1:15" s="796" customFormat="1" ht="21.75" customHeight="1">
      <c r="A33" s="794">
        <v>29</v>
      </c>
      <c r="B33" s="795" t="s">
        <v>43</v>
      </c>
      <c r="C33" s="794">
        <v>46058</v>
      </c>
      <c r="D33" s="794">
        <v>41059</v>
      </c>
      <c r="E33" s="794">
        <v>87117</v>
      </c>
      <c r="F33" s="794">
        <v>2085</v>
      </c>
      <c r="G33" s="794">
        <v>2116</v>
      </c>
      <c r="H33" s="794">
        <v>4201</v>
      </c>
      <c r="I33" s="794">
        <v>14633</v>
      </c>
      <c r="J33" s="794">
        <v>14177</v>
      </c>
      <c r="K33" s="794">
        <v>28810</v>
      </c>
      <c r="L33" s="794">
        <v>72046</v>
      </c>
      <c r="M33" s="796">
        <f t="shared" si="0"/>
        <v>14177</v>
      </c>
      <c r="N33" s="796">
        <f t="shared" si="1"/>
        <v>14633</v>
      </c>
      <c r="O33" s="796">
        <f t="shared" si="2"/>
        <v>28810</v>
      </c>
    </row>
    <row r="34" spans="1:15" s="796" customFormat="1" ht="21.75" customHeight="1">
      <c r="A34" s="794">
        <v>30</v>
      </c>
      <c r="B34" s="795" t="s">
        <v>1059</v>
      </c>
      <c r="C34" s="794">
        <v>3660800</v>
      </c>
      <c r="D34" s="794">
        <v>3447000</v>
      </c>
      <c r="E34" s="794">
        <v>7107800</v>
      </c>
      <c r="F34" s="794">
        <v>793370</v>
      </c>
      <c r="G34" s="794">
        <v>765524</v>
      </c>
      <c r="H34" s="794">
        <v>1558894</v>
      </c>
      <c r="I34" s="794">
        <v>40660</v>
      </c>
      <c r="J34" s="794">
        <v>40321</v>
      </c>
      <c r="K34" s="794">
        <v>80981</v>
      </c>
      <c r="L34" s="794">
        <v>5893000</v>
      </c>
      <c r="M34" s="796">
        <f t="shared" si="0"/>
        <v>40321</v>
      </c>
      <c r="N34" s="796">
        <f t="shared" si="1"/>
        <v>40660</v>
      </c>
      <c r="O34" s="796">
        <f t="shared" si="2"/>
        <v>80981</v>
      </c>
    </row>
    <row r="35" spans="1:15" s="796" customFormat="1" ht="21.75" customHeight="1">
      <c r="A35" s="794">
        <v>31</v>
      </c>
      <c r="B35" s="795" t="s">
        <v>142</v>
      </c>
      <c r="C35" s="794">
        <v>2072600</v>
      </c>
      <c r="D35" s="794">
        <v>1950000</v>
      </c>
      <c r="E35" s="794">
        <v>4022600</v>
      </c>
      <c r="F35" s="794">
        <v>336966</v>
      </c>
      <c r="G35" s="794">
        <v>316547</v>
      </c>
      <c r="H35" s="794">
        <v>653513</v>
      </c>
      <c r="I35" s="794">
        <v>185788</v>
      </c>
      <c r="J35" s="794">
        <v>178751</v>
      </c>
      <c r="K35" s="794">
        <v>364539</v>
      </c>
      <c r="L35" s="794">
        <v>93477</v>
      </c>
      <c r="M35" s="796">
        <f t="shared" si="0"/>
        <v>178751</v>
      </c>
      <c r="N35" s="796">
        <f t="shared" si="1"/>
        <v>185788</v>
      </c>
      <c r="O35" s="796">
        <f t="shared" si="2"/>
        <v>364539</v>
      </c>
    </row>
    <row r="36" spans="1:15" s="796" customFormat="1" ht="47.25" customHeight="1">
      <c r="A36" s="794">
        <v>32</v>
      </c>
      <c r="B36" s="795" t="s">
        <v>173</v>
      </c>
      <c r="C36" s="794">
        <v>75276</v>
      </c>
      <c r="D36" s="794">
        <v>36149</v>
      </c>
      <c r="E36" s="794">
        <v>111425</v>
      </c>
      <c r="F36" s="794">
        <v>1022</v>
      </c>
      <c r="G36" s="794">
        <v>825</v>
      </c>
      <c r="H36" s="794">
        <v>1847</v>
      </c>
      <c r="I36" s="794">
        <v>13014</v>
      </c>
      <c r="J36" s="794">
        <v>14057</v>
      </c>
      <c r="K36" s="794">
        <v>27071</v>
      </c>
      <c r="L36" s="794">
        <v>3336200</v>
      </c>
      <c r="M36" s="796">
        <f t="shared" si="0"/>
        <v>14057</v>
      </c>
      <c r="N36" s="796">
        <f t="shared" si="1"/>
        <v>13014</v>
      </c>
      <c r="O36" s="796">
        <f t="shared" si="2"/>
        <v>27071</v>
      </c>
    </row>
    <row r="37" spans="1:15" s="796" customFormat="1" ht="21.75" customHeight="1">
      <c r="A37" s="794">
        <v>33</v>
      </c>
      <c r="B37" s="795" t="s">
        <v>45</v>
      </c>
      <c r="C37" s="794">
        <v>242700</v>
      </c>
      <c r="D37" s="794">
        <v>240582</v>
      </c>
      <c r="E37" s="794">
        <v>483282</v>
      </c>
      <c r="F37" s="794">
        <v>47176</v>
      </c>
      <c r="G37" s="794">
        <v>44613</v>
      </c>
      <c r="H37" s="794">
        <v>91789</v>
      </c>
      <c r="I37" s="794">
        <v>75810</v>
      </c>
      <c r="J37" s="794">
        <v>81484</v>
      </c>
      <c r="K37" s="794">
        <v>157294</v>
      </c>
      <c r="L37" s="794">
        <v>401397</v>
      </c>
      <c r="M37" s="796">
        <f t="shared" si="0"/>
        <v>81484</v>
      </c>
      <c r="N37" s="796">
        <f t="shared" si="1"/>
        <v>75810</v>
      </c>
      <c r="O37" s="796">
        <f t="shared" si="2"/>
        <v>157294</v>
      </c>
    </row>
    <row r="38" spans="1:15" s="796" customFormat="1" ht="21.75" customHeight="1">
      <c r="A38" s="794">
        <v>34</v>
      </c>
      <c r="B38" s="795" t="s">
        <v>47</v>
      </c>
      <c r="C38" s="794">
        <v>15216400</v>
      </c>
      <c r="D38" s="794">
        <v>13405200</v>
      </c>
      <c r="E38" s="794">
        <v>28621600</v>
      </c>
      <c r="F38" s="794">
        <v>3103164</v>
      </c>
      <c r="G38" s="794">
        <v>2647197</v>
      </c>
      <c r="H38" s="794">
        <v>5750361</v>
      </c>
      <c r="I38" s="794">
        <v>73580</v>
      </c>
      <c r="J38" s="794">
        <v>72660</v>
      </c>
      <c r="K38" s="794">
        <v>146240</v>
      </c>
      <c r="L38" s="794">
        <v>23941200</v>
      </c>
      <c r="M38" s="796">
        <f t="shared" si="0"/>
        <v>72660</v>
      </c>
      <c r="N38" s="796">
        <f t="shared" si="1"/>
        <v>73580</v>
      </c>
      <c r="O38" s="796">
        <f t="shared" si="2"/>
        <v>146240</v>
      </c>
    </row>
    <row r="39" spans="1:15" s="796" customFormat="1" ht="21.75" customHeight="1">
      <c r="A39" s="794">
        <v>35</v>
      </c>
      <c r="B39" s="795" t="s">
        <v>46</v>
      </c>
      <c r="C39" s="794">
        <v>712800</v>
      </c>
      <c r="D39" s="794">
        <v>645000</v>
      </c>
      <c r="E39" s="794">
        <v>1357800</v>
      </c>
      <c r="F39" s="794">
        <v>134981</v>
      </c>
      <c r="G39" s="794">
        <v>121808</v>
      </c>
      <c r="H39" s="794">
        <v>256789</v>
      </c>
      <c r="I39" s="794">
        <v>21926</v>
      </c>
      <c r="J39" s="794">
        <v>21064</v>
      </c>
      <c r="K39" s="794">
        <v>42990</v>
      </c>
      <c r="L39" s="794">
        <v>1125600</v>
      </c>
      <c r="M39" s="796">
        <f t="shared" si="0"/>
        <v>21064</v>
      </c>
      <c r="N39" s="796">
        <f t="shared" si="1"/>
        <v>21926</v>
      </c>
      <c r="O39" s="796">
        <f t="shared" si="2"/>
        <v>42990</v>
      </c>
    </row>
    <row r="40" spans="1:15" s="796" customFormat="1" ht="21.75" customHeight="1">
      <c r="A40" s="794">
        <v>36</v>
      </c>
      <c r="B40" s="795" t="s">
        <v>48</v>
      </c>
      <c r="C40" s="794">
        <v>5348800</v>
      </c>
      <c r="D40" s="794">
        <v>5069000</v>
      </c>
      <c r="E40" s="794">
        <v>10417800</v>
      </c>
      <c r="F40" s="794">
        <v>1159194</v>
      </c>
      <c r="G40" s="794">
        <v>1125744</v>
      </c>
      <c r="H40" s="794">
        <v>2284938</v>
      </c>
      <c r="I40" s="794">
        <v>313283</v>
      </c>
      <c r="J40" s="794">
        <v>316157</v>
      </c>
      <c r="K40" s="794">
        <v>629440</v>
      </c>
      <c r="L40" s="794">
        <v>8642600</v>
      </c>
      <c r="M40" s="796">
        <f t="shared" si="0"/>
        <v>316157</v>
      </c>
      <c r="N40" s="796">
        <f t="shared" si="1"/>
        <v>313283</v>
      </c>
      <c r="O40" s="796">
        <f t="shared" si="2"/>
        <v>629440</v>
      </c>
    </row>
    <row r="41" spans="1:15" s="796" customFormat="1" ht="21.75" customHeight="1">
      <c r="A41" s="1141" t="s">
        <v>49</v>
      </c>
      <c r="B41" s="1141"/>
      <c r="C41" s="794">
        <f>SUM(C5:C40)</f>
        <v>79507817</v>
      </c>
      <c r="D41" s="794">
        <f t="shared" ref="D41:L41" si="3">SUM(D5:D40)</f>
        <v>72117000</v>
      </c>
      <c r="E41" s="794">
        <f t="shared" si="3"/>
        <v>151624817</v>
      </c>
      <c r="F41" s="794">
        <f t="shared" si="3"/>
        <v>13351457</v>
      </c>
      <c r="G41" s="794">
        <f t="shared" si="3"/>
        <v>12122859</v>
      </c>
      <c r="H41" s="794">
        <f t="shared" si="3"/>
        <v>25474316</v>
      </c>
      <c r="I41" s="794">
        <f t="shared" si="3"/>
        <v>6348590</v>
      </c>
      <c r="J41" s="794">
        <f t="shared" si="3"/>
        <v>6398979</v>
      </c>
      <c r="K41" s="794">
        <f t="shared" si="3"/>
        <v>12747569</v>
      </c>
      <c r="L41" s="794">
        <f t="shared" si="3"/>
        <v>126467002</v>
      </c>
      <c r="M41" s="796">
        <f>G41</f>
        <v>12122859</v>
      </c>
      <c r="N41" s="796">
        <f>F41</f>
        <v>13351457</v>
      </c>
      <c r="O41" s="796">
        <f t="shared" si="2"/>
        <v>25474316</v>
      </c>
    </row>
  </sheetData>
  <mergeCells count="7">
    <mergeCell ref="L2:L3"/>
    <mergeCell ref="A41:B41"/>
    <mergeCell ref="A2:A3"/>
    <mergeCell ref="B2:B3"/>
    <mergeCell ref="C2:E2"/>
    <mergeCell ref="F2:H2"/>
    <mergeCell ref="I2:K2"/>
  </mergeCells>
  <pageMargins left="0.70866141732283472" right="0.70866141732283472" top="0.74803149606299213" bottom="0.74803149606299213" header="0.31496062992125984" footer="0.31496062992125984"/>
  <pageSetup scale="76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00B050"/>
  </sheetPr>
  <dimension ref="A1:AO42"/>
  <sheetViews>
    <sheetView view="pageBreakPreview" topLeftCell="AD34" zoomScaleSheetLayoutView="100" workbookViewId="0">
      <selection activeCell="AL42" sqref="AL42"/>
    </sheetView>
  </sheetViews>
  <sheetFormatPr defaultColWidth="9.1796875" defaultRowHeight="15.5"/>
  <cols>
    <col min="1" max="1" width="5.1796875" style="216" customWidth="1"/>
    <col min="2" max="2" width="24.81640625" style="216" customWidth="1"/>
    <col min="3" max="14" width="8.7265625" style="216" customWidth="1"/>
    <col min="15" max="15" width="8.26953125" style="216" customWidth="1"/>
    <col min="16" max="16" width="9.1796875" style="216" bestFit="1" customWidth="1"/>
    <col min="17" max="17" width="8.7265625" style="216" customWidth="1"/>
    <col min="18" max="18" width="7.81640625" style="216" bestFit="1" customWidth="1"/>
    <col min="19" max="19" width="9.1796875" style="216" bestFit="1" customWidth="1"/>
    <col min="20" max="20" width="9" style="216" bestFit="1" customWidth="1"/>
    <col min="21" max="21" width="6.26953125" style="216" bestFit="1" customWidth="1"/>
    <col min="22" max="22" width="9.1796875" style="216" bestFit="1" customWidth="1"/>
    <col min="23" max="23" width="6.26953125" style="216" customWidth="1"/>
    <col min="24" max="24" width="6.26953125" style="216" bestFit="1" customWidth="1"/>
    <col min="25" max="25" width="9.1796875" style="216" bestFit="1" customWidth="1"/>
    <col min="26" max="26" width="7.1796875" style="216" customWidth="1"/>
    <col min="27" max="27" width="6.7265625" style="216" customWidth="1"/>
    <col min="28" max="28" width="9.1796875" style="216" bestFit="1" customWidth="1"/>
    <col min="29" max="29" width="6.7265625" style="216" bestFit="1" customWidth="1"/>
    <col min="30" max="38" width="11.81640625" style="216" customWidth="1"/>
    <col min="39" max="16384" width="9.1796875" style="216"/>
  </cols>
  <sheetData>
    <row r="1" spans="1:38" s="542" customFormat="1" ht="40.5" customHeight="1">
      <c r="B1" s="158" t="s">
        <v>155</v>
      </c>
      <c r="C1" s="958" t="s">
        <v>1015</v>
      </c>
      <c r="D1" s="958"/>
      <c r="E1" s="958"/>
      <c r="F1" s="958"/>
      <c r="G1" s="958"/>
      <c r="H1" s="958"/>
      <c r="I1" s="958"/>
      <c r="J1" s="958"/>
      <c r="K1" s="958"/>
      <c r="L1" s="958"/>
      <c r="M1" s="958"/>
      <c r="N1" s="958"/>
      <c r="O1" s="958" t="str">
        <f>C1</f>
        <v>Enrolment by Type in  University teaching departments and it's Constituent Units/Off-campus Centres
(Based on Actual Response)</v>
      </c>
      <c r="P1" s="958"/>
      <c r="Q1" s="958"/>
      <c r="R1" s="958"/>
      <c r="S1" s="958"/>
      <c r="T1" s="958"/>
      <c r="U1" s="958"/>
      <c r="V1" s="958"/>
      <c r="W1" s="958"/>
      <c r="X1" s="958"/>
      <c r="Y1" s="958"/>
      <c r="Z1" s="958"/>
      <c r="AA1" s="958"/>
      <c r="AB1" s="958"/>
      <c r="AC1" s="958"/>
      <c r="AD1" s="958" t="str">
        <f>O1</f>
        <v>Enrolment by Type in  University teaching departments and it's Constituent Units/Off-campus Centres
(Based on Actual Response)</v>
      </c>
      <c r="AE1" s="958"/>
      <c r="AF1" s="958"/>
      <c r="AG1" s="958"/>
      <c r="AH1" s="958"/>
      <c r="AI1" s="958"/>
      <c r="AJ1" s="958"/>
      <c r="AK1" s="958"/>
      <c r="AL1" s="958"/>
    </row>
    <row r="2" spans="1:38" s="217" customFormat="1" ht="48" customHeight="1">
      <c r="A2" s="1104" t="s">
        <v>84</v>
      </c>
      <c r="B2" s="1089" t="s">
        <v>2</v>
      </c>
      <c r="C2" s="1146" t="s">
        <v>125</v>
      </c>
      <c r="D2" s="1147"/>
      <c r="E2" s="1148"/>
      <c r="F2" s="1146" t="s">
        <v>126</v>
      </c>
      <c r="G2" s="1147"/>
      <c r="H2" s="1148"/>
      <c r="I2" s="1146" t="s">
        <v>127</v>
      </c>
      <c r="J2" s="1147"/>
      <c r="K2" s="1148"/>
      <c r="L2" s="1146" t="s">
        <v>128</v>
      </c>
      <c r="M2" s="1147"/>
      <c r="N2" s="1148"/>
      <c r="O2" s="1146" t="s">
        <v>129</v>
      </c>
      <c r="P2" s="1147"/>
      <c r="Q2" s="1148"/>
      <c r="R2" s="1146" t="s">
        <v>130</v>
      </c>
      <c r="S2" s="1147"/>
      <c r="T2" s="1148"/>
      <c r="U2" s="1146" t="s">
        <v>145</v>
      </c>
      <c r="V2" s="1147"/>
      <c r="W2" s="1148"/>
      <c r="X2" s="1146" t="s">
        <v>131</v>
      </c>
      <c r="Y2" s="1147"/>
      <c r="Z2" s="1148"/>
      <c r="AA2" s="1146" t="s">
        <v>132</v>
      </c>
      <c r="AB2" s="1147"/>
      <c r="AC2" s="1148"/>
      <c r="AD2" s="1146" t="s">
        <v>133</v>
      </c>
      <c r="AE2" s="1147"/>
      <c r="AF2" s="1148"/>
      <c r="AG2" s="1146" t="s">
        <v>134</v>
      </c>
      <c r="AH2" s="1147"/>
      <c r="AI2" s="1148"/>
      <c r="AJ2" s="1146" t="s">
        <v>60</v>
      </c>
      <c r="AK2" s="1147"/>
      <c r="AL2" s="1148"/>
    </row>
    <row r="3" spans="1:38" s="218" customFormat="1" ht="40.5" customHeight="1">
      <c r="A3" s="1105"/>
      <c r="B3" s="1089"/>
      <c r="C3" s="622" t="s">
        <v>87</v>
      </c>
      <c r="D3" s="622" t="s">
        <v>88</v>
      </c>
      <c r="E3" s="622" t="s">
        <v>12</v>
      </c>
      <c r="F3" s="622" t="s">
        <v>87</v>
      </c>
      <c r="G3" s="622" t="s">
        <v>88</v>
      </c>
      <c r="H3" s="622" t="s">
        <v>12</v>
      </c>
      <c r="I3" s="622" t="s">
        <v>87</v>
      </c>
      <c r="J3" s="622" t="s">
        <v>88</v>
      </c>
      <c r="K3" s="622" t="s">
        <v>12</v>
      </c>
      <c r="L3" s="622" t="s">
        <v>87</v>
      </c>
      <c r="M3" s="622" t="s">
        <v>88</v>
      </c>
      <c r="N3" s="622" t="s">
        <v>12</v>
      </c>
      <c r="O3" s="622" t="s">
        <v>87</v>
      </c>
      <c r="P3" s="622" t="s">
        <v>88</v>
      </c>
      <c r="Q3" s="622" t="s">
        <v>12</v>
      </c>
      <c r="R3" s="622" t="s">
        <v>87</v>
      </c>
      <c r="S3" s="622" t="s">
        <v>88</v>
      </c>
      <c r="T3" s="622" t="s">
        <v>12</v>
      </c>
      <c r="U3" s="622" t="s">
        <v>87</v>
      </c>
      <c r="V3" s="622" t="s">
        <v>88</v>
      </c>
      <c r="W3" s="622" t="s">
        <v>12</v>
      </c>
      <c r="X3" s="622" t="s">
        <v>87</v>
      </c>
      <c r="Y3" s="622" t="s">
        <v>88</v>
      </c>
      <c r="Z3" s="622" t="s">
        <v>12</v>
      </c>
      <c r="AA3" s="622" t="s">
        <v>87</v>
      </c>
      <c r="AB3" s="622" t="s">
        <v>88</v>
      </c>
      <c r="AC3" s="622" t="s">
        <v>12</v>
      </c>
      <c r="AD3" s="622" t="s">
        <v>87</v>
      </c>
      <c r="AE3" s="622" t="s">
        <v>88</v>
      </c>
      <c r="AF3" s="622" t="s">
        <v>12</v>
      </c>
      <c r="AG3" s="622" t="s">
        <v>87</v>
      </c>
      <c r="AH3" s="622" t="s">
        <v>88</v>
      </c>
      <c r="AI3" s="622" t="s">
        <v>12</v>
      </c>
      <c r="AJ3" s="622" t="s">
        <v>87</v>
      </c>
      <c r="AK3" s="622" t="s">
        <v>88</v>
      </c>
      <c r="AL3" s="622" t="s">
        <v>12</v>
      </c>
    </row>
    <row r="4" spans="1:38" s="220" customFormat="1" ht="15" customHeight="1">
      <c r="A4" s="219">
        <v>1</v>
      </c>
      <c r="B4" s="219">
        <v>2</v>
      </c>
      <c r="C4" s="219">
        <v>3</v>
      </c>
      <c r="D4" s="219">
        <v>4</v>
      </c>
      <c r="E4" s="219">
        <v>5</v>
      </c>
      <c r="F4" s="219">
        <v>6</v>
      </c>
      <c r="G4" s="219">
        <v>7</v>
      </c>
      <c r="H4" s="219">
        <v>8</v>
      </c>
      <c r="I4" s="219">
        <v>9</v>
      </c>
      <c r="J4" s="219">
        <v>10</v>
      </c>
      <c r="K4" s="219">
        <v>11</v>
      </c>
      <c r="L4" s="219">
        <v>12</v>
      </c>
      <c r="M4" s="219">
        <v>13</v>
      </c>
      <c r="N4" s="219">
        <v>14</v>
      </c>
      <c r="O4" s="219">
        <v>15</v>
      </c>
      <c r="P4" s="219">
        <v>16</v>
      </c>
      <c r="Q4" s="219">
        <v>17</v>
      </c>
      <c r="R4" s="219">
        <v>18</v>
      </c>
      <c r="S4" s="219">
        <v>19</v>
      </c>
      <c r="T4" s="219">
        <v>20</v>
      </c>
      <c r="U4" s="219">
        <v>21</v>
      </c>
      <c r="V4" s="219">
        <v>22</v>
      </c>
      <c r="W4" s="219">
        <v>23</v>
      </c>
      <c r="X4" s="219">
        <v>24</v>
      </c>
      <c r="Y4" s="219">
        <v>25</v>
      </c>
      <c r="Z4" s="219">
        <v>26</v>
      </c>
      <c r="AA4" s="219">
        <v>27</v>
      </c>
      <c r="AB4" s="219">
        <v>28</v>
      </c>
      <c r="AC4" s="219">
        <v>29</v>
      </c>
      <c r="AD4" s="219">
        <v>30</v>
      </c>
      <c r="AE4" s="219">
        <v>31</v>
      </c>
      <c r="AF4" s="219">
        <v>32</v>
      </c>
      <c r="AG4" s="219">
        <v>33</v>
      </c>
      <c r="AH4" s="219">
        <v>34</v>
      </c>
      <c r="AI4" s="219">
        <v>35</v>
      </c>
      <c r="AJ4" s="219">
        <v>39</v>
      </c>
      <c r="AK4" s="219">
        <v>40</v>
      </c>
      <c r="AL4" s="219">
        <v>41</v>
      </c>
    </row>
    <row r="5" spans="1:38" s="220" customFormat="1" ht="30.75" customHeight="1">
      <c r="A5" s="221">
        <v>1</v>
      </c>
      <c r="B5" s="222" t="s">
        <v>171</v>
      </c>
      <c r="C5" s="103">
        <v>0</v>
      </c>
      <c r="D5" s="103">
        <v>0</v>
      </c>
      <c r="E5" s="103">
        <v>0</v>
      </c>
      <c r="F5" s="103">
        <v>2186</v>
      </c>
      <c r="G5" s="103">
        <v>2042</v>
      </c>
      <c r="H5" s="103">
        <v>4228</v>
      </c>
      <c r="I5" s="103">
        <v>0</v>
      </c>
      <c r="J5" s="103">
        <v>0</v>
      </c>
      <c r="K5" s="103">
        <v>0</v>
      </c>
      <c r="L5" s="103">
        <v>0</v>
      </c>
      <c r="M5" s="103">
        <v>0</v>
      </c>
      <c r="N5" s="103">
        <v>0</v>
      </c>
      <c r="O5" s="103">
        <v>0</v>
      </c>
      <c r="P5" s="103">
        <v>0</v>
      </c>
      <c r="Q5" s="103">
        <v>0</v>
      </c>
      <c r="R5" s="103">
        <v>0</v>
      </c>
      <c r="S5" s="103">
        <v>0</v>
      </c>
      <c r="T5" s="103">
        <v>0</v>
      </c>
      <c r="U5" s="103">
        <v>0</v>
      </c>
      <c r="V5" s="103">
        <v>0</v>
      </c>
      <c r="W5" s="103">
        <v>0</v>
      </c>
      <c r="X5" s="103">
        <v>0</v>
      </c>
      <c r="Y5" s="103">
        <v>0</v>
      </c>
      <c r="Z5" s="103">
        <v>0</v>
      </c>
      <c r="AA5" s="103">
        <v>0</v>
      </c>
      <c r="AB5" s="103">
        <v>0</v>
      </c>
      <c r="AC5" s="103">
        <v>0</v>
      </c>
      <c r="AD5" s="103">
        <v>0</v>
      </c>
      <c r="AE5" s="103">
        <v>0</v>
      </c>
      <c r="AF5" s="103">
        <v>0</v>
      </c>
      <c r="AG5" s="103">
        <v>0</v>
      </c>
      <c r="AH5" s="103">
        <v>0</v>
      </c>
      <c r="AI5" s="103">
        <v>0</v>
      </c>
      <c r="AJ5" s="103">
        <v>2186</v>
      </c>
      <c r="AK5" s="103">
        <v>2042</v>
      </c>
      <c r="AL5" s="623">
        <v>4228</v>
      </c>
    </row>
    <row r="6" spans="1:38" s="220" customFormat="1" ht="23.25" customHeight="1">
      <c r="A6" s="221">
        <v>2</v>
      </c>
      <c r="B6" s="225" t="s">
        <v>15</v>
      </c>
      <c r="C6" s="103">
        <v>2295</v>
      </c>
      <c r="D6" s="103">
        <v>1482</v>
      </c>
      <c r="E6" s="103">
        <v>3777</v>
      </c>
      <c r="F6" s="103">
        <v>7205</v>
      </c>
      <c r="G6" s="103">
        <v>2174</v>
      </c>
      <c r="H6" s="103">
        <v>9379</v>
      </c>
      <c r="I6" s="103">
        <v>6908</v>
      </c>
      <c r="J6" s="103">
        <v>2610</v>
      </c>
      <c r="K6" s="103">
        <v>9518</v>
      </c>
      <c r="L6" s="103">
        <v>95443</v>
      </c>
      <c r="M6" s="103">
        <v>88032</v>
      </c>
      <c r="N6" s="103">
        <v>183475</v>
      </c>
      <c r="O6" s="103">
        <v>20633</v>
      </c>
      <c r="P6" s="103">
        <v>20218</v>
      </c>
      <c r="Q6" s="103">
        <v>40851</v>
      </c>
      <c r="R6" s="103">
        <v>6417</v>
      </c>
      <c r="S6" s="103">
        <v>3299</v>
      </c>
      <c r="T6" s="103">
        <v>9716</v>
      </c>
      <c r="U6" s="103">
        <v>0</v>
      </c>
      <c r="V6" s="103">
        <v>0</v>
      </c>
      <c r="W6" s="103">
        <v>0</v>
      </c>
      <c r="X6" s="103">
        <v>465</v>
      </c>
      <c r="Y6" s="103">
        <v>3219</v>
      </c>
      <c r="Z6" s="103">
        <v>3684</v>
      </c>
      <c r="AA6" s="103">
        <v>0</v>
      </c>
      <c r="AB6" s="103">
        <v>0</v>
      </c>
      <c r="AC6" s="103">
        <v>0</v>
      </c>
      <c r="AD6" s="103">
        <v>0</v>
      </c>
      <c r="AE6" s="103">
        <v>0</v>
      </c>
      <c r="AF6" s="103">
        <v>0</v>
      </c>
      <c r="AG6" s="103">
        <v>69784</v>
      </c>
      <c r="AH6" s="103">
        <v>40550</v>
      </c>
      <c r="AI6" s="103">
        <v>110334</v>
      </c>
      <c r="AJ6" s="103">
        <v>209150</v>
      </c>
      <c r="AK6" s="103">
        <v>161584</v>
      </c>
      <c r="AL6" s="623">
        <v>370734</v>
      </c>
    </row>
    <row r="7" spans="1:38" s="220" customFormat="1" ht="23.25" customHeight="1">
      <c r="A7" s="221">
        <v>3</v>
      </c>
      <c r="B7" s="225" t="s">
        <v>16</v>
      </c>
      <c r="C7" s="103">
        <v>2331</v>
      </c>
      <c r="D7" s="103">
        <v>2817</v>
      </c>
      <c r="E7" s="103">
        <v>5148</v>
      </c>
      <c r="F7" s="103">
        <v>3533</v>
      </c>
      <c r="G7" s="103">
        <v>4902</v>
      </c>
      <c r="H7" s="103">
        <v>8435</v>
      </c>
      <c r="I7" s="103">
        <v>650</v>
      </c>
      <c r="J7" s="103">
        <v>159</v>
      </c>
      <c r="K7" s="103">
        <v>809</v>
      </c>
      <c r="L7" s="103">
        <v>0</v>
      </c>
      <c r="M7" s="103">
        <v>0</v>
      </c>
      <c r="N7" s="103">
        <v>0</v>
      </c>
      <c r="O7" s="103">
        <v>0</v>
      </c>
      <c r="P7" s="103">
        <v>0</v>
      </c>
      <c r="Q7" s="103">
        <v>0</v>
      </c>
      <c r="R7" s="103">
        <v>8787</v>
      </c>
      <c r="S7" s="103">
        <v>5382</v>
      </c>
      <c r="T7" s="103">
        <v>14169</v>
      </c>
      <c r="U7" s="103">
        <v>2518</v>
      </c>
      <c r="V7" s="103">
        <v>2278</v>
      </c>
      <c r="W7" s="103">
        <v>4796</v>
      </c>
      <c r="X7" s="103">
        <v>0</v>
      </c>
      <c r="Y7" s="103">
        <v>0</v>
      </c>
      <c r="Z7" s="103">
        <v>0</v>
      </c>
      <c r="AA7" s="103">
        <v>1531</v>
      </c>
      <c r="AB7" s="103">
        <v>693</v>
      </c>
      <c r="AC7" s="103">
        <v>2224</v>
      </c>
      <c r="AD7" s="103">
        <v>0</v>
      </c>
      <c r="AE7" s="103">
        <v>0</v>
      </c>
      <c r="AF7" s="103">
        <v>0</v>
      </c>
      <c r="AG7" s="103">
        <v>0</v>
      </c>
      <c r="AH7" s="103">
        <v>0</v>
      </c>
      <c r="AI7" s="103">
        <v>0</v>
      </c>
      <c r="AJ7" s="103">
        <v>19350</v>
      </c>
      <c r="AK7" s="103">
        <v>16231</v>
      </c>
      <c r="AL7" s="623">
        <v>35581</v>
      </c>
    </row>
    <row r="8" spans="1:38" s="220" customFormat="1" ht="23.25" customHeight="1">
      <c r="A8" s="221">
        <v>4</v>
      </c>
      <c r="B8" s="225" t="s">
        <v>17</v>
      </c>
      <c r="C8" s="103">
        <v>4964</v>
      </c>
      <c r="D8" s="103">
        <v>4532</v>
      </c>
      <c r="E8" s="103">
        <v>9496</v>
      </c>
      <c r="F8" s="103">
        <v>9403</v>
      </c>
      <c r="G8" s="103">
        <v>8404</v>
      </c>
      <c r="H8" s="103">
        <v>17807</v>
      </c>
      <c r="I8" s="103">
        <v>10551</v>
      </c>
      <c r="J8" s="103">
        <v>2672</v>
      </c>
      <c r="K8" s="103">
        <v>13223</v>
      </c>
      <c r="L8" s="103">
        <v>15667</v>
      </c>
      <c r="M8" s="103">
        <v>20511</v>
      </c>
      <c r="N8" s="103">
        <v>36178</v>
      </c>
      <c r="O8" s="103">
        <v>13623</v>
      </c>
      <c r="P8" s="103">
        <v>11318</v>
      </c>
      <c r="Q8" s="103">
        <v>24941</v>
      </c>
      <c r="R8" s="103">
        <v>8617</v>
      </c>
      <c r="S8" s="103">
        <v>7610</v>
      </c>
      <c r="T8" s="103">
        <v>16227</v>
      </c>
      <c r="U8" s="103">
        <v>0</v>
      </c>
      <c r="V8" s="103">
        <v>0</v>
      </c>
      <c r="W8" s="103">
        <v>0</v>
      </c>
      <c r="X8" s="103">
        <v>0</v>
      </c>
      <c r="Y8" s="103">
        <v>0</v>
      </c>
      <c r="Z8" s="103">
        <v>0</v>
      </c>
      <c r="AA8" s="103">
        <v>997</v>
      </c>
      <c r="AB8" s="103">
        <v>356</v>
      </c>
      <c r="AC8" s="103">
        <v>1353</v>
      </c>
      <c r="AD8" s="103">
        <v>161</v>
      </c>
      <c r="AE8" s="103">
        <v>180</v>
      </c>
      <c r="AF8" s="103">
        <v>341</v>
      </c>
      <c r="AG8" s="103">
        <v>0</v>
      </c>
      <c r="AH8" s="103">
        <v>0</v>
      </c>
      <c r="AI8" s="103">
        <v>0</v>
      </c>
      <c r="AJ8" s="103">
        <v>63983</v>
      </c>
      <c r="AK8" s="103">
        <v>55583</v>
      </c>
      <c r="AL8" s="623">
        <v>119566</v>
      </c>
    </row>
    <row r="9" spans="1:38" s="220" customFormat="1" ht="23.25" customHeight="1">
      <c r="A9" s="221">
        <v>5</v>
      </c>
      <c r="B9" s="225" t="s">
        <v>18</v>
      </c>
      <c r="C9" s="103">
        <v>4723</v>
      </c>
      <c r="D9" s="103">
        <v>3437</v>
      </c>
      <c r="E9" s="103">
        <v>8160</v>
      </c>
      <c r="F9" s="103">
        <v>69325</v>
      </c>
      <c r="G9" s="103">
        <v>42316</v>
      </c>
      <c r="H9" s="103">
        <v>111641</v>
      </c>
      <c r="I9" s="103">
        <v>5864</v>
      </c>
      <c r="J9" s="103">
        <v>1769</v>
      </c>
      <c r="K9" s="103">
        <v>7633</v>
      </c>
      <c r="L9" s="103">
        <v>75847</v>
      </c>
      <c r="M9" s="103">
        <v>59080</v>
      </c>
      <c r="N9" s="103">
        <v>134927</v>
      </c>
      <c r="O9" s="103">
        <v>36931</v>
      </c>
      <c r="P9" s="103">
        <v>16860</v>
      </c>
      <c r="Q9" s="103">
        <v>53791</v>
      </c>
      <c r="R9" s="103">
        <v>10060</v>
      </c>
      <c r="S9" s="103">
        <v>5388</v>
      </c>
      <c r="T9" s="103">
        <v>15448</v>
      </c>
      <c r="U9" s="103">
        <v>0</v>
      </c>
      <c r="V9" s="103">
        <v>0</v>
      </c>
      <c r="W9" s="103">
        <v>0</v>
      </c>
      <c r="X9" s="103">
        <v>453</v>
      </c>
      <c r="Y9" s="103">
        <v>688</v>
      </c>
      <c r="Z9" s="103">
        <v>1141</v>
      </c>
      <c r="AA9" s="103">
        <v>467</v>
      </c>
      <c r="AB9" s="103">
        <v>198</v>
      </c>
      <c r="AC9" s="103">
        <v>665</v>
      </c>
      <c r="AD9" s="103">
        <v>0</v>
      </c>
      <c r="AE9" s="103">
        <v>0</v>
      </c>
      <c r="AF9" s="103">
        <v>0</v>
      </c>
      <c r="AG9" s="103">
        <v>988</v>
      </c>
      <c r="AH9" s="103">
        <v>355</v>
      </c>
      <c r="AI9" s="103">
        <v>1343</v>
      </c>
      <c r="AJ9" s="103">
        <v>204658</v>
      </c>
      <c r="AK9" s="103">
        <v>130091</v>
      </c>
      <c r="AL9" s="623">
        <v>334749</v>
      </c>
    </row>
    <row r="10" spans="1:38" s="220" customFormat="1" ht="23.25" customHeight="1">
      <c r="A10" s="221">
        <v>6</v>
      </c>
      <c r="B10" s="225" t="s">
        <v>19</v>
      </c>
      <c r="C10" s="103">
        <v>0</v>
      </c>
      <c r="D10" s="103">
        <v>0</v>
      </c>
      <c r="E10" s="103">
        <v>0</v>
      </c>
      <c r="F10" s="103">
        <v>12900</v>
      </c>
      <c r="G10" s="103">
        <v>9008</v>
      </c>
      <c r="H10" s="103">
        <v>21908</v>
      </c>
      <c r="I10" s="103">
        <v>203</v>
      </c>
      <c r="J10" s="103">
        <v>236</v>
      </c>
      <c r="K10" s="103">
        <v>439</v>
      </c>
      <c r="L10" s="103">
        <v>16829</v>
      </c>
      <c r="M10" s="103">
        <v>15145</v>
      </c>
      <c r="N10" s="103">
        <v>31974</v>
      </c>
      <c r="O10" s="103">
        <v>0</v>
      </c>
      <c r="P10" s="103">
        <v>0</v>
      </c>
      <c r="Q10" s="103">
        <v>0</v>
      </c>
      <c r="R10" s="103">
        <v>0</v>
      </c>
      <c r="S10" s="103">
        <v>0</v>
      </c>
      <c r="T10" s="103">
        <v>0</v>
      </c>
      <c r="U10" s="103">
        <v>0</v>
      </c>
      <c r="V10" s="103">
        <v>0</v>
      </c>
      <c r="W10" s="103">
        <v>0</v>
      </c>
      <c r="X10" s="103">
        <v>0</v>
      </c>
      <c r="Y10" s="103">
        <v>0</v>
      </c>
      <c r="Z10" s="103">
        <v>0</v>
      </c>
      <c r="AA10" s="103">
        <v>2619</v>
      </c>
      <c r="AB10" s="103">
        <v>649</v>
      </c>
      <c r="AC10" s="103">
        <v>3268</v>
      </c>
      <c r="AD10" s="103">
        <v>0</v>
      </c>
      <c r="AE10" s="103">
        <v>0</v>
      </c>
      <c r="AF10" s="103">
        <v>0</v>
      </c>
      <c r="AG10" s="103">
        <v>0</v>
      </c>
      <c r="AH10" s="103">
        <v>0</v>
      </c>
      <c r="AI10" s="103">
        <v>0</v>
      </c>
      <c r="AJ10" s="103">
        <v>32551</v>
      </c>
      <c r="AK10" s="103">
        <v>25038</v>
      </c>
      <c r="AL10" s="623">
        <v>57589</v>
      </c>
    </row>
    <row r="11" spans="1:38" s="220" customFormat="1" ht="23.25" customHeight="1">
      <c r="A11" s="221">
        <v>7</v>
      </c>
      <c r="B11" s="225" t="s">
        <v>20</v>
      </c>
      <c r="C11" s="103">
        <v>4918</v>
      </c>
      <c r="D11" s="103">
        <v>3850</v>
      </c>
      <c r="E11" s="103">
        <v>8768</v>
      </c>
      <c r="F11" s="103">
        <v>5132</v>
      </c>
      <c r="G11" s="103">
        <v>3181</v>
      </c>
      <c r="H11" s="103">
        <v>8313</v>
      </c>
      <c r="I11" s="103">
        <v>4933</v>
      </c>
      <c r="J11" s="103">
        <v>1873</v>
      </c>
      <c r="K11" s="103">
        <v>6806</v>
      </c>
      <c r="L11" s="103">
        <v>5230</v>
      </c>
      <c r="M11" s="103">
        <v>4688</v>
      </c>
      <c r="N11" s="103">
        <v>9918</v>
      </c>
      <c r="O11" s="103">
        <v>17927</v>
      </c>
      <c r="P11" s="103">
        <v>15347</v>
      </c>
      <c r="Q11" s="103">
        <v>33274</v>
      </c>
      <c r="R11" s="103">
        <v>37505</v>
      </c>
      <c r="S11" s="103">
        <v>27547</v>
      </c>
      <c r="T11" s="103">
        <v>65052</v>
      </c>
      <c r="U11" s="103">
        <v>0</v>
      </c>
      <c r="V11" s="103">
        <v>0</v>
      </c>
      <c r="W11" s="103">
        <v>0</v>
      </c>
      <c r="X11" s="103">
        <v>0</v>
      </c>
      <c r="Y11" s="103">
        <v>0</v>
      </c>
      <c r="Z11" s="103">
        <v>0</v>
      </c>
      <c r="AA11" s="103">
        <v>0</v>
      </c>
      <c r="AB11" s="103">
        <v>0</v>
      </c>
      <c r="AC11" s="103">
        <v>0</v>
      </c>
      <c r="AD11" s="103">
        <v>0</v>
      </c>
      <c r="AE11" s="103">
        <v>0</v>
      </c>
      <c r="AF11" s="103">
        <v>0</v>
      </c>
      <c r="AG11" s="103">
        <v>0</v>
      </c>
      <c r="AH11" s="103">
        <v>0</v>
      </c>
      <c r="AI11" s="103">
        <v>0</v>
      </c>
      <c r="AJ11" s="103">
        <v>75645</v>
      </c>
      <c r="AK11" s="103">
        <v>56486</v>
      </c>
      <c r="AL11" s="623">
        <v>132131</v>
      </c>
    </row>
    <row r="12" spans="1:38" s="220" customFormat="1" ht="23.25" customHeight="1">
      <c r="A12" s="221">
        <v>8</v>
      </c>
      <c r="B12" s="225" t="s">
        <v>23</v>
      </c>
      <c r="C12" s="103">
        <v>205632</v>
      </c>
      <c r="D12" s="103">
        <v>212399</v>
      </c>
      <c r="E12" s="103">
        <v>418031</v>
      </c>
      <c r="F12" s="103">
        <v>166569</v>
      </c>
      <c r="G12" s="103">
        <v>145836</v>
      </c>
      <c r="H12" s="103">
        <v>312405</v>
      </c>
      <c r="I12" s="103">
        <v>9730</v>
      </c>
      <c r="J12" s="103">
        <v>4806</v>
      </c>
      <c r="K12" s="103">
        <v>14536</v>
      </c>
      <c r="L12" s="103">
        <v>22450</v>
      </c>
      <c r="M12" s="103">
        <v>12724</v>
      </c>
      <c r="N12" s="103">
        <v>35174</v>
      </c>
      <c r="O12" s="103">
        <v>0</v>
      </c>
      <c r="P12" s="103">
        <v>0</v>
      </c>
      <c r="Q12" s="103">
        <v>0</v>
      </c>
      <c r="R12" s="103">
        <v>0</v>
      </c>
      <c r="S12" s="103">
        <v>0</v>
      </c>
      <c r="T12" s="103">
        <v>0</v>
      </c>
      <c r="U12" s="103">
        <v>0</v>
      </c>
      <c r="V12" s="103">
        <v>0</v>
      </c>
      <c r="W12" s="103">
        <v>0</v>
      </c>
      <c r="X12" s="103">
        <v>0</v>
      </c>
      <c r="Y12" s="103">
        <v>0</v>
      </c>
      <c r="Z12" s="103">
        <v>0</v>
      </c>
      <c r="AA12" s="103">
        <v>1810</v>
      </c>
      <c r="AB12" s="103">
        <v>985</v>
      </c>
      <c r="AC12" s="103">
        <v>2795</v>
      </c>
      <c r="AD12" s="103">
        <v>5109</v>
      </c>
      <c r="AE12" s="103">
        <v>4507</v>
      </c>
      <c r="AF12" s="103">
        <v>9616</v>
      </c>
      <c r="AG12" s="103">
        <v>1802</v>
      </c>
      <c r="AH12" s="103">
        <v>1157</v>
      </c>
      <c r="AI12" s="103">
        <v>2959</v>
      </c>
      <c r="AJ12" s="103">
        <v>413102</v>
      </c>
      <c r="AK12" s="103">
        <v>382414</v>
      </c>
      <c r="AL12" s="623">
        <v>795516</v>
      </c>
    </row>
    <row r="13" spans="1:38" s="220" customFormat="1" ht="23.25" customHeight="1">
      <c r="A13" s="221">
        <v>9</v>
      </c>
      <c r="B13" s="225" t="s">
        <v>24</v>
      </c>
      <c r="C13" s="103">
        <v>0</v>
      </c>
      <c r="D13" s="103">
        <v>0</v>
      </c>
      <c r="E13" s="103">
        <v>0</v>
      </c>
      <c r="F13" s="103">
        <v>4117</v>
      </c>
      <c r="G13" s="103">
        <v>2824</v>
      </c>
      <c r="H13" s="103">
        <v>6941</v>
      </c>
      <c r="I13" s="103">
        <v>1036</v>
      </c>
      <c r="J13" s="103">
        <v>259</v>
      </c>
      <c r="K13" s="103">
        <v>1295</v>
      </c>
      <c r="L13" s="103">
        <v>878</v>
      </c>
      <c r="M13" s="103">
        <v>1594</v>
      </c>
      <c r="N13" s="103">
        <v>2472</v>
      </c>
      <c r="O13" s="103">
        <v>0</v>
      </c>
      <c r="P13" s="103">
        <v>0</v>
      </c>
      <c r="Q13" s="103">
        <v>0</v>
      </c>
      <c r="R13" s="103">
        <v>0</v>
      </c>
      <c r="S13" s="103">
        <v>0</v>
      </c>
      <c r="T13" s="103">
        <v>0</v>
      </c>
      <c r="U13" s="103">
        <v>0</v>
      </c>
      <c r="V13" s="103">
        <v>0</v>
      </c>
      <c r="W13" s="103">
        <v>0</v>
      </c>
      <c r="X13" s="103">
        <v>0</v>
      </c>
      <c r="Y13" s="103">
        <v>0</v>
      </c>
      <c r="Z13" s="103">
        <v>0</v>
      </c>
      <c r="AA13" s="103">
        <v>0</v>
      </c>
      <c r="AB13" s="103">
        <v>0</v>
      </c>
      <c r="AC13" s="103">
        <v>0</v>
      </c>
      <c r="AD13" s="103">
        <v>0</v>
      </c>
      <c r="AE13" s="103">
        <v>0</v>
      </c>
      <c r="AF13" s="103">
        <v>0</v>
      </c>
      <c r="AG13" s="103">
        <v>0</v>
      </c>
      <c r="AH13" s="103">
        <v>0</v>
      </c>
      <c r="AI13" s="103">
        <v>0</v>
      </c>
      <c r="AJ13" s="103">
        <v>6031</v>
      </c>
      <c r="AK13" s="103">
        <v>4677</v>
      </c>
      <c r="AL13" s="623">
        <v>10708</v>
      </c>
    </row>
    <row r="14" spans="1:38" s="220" customFormat="1" ht="23.25" customHeight="1">
      <c r="A14" s="221">
        <v>10</v>
      </c>
      <c r="B14" s="225" t="s">
        <v>25</v>
      </c>
      <c r="C14" s="103">
        <v>656</v>
      </c>
      <c r="D14" s="103">
        <v>562</v>
      </c>
      <c r="E14" s="103">
        <v>1218</v>
      </c>
      <c r="F14" s="103">
        <v>7407</v>
      </c>
      <c r="G14" s="103">
        <v>5109</v>
      </c>
      <c r="H14" s="103">
        <v>12516</v>
      </c>
      <c r="I14" s="103">
        <v>9442</v>
      </c>
      <c r="J14" s="103">
        <v>4240</v>
      </c>
      <c r="K14" s="103">
        <v>13682</v>
      </c>
      <c r="L14" s="103">
        <v>46498</v>
      </c>
      <c r="M14" s="103">
        <v>45086</v>
      </c>
      <c r="N14" s="103">
        <v>91584</v>
      </c>
      <c r="O14" s="103">
        <v>41596</v>
      </c>
      <c r="P14" s="103">
        <v>27742</v>
      </c>
      <c r="Q14" s="103">
        <v>69338</v>
      </c>
      <c r="R14" s="103">
        <v>144219</v>
      </c>
      <c r="S14" s="103">
        <v>73046</v>
      </c>
      <c r="T14" s="103">
        <v>217265</v>
      </c>
      <c r="U14" s="103">
        <v>0</v>
      </c>
      <c r="V14" s="103">
        <v>0</v>
      </c>
      <c r="W14" s="103">
        <v>0</v>
      </c>
      <c r="X14" s="103">
        <v>0</v>
      </c>
      <c r="Y14" s="103">
        <v>0</v>
      </c>
      <c r="Z14" s="103">
        <v>0</v>
      </c>
      <c r="AA14" s="103">
        <v>413</v>
      </c>
      <c r="AB14" s="103">
        <v>109</v>
      </c>
      <c r="AC14" s="103">
        <v>522</v>
      </c>
      <c r="AD14" s="103">
        <v>1147</v>
      </c>
      <c r="AE14" s="103">
        <v>1101</v>
      </c>
      <c r="AF14" s="103">
        <v>2248</v>
      </c>
      <c r="AG14" s="103">
        <v>2331</v>
      </c>
      <c r="AH14" s="103">
        <v>3595</v>
      </c>
      <c r="AI14" s="103">
        <v>5926</v>
      </c>
      <c r="AJ14" s="103">
        <v>253709</v>
      </c>
      <c r="AK14" s="103">
        <v>160590</v>
      </c>
      <c r="AL14" s="623">
        <v>414299</v>
      </c>
    </row>
    <row r="15" spans="1:38" s="220" customFormat="1" ht="23.25" customHeight="1">
      <c r="A15" s="221">
        <v>11</v>
      </c>
      <c r="B15" s="225" t="s">
        <v>26</v>
      </c>
      <c r="C15" s="103">
        <v>1867</v>
      </c>
      <c r="D15" s="103">
        <v>1158</v>
      </c>
      <c r="E15" s="103">
        <v>3025</v>
      </c>
      <c r="F15" s="103">
        <v>65001</v>
      </c>
      <c r="G15" s="103">
        <v>32568</v>
      </c>
      <c r="H15" s="103">
        <v>97569</v>
      </c>
      <c r="I15" s="103">
        <v>5763</v>
      </c>
      <c r="J15" s="103">
        <v>2203</v>
      </c>
      <c r="K15" s="103">
        <v>7966</v>
      </c>
      <c r="L15" s="103">
        <v>78078</v>
      </c>
      <c r="M15" s="103">
        <v>68034</v>
      </c>
      <c r="N15" s="103">
        <v>146112</v>
      </c>
      <c r="O15" s="103">
        <v>0</v>
      </c>
      <c r="P15" s="103">
        <v>0</v>
      </c>
      <c r="Q15" s="103">
        <v>0</v>
      </c>
      <c r="R15" s="103">
        <v>33423</v>
      </c>
      <c r="S15" s="103">
        <v>21329</v>
      </c>
      <c r="T15" s="103">
        <v>54752</v>
      </c>
      <c r="U15" s="103">
        <v>0</v>
      </c>
      <c r="V15" s="103">
        <v>0</v>
      </c>
      <c r="W15" s="103">
        <v>0</v>
      </c>
      <c r="X15" s="103">
        <v>0</v>
      </c>
      <c r="Y15" s="103">
        <v>0</v>
      </c>
      <c r="Z15" s="103">
        <v>0</v>
      </c>
      <c r="AA15" s="103">
        <v>902</v>
      </c>
      <c r="AB15" s="103">
        <v>528</v>
      </c>
      <c r="AC15" s="103">
        <v>1430</v>
      </c>
      <c r="AD15" s="103">
        <v>0</v>
      </c>
      <c r="AE15" s="103">
        <v>0</v>
      </c>
      <c r="AF15" s="103">
        <v>0</v>
      </c>
      <c r="AG15" s="103">
        <v>10677</v>
      </c>
      <c r="AH15" s="103">
        <v>6621</v>
      </c>
      <c r="AI15" s="103">
        <v>17298</v>
      </c>
      <c r="AJ15" s="103">
        <v>195711</v>
      </c>
      <c r="AK15" s="103">
        <v>132441</v>
      </c>
      <c r="AL15" s="623">
        <v>328152</v>
      </c>
    </row>
    <row r="16" spans="1:38" s="220" customFormat="1" ht="23.25" customHeight="1">
      <c r="A16" s="221">
        <v>12</v>
      </c>
      <c r="B16" s="225" t="s">
        <v>27</v>
      </c>
      <c r="C16" s="103">
        <v>1066</v>
      </c>
      <c r="D16" s="103">
        <v>994</v>
      </c>
      <c r="E16" s="103">
        <v>2060</v>
      </c>
      <c r="F16" s="103">
        <v>23583</v>
      </c>
      <c r="G16" s="103">
        <v>20311</v>
      </c>
      <c r="H16" s="103">
        <v>43894</v>
      </c>
      <c r="I16" s="103">
        <v>5716</v>
      </c>
      <c r="J16" s="103">
        <v>1842</v>
      </c>
      <c r="K16" s="103">
        <v>7558</v>
      </c>
      <c r="L16" s="103">
        <v>8882</v>
      </c>
      <c r="M16" s="103">
        <v>9084</v>
      </c>
      <c r="N16" s="103">
        <v>17966</v>
      </c>
      <c r="O16" s="103">
        <v>0</v>
      </c>
      <c r="P16" s="103">
        <v>0</v>
      </c>
      <c r="Q16" s="103">
        <v>0</v>
      </c>
      <c r="R16" s="103">
        <v>15067</v>
      </c>
      <c r="S16" s="103">
        <v>9258</v>
      </c>
      <c r="T16" s="103">
        <v>24325</v>
      </c>
      <c r="U16" s="103">
        <v>0</v>
      </c>
      <c r="V16" s="103">
        <v>0</v>
      </c>
      <c r="W16" s="103">
        <v>0</v>
      </c>
      <c r="X16" s="103">
        <v>0</v>
      </c>
      <c r="Y16" s="103">
        <v>0</v>
      </c>
      <c r="Z16" s="103">
        <v>0</v>
      </c>
      <c r="AA16" s="103">
        <v>0</v>
      </c>
      <c r="AB16" s="103">
        <v>0</v>
      </c>
      <c r="AC16" s="103">
        <v>0</v>
      </c>
      <c r="AD16" s="103">
        <v>0</v>
      </c>
      <c r="AE16" s="103">
        <v>0</v>
      </c>
      <c r="AF16" s="103">
        <v>0</v>
      </c>
      <c r="AG16" s="103">
        <v>0</v>
      </c>
      <c r="AH16" s="103">
        <v>0</v>
      </c>
      <c r="AI16" s="103">
        <v>0</v>
      </c>
      <c r="AJ16" s="103">
        <v>54314</v>
      </c>
      <c r="AK16" s="103">
        <v>41489</v>
      </c>
      <c r="AL16" s="623">
        <v>95803</v>
      </c>
    </row>
    <row r="17" spans="1:38" s="220" customFormat="1" ht="23.25" customHeight="1">
      <c r="A17" s="221">
        <v>13</v>
      </c>
      <c r="B17" s="225" t="s">
        <v>57</v>
      </c>
      <c r="C17" s="103">
        <v>3354</v>
      </c>
      <c r="D17" s="103">
        <v>3282</v>
      </c>
      <c r="E17" s="103">
        <v>6636</v>
      </c>
      <c r="F17" s="103">
        <v>45914</v>
      </c>
      <c r="G17" s="103">
        <v>38511</v>
      </c>
      <c r="H17" s="103">
        <v>84425</v>
      </c>
      <c r="I17" s="103">
        <v>3968</v>
      </c>
      <c r="J17" s="103">
        <v>935</v>
      </c>
      <c r="K17" s="103">
        <v>4903</v>
      </c>
      <c r="L17" s="103">
        <v>29179</v>
      </c>
      <c r="M17" s="103">
        <v>36703</v>
      </c>
      <c r="N17" s="103">
        <v>65882</v>
      </c>
      <c r="O17" s="103">
        <v>0</v>
      </c>
      <c r="P17" s="103">
        <v>0</v>
      </c>
      <c r="Q17" s="103">
        <v>0</v>
      </c>
      <c r="R17" s="103">
        <v>0</v>
      </c>
      <c r="S17" s="103">
        <v>0</v>
      </c>
      <c r="T17" s="103">
        <v>0</v>
      </c>
      <c r="U17" s="103">
        <v>0</v>
      </c>
      <c r="V17" s="103">
        <v>0</v>
      </c>
      <c r="W17" s="103">
        <v>0</v>
      </c>
      <c r="X17" s="103">
        <v>619</v>
      </c>
      <c r="Y17" s="103">
        <v>319</v>
      </c>
      <c r="Z17" s="103">
        <v>938</v>
      </c>
      <c r="AA17" s="103">
        <v>0</v>
      </c>
      <c r="AB17" s="103">
        <v>0</v>
      </c>
      <c r="AC17" s="103">
        <v>0</v>
      </c>
      <c r="AD17" s="103">
        <v>0</v>
      </c>
      <c r="AE17" s="103">
        <v>0</v>
      </c>
      <c r="AF17" s="103">
        <v>0</v>
      </c>
      <c r="AG17" s="103">
        <v>0</v>
      </c>
      <c r="AH17" s="103">
        <v>0</v>
      </c>
      <c r="AI17" s="103">
        <v>0</v>
      </c>
      <c r="AJ17" s="103">
        <v>83034</v>
      </c>
      <c r="AK17" s="103">
        <v>79750</v>
      </c>
      <c r="AL17" s="623">
        <v>162784</v>
      </c>
    </row>
    <row r="18" spans="1:38" s="220" customFormat="1" ht="23.25" customHeight="1">
      <c r="A18" s="221">
        <v>14</v>
      </c>
      <c r="B18" s="225" t="s">
        <v>29</v>
      </c>
      <c r="C18" s="103">
        <v>1212</v>
      </c>
      <c r="D18" s="103">
        <v>829</v>
      </c>
      <c r="E18" s="103">
        <v>2041</v>
      </c>
      <c r="F18" s="103">
        <v>40494</v>
      </c>
      <c r="G18" s="103">
        <v>27484</v>
      </c>
      <c r="H18" s="103">
        <v>67978</v>
      </c>
      <c r="I18" s="103">
        <v>8572</v>
      </c>
      <c r="J18" s="103">
        <v>2090</v>
      </c>
      <c r="K18" s="103">
        <v>10662</v>
      </c>
      <c r="L18" s="103">
        <v>15410</v>
      </c>
      <c r="M18" s="103">
        <v>19530</v>
      </c>
      <c r="N18" s="103">
        <v>34940</v>
      </c>
      <c r="O18" s="103">
        <v>0</v>
      </c>
      <c r="P18" s="103">
        <v>0</v>
      </c>
      <c r="Q18" s="103">
        <v>0</v>
      </c>
      <c r="R18" s="103">
        <v>18714</v>
      </c>
      <c r="S18" s="103">
        <v>17364</v>
      </c>
      <c r="T18" s="103">
        <v>36078</v>
      </c>
      <c r="U18" s="103">
        <v>0</v>
      </c>
      <c r="V18" s="103">
        <v>0</v>
      </c>
      <c r="W18" s="103">
        <v>0</v>
      </c>
      <c r="X18" s="103">
        <v>0</v>
      </c>
      <c r="Y18" s="103">
        <v>0</v>
      </c>
      <c r="Z18" s="103">
        <v>0</v>
      </c>
      <c r="AA18" s="103">
        <v>0</v>
      </c>
      <c r="AB18" s="103">
        <v>0</v>
      </c>
      <c r="AC18" s="103">
        <v>0</v>
      </c>
      <c r="AD18" s="103">
        <v>0</v>
      </c>
      <c r="AE18" s="103">
        <v>0</v>
      </c>
      <c r="AF18" s="103">
        <v>0</v>
      </c>
      <c r="AG18" s="103">
        <v>4763</v>
      </c>
      <c r="AH18" s="103">
        <v>2228</v>
      </c>
      <c r="AI18" s="103">
        <v>6991</v>
      </c>
      <c r="AJ18" s="103">
        <v>89165</v>
      </c>
      <c r="AK18" s="103">
        <v>69525</v>
      </c>
      <c r="AL18" s="623">
        <v>158690</v>
      </c>
    </row>
    <row r="19" spans="1:38" s="220" customFormat="1" ht="23.25" customHeight="1">
      <c r="A19" s="221">
        <v>15</v>
      </c>
      <c r="B19" s="225" t="s">
        <v>30</v>
      </c>
      <c r="C19" s="103">
        <v>1797</v>
      </c>
      <c r="D19" s="103">
        <v>1522</v>
      </c>
      <c r="E19" s="103">
        <v>3319</v>
      </c>
      <c r="F19" s="103">
        <v>10261</v>
      </c>
      <c r="G19" s="103">
        <v>8180</v>
      </c>
      <c r="H19" s="103">
        <v>18441</v>
      </c>
      <c r="I19" s="103">
        <v>7109</v>
      </c>
      <c r="J19" s="103">
        <v>3314</v>
      </c>
      <c r="K19" s="103">
        <v>10423</v>
      </c>
      <c r="L19" s="103">
        <v>31219</v>
      </c>
      <c r="M19" s="103">
        <v>46788</v>
      </c>
      <c r="N19" s="103">
        <v>78007</v>
      </c>
      <c r="O19" s="103">
        <v>32419</v>
      </c>
      <c r="P19" s="103">
        <v>40991</v>
      </c>
      <c r="Q19" s="103">
        <v>73410</v>
      </c>
      <c r="R19" s="103">
        <v>60684</v>
      </c>
      <c r="S19" s="103">
        <v>36266</v>
      </c>
      <c r="T19" s="103">
        <v>96950</v>
      </c>
      <c r="U19" s="103">
        <v>0</v>
      </c>
      <c r="V19" s="103">
        <v>0</v>
      </c>
      <c r="W19" s="103">
        <v>0</v>
      </c>
      <c r="X19" s="103">
        <v>0</v>
      </c>
      <c r="Y19" s="103">
        <v>0</v>
      </c>
      <c r="Z19" s="103">
        <v>0</v>
      </c>
      <c r="AA19" s="103">
        <v>2082</v>
      </c>
      <c r="AB19" s="103">
        <v>491</v>
      </c>
      <c r="AC19" s="103">
        <v>2573</v>
      </c>
      <c r="AD19" s="103">
        <v>0</v>
      </c>
      <c r="AE19" s="103">
        <v>0</v>
      </c>
      <c r="AF19" s="103">
        <v>0</v>
      </c>
      <c r="AG19" s="103">
        <v>86831</v>
      </c>
      <c r="AH19" s="103">
        <v>68848</v>
      </c>
      <c r="AI19" s="103">
        <v>155679</v>
      </c>
      <c r="AJ19" s="103">
        <v>232402</v>
      </c>
      <c r="AK19" s="103">
        <v>206400</v>
      </c>
      <c r="AL19" s="623">
        <v>438802</v>
      </c>
    </row>
    <row r="20" spans="1:38" s="220" customFormat="1" ht="23.25" customHeight="1">
      <c r="A20" s="221">
        <v>16</v>
      </c>
      <c r="B20" s="225" t="s">
        <v>31</v>
      </c>
      <c r="C20" s="103">
        <v>836</v>
      </c>
      <c r="D20" s="103">
        <v>1704</v>
      </c>
      <c r="E20" s="103">
        <v>2540</v>
      </c>
      <c r="F20" s="103">
        <v>33302</v>
      </c>
      <c r="G20" s="103">
        <v>36455</v>
      </c>
      <c r="H20" s="103">
        <v>69757</v>
      </c>
      <c r="I20" s="103">
        <v>8375</v>
      </c>
      <c r="J20" s="103">
        <v>4179</v>
      </c>
      <c r="K20" s="103">
        <v>12554</v>
      </c>
      <c r="L20" s="103">
        <v>144408</v>
      </c>
      <c r="M20" s="103">
        <v>216877</v>
      </c>
      <c r="N20" s="103">
        <v>361285</v>
      </c>
      <c r="O20" s="103">
        <v>0</v>
      </c>
      <c r="P20" s="103">
        <v>0</v>
      </c>
      <c r="Q20" s="103">
        <v>0</v>
      </c>
      <c r="R20" s="103">
        <v>0</v>
      </c>
      <c r="S20" s="103">
        <v>0</v>
      </c>
      <c r="T20" s="103">
        <v>0</v>
      </c>
      <c r="U20" s="103">
        <v>0</v>
      </c>
      <c r="V20" s="103">
        <v>0</v>
      </c>
      <c r="W20" s="103">
        <v>0</v>
      </c>
      <c r="X20" s="103">
        <v>0</v>
      </c>
      <c r="Y20" s="103">
        <v>0</v>
      </c>
      <c r="Z20" s="103">
        <v>0</v>
      </c>
      <c r="AA20" s="103">
        <v>948</v>
      </c>
      <c r="AB20" s="103">
        <v>262</v>
      </c>
      <c r="AC20" s="103">
        <v>1210</v>
      </c>
      <c r="AD20" s="103">
        <v>0</v>
      </c>
      <c r="AE20" s="103">
        <v>0</v>
      </c>
      <c r="AF20" s="103">
        <v>0</v>
      </c>
      <c r="AG20" s="103">
        <v>162</v>
      </c>
      <c r="AH20" s="103">
        <v>167</v>
      </c>
      <c r="AI20" s="103">
        <v>329</v>
      </c>
      <c r="AJ20" s="103">
        <v>188031</v>
      </c>
      <c r="AK20" s="103">
        <v>259644</v>
      </c>
      <c r="AL20" s="623">
        <v>447675</v>
      </c>
    </row>
    <row r="21" spans="1:38" s="220" customFormat="1" ht="23.25" customHeight="1">
      <c r="A21" s="221">
        <v>17</v>
      </c>
      <c r="B21" s="225" t="s">
        <v>172</v>
      </c>
      <c r="C21" s="103">
        <v>0</v>
      </c>
      <c r="D21" s="103">
        <v>0</v>
      </c>
      <c r="E21" s="103">
        <v>0</v>
      </c>
      <c r="F21" s="103">
        <v>0</v>
      </c>
      <c r="G21" s="103">
        <v>0</v>
      </c>
      <c r="H21" s="103">
        <v>0</v>
      </c>
      <c r="I21" s="103">
        <v>0</v>
      </c>
      <c r="J21" s="103">
        <v>0</v>
      </c>
      <c r="K21" s="103">
        <v>0</v>
      </c>
      <c r="L21" s="103">
        <v>47</v>
      </c>
      <c r="M21" s="103">
        <v>91</v>
      </c>
      <c r="N21" s="103">
        <v>138</v>
      </c>
      <c r="O21" s="103">
        <v>0</v>
      </c>
      <c r="P21" s="103">
        <v>0</v>
      </c>
      <c r="Q21" s="103">
        <v>0</v>
      </c>
      <c r="R21" s="103">
        <v>0</v>
      </c>
      <c r="S21" s="103">
        <v>0</v>
      </c>
      <c r="T21" s="103">
        <v>0</v>
      </c>
      <c r="U21" s="103">
        <v>0</v>
      </c>
      <c r="V21" s="103">
        <v>0</v>
      </c>
      <c r="W21" s="103">
        <v>0</v>
      </c>
      <c r="X21" s="103">
        <v>0</v>
      </c>
      <c r="Y21" s="103">
        <v>0</v>
      </c>
      <c r="Z21" s="103">
        <v>0</v>
      </c>
      <c r="AA21" s="103">
        <v>100</v>
      </c>
      <c r="AB21" s="103">
        <v>94</v>
      </c>
      <c r="AC21" s="103">
        <v>194</v>
      </c>
      <c r="AD21" s="103">
        <v>0</v>
      </c>
      <c r="AE21" s="103">
        <v>0</v>
      </c>
      <c r="AF21" s="103">
        <v>0</v>
      </c>
      <c r="AG21" s="103">
        <v>0</v>
      </c>
      <c r="AH21" s="103">
        <v>0</v>
      </c>
      <c r="AI21" s="103">
        <v>0</v>
      </c>
      <c r="AJ21" s="103">
        <v>147</v>
      </c>
      <c r="AK21" s="103">
        <v>185</v>
      </c>
      <c r="AL21" s="623">
        <v>332</v>
      </c>
    </row>
    <row r="22" spans="1:38" s="220" customFormat="1" ht="23.25" customHeight="1">
      <c r="A22" s="221">
        <v>18</v>
      </c>
      <c r="B22" s="225" t="s">
        <v>32</v>
      </c>
      <c r="C22" s="103">
        <v>0</v>
      </c>
      <c r="D22" s="103">
        <v>0</v>
      </c>
      <c r="E22" s="103">
        <v>0</v>
      </c>
      <c r="F22" s="103">
        <v>0</v>
      </c>
      <c r="G22" s="103">
        <v>0</v>
      </c>
      <c r="H22" s="103">
        <v>0</v>
      </c>
      <c r="I22" s="103">
        <v>0</v>
      </c>
      <c r="J22" s="103">
        <v>0</v>
      </c>
      <c r="K22" s="103">
        <v>0</v>
      </c>
      <c r="L22" s="103">
        <v>77</v>
      </c>
      <c r="M22" s="103">
        <v>245</v>
      </c>
      <c r="N22" s="103">
        <v>322</v>
      </c>
      <c r="O22" s="103">
        <v>0</v>
      </c>
      <c r="P22" s="103">
        <v>0</v>
      </c>
      <c r="Q22" s="103">
        <v>0</v>
      </c>
      <c r="R22" s="103">
        <v>0</v>
      </c>
      <c r="S22" s="103">
        <v>0</v>
      </c>
      <c r="T22" s="103">
        <v>0</v>
      </c>
      <c r="U22" s="103">
        <v>0</v>
      </c>
      <c r="V22" s="103">
        <v>0</v>
      </c>
      <c r="W22" s="103">
        <v>0</v>
      </c>
      <c r="X22" s="103">
        <v>0</v>
      </c>
      <c r="Y22" s="103">
        <v>0</v>
      </c>
      <c r="Z22" s="103">
        <v>0</v>
      </c>
      <c r="AA22" s="103">
        <v>0</v>
      </c>
      <c r="AB22" s="103">
        <v>0</v>
      </c>
      <c r="AC22" s="103">
        <v>0</v>
      </c>
      <c r="AD22" s="103">
        <v>0</v>
      </c>
      <c r="AE22" s="103">
        <v>0</v>
      </c>
      <c r="AF22" s="103">
        <v>0</v>
      </c>
      <c r="AG22" s="103">
        <v>0</v>
      </c>
      <c r="AH22" s="103">
        <v>0</v>
      </c>
      <c r="AI22" s="103">
        <v>0</v>
      </c>
      <c r="AJ22" s="103">
        <v>77</v>
      </c>
      <c r="AK22" s="103">
        <v>245</v>
      </c>
      <c r="AL22" s="623">
        <v>322</v>
      </c>
    </row>
    <row r="23" spans="1:38" s="220" customFormat="1" ht="23.25" customHeight="1">
      <c r="A23" s="221">
        <v>19</v>
      </c>
      <c r="B23" s="225" t="s">
        <v>33</v>
      </c>
      <c r="C23" s="103">
        <v>6900</v>
      </c>
      <c r="D23" s="103">
        <v>5001</v>
      </c>
      <c r="E23" s="103">
        <v>11901</v>
      </c>
      <c r="F23" s="103">
        <v>7159</v>
      </c>
      <c r="G23" s="103">
        <v>5031</v>
      </c>
      <c r="H23" s="103">
        <v>12190</v>
      </c>
      <c r="I23" s="103">
        <v>12852</v>
      </c>
      <c r="J23" s="103">
        <v>4871</v>
      </c>
      <c r="K23" s="103">
        <v>17723</v>
      </c>
      <c r="L23" s="103">
        <v>170862</v>
      </c>
      <c r="M23" s="103">
        <v>141711</v>
      </c>
      <c r="N23" s="103">
        <v>312573</v>
      </c>
      <c r="O23" s="103">
        <v>51545</v>
      </c>
      <c r="P23" s="103">
        <v>33665</v>
      </c>
      <c r="Q23" s="103">
        <v>85210</v>
      </c>
      <c r="R23" s="103">
        <v>141783</v>
      </c>
      <c r="S23" s="103">
        <v>53070</v>
      </c>
      <c r="T23" s="103">
        <v>194853</v>
      </c>
      <c r="U23" s="103">
        <v>0</v>
      </c>
      <c r="V23" s="103">
        <v>0</v>
      </c>
      <c r="W23" s="103">
        <v>0</v>
      </c>
      <c r="X23" s="103">
        <v>0</v>
      </c>
      <c r="Y23" s="103">
        <v>0</v>
      </c>
      <c r="Z23" s="103">
        <v>0</v>
      </c>
      <c r="AA23" s="103">
        <v>1274</v>
      </c>
      <c r="AB23" s="103">
        <v>439</v>
      </c>
      <c r="AC23" s="103">
        <v>1713</v>
      </c>
      <c r="AD23" s="103">
        <v>0</v>
      </c>
      <c r="AE23" s="103">
        <v>0</v>
      </c>
      <c r="AF23" s="103">
        <v>0</v>
      </c>
      <c r="AG23" s="103">
        <v>0</v>
      </c>
      <c r="AH23" s="103">
        <v>0</v>
      </c>
      <c r="AI23" s="103">
        <v>0</v>
      </c>
      <c r="AJ23" s="103">
        <v>392375</v>
      </c>
      <c r="AK23" s="103">
        <v>243788</v>
      </c>
      <c r="AL23" s="623">
        <v>636163</v>
      </c>
    </row>
    <row r="24" spans="1:38" s="220" customFormat="1" ht="23.25" customHeight="1">
      <c r="A24" s="221">
        <v>20</v>
      </c>
      <c r="B24" s="225" t="s">
        <v>34</v>
      </c>
      <c r="C24" s="103">
        <v>3861</v>
      </c>
      <c r="D24" s="103">
        <v>3140</v>
      </c>
      <c r="E24" s="103">
        <v>7001</v>
      </c>
      <c r="F24" s="103">
        <v>20968</v>
      </c>
      <c r="G24" s="103">
        <v>12921</v>
      </c>
      <c r="H24" s="103">
        <v>33889</v>
      </c>
      <c r="I24" s="103">
        <v>15205</v>
      </c>
      <c r="J24" s="103">
        <v>5146</v>
      </c>
      <c r="K24" s="103">
        <v>20351</v>
      </c>
      <c r="L24" s="103">
        <v>86793</v>
      </c>
      <c r="M24" s="103">
        <v>145670</v>
      </c>
      <c r="N24" s="103">
        <v>232463</v>
      </c>
      <c r="O24" s="103">
        <v>402492</v>
      </c>
      <c r="P24" s="103">
        <v>202507</v>
      </c>
      <c r="Q24" s="103">
        <v>604999</v>
      </c>
      <c r="R24" s="103">
        <v>30489</v>
      </c>
      <c r="S24" s="103">
        <v>21543</v>
      </c>
      <c r="T24" s="103">
        <v>52032</v>
      </c>
      <c r="U24" s="103">
        <v>0</v>
      </c>
      <c r="V24" s="103">
        <v>0</v>
      </c>
      <c r="W24" s="103">
        <v>0</v>
      </c>
      <c r="X24" s="103">
        <v>0</v>
      </c>
      <c r="Y24" s="103">
        <v>0</v>
      </c>
      <c r="Z24" s="103">
        <v>0</v>
      </c>
      <c r="AA24" s="103">
        <v>3968</v>
      </c>
      <c r="AB24" s="103">
        <v>2117</v>
      </c>
      <c r="AC24" s="103">
        <v>6085</v>
      </c>
      <c r="AD24" s="103">
        <v>1112</v>
      </c>
      <c r="AE24" s="103">
        <v>1464</v>
      </c>
      <c r="AF24" s="103">
        <v>2576</v>
      </c>
      <c r="AG24" s="103">
        <v>67853</v>
      </c>
      <c r="AH24" s="103">
        <v>60556</v>
      </c>
      <c r="AI24" s="103">
        <v>128409</v>
      </c>
      <c r="AJ24" s="103">
        <v>632741</v>
      </c>
      <c r="AK24" s="103">
        <v>455064</v>
      </c>
      <c r="AL24" s="623">
        <v>1087805</v>
      </c>
    </row>
    <row r="25" spans="1:38" s="220" customFormat="1" ht="23.25" customHeight="1">
      <c r="A25" s="221">
        <v>21</v>
      </c>
      <c r="B25" s="225" t="s">
        <v>35</v>
      </c>
      <c r="C25" s="103">
        <v>4061</v>
      </c>
      <c r="D25" s="103">
        <v>4802</v>
      </c>
      <c r="E25" s="103">
        <v>8863</v>
      </c>
      <c r="F25" s="103">
        <v>2794</v>
      </c>
      <c r="G25" s="103">
        <v>2324</v>
      </c>
      <c r="H25" s="103">
        <v>5118</v>
      </c>
      <c r="I25" s="103">
        <v>900</v>
      </c>
      <c r="J25" s="103">
        <v>206</v>
      </c>
      <c r="K25" s="103">
        <v>1106</v>
      </c>
      <c r="L25" s="103">
        <v>569</v>
      </c>
      <c r="M25" s="103">
        <v>261</v>
      </c>
      <c r="N25" s="103">
        <v>830</v>
      </c>
      <c r="O25" s="103">
        <v>0</v>
      </c>
      <c r="P25" s="103">
        <v>0</v>
      </c>
      <c r="Q25" s="103">
        <v>0</v>
      </c>
      <c r="R25" s="103">
        <v>306</v>
      </c>
      <c r="S25" s="103">
        <v>50</v>
      </c>
      <c r="T25" s="103">
        <v>356</v>
      </c>
      <c r="U25" s="103">
        <v>0</v>
      </c>
      <c r="V25" s="103">
        <v>0</v>
      </c>
      <c r="W25" s="103">
        <v>0</v>
      </c>
      <c r="X25" s="103">
        <v>0</v>
      </c>
      <c r="Y25" s="103">
        <v>0</v>
      </c>
      <c r="Z25" s="103">
        <v>0</v>
      </c>
      <c r="AA25" s="103">
        <v>0</v>
      </c>
      <c r="AB25" s="103">
        <v>0</v>
      </c>
      <c r="AC25" s="103">
        <v>0</v>
      </c>
      <c r="AD25" s="103">
        <v>0</v>
      </c>
      <c r="AE25" s="103">
        <v>0</v>
      </c>
      <c r="AF25" s="103">
        <v>0</v>
      </c>
      <c r="AG25" s="103">
        <v>0</v>
      </c>
      <c r="AH25" s="103">
        <v>0</v>
      </c>
      <c r="AI25" s="103">
        <v>0</v>
      </c>
      <c r="AJ25" s="103">
        <v>8630</v>
      </c>
      <c r="AK25" s="103">
        <v>7643</v>
      </c>
      <c r="AL25" s="623">
        <v>16273</v>
      </c>
    </row>
    <row r="26" spans="1:38" s="220" customFormat="1" ht="23.25" customHeight="1">
      <c r="A26" s="221">
        <v>22</v>
      </c>
      <c r="B26" s="225" t="s">
        <v>36</v>
      </c>
      <c r="C26" s="103">
        <v>1814</v>
      </c>
      <c r="D26" s="103">
        <v>2727</v>
      </c>
      <c r="E26" s="103">
        <v>4541</v>
      </c>
      <c r="F26" s="103">
        <v>2607</v>
      </c>
      <c r="G26" s="103">
        <v>3004</v>
      </c>
      <c r="H26" s="103">
        <v>5611</v>
      </c>
      <c r="I26" s="103">
        <v>1132</v>
      </c>
      <c r="J26" s="103">
        <v>637</v>
      </c>
      <c r="K26" s="103">
        <v>1769</v>
      </c>
      <c r="L26" s="103">
        <v>78</v>
      </c>
      <c r="M26" s="103">
        <v>97</v>
      </c>
      <c r="N26" s="103">
        <v>175</v>
      </c>
      <c r="O26" s="103">
        <v>0</v>
      </c>
      <c r="P26" s="103">
        <v>0</v>
      </c>
      <c r="Q26" s="103">
        <v>0</v>
      </c>
      <c r="R26" s="103">
        <v>4084</v>
      </c>
      <c r="S26" s="103">
        <v>4402</v>
      </c>
      <c r="T26" s="103">
        <v>8486</v>
      </c>
      <c r="U26" s="103">
        <v>0</v>
      </c>
      <c r="V26" s="103">
        <v>0</v>
      </c>
      <c r="W26" s="103">
        <v>0</v>
      </c>
      <c r="X26" s="103">
        <v>0</v>
      </c>
      <c r="Y26" s="103">
        <v>0</v>
      </c>
      <c r="Z26" s="103">
        <v>0</v>
      </c>
      <c r="AA26" s="103">
        <v>0</v>
      </c>
      <c r="AB26" s="103">
        <v>0</v>
      </c>
      <c r="AC26" s="103">
        <v>0</v>
      </c>
      <c r="AD26" s="103">
        <v>0</v>
      </c>
      <c r="AE26" s="103">
        <v>0</v>
      </c>
      <c r="AF26" s="103">
        <v>0</v>
      </c>
      <c r="AG26" s="103">
        <v>0</v>
      </c>
      <c r="AH26" s="103">
        <v>0</v>
      </c>
      <c r="AI26" s="103">
        <v>0</v>
      </c>
      <c r="AJ26" s="103">
        <v>9715</v>
      </c>
      <c r="AK26" s="103">
        <v>10867</v>
      </c>
      <c r="AL26" s="623">
        <v>20582</v>
      </c>
    </row>
    <row r="27" spans="1:38" s="220" customFormat="1" ht="23.25" customHeight="1">
      <c r="A27" s="221">
        <v>23</v>
      </c>
      <c r="B27" s="225" t="s">
        <v>37</v>
      </c>
      <c r="C27" s="103">
        <v>1804</v>
      </c>
      <c r="D27" s="103">
        <v>1811</v>
      </c>
      <c r="E27" s="103">
        <v>3615</v>
      </c>
      <c r="F27" s="103">
        <v>3017</v>
      </c>
      <c r="G27" s="103">
        <v>3408</v>
      </c>
      <c r="H27" s="103">
        <v>6425</v>
      </c>
      <c r="I27" s="103">
        <v>536</v>
      </c>
      <c r="J27" s="103">
        <v>124</v>
      </c>
      <c r="K27" s="103">
        <v>660</v>
      </c>
      <c r="L27" s="103">
        <v>0</v>
      </c>
      <c r="M27" s="103">
        <v>0</v>
      </c>
      <c r="N27" s="103">
        <v>0</v>
      </c>
      <c r="O27" s="103">
        <v>0</v>
      </c>
      <c r="P27" s="103">
        <v>0</v>
      </c>
      <c r="Q27" s="103">
        <v>0</v>
      </c>
      <c r="R27" s="103">
        <v>141</v>
      </c>
      <c r="S27" s="103">
        <v>89</v>
      </c>
      <c r="T27" s="103">
        <v>230</v>
      </c>
      <c r="U27" s="103">
        <v>0</v>
      </c>
      <c r="V27" s="103">
        <v>0</v>
      </c>
      <c r="W27" s="103">
        <v>0</v>
      </c>
      <c r="X27" s="103">
        <v>0</v>
      </c>
      <c r="Y27" s="103">
        <v>0</v>
      </c>
      <c r="Z27" s="103">
        <v>0</v>
      </c>
      <c r="AA27" s="103">
        <v>0</v>
      </c>
      <c r="AB27" s="103">
        <v>0</v>
      </c>
      <c r="AC27" s="103">
        <v>0</v>
      </c>
      <c r="AD27" s="103">
        <v>0</v>
      </c>
      <c r="AE27" s="103">
        <v>0</v>
      </c>
      <c r="AF27" s="103">
        <v>0</v>
      </c>
      <c r="AG27" s="103">
        <v>0</v>
      </c>
      <c r="AH27" s="103">
        <v>0</v>
      </c>
      <c r="AI27" s="103">
        <v>0</v>
      </c>
      <c r="AJ27" s="103">
        <v>5498</v>
      </c>
      <c r="AK27" s="103">
        <v>5432</v>
      </c>
      <c r="AL27" s="623">
        <v>10930</v>
      </c>
    </row>
    <row r="28" spans="1:38" s="220" customFormat="1" ht="23.25" customHeight="1">
      <c r="A28" s="221">
        <v>24</v>
      </c>
      <c r="B28" s="225" t="s">
        <v>38</v>
      </c>
      <c r="C28" s="103">
        <v>1082</v>
      </c>
      <c r="D28" s="103">
        <v>1759</v>
      </c>
      <c r="E28" s="103">
        <v>2841</v>
      </c>
      <c r="F28" s="103">
        <v>1332</v>
      </c>
      <c r="G28" s="103">
        <v>1971</v>
      </c>
      <c r="H28" s="103">
        <v>3303</v>
      </c>
      <c r="I28" s="103">
        <v>624</v>
      </c>
      <c r="J28" s="103">
        <v>175</v>
      </c>
      <c r="K28" s="103">
        <v>799</v>
      </c>
      <c r="L28" s="103">
        <v>0</v>
      </c>
      <c r="M28" s="103">
        <v>0</v>
      </c>
      <c r="N28" s="103">
        <v>0</v>
      </c>
      <c r="O28" s="103">
        <v>0</v>
      </c>
      <c r="P28" s="103">
        <v>0</v>
      </c>
      <c r="Q28" s="103">
        <v>0</v>
      </c>
      <c r="R28" s="103">
        <v>2749</v>
      </c>
      <c r="S28" s="103">
        <v>2081</v>
      </c>
      <c r="T28" s="103">
        <v>4830</v>
      </c>
      <c r="U28" s="103">
        <v>0</v>
      </c>
      <c r="V28" s="103">
        <v>0</v>
      </c>
      <c r="W28" s="103">
        <v>0</v>
      </c>
      <c r="X28" s="103">
        <v>0</v>
      </c>
      <c r="Y28" s="103">
        <v>0</v>
      </c>
      <c r="Z28" s="103">
        <v>0</v>
      </c>
      <c r="AA28" s="103">
        <v>0</v>
      </c>
      <c r="AB28" s="103">
        <v>0</v>
      </c>
      <c r="AC28" s="103">
        <v>0</v>
      </c>
      <c r="AD28" s="103">
        <v>0</v>
      </c>
      <c r="AE28" s="103">
        <v>0</v>
      </c>
      <c r="AF28" s="103">
        <v>0</v>
      </c>
      <c r="AG28" s="103">
        <v>0</v>
      </c>
      <c r="AH28" s="103">
        <v>0</v>
      </c>
      <c r="AI28" s="103">
        <v>0</v>
      </c>
      <c r="AJ28" s="103">
        <v>5787</v>
      </c>
      <c r="AK28" s="103">
        <v>5986</v>
      </c>
      <c r="AL28" s="623">
        <v>11773</v>
      </c>
    </row>
    <row r="29" spans="1:38" s="220" customFormat="1" ht="23.25" customHeight="1">
      <c r="A29" s="221">
        <v>25</v>
      </c>
      <c r="B29" s="225" t="s">
        <v>39</v>
      </c>
      <c r="C29" s="103">
        <v>825</v>
      </c>
      <c r="D29" s="103">
        <v>1360</v>
      </c>
      <c r="E29" s="103">
        <v>2185</v>
      </c>
      <c r="F29" s="103">
        <v>22439</v>
      </c>
      <c r="G29" s="103">
        <v>29407</v>
      </c>
      <c r="H29" s="103">
        <v>51846</v>
      </c>
      <c r="I29" s="103">
        <v>9064</v>
      </c>
      <c r="J29" s="103">
        <v>3999</v>
      </c>
      <c r="K29" s="103">
        <v>13063</v>
      </c>
      <c r="L29" s="103">
        <v>21748</v>
      </c>
      <c r="M29" s="103">
        <v>24942</v>
      </c>
      <c r="N29" s="103">
        <v>46690</v>
      </c>
      <c r="O29" s="103">
        <v>6388</v>
      </c>
      <c r="P29" s="103">
        <v>6679</v>
      </c>
      <c r="Q29" s="103">
        <v>13067</v>
      </c>
      <c r="R29" s="103">
        <v>9758</v>
      </c>
      <c r="S29" s="103">
        <v>5762</v>
      </c>
      <c r="T29" s="103">
        <v>15520</v>
      </c>
      <c r="U29" s="103">
        <v>0</v>
      </c>
      <c r="V29" s="103">
        <v>0</v>
      </c>
      <c r="W29" s="103">
        <v>0</v>
      </c>
      <c r="X29" s="103">
        <v>0</v>
      </c>
      <c r="Y29" s="103">
        <v>0</v>
      </c>
      <c r="Z29" s="103">
        <v>0</v>
      </c>
      <c r="AA29" s="103">
        <v>737</v>
      </c>
      <c r="AB29" s="103">
        <v>330</v>
      </c>
      <c r="AC29" s="103">
        <v>1067</v>
      </c>
      <c r="AD29" s="103">
        <v>0</v>
      </c>
      <c r="AE29" s="103">
        <v>0</v>
      </c>
      <c r="AF29" s="103">
        <v>0</v>
      </c>
      <c r="AG29" s="103">
        <v>19285</v>
      </c>
      <c r="AH29" s="103">
        <v>18246</v>
      </c>
      <c r="AI29" s="103">
        <v>37531</v>
      </c>
      <c r="AJ29" s="103">
        <v>90244</v>
      </c>
      <c r="AK29" s="103">
        <v>90725</v>
      </c>
      <c r="AL29" s="623">
        <v>180969</v>
      </c>
    </row>
    <row r="30" spans="1:38" s="220" customFormat="1" ht="23.25" customHeight="1">
      <c r="A30" s="221">
        <v>26</v>
      </c>
      <c r="B30" s="225" t="s">
        <v>40</v>
      </c>
      <c r="C30" s="103">
        <v>11099</v>
      </c>
      <c r="D30" s="103">
        <v>9547</v>
      </c>
      <c r="E30" s="103">
        <v>20646</v>
      </c>
      <c r="F30" s="103">
        <v>0</v>
      </c>
      <c r="G30" s="103">
        <v>0</v>
      </c>
      <c r="H30" s="103">
        <v>0</v>
      </c>
      <c r="I30" s="103">
        <v>1665</v>
      </c>
      <c r="J30" s="103">
        <v>1026</v>
      </c>
      <c r="K30" s="103">
        <v>2691</v>
      </c>
      <c r="L30" s="103">
        <v>0</v>
      </c>
      <c r="M30" s="103">
        <v>0</v>
      </c>
      <c r="N30" s="103">
        <v>0</v>
      </c>
      <c r="O30" s="103">
        <v>0</v>
      </c>
      <c r="P30" s="103">
        <v>0</v>
      </c>
      <c r="Q30" s="103">
        <v>0</v>
      </c>
      <c r="R30" s="103">
        <v>0</v>
      </c>
      <c r="S30" s="103">
        <v>0</v>
      </c>
      <c r="T30" s="103">
        <v>0</v>
      </c>
      <c r="U30" s="103">
        <v>0</v>
      </c>
      <c r="V30" s="103">
        <v>0</v>
      </c>
      <c r="W30" s="103">
        <v>0</v>
      </c>
      <c r="X30" s="103">
        <v>0</v>
      </c>
      <c r="Y30" s="103">
        <v>0</v>
      </c>
      <c r="Z30" s="103">
        <v>0</v>
      </c>
      <c r="AA30" s="103">
        <v>0</v>
      </c>
      <c r="AB30" s="103">
        <v>0</v>
      </c>
      <c r="AC30" s="103">
        <v>0</v>
      </c>
      <c r="AD30" s="103">
        <v>0</v>
      </c>
      <c r="AE30" s="103">
        <v>0</v>
      </c>
      <c r="AF30" s="103">
        <v>0</v>
      </c>
      <c r="AG30" s="103">
        <v>3518</v>
      </c>
      <c r="AH30" s="103">
        <v>4802</v>
      </c>
      <c r="AI30" s="103">
        <v>8320</v>
      </c>
      <c r="AJ30" s="103">
        <v>16282</v>
      </c>
      <c r="AK30" s="103">
        <v>15375</v>
      </c>
      <c r="AL30" s="623">
        <v>31657</v>
      </c>
    </row>
    <row r="31" spans="1:38" s="220" customFormat="1" ht="23.25" customHeight="1">
      <c r="A31" s="221">
        <v>27</v>
      </c>
      <c r="B31" s="225" t="s">
        <v>41</v>
      </c>
      <c r="C31" s="103">
        <v>1017</v>
      </c>
      <c r="D31" s="103">
        <v>894</v>
      </c>
      <c r="E31" s="103">
        <v>1911</v>
      </c>
      <c r="F31" s="103">
        <v>12951</v>
      </c>
      <c r="G31" s="103">
        <v>18126</v>
      </c>
      <c r="H31" s="103">
        <v>31077</v>
      </c>
      <c r="I31" s="103">
        <v>7151</v>
      </c>
      <c r="J31" s="103">
        <v>2803</v>
      </c>
      <c r="K31" s="103">
        <v>9954</v>
      </c>
      <c r="L31" s="103">
        <v>24760</v>
      </c>
      <c r="M31" s="103">
        <v>24484</v>
      </c>
      <c r="N31" s="103">
        <v>49244</v>
      </c>
      <c r="O31" s="103">
        <v>0</v>
      </c>
      <c r="P31" s="103">
        <v>0</v>
      </c>
      <c r="Q31" s="103">
        <v>0</v>
      </c>
      <c r="R31" s="103">
        <v>101449</v>
      </c>
      <c r="S31" s="103">
        <v>56897</v>
      </c>
      <c r="T31" s="103">
        <v>158346</v>
      </c>
      <c r="U31" s="103">
        <v>0</v>
      </c>
      <c r="V31" s="103">
        <v>0</v>
      </c>
      <c r="W31" s="103">
        <v>0</v>
      </c>
      <c r="X31" s="103">
        <v>0</v>
      </c>
      <c r="Y31" s="103">
        <v>0</v>
      </c>
      <c r="Z31" s="103">
        <v>0</v>
      </c>
      <c r="AA31" s="103">
        <v>2923</v>
      </c>
      <c r="AB31" s="103">
        <v>896</v>
      </c>
      <c r="AC31" s="103">
        <v>3819</v>
      </c>
      <c r="AD31" s="103">
        <v>0</v>
      </c>
      <c r="AE31" s="103">
        <v>0</v>
      </c>
      <c r="AF31" s="103">
        <v>0</v>
      </c>
      <c r="AG31" s="103">
        <v>6967</v>
      </c>
      <c r="AH31" s="103">
        <v>2890</v>
      </c>
      <c r="AI31" s="103">
        <v>9857</v>
      </c>
      <c r="AJ31" s="103">
        <v>157218</v>
      </c>
      <c r="AK31" s="103">
        <v>106990</v>
      </c>
      <c r="AL31" s="623">
        <v>264208</v>
      </c>
    </row>
    <row r="32" spans="1:38" s="220" customFormat="1" ht="23.25" customHeight="1">
      <c r="A32" s="221">
        <v>28</v>
      </c>
      <c r="B32" s="225" t="s">
        <v>42</v>
      </c>
      <c r="C32" s="103">
        <v>1517</v>
      </c>
      <c r="D32" s="103">
        <v>1018</v>
      </c>
      <c r="E32" s="103">
        <v>2535</v>
      </c>
      <c r="F32" s="103">
        <v>20424</v>
      </c>
      <c r="G32" s="103">
        <v>9035</v>
      </c>
      <c r="H32" s="103">
        <v>29459</v>
      </c>
      <c r="I32" s="103">
        <v>7350</v>
      </c>
      <c r="J32" s="103">
        <v>2530</v>
      </c>
      <c r="K32" s="103">
        <v>9880</v>
      </c>
      <c r="L32" s="103">
        <v>55179</v>
      </c>
      <c r="M32" s="103">
        <v>34665</v>
      </c>
      <c r="N32" s="103">
        <v>89844</v>
      </c>
      <c r="O32" s="103">
        <v>118096</v>
      </c>
      <c r="P32" s="103">
        <v>66925</v>
      </c>
      <c r="Q32" s="103">
        <v>185021</v>
      </c>
      <c r="R32" s="103">
        <v>95960</v>
      </c>
      <c r="S32" s="103">
        <v>43713</v>
      </c>
      <c r="T32" s="103">
        <v>139673</v>
      </c>
      <c r="U32" s="103">
        <v>0</v>
      </c>
      <c r="V32" s="103">
        <v>0</v>
      </c>
      <c r="W32" s="103">
        <v>0</v>
      </c>
      <c r="X32" s="103">
        <v>0</v>
      </c>
      <c r="Y32" s="103">
        <v>0</v>
      </c>
      <c r="Z32" s="103">
        <v>0</v>
      </c>
      <c r="AA32" s="103">
        <v>416</v>
      </c>
      <c r="AB32" s="103">
        <v>156</v>
      </c>
      <c r="AC32" s="103">
        <v>572</v>
      </c>
      <c r="AD32" s="103">
        <v>0</v>
      </c>
      <c r="AE32" s="103">
        <v>0</v>
      </c>
      <c r="AF32" s="103">
        <v>0</v>
      </c>
      <c r="AG32" s="103">
        <v>25929</v>
      </c>
      <c r="AH32" s="103">
        <v>28320</v>
      </c>
      <c r="AI32" s="103">
        <v>54249</v>
      </c>
      <c r="AJ32" s="103">
        <v>324871</v>
      </c>
      <c r="AK32" s="103">
        <v>186362</v>
      </c>
      <c r="AL32" s="623">
        <v>511233</v>
      </c>
    </row>
    <row r="33" spans="1:41" s="220" customFormat="1" ht="23.25" customHeight="1">
      <c r="A33" s="221">
        <v>29</v>
      </c>
      <c r="B33" s="225" t="s">
        <v>43</v>
      </c>
      <c r="C33" s="103">
        <v>879</v>
      </c>
      <c r="D33" s="103">
        <v>1324</v>
      </c>
      <c r="E33" s="103">
        <v>2203</v>
      </c>
      <c r="F33" s="103">
        <v>1766</v>
      </c>
      <c r="G33" s="103">
        <v>3200</v>
      </c>
      <c r="H33" s="103">
        <v>4966</v>
      </c>
      <c r="I33" s="103">
        <v>622</v>
      </c>
      <c r="J33" s="103">
        <v>182</v>
      </c>
      <c r="K33" s="103">
        <v>804</v>
      </c>
      <c r="L33" s="103">
        <v>12</v>
      </c>
      <c r="M33" s="103">
        <v>18</v>
      </c>
      <c r="N33" s="103">
        <v>30</v>
      </c>
      <c r="O33" s="103">
        <v>0</v>
      </c>
      <c r="P33" s="103">
        <v>0</v>
      </c>
      <c r="Q33" s="103">
        <v>0</v>
      </c>
      <c r="R33" s="103">
        <v>6041</v>
      </c>
      <c r="S33" s="103">
        <v>5317</v>
      </c>
      <c r="T33" s="103">
        <v>11358</v>
      </c>
      <c r="U33" s="103">
        <v>0</v>
      </c>
      <c r="V33" s="103">
        <v>0</v>
      </c>
      <c r="W33" s="103">
        <v>0</v>
      </c>
      <c r="X33" s="103">
        <v>0</v>
      </c>
      <c r="Y33" s="103">
        <v>0</v>
      </c>
      <c r="Z33" s="103">
        <v>0</v>
      </c>
      <c r="AA33" s="103">
        <v>0</v>
      </c>
      <c r="AB33" s="103">
        <v>0</v>
      </c>
      <c r="AC33" s="103">
        <v>0</v>
      </c>
      <c r="AD33" s="103">
        <v>0</v>
      </c>
      <c r="AE33" s="103">
        <v>0</v>
      </c>
      <c r="AF33" s="103">
        <v>0</v>
      </c>
      <c r="AG33" s="103">
        <v>0</v>
      </c>
      <c r="AH33" s="103">
        <v>0</v>
      </c>
      <c r="AI33" s="103">
        <v>0</v>
      </c>
      <c r="AJ33" s="103">
        <v>9320</v>
      </c>
      <c r="AK33" s="103">
        <v>10041</v>
      </c>
      <c r="AL33" s="623">
        <v>19361</v>
      </c>
    </row>
    <row r="34" spans="1:41" s="220" customFormat="1" ht="23.25" customHeight="1">
      <c r="A34" s="221">
        <v>30</v>
      </c>
      <c r="B34" s="225" t="s">
        <v>44</v>
      </c>
      <c r="C34" s="103">
        <v>892</v>
      </c>
      <c r="D34" s="103">
        <v>1230</v>
      </c>
      <c r="E34" s="103">
        <v>2122</v>
      </c>
      <c r="F34" s="103">
        <v>5004</v>
      </c>
      <c r="G34" s="103">
        <v>3648</v>
      </c>
      <c r="H34" s="103">
        <v>8652</v>
      </c>
      <c r="I34" s="103">
        <v>15324</v>
      </c>
      <c r="J34" s="103">
        <v>5752</v>
      </c>
      <c r="K34" s="103">
        <v>21076</v>
      </c>
      <c r="L34" s="103">
        <v>194146</v>
      </c>
      <c r="M34" s="103">
        <v>229674</v>
      </c>
      <c r="N34" s="103">
        <v>423820</v>
      </c>
      <c r="O34" s="103">
        <v>10814</v>
      </c>
      <c r="P34" s="103">
        <v>19365</v>
      </c>
      <c r="Q34" s="103">
        <v>30179</v>
      </c>
      <c r="R34" s="103">
        <v>0</v>
      </c>
      <c r="S34" s="103">
        <v>0</v>
      </c>
      <c r="T34" s="103">
        <v>0</v>
      </c>
      <c r="U34" s="103">
        <v>0</v>
      </c>
      <c r="V34" s="103">
        <v>0</v>
      </c>
      <c r="W34" s="103">
        <v>0</v>
      </c>
      <c r="X34" s="103">
        <v>0</v>
      </c>
      <c r="Y34" s="103">
        <v>0</v>
      </c>
      <c r="Z34" s="103">
        <v>0</v>
      </c>
      <c r="AA34" s="103">
        <v>259</v>
      </c>
      <c r="AB34" s="103">
        <v>84</v>
      </c>
      <c r="AC34" s="103">
        <v>343</v>
      </c>
      <c r="AD34" s="103">
        <v>1571</v>
      </c>
      <c r="AE34" s="103">
        <v>9760</v>
      </c>
      <c r="AF34" s="103">
        <v>11331</v>
      </c>
      <c r="AG34" s="103">
        <v>198070</v>
      </c>
      <c r="AH34" s="103">
        <v>108791</v>
      </c>
      <c r="AI34" s="103">
        <v>306861</v>
      </c>
      <c r="AJ34" s="103">
        <v>426080</v>
      </c>
      <c r="AK34" s="103">
        <v>378304</v>
      </c>
      <c r="AL34" s="623">
        <v>804384</v>
      </c>
    </row>
    <row r="35" spans="1:41" s="220" customFormat="1" ht="23.25" customHeight="1">
      <c r="A35" s="221">
        <v>31</v>
      </c>
      <c r="B35" s="225" t="s">
        <v>142</v>
      </c>
      <c r="C35" s="103">
        <v>18248</v>
      </c>
      <c r="D35" s="103">
        <v>15111</v>
      </c>
      <c r="E35" s="103">
        <v>33359</v>
      </c>
      <c r="F35" s="103">
        <v>6266</v>
      </c>
      <c r="G35" s="103">
        <v>3951</v>
      </c>
      <c r="H35" s="103">
        <v>10217</v>
      </c>
      <c r="I35" s="103">
        <v>7759</v>
      </c>
      <c r="J35" s="103">
        <v>2444</v>
      </c>
      <c r="K35" s="103">
        <v>10203</v>
      </c>
      <c r="L35" s="103">
        <v>34164</v>
      </c>
      <c r="M35" s="103">
        <v>33254</v>
      </c>
      <c r="N35" s="103">
        <v>67418</v>
      </c>
      <c r="O35" s="103">
        <v>42543</v>
      </c>
      <c r="P35" s="103">
        <v>33081</v>
      </c>
      <c r="Q35" s="103">
        <v>75624</v>
      </c>
      <c r="R35" s="103">
        <v>3772</v>
      </c>
      <c r="S35" s="103">
        <v>2709</v>
      </c>
      <c r="T35" s="103">
        <v>6481</v>
      </c>
      <c r="U35" s="103">
        <v>0</v>
      </c>
      <c r="V35" s="103">
        <v>0</v>
      </c>
      <c r="W35" s="103">
        <v>0</v>
      </c>
      <c r="X35" s="103">
        <v>0</v>
      </c>
      <c r="Y35" s="103">
        <v>960</v>
      </c>
      <c r="Z35" s="103">
        <v>960</v>
      </c>
      <c r="AA35" s="103">
        <v>4106</v>
      </c>
      <c r="AB35" s="103">
        <v>3627</v>
      </c>
      <c r="AC35" s="103">
        <v>7733</v>
      </c>
      <c r="AD35" s="103">
        <v>80</v>
      </c>
      <c r="AE35" s="103">
        <v>204</v>
      </c>
      <c r="AF35" s="103">
        <v>284</v>
      </c>
      <c r="AG35" s="103">
        <v>10876</v>
      </c>
      <c r="AH35" s="103">
        <v>6297</v>
      </c>
      <c r="AI35" s="103">
        <v>17173</v>
      </c>
      <c r="AJ35" s="103">
        <v>127814</v>
      </c>
      <c r="AK35" s="103">
        <v>101638</v>
      </c>
      <c r="AL35" s="623">
        <v>229452</v>
      </c>
    </row>
    <row r="36" spans="1:41" s="220" customFormat="1" ht="48.75" customHeight="1">
      <c r="A36" s="221">
        <v>32</v>
      </c>
      <c r="B36" s="222" t="s">
        <v>173</v>
      </c>
      <c r="C36" s="103">
        <v>0</v>
      </c>
      <c r="D36" s="103">
        <v>0</v>
      </c>
      <c r="E36" s="103">
        <v>0</v>
      </c>
      <c r="F36" s="103">
        <v>0</v>
      </c>
      <c r="G36" s="103">
        <v>0</v>
      </c>
      <c r="H36" s="103">
        <v>0</v>
      </c>
      <c r="I36" s="103">
        <v>0</v>
      </c>
      <c r="J36" s="103">
        <v>0</v>
      </c>
      <c r="K36" s="103">
        <v>0</v>
      </c>
      <c r="L36" s="103">
        <v>53</v>
      </c>
      <c r="M36" s="103">
        <v>61</v>
      </c>
      <c r="N36" s="103">
        <v>114</v>
      </c>
      <c r="O36" s="103">
        <v>0</v>
      </c>
      <c r="P36" s="103">
        <v>0</v>
      </c>
      <c r="Q36" s="103">
        <v>0</v>
      </c>
      <c r="R36" s="103">
        <v>0</v>
      </c>
      <c r="S36" s="103">
        <v>0</v>
      </c>
      <c r="T36" s="103">
        <v>0</v>
      </c>
      <c r="U36" s="103">
        <v>0</v>
      </c>
      <c r="V36" s="103">
        <v>0</v>
      </c>
      <c r="W36" s="103">
        <v>0</v>
      </c>
      <c r="X36" s="103">
        <v>0</v>
      </c>
      <c r="Y36" s="103">
        <v>0</v>
      </c>
      <c r="Z36" s="103">
        <v>0</v>
      </c>
      <c r="AA36" s="103">
        <v>0</v>
      </c>
      <c r="AB36" s="103">
        <v>0</v>
      </c>
      <c r="AC36" s="103">
        <v>0</v>
      </c>
      <c r="AD36" s="103">
        <v>0</v>
      </c>
      <c r="AE36" s="103">
        <v>0</v>
      </c>
      <c r="AF36" s="103">
        <v>0</v>
      </c>
      <c r="AG36" s="103">
        <v>0</v>
      </c>
      <c r="AH36" s="103">
        <v>0</v>
      </c>
      <c r="AI36" s="103">
        <v>0</v>
      </c>
      <c r="AJ36" s="103">
        <v>53</v>
      </c>
      <c r="AK36" s="103">
        <v>61</v>
      </c>
      <c r="AL36" s="623">
        <v>114</v>
      </c>
    </row>
    <row r="37" spans="1:41" s="220" customFormat="1" ht="23.25" customHeight="1">
      <c r="A37" s="221">
        <v>33</v>
      </c>
      <c r="B37" s="225" t="s">
        <v>45</v>
      </c>
      <c r="C37" s="103">
        <v>5362</v>
      </c>
      <c r="D37" s="103">
        <v>5386</v>
      </c>
      <c r="E37" s="103">
        <v>10748</v>
      </c>
      <c r="F37" s="103">
        <v>2990</v>
      </c>
      <c r="G37" s="103">
        <v>2581</v>
      </c>
      <c r="H37" s="103">
        <v>5571</v>
      </c>
      <c r="I37" s="103">
        <v>3317</v>
      </c>
      <c r="J37" s="103">
        <v>990</v>
      </c>
      <c r="K37" s="103">
        <v>4307</v>
      </c>
      <c r="L37" s="103">
        <v>324</v>
      </c>
      <c r="M37" s="103">
        <v>318</v>
      </c>
      <c r="N37" s="103">
        <v>642</v>
      </c>
      <c r="O37" s="103">
        <v>0</v>
      </c>
      <c r="P37" s="103">
        <v>0</v>
      </c>
      <c r="Q37" s="103">
        <v>0</v>
      </c>
      <c r="R37" s="103">
        <v>2802</v>
      </c>
      <c r="S37" s="103">
        <v>2145</v>
      </c>
      <c r="T37" s="103">
        <v>4947</v>
      </c>
      <c r="U37" s="103">
        <v>0</v>
      </c>
      <c r="V37" s="103">
        <v>0</v>
      </c>
      <c r="W37" s="103">
        <v>0</v>
      </c>
      <c r="X37" s="103">
        <v>0</v>
      </c>
      <c r="Y37" s="103">
        <v>0</v>
      </c>
      <c r="Z37" s="103">
        <v>0</v>
      </c>
      <c r="AA37" s="103">
        <v>0</v>
      </c>
      <c r="AB37" s="103">
        <v>0</v>
      </c>
      <c r="AC37" s="103">
        <v>0</v>
      </c>
      <c r="AD37" s="103">
        <v>0</v>
      </c>
      <c r="AE37" s="103">
        <v>0</v>
      </c>
      <c r="AF37" s="103">
        <v>0</v>
      </c>
      <c r="AG37" s="103">
        <v>0</v>
      </c>
      <c r="AH37" s="103">
        <v>0</v>
      </c>
      <c r="AI37" s="103">
        <v>0</v>
      </c>
      <c r="AJ37" s="103">
        <v>14795</v>
      </c>
      <c r="AK37" s="103">
        <v>11420</v>
      </c>
      <c r="AL37" s="623">
        <v>26215</v>
      </c>
    </row>
    <row r="38" spans="1:41" s="220" customFormat="1" ht="23.25" customHeight="1">
      <c r="A38" s="221">
        <v>34</v>
      </c>
      <c r="B38" s="225" t="s">
        <v>47</v>
      </c>
      <c r="C38" s="103">
        <v>57511</v>
      </c>
      <c r="D38" s="103">
        <v>31059</v>
      </c>
      <c r="E38" s="103">
        <v>88570</v>
      </c>
      <c r="F38" s="103">
        <v>36267</v>
      </c>
      <c r="G38" s="103">
        <v>24720</v>
      </c>
      <c r="H38" s="103">
        <v>60987</v>
      </c>
      <c r="I38" s="103">
        <v>21048</v>
      </c>
      <c r="J38" s="103">
        <v>5273</v>
      </c>
      <c r="K38" s="103">
        <v>26321</v>
      </c>
      <c r="L38" s="103">
        <v>70114</v>
      </c>
      <c r="M38" s="103">
        <v>45202</v>
      </c>
      <c r="N38" s="103">
        <v>115316</v>
      </c>
      <c r="O38" s="103">
        <v>30652</v>
      </c>
      <c r="P38" s="103">
        <v>24142</v>
      </c>
      <c r="Q38" s="103">
        <v>54794</v>
      </c>
      <c r="R38" s="103">
        <v>146053</v>
      </c>
      <c r="S38" s="103">
        <v>77452</v>
      </c>
      <c r="T38" s="103">
        <v>223505</v>
      </c>
      <c r="U38" s="103">
        <v>0</v>
      </c>
      <c r="V38" s="103">
        <v>0</v>
      </c>
      <c r="W38" s="103">
        <v>0</v>
      </c>
      <c r="X38" s="103">
        <v>298</v>
      </c>
      <c r="Y38" s="103">
        <v>286</v>
      </c>
      <c r="Z38" s="103">
        <v>584</v>
      </c>
      <c r="AA38" s="103">
        <v>329</v>
      </c>
      <c r="AB38" s="103">
        <v>207</v>
      </c>
      <c r="AC38" s="103">
        <v>536</v>
      </c>
      <c r="AD38" s="103">
        <v>12028</v>
      </c>
      <c r="AE38" s="103">
        <v>11160</v>
      </c>
      <c r="AF38" s="103">
        <v>23188</v>
      </c>
      <c r="AG38" s="103">
        <v>9261</v>
      </c>
      <c r="AH38" s="103">
        <v>5854</v>
      </c>
      <c r="AI38" s="103">
        <v>15115</v>
      </c>
      <c r="AJ38" s="103">
        <v>383561</v>
      </c>
      <c r="AK38" s="103">
        <v>225355</v>
      </c>
      <c r="AL38" s="623">
        <v>608916</v>
      </c>
    </row>
    <row r="39" spans="1:41" s="220" customFormat="1" ht="23.25" customHeight="1">
      <c r="A39" s="221">
        <v>35</v>
      </c>
      <c r="B39" s="225" t="s">
        <v>46</v>
      </c>
      <c r="C39" s="103">
        <v>8837</v>
      </c>
      <c r="D39" s="103">
        <v>7967</v>
      </c>
      <c r="E39" s="103">
        <v>16804</v>
      </c>
      <c r="F39" s="103">
        <v>9147</v>
      </c>
      <c r="G39" s="103">
        <v>7321</v>
      </c>
      <c r="H39" s="103">
        <v>16468</v>
      </c>
      <c r="I39" s="103">
        <v>9234</v>
      </c>
      <c r="J39" s="103">
        <v>2733</v>
      </c>
      <c r="K39" s="103">
        <v>11967</v>
      </c>
      <c r="L39" s="103">
        <v>29562</v>
      </c>
      <c r="M39" s="103">
        <v>43650</v>
      </c>
      <c r="N39" s="103">
        <v>73212</v>
      </c>
      <c r="O39" s="103">
        <v>38023</v>
      </c>
      <c r="P39" s="103">
        <v>46016</v>
      </c>
      <c r="Q39" s="103">
        <v>84039</v>
      </c>
      <c r="R39" s="103">
        <v>45865</v>
      </c>
      <c r="S39" s="103">
        <v>26684</v>
      </c>
      <c r="T39" s="103">
        <v>72549</v>
      </c>
      <c r="U39" s="103">
        <v>0</v>
      </c>
      <c r="V39" s="103">
        <v>0</v>
      </c>
      <c r="W39" s="103">
        <v>0</v>
      </c>
      <c r="X39" s="103">
        <v>0</v>
      </c>
      <c r="Y39" s="103">
        <v>0</v>
      </c>
      <c r="Z39" s="103">
        <v>0</v>
      </c>
      <c r="AA39" s="103">
        <v>154</v>
      </c>
      <c r="AB39" s="103">
        <v>128</v>
      </c>
      <c r="AC39" s="103">
        <v>282</v>
      </c>
      <c r="AD39" s="103">
        <v>4760</v>
      </c>
      <c r="AE39" s="103">
        <v>988</v>
      </c>
      <c r="AF39" s="103">
        <v>5748</v>
      </c>
      <c r="AG39" s="103">
        <v>4611</v>
      </c>
      <c r="AH39" s="103">
        <v>3382</v>
      </c>
      <c r="AI39" s="103">
        <v>7993</v>
      </c>
      <c r="AJ39" s="103">
        <v>150193</v>
      </c>
      <c r="AK39" s="103">
        <v>138869</v>
      </c>
      <c r="AL39" s="623">
        <v>289062</v>
      </c>
    </row>
    <row r="40" spans="1:41" s="220" customFormat="1" ht="23.25" customHeight="1">
      <c r="A40" s="221">
        <v>36</v>
      </c>
      <c r="B40" s="225" t="s">
        <v>48</v>
      </c>
      <c r="C40" s="103">
        <v>4730</v>
      </c>
      <c r="D40" s="103">
        <v>4982</v>
      </c>
      <c r="E40" s="103">
        <v>9712</v>
      </c>
      <c r="F40" s="103">
        <v>36546</v>
      </c>
      <c r="G40" s="103">
        <v>34324</v>
      </c>
      <c r="H40" s="103">
        <v>70870</v>
      </c>
      <c r="I40" s="103">
        <v>24498</v>
      </c>
      <c r="J40" s="103">
        <v>7334</v>
      </c>
      <c r="K40" s="103">
        <v>31832</v>
      </c>
      <c r="L40" s="103">
        <v>63994</v>
      </c>
      <c r="M40" s="103">
        <v>71361</v>
      </c>
      <c r="N40" s="103">
        <v>135355</v>
      </c>
      <c r="O40" s="103">
        <v>47613</v>
      </c>
      <c r="P40" s="103">
        <v>38586</v>
      </c>
      <c r="Q40" s="103">
        <v>86199</v>
      </c>
      <c r="R40" s="103">
        <v>19599</v>
      </c>
      <c r="S40" s="103">
        <v>12922</v>
      </c>
      <c r="T40" s="103">
        <v>32521</v>
      </c>
      <c r="U40" s="103">
        <v>0</v>
      </c>
      <c r="V40" s="103">
        <v>0</v>
      </c>
      <c r="W40" s="103">
        <v>0</v>
      </c>
      <c r="X40" s="103">
        <v>0</v>
      </c>
      <c r="Y40" s="103">
        <v>0</v>
      </c>
      <c r="Z40" s="103">
        <v>0</v>
      </c>
      <c r="AA40" s="103">
        <v>957</v>
      </c>
      <c r="AB40" s="103">
        <v>561</v>
      </c>
      <c r="AC40" s="103">
        <v>1518</v>
      </c>
      <c r="AD40" s="103">
        <v>0</v>
      </c>
      <c r="AE40" s="103">
        <v>0</v>
      </c>
      <c r="AF40" s="103">
        <v>0</v>
      </c>
      <c r="AG40" s="103">
        <v>2124</v>
      </c>
      <c r="AH40" s="103">
        <v>1303</v>
      </c>
      <c r="AI40" s="103">
        <v>3427</v>
      </c>
      <c r="AJ40" s="103">
        <v>200061</v>
      </c>
      <c r="AK40" s="103">
        <v>171373</v>
      </c>
      <c r="AL40" s="623">
        <v>371434</v>
      </c>
    </row>
    <row r="41" spans="1:41" s="806" customFormat="1" ht="23.25" customHeight="1">
      <c r="A41" s="1145" t="s">
        <v>49</v>
      </c>
      <c r="B41" s="1145"/>
      <c r="C41" s="623">
        <v>366090</v>
      </c>
      <c r="D41" s="623">
        <v>337686</v>
      </c>
      <c r="E41" s="623">
        <v>703776</v>
      </c>
      <c r="F41" s="623">
        <v>698009</v>
      </c>
      <c r="G41" s="623">
        <v>554277</v>
      </c>
      <c r="H41" s="623">
        <v>1252286</v>
      </c>
      <c r="I41" s="623">
        <v>227101</v>
      </c>
      <c r="J41" s="623">
        <v>79412</v>
      </c>
      <c r="K41" s="623">
        <v>306513</v>
      </c>
      <c r="L41" s="623">
        <v>1338500</v>
      </c>
      <c r="M41" s="623">
        <v>1439580</v>
      </c>
      <c r="N41" s="623">
        <v>2778080</v>
      </c>
      <c r="O41" s="623">
        <v>911295</v>
      </c>
      <c r="P41" s="623">
        <v>603442</v>
      </c>
      <c r="Q41" s="623">
        <v>1514737</v>
      </c>
      <c r="R41" s="623">
        <v>954344</v>
      </c>
      <c r="S41" s="623">
        <v>521325</v>
      </c>
      <c r="T41" s="623">
        <v>1475669</v>
      </c>
      <c r="U41" s="623">
        <v>2518</v>
      </c>
      <c r="V41" s="623">
        <v>2278</v>
      </c>
      <c r="W41" s="623">
        <v>4796</v>
      </c>
      <c r="X41" s="623">
        <v>1835</v>
      </c>
      <c r="Y41" s="623">
        <v>5472</v>
      </c>
      <c r="Z41" s="623">
        <v>7307</v>
      </c>
      <c r="AA41" s="623">
        <v>26992</v>
      </c>
      <c r="AB41" s="623">
        <v>12910</v>
      </c>
      <c r="AC41" s="623">
        <v>39902</v>
      </c>
      <c r="AD41" s="623">
        <v>25968</v>
      </c>
      <c r="AE41" s="623">
        <v>29364</v>
      </c>
      <c r="AF41" s="623">
        <v>55332</v>
      </c>
      <c r="AG41" s="623">
        <v>525832</v>
      </c>
      <c r="AH41" s="623">
        <v>363962</v>
      </c>
      <c r="AI41" s="623">
        <v>889794</v>
      </c>
      <c r="AJ41" s="623">
        <v>5078484</v>
      </c>
      <c r="AK41" s="623">
        <v>3949708</v>
      </c>
      <c r="AL41" s="623">
        <v>9028192</v>
      </c>
      <c r="AM41" s="220"/>
      <c r="AN41" s="220"/>
      <c r="AO41" s="220"/>
    </row>
    <row r="42" spans="1:41">
      <c r="C42" s="807" t="s">
        <v>98</v>
      </c>
      <c r="O42" s="807" t="s">
        <v>98</v>
      </c>
      <c r="AD42" s="807" t="s">
        <v>98</v>
      </c>
    </row>
  </sheetData>
  <mergeCells count="18">
    <mergeCell ref="C1:N1"/>
    <mergeCell ref="O1:AC1"/>
    <mergeCell ref="AD1:AL1"/>
    <mergeCell ref="AG2:AI2"/>
    <mergeCell ref="AJ2:AL2"/>
    <mergeCell ref="AA2:AC2"/>
    <mergeCell ref="AD2:AF2"/>
    <mergeCell ref="A41:B41"/>
    <mergeCell ref="O2:Q2"/>
    <mergeCell ref="R2:T2"/>
    <mergeCell ref="U2:W2"/>
    <mergeCell ref="X2:Z2"/>
    <mergeCell ref="A2:A3"/>
    <mergeCell ref="B2:B3"/>
    <mergeCell ref="C2:E2"/>
    <mergeCell ref="F2:H2"/>
    <mergeCell ref="I2:K2"/>
    <mergeCell ref="L2:N2"/>
  </mergeCells>
  <printOptions horizontalCentered="1"/>
  <pageMargins left="0.31496062992125984" right="0.19685039370078741" top="0.51181102362204722" bottom="0.39370078740157483" header="0.19685039370078741" footer="0.15748031496062992"/>
  <pageSetup paperSize="9" scale="67" firstPageNumber="123" orientation="portrait" useFirstPageNumber="1" r:id="rId1"/>
  <headerFooter>
    <oddFooter>&amp;L&amp;"Arial,Italic"&amp;9     AISHE 2020-21&amp;CT-39</oddFooter>
  </headerFooter>
  <colBreaks count="2" manualBreakCount="2">
    <brk id="14" max="40" man="1"/>
    <brk id="29" max="40" man="1"/>
  </colBreaks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00B050"/>
  </sheetPr>
  <dimension ref="A1:G38"/>
  <sheetViews>
    <sheetView view="pageBreakPreview" topLeftCell="A19" zoomScaleSheetLayoutView="100" workbookViewId="0">
      <selection activeCell="C37" sqref="C37"/>
    </sheetView>
  </sheetViews>
  <sheetFormatPr defaultColWidth="9.1796875" defaultRowHeight="14"/>
  <cols>
    <col min="1" max="1" width="8.26953125" style="275" bestFit="1" customWidth="1"/>
    <col min="2" max="2" width="35.26953125" style="275" customWidth="1"/>
    <col min="3" max="7" width="14.1796875" style="275" customWidth="1"/>
    <col min="8" max="16384" width="9.1796875" style="275"/>
  </cols>
  <sheetData>
    <row r="1" spans="1:7" ht="27.75" customHeight="1">
      <c r="B1" s="1149" t="s">
        <v>297</v>
      </c>
      <c r="C1" s="1149"/>
      <c r="D1" s="1149"/>
      <c r="E1" s="1149"/>
      <c r="F1" s="1149"/>
    </row>
    <row r="2" spans="1:7" s="276" customFormat="1" ht="33.75" customHeight="1">
      <c r="A2" s="584" t="s">
        <v>235</v>
      </c>
      <c r="B2" s="584" t="s">
        <v>236</v>
      </c>
      <c r="C2" s="584" t="s">
        <v>298</v>
      </c>
      <c r="D2" s="584" t="s">
        <v>299</v>
      </c>
      <c r="E2" s="584" t="s">
        <v>300</v>
      </c>
      <c r="F2" s="584" t="s">
        <v>301</v>
      </c>
      <c r="G2" s="584" t="s">
        <v>997</v>
      </c>
    </row>
    <row r="3" spans="1:7" s="278" customFormat="1" ht="10">
      <c r="A3" s="277">
        <v>1</v>
      </c>
      <c r="B3" s="277">
        <v>2</v>
      </c>
      <c r="C3" s="277">
        <v>3</v>
      </c>
      <c r="D3" s="277">
        <v>4</v>
      </c>
      <c r="E3" s="277">
        <v>5</v>
      </c>
      <c r="F3" s="277">
        <v>6</v>
      </c>
      <c r="G3" s="277">
        <v>7</v>
      </c>
    </row>
    <row r="4" spans="1:7" s="281" customFormat="1" ht="27" customHeight="1">
      <c r="A4" s="300"/>
      <c r="B4" s="279" t="s">
        <v>302</v>
      </c>
      <c r="C4" s="280">
        <f t="shared" ref="C4:F4" si="0">SUM(C5:C37)</f>
        <v>864</v>
      </c>
      <c r="D4" s="280">
        <f t="shared" si="0"/>
        <v>903</v>
      </c>
      <c r="E4" s="280">
        <f t="shared" si="0"/>
        <v>993</v>
      </c>
      <c r="F4" s="280">
        <f t="shared" si="0"/>
        <v>1043</v>
      </c>
      <c r="G4" s="280">
        <f>SUM(G5:G37)</f>
        <v>1113</v>
      </c>
    </row>
    <row r="5" spans="1:7" s="281" customFormat="1" ht="27" customHeight="1">
      <c r="A5" s="282">
        <v>1</v>
      </c>
      <c r="B5" s="279" t="s">
        <v>15</v>
      </c>
      <c r="C5" s="282">
        <v>33</v>
      </c>
      <c r="D5" s="282">
        <v>34</v>
      </c>
      <c r="E5" s="255">
        <v>41</v>
      </c>
      <c r="F5" s="282">
        <v>41</v>
      </c>
      <c r="G5" s="282">
        <v>45</v>
      </c>
    </row>
    <row r="6" spans="1:7" s="281" customFormat="1" ht="27" customHeight="1">
      <c r="A6" s="282">
        <v>2</v>
      </c>
      <c r="B6" s="279" t="s">
        <v>16</v>
      </c>
      <c r="C6" s="282">
        <v>9</v>
      </c>
      <c r="D6" s="282">
        <v>9</v>
      </c>
      <c r="E6" s="255">
        <v>10</v>
      </c>
      <c r="F6" s="282">
        <v>10</v>
      </c>
      <c r="G6" s="282">
        <v>10</v>
      </c>
    </row>
    <row r="7" spans="1:7" s="281" customFormat="1" ht="27" customHeight="1">
      <c r="A7" s="282">
        <v>3</v>
      </c>
      <c r="B7" s="279" t="s">
        <v>17</v>
      </c>
      <c r="C7" s="282">
        <v>21</v>
      </c>
      <c r="D7" s="282">
        <v>21</v>
      </c>
      <c r="E7" s="255">
        <v>22</v>
      </c>
      <c r="F7" s="282">
        <v>26</v>
      </c>
      <c r="G7" s="282">
        <v>28</v>
      </c>
    </row>
    <row r="8" spans="1:7" s="281" customFormat="1" ht="27" customHeight="1">
      <c r="A8" s="282">
        <v>4</v>
      </c>
      <c r="B8" s="279" t="s">
        <v>18</v>
      </c>
      <c r="C8" s="282">
        <v>23</v>
      </c>
      <c r="D8" s="282">
        <v>24</v>
      </c>
      <c r="E8" s="255">
        <v>33</v>
      </c>
      <c r="F8" s="282">
        <v>35</v>
      </c>
      <c r="G8" s="282">
        <v>37</v>
      </c>
    </row>
    <row r="9" spans="1:7" s="281" customFormat="1" ht="27" customHeight="1">
      <c r="A9" s="282">
        <v>5</v>
      </c>
      <c r="B9" s="279" t="s">
        <v>19</v>
      </c>
      <c r="C9" s="282">
        <v>3</v>
      </c>
      <c r="D9" s="282">
        <v>3</v>
      </c>
      <c r="E9" s="255">
        <v>3</v>
      </c>
      <c r="F9" s="282">
        <v>3</v>
      </c>
      <c r="G9" s="282">
        <v>3</v>
      </c>
    </row>
    <row r="10" spans="1:7" s="281" customFormat="1" ht="27" customHeight="1">
      <c r="A10" s="282">
        <v>6</v>
      </c>
      <c r="B10" s="279" t="s">
        <v>20</v>
      </c>
      <c r="C10" s="282">
        <v>24</v>
      </c>
      <c r="D10" s="282">
        <v>24</v>
      </c>
      <c r="E10" s="255">
        <v>28</v>
      </c>
      <c r="F10" s="282">
        <v>28</v>
      </c>
      <c r="G10" s="282">
        <v>32</v>
      </c>
    </row>
    <row r="11" spans="1:7" s="281" customFormat="1" ht="27" customHeight="1">
      <c r="A11" s="282">
        <v>7</v>
      </c>
      <c r="B11" s="279" t="s">
        <v>23</v>
      </c>
      <c r="C11" s="282">
        <v>27</v>
      </c>
      <c r="D11" s="282">
        <v>27</v>
      </c>
      <c r="E11" s="255">
        <v>27</v>
      </c>
      <c r="F11" s="282">
        <v>28</v>
      </c>
      <c r="G11" s="282">
        <v>28</v>
      </c>
    </row>
    <row r="12" spans="1:7" s="281" customFormat="1" ht="27" customHeight="1">
      <c r="A12" s="282">
        <v>8</v>
      </c>
      <c r="B12" s="279" t="s">
        <v>24</v>
      </c>
      <c r="C12" s="282">
        <v>2</v>
      </c>
      <c r="D12" s="282">
        <v>3</v>
      </c>
      <c r="E12" s="255">
        <v>3</v>
      </c>
      <c r="F12" s="282">
        <v>3</v>
      </c>
      <c r="G12" s="282">
        <v>3</v>
      </c>
    </row>
    <row r="13" spans="1:7" s="281" customFormat="1" ht="27" customHeight="1">
      <c r="A13" s="282">
        <v>9</v>
      </c>
      <c r="B13" s="279" t="s">
        <v>25</v>
      </c>
      <c r="C13" s="282">
        <v>62</v>
      </c>
      <c r="D13" s="282">
        <v>65</v>
      </c>
      <c r="E13" s="255">
        <v>72</v>
      </c>
      <c r="F13" s="282">
        <v>76</v>
      </c>
      <c r="G13" s="282">
        <v>83</v>
      </c>
    </row>
    <row r="14" spans="1:7" s="281" customFormat="1" ht="27" customHeight="1">
      <c r="A14" s="282">
        <v>10</v>
      </c>
      <c r="B14" s="279" t="s">
        <v>26</v>
      </c>
      <c r="C14" s="282">
        <v>39</v>
      </c>
      <c r="D14" s="282">
        <v>40</v>
      </c>
      <c r="E14" s="255">
        <v>48</v>
      </c>
      <c r="F14" s="282">
        <v>53</v>
      </c>
      <c r="G14" s="282">
        <v>56</v>
      </c>
    </row>
    <row r="15" spans="1:7" s="281" customFormat="1" ht="27" customHeight="1">
      <c r="A15" s="282">
        <v>11</v>
      </c>
      <c r="B15" s="279" t="s">
        <v>27</v>
      </c>
      <c r="C15" s="282">
        <v>25</v>
      </c>
      <c r="D15" s="282">
        <v>25</v>
      </c>
      <c r="E15" s="255">
        <v>26</v>
      </c>
      <c r="F15" s="282">
        <v>27</v>
      </c>
      <c r="G15" s="282">
        <v>29</v>
      </c>
    </row>
    <row r="16" spans="1:7" s="281" customFormat="1" ht="27" customHeight="1">
      <c r="A16" s="282">
        <v>12</v>
      </c>
      <c r="B16" s="279" t="s">
        <v>57</v>
      </c>
      <c r="C16" s="282">
        <v>12</v>
      </c>
      <c r="D16" s="282">
        <v>14</v>
      </c>
      <c r="E16" s="255">
        <v>15</v>
      </c>
      <c r="F16" s="282">
        <v>15</v>
      </c>
      <c r="G16" s="282">
        <v>15</v>
      </c>
    </row>
    <row r="17" spans="1:7" s="281" customFormat="1" ht="27" customHeight="1">
      <c r="A17" s="282">
        <v>13</v>
      </c>
      <c r="B17" s="279" t="s">
        <v>29</v>
      </c>
      <c r="C17" s="282">
        <v>18</v>
      </c>
      <c r="D17" s="282">
        <v>21</v>
      </c>
      <c r="E17" s="255">
        <v>25</v>
      </c>
      <c r="F17" s="282">
        <v>32</v>
      </c>
      <c r="G17" s="282">
        <v>32</v>
      </c>
    </row>
    <row r="18" spans="1:7" s="281" customFormat="1" ht="27" customHeight="1">
      <c r="A18" s="282">
        <v>14</v>
      </c>
      <c r="B18" s="279" t="s">
        <v>30</v>
      </c>
      <c r="C18" s="282">
        <v>55</v>
      </c>
      <c r="D18" s="282">
        <v>60</v>
      </c>
      <c r="E18" s="255">
        <v>65</v>
      </c>
      <c r="F18" s="282">
        <v>69</v>
      </c>
      <c r="G18" s="282">
        <v>72</v>
      </c>
    </row>
    <row r="19" spans="1:7" s="281" customFormat="1" ht="27" customHeight="1">
      <c r="A19" s="282">
        <v>15</v>
      </c>
      <c r="B19" s="279" t="s">
        <v>31</v>
      </c>
      <c r="C19" s="282">
        <v>21</v>
      </c>
      <c r="D19" s="282">
        <v>22</v>
      </c>
      <c r="E19" s="255">
        <v>23</v>
      </c>
      <c r="F19" s="282">
        <v>23</v>
      </c>
      <c r="G19" s="282">
        <v>23</v>
      </c>
    </row>
    <row r="20" spans="1:7" s="281" customFormat="1" ht="27" customHeight="1">
      <c r="A20" s="282">
        <v>16</v>
      </c>
      <c r="B20" s="279" t="s">
        <v>172</v>
      </c>
      <c r="C20" s="282"/>
      <c r="D20" s="282"/>
      <c r="E20" s="255"/>
      <c r="F20" s="282">
        <v>1</v>
      </c>
      <c r="G20" s="282">
        <v>2</v>
      </c>
    </row>
    <row r="21" spans="1:7" s="281" customFormat="1" ht="27" customHeight="1">
      <c r="A21" s="282">
        <v>17</v>
      </c>
      <c r="B21" s="279" t="s">
        <v>33</v>
      </c>
      <c r="C21" s="282">
        <v>48</v>
      </c>
      <c r="D21" s="282">
        <v>52</v>
      </c>
      <c r="E21" s="255">
        <v>65</v>
      </c>
      <c r="F21" s="282">
        <v>66</v>
      </c>
      <c r="G21" s="282">
        <v>74</v>
      </c>
    </row>
    <row r="22" spans="1:7" s="281" customFormat="1" ht="27" customHeight="1">
      <c r="A22" s="282">
        <v>18</v>
      </c>
      <c r="B22" s="279" t="s">
        <v>34</v>
      </c>
      <c r="C22" s="282">
        <v>49</v>
      </c>
      <c r="D22" s="282">
        <v>54</v>
      </c>
      <c r="E22" s="255">
        <v>62</v>
      </c>
      <c r="F22" s="282">
        <v>65</v>
      </c>
      <c r="G22" s="282">
        <v>71</v>
      </c>
    </row>
    <row r="23" spans="1:7" s="281" customFormat="1" ht="27" customHeight="1">
      <c r="A23" s="282">
        <v>19</v>
      </c>
      <c r="B23" s="279" t="s">
        <v>35</v>
      </c>
      <c r="C23" s="282">
        <v>6</v>
      </c>
      <c r="D23" s="282">
        <v>5</v>
      </c>
      <c r="E23" s="255">
        <v>6</v>
      </c>
      <c r="F23" s="282">
        <v>8</v>
      </c>
      <c r="G23" s="282">
        <v>9</v>
      </c>
    </row>
    <row r="24" spans="1:7" s="281" customFormat="1" ht="27" customHeight="1">
      <c r="A24" s="282">
        <v>20</v>
      </c>
      <c r="B24" s="279" t="s">
        <v>36</v>
      </c>
      <c r="C24" s="282">
        <v>10</v>
      </c>
      <c r="D24" s="282">
        <v>8</v>
      </c>
      <c r="E24" s="255">
        <v>10</v>
      </c>
      <c r="F24" s="282">
        <v>10</v>
      </c>
      <c r="G24" s="282">
        <v>11</v>
      </c>
    </row>
    <row r="25" spans="1:7" s="281" customFormat="1" ht="27" customHeight="1">
      <c r="A25" s="282">
        <v>21</v>
      </c>
      <c r="B25" s="279" t="s">
        <v>37</v>
      </c>
      <c r="C25" s="282">
        <v>3</v>
      </c>
      <c r="D25" s="282">
        <v>3</v>
      </c>
      <c r="E25" s="255">
        <v>3</v>
      </c>
      <c r="F25" s="282">
        <v>3</v>
      </c>
      <c r="G25" s="282">
        <v>3</v>
      </c>
    </row>
    <row r="26" spans="1:7" s="281" customFormat="1" ht="27" customHeight="1">
      <c r="A26" s="282">
        <v>22</v>
      </c>
      <c r="B26" s="279" t="s">
        <v>38</v>
      </c>
      <c r="C26" s="282">
        <v>5</v>
      </c>
      <c r="D26" s="282">
        <v>5</v>
      </c>
      <c r="E26" s="255">
        <v>5</v>
      </c>
      <c r="F26" s="282">
        <v>5</v>
      </c>
      <c r="G26" s="282">
        <v>5</v>
      </c>
    </row>
    <row r="27" spans="1:7" s="281" customFormat="1" ht="27" customHeight="1">
      <c r="A27" s="282">
        <v>23</v>
      </c>
      <c r="B27" s="279" t="s">
        <v>39</v>
      </c>
      <c r="C27" s="282">
        <v>24</v>
      </c>
      <c r="D27" s="282">
        <v>25</v>
      </c>
      <c r="E27" s="255">
        <v>28</v>
      </c>
      <c r="F27" s="282">
        <v>32</v>
      </c>
      <c r="G27" s="282">
        <v>36</v>
      </c>
    </row>
    <row r="28" spans="1:7" s="281" customFormat="1" ht="27" customHeight="1">
      <c r="A28" s="282">
        <v>24</v>
      </c>
      <c r="B28" s="279" t="s">
        <v>40</v>
      </c>
      <c r="C28" s="282">
        <v>4</v>
      </c>
      <c r="D28" s="282">
        <v>4</v>
      </c>
      <c r="E28" s="255">
        <v>4</v>
      </c>
      <c r="F28" s="282">
        <v>4</v>
      </c>
      <c r="G28" s="282">
        <v>4</v>
      </c>
    </row>
    <row r="29" spans="1:7" s="281" customFormat="1" ht="27" customHeight="1">
      <c r="A29" s="282">
        <v>25</v>
      </c>
      <c r="B29" s="279" t="s">
        <v>41</v>
      </c>
      <c r="C29" s="282">
        <v>28</v>
      </c>
      <c r="D29" s="282">
        <v>31</v>
      </c>
      <c r="E29" s="255">
        <v>32</v>
      </c>
      <c r="F29" s="282">
        <v>32</v>
      </c>
      <c r="G29" s="282">
        <v>34</v>
      </c>
    </row>
    <row r="30" spans="1:7" s="281" customFormat="1" ht="27" customHeight="1">
      <c r="A30" s="282">
        <v>26</v>
      </c>
      <c r="B30" s="279" t="s">
        <v>42</v>
      </c>
      <c r="C30" s="282">
        <v>78</v>
      </c>
      <c r="D30" s="282">
        <v>79</v>
      </c>
      <c r="E30" s="255">
        <v>83</v>
      </c>
      <c r="F30" s="282">
        <v>89</v>
      </c>
      <c r="G30" s="282">
        <v>92</v>
      </c>
    </row>
    <row r="31" spans="1:7" s="281" customFormat="1" ht="27" customHeight="1">
      <c r="A31" s="282">
        <v>27</v>
      </c>
      <c r="B31" s="279" t="s">
        <v>43</v>
      </c>
      <c r="C31" s="282">
        <v>7</v>
      </c>
      <c r="D31" s="282">
        <v>7</v>
      </c>
      <c r="E31" s="255">
        <v>7</v>
      </c>
      <c r="F31" s="282">
        <v>8</v>
      </c>
      <c r="G31" s="282">
        <v>8</v>
      </c>
    </row>
    <row r="32" spans="1:7" s="281" customFormat="1" ht="27" customHeight="1">
      <c r="A32" s="282">
        <v>28</v>
      </c>
      <c r="B32" s="279" t="s">
        <v>44</v>
      </c>
      <c r="C32" s="282">
        <v>58</v>
      </c>
      <c r="D32" s="621">
        <v>58</v>
      </c>
      <c r="E32" s="255">
        <v>59</v>
      </c>
      <c r="F32" s="282">
        <v>59</v>
      </c>
      <c r="G32" s="282">
        <v>59</v>
      </c>
    </row>
    <row r="33" spans="1:7" s="281" customFormat="1" ht="27" customHeight="1">
      <c r="A33" s="282">
        <v>29</v>
      </c>
      <c r="B33" s="279" t="s">
        <v>142</v>
      </c>
      <c r="C33" s="282">
        <v>24</v>
      </c>
      <c r="D33" s="282">
        <v>24</v>
      </c>
      <c r="E33" s="255">
        <v>24</v>
      </c>
      <c r="F33" s="282">
        <v>24</v>
      </c>
      <c r="G33" s="282">
        <v>31</v>
      </c>
    </row>
    <row r="34" spans="1:7" s="281" customFormat="1" ht="27" customHeight="1">
      <c r="A34" s="282">
        <v>30</v>
      </c>
      <c r="B34" s="279" t="s">
        <v>45</v>
      </c>
      <c r="C34" s="282">
        <v>5</v>
      </c>
      <c r="D34" s="282">
        <v>4</v>
      </c>
      <c r="E34" s="255">
        <v>4</v>
      </c>
      <c r="F34" s="282">
        <v>4</v>
      </c>
      <c r="G34" s="282">
        <v>5</v>
      </c>
    </row>
    <row r="35" spans="1:7" s="281" customFormat="1" ht="27" customHeight="1">
      <c r="A35" s="282">
        <v>31</v>
      </c>
      <c r="B35" s="279" t="s">
        <v>47</v>
      </c>
      <c r="C35" s="282">
        <v>72</v>
      </c>
      <c r="D35" s="282">
        <v>76</v>
      </c>
      <c r="E35" s="255">
        <v>79</v>
      </c>
      <c r="F35" s="282">
        <v>81</v>
      </c>
      <c r="G35" s="282">
        <v>84</v>
      </c>
    </row>
    <row r="36" spans="1:7" s="281" customFormat="1" ht="27" customHeight="1">
      <c r="A36" s="282">
        <v>32</v>
      </c>
      <c r="B36" s="279" t="s">
        <v>46</v>
      </c>
      <c r="C36" s="282">
        <v>28</v>
      </c>
      <c r="D36" s="282">
        <v>33</v>
      </c>
      <c r="E36" s="255">
        <v>36</v>
      </c>
      <c r="F36" s="282">
        <v>36</v>
      </c>
      <c r="G36" s="282">
        <v>37</v>
      </c>
    </row>
    <row r="37" spans="1:7" s="281" customFormat="1" ht="27" customHeight="1">
      <c r="A37" s="282">
        <v>33</v>
      </c>
      <c r="B37" s="279" t="s">
        <v>48</v>
      </c>
      <c r="C37" s="282">
        <v>41</v>
      </c>
      <c r="D37" s="282">
        <v>43</v>
      </c>
      <c r="E37" s="255">
        <v>45</v>
      </c>
      <c r="F37" s="282">
        <v>47</v>
      </c>
      <c r="G37" s="282">
        <v>52</v>
      </c>
    </row>
    <row r="38" spans="1:7" ht="14.25" customHeight="1"/>
  </sheetData>
  <mergeCells count="1">
    <mergeCell ref="B1:F1"/>
  </mergeCells>
  <printOptions horizontalCentered="1"/>
  <pageMargins left="0.51181102362204722" right="0.51181102362204722" top="0.39370078740157483" bottom="0.51181102362204722" header="0.27559055118110237" footer="0.23622047244094491"/>
  <pageSetup paperSize="9" scale="80" firstPageNumber="2" pageOrder="overThenDown" orientation="portrait" useFirstPageNumber="1" r:id="rId1"/>
  <headerFooter alignWithMargins="0">
    <oddFooter>&amp;L     AISHE 2020-21&amp;CT-40</oddFooter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00B050"/>
  </sheetPr>
  <dimension ref="A1:I204"/>
  <sheetViews>
    <sheetView showZeros="0" view="pageBreakPreview" zoomScaleSheetLayoutView="100" workbookViewId="0">
      <pane ySplit="2" topLeftCell="A198" activePane="bottomLeft" state="frozen"/>
      <selection activeCell="H31" sqref="H31"/>
      <selection pane="bottomLeft" activeCell="H31" sqref="H31"/>
    </sheetView>
  </sheetViews>
  <sheetFormatPr defaultColWidth="9.1796875" defaultRowHeight="14"/>
  <cols>
    <col min="1" max="1" width="7.26953125" style="427" bestFit="1" customWidth="1"/>
    <col min="2" max="2" width="24" style="275" customWidth="1"/>
    <col min="3" max="9" width="14.81640625" style="275" customWidth="1"/>
    <col min="10" max="16384" width="9.1796875" style="275"/>
  </cols>
  <sheetData>
    <row r="1" spans="1:9" ht="28.5" customHeight="1">
      <c r="B1" s="1149" t="s">
        <v>303</v>
      </c>
      <c r="C1" s="1149"/>
      <c r="D1" s="1149"/>
      <c r="E1" s="1149"/>
      <c r="F1" s="1149"/>
      <c r="G1" s="1149"/>
      <c r="H1" s="1149"/>
      <c r="I1" s="1149"/>
    </row>
    <row r="2" spans="1:9" s="276" customFormat="1" ht="106.5" customHeight="1">
      <c r="A2" s="590" t="s">
        <v>235</v>
      </c>
      <c r="B2" s="590" t="s">
        <v>236</v>
      </c>
      <c r="C2" s="284" t="s">
        <v>125</v>
      </c>
      <c r="D2" s="284" t="s">
        <v>132</v>
      </c>
      <c r="E2" s="284" t="s">
        <v>133</v>
      </c>
      <c r="F2" s="284" t="s">
        <v>134</v>
      </c>
      <c r="G2" s="284" t="s">
        <v>127</v>
      </c>
      <c r="H2" s="284" t="s">
        <v>130</v>
      </c>
      <c r="I2" s="284" t="s">
        <v>128</v>
      </c>
    </row>
    <row r="3" spans="1:9" s="278" customFormat="1" ht="10">
      <c r="A3" s="277">
        <v>1</v>
      </c>
      <c r="B3" s="285">
        <v>2</v>
      </c>
      <c r="C3" s="285">
        <v>3</v>
      </c>
      <c r="D3" s="285">
        <v>4</v>
      </c>
      <c r="E3" s="285">
        <v>5</v>
      </c>
      <c r="F3" s="285">
        <v>6</v>
      </c>
      <c r="G3" s="285">
        <v>7</v>
      </c>
      <c r="H3" s="277">
        <v>8</v>
      </c>
      <c r="I3" s="277">
        <v>9</v>
      </c>
    </row>
    <row r="4" spans="1:9" ht="17.25" customHeight="1">
      <c r="A4" s="909"/>
      <c r="B4" s="286" t="s">
        <v>302</v>
      </c>
      <c r="C4" s="287"/>
      <c r="D4" s="287"/>
      <c r="E4" s="287"/>
      <c r="F4" s="287"/>
      <c r="G4" s="287"/>
      <c r="H4" s="287"/>
      <c r="I4" s="287"/>
    </row>
    <row r="5" spans="1:9" ht="17.25" customHeight="1">
      <c r="A5" s="909"/>
      <c r="B5" s="288" t="s">
        <v>997</v>
      </c>
      <c r="C5" s="287">
        <v>51</v>
      </c>
      <c r="D5" s="287">
        <v>34</v>
      </c>
      <c r="E5" s="287">
        <v>10</v>
      </c>
      <c r="F5" s="287">
        <v>80</v>
      </c>
      <c r="G5" s="287">
        <v>149</v>
      </c>
      <c r="H5" s="287">
        <v>365</v>
      </c>
      <c r="I5" s="287">
        <v>403</v>
      </c>
    </row>
    <row r="6" spans="1:9" ht="17.25" customHeight="1">
      <c r="A6" s="909"/>
      <c r="B6" s="288" t="s">
        <v>301</v>
      </c>
      <c r="C6" s="287">
        <v>48</v>
      </c>
      <c r="D6" s="287">
        <v>36</v>
      </c>
      <c r="E6" s="287">
        <v>10</v>
      </c>
      <c r="F6" s="287">
        <v>80</v>
      </c>
      <c r="G6" s="287">
        <v>135</v>
      </c>
      <c r="H6" s="287">
        <v>327</v>
      </c>
      <c r="I6" s="287">
        <v>386</v>
      </c>
    </row>
    <row r="7" spans="1:9" ht="17.25" customHeight="1">
      <c r="A7" s="909"/>
      <c r="B7" s="288" t="s">
        <v>300</v>
      </c>
      <c r="C7" s="287">
        <v>46</v>
      </c>
      <c r="D7" s="287">
        <v>34</v>
      </c>
      <c r="E7" s="287">
        <v>10</v>
      </c>
      <c r="F7" s="287">
        <v>80</v>
      </c>
      <c r="G7" s="287">
        <v>127</v>
      </c>
      <c r="H7" s="287">
        <v>304</v>
      </c>
      <c r="I7" s="287">
        <v>371</v>
      </c>
    </row>
    <row r="8" spans="1:9" ht="17.25" customHeight="1">
      <c r="A8" s="909"/>
      <c r="B8" s="288" t="s">
        <v>299</v>
      </c>
      <c r="C8" s="287">
        <v>45</v>
      </c>
      <c r="D8" s="287">
        <v>33</v>
      </c>
      <c r="E8" s="287">
        <v>10</v>
      </c>
      <c r="F8" s="287">
        <v>80</v>
      </c>
      <c r="G8" s="287">
        <v>101</v>
      </c>
      <c r="H8" s="287">
        <v>262</v>
      </c>
      <c r="I8" s="287">
        <v>351</v>
      </c>
    </row>
    <row r="9" spans="1:9" ht="17.25" customHeight="1">
      <c r="A9" s="909"/>
      <c r="B9" s="288" t="s">
        <v>298</v>
      </c>
      <c r="C9" s="287">
        <v>44</v>
      </c>
      <c r="D9" s="287">
        <v>33</v>
      </c>
      <c r="E9" s="287">
        <v>10</v>
      </c>
      <c r="F9" s="287">
        <v>79</v>
      </c>
      <c r="G9" s="287">
        <v>100</v>
      </c>
      <c r="H9" s="287">
        <v>233</v>
      </c>
      <c r="I9" s="287">
        <v>345</v>
      </c>
    </row>
    <row r="10" spans="1:9" ht="17.25" customHeight="1">
      <c r="A10" s="907">
        <v>1</v>
      </c>
      <c r="B10" s="286" t="s">
        <v>15</v>
      </c>
      <c r="C10" s="287"/>
      <c r="D10" s="287"/>
      <c r="E10" s="287"/>
      <c r="F10" s="287"/>
      <c r="G10" s="287"/>
      <c r="H10" s="287"/>
      <c r="I10" s="287"/>
    </row>
    <row r="11" spans="1:9" ht="17.25" customHeight="1">
      <c r="A11" s="907"/>
      <c r="B11" s="288" t="s">
        <v>997</v>
      </c>
      <c r="C11" s="287">
        <v>2</v>
      </c>
      <c r="D11" s="287">
        <v>0</v>
      </c>
      <c r="E11" s="287">
        <v>0</v>
      </c>
      <c r="F11" s="287">
        <v>4</v>
      </c>
      <c r="G11" s="287">
        <v>10</v>
      </c>
      <c r="H11" s="287">
        <v>5</v>
      </c>
      <c r="I11" s="287">
        <v>23</v>
      </c>
    </row>
    <row r="12" spans="1:9" ht="17.25" customHeight="1">
      <c r="A12" s="907"/>
      <c r="B12" s="288" t="s">
        <v>301</v>
      </c>
      <c r="C12" s="287">
        <v>1</v>
      </c>
      <c r="D12" s="287">
        <v>1</v>
      </c>
      <c r="E12" s="287"/>
      <c r="F12" s="287">
        <v>4</v>
      </c>
      <c r="G12" s="287">
        <v>9</v>
      </c>
      <c r="H12" s="287">
        <v>22</v>
      </c>
      <c r="I12" s="287">
        <v>3</v>
      </c>
    </row>
    <row r="13" spans="1:9" ht="17.25" customHeight="1">
      <c r="A13" s="907"/>
      <c r="B13" s="288" t="s">
        <v>300</v>
      </c>
      <c r="C13" s="103">
        <v>1</v>
      </c>
      <c r="D13" s="103">
        <v>1</v>
      </c>
      <c r="E13" s="103">
        <v>0</v>
      </c>
      <c r="F13" s="103">
        <v>4</v>
      </c>
      <c r="G13" s="103">
        <v>9</v>
      </c>
      <c r="H13" s="103">
        <v>3</v>
      </c>
      <c r="I13" s="103">
        <v>22</v>
      </c>
    </row>
    <row r="14" spans="1:9" ht="17.25" customHeight="1">
      <c r="A14" s="907"/>
      <c r="B14" s="288" t="s">
        <v>299</v>
      </c>
      <c r="C14" s="287"/>
      <c r="D14" s="287">
        <v>1</v>
      </c>
      <c r="E14" s="287"/>
      <c r="F14" s="287">
        <v>4</v>
      </c>
      <c r="G14" s="287">
        <v>6</v>
      </c>
      <c r="H14" s="287">
        <v>1</v>
      </c>
      <c r="I14" s="287">
        <v>21</v>
      </c>
    </row>
    <row r="15" spans="1:9" ht="17.25" customHeight="1">
      <c r="A15" s="907"/>
      <c r="B15" s="288" t="s">
        <v>298</v>
      </c>
      <c r="C15" s="287"/>
      <c r="D15" s="287">
        <v>1</v>
      </c>
      <c r="E15" s="287"/>
      <c r="F15" s="287">
        <v>4</v>
      </c>
      <c r="G15" s="287">
        <v>6</v>
      </c>
      <c r="H15" s="287"/>
      <c r="I15" s="287">
        <v>21</v>
      </c>
    </row>
    <row r="16" spans="1:9" ht="17.25" customHeight="1">
      <c r="A16" s="907">
        <v>2</v>
      </c>
      <c r="B16" s="286" t="s">
        <v>16</v>
      </c>
      <c r="C16" s="287"/>
      <c r="D16" s="287"/>
      <c r="E16" s="287"/>
      <c r="F16" s="287"/>
      <c r="G16" s="287"/>
      <c r="H16" s="287"/>
      <c r="I16" s="287"/>
    </row>
    <row r="17" spans="1:9" ht="17.25" customHeight="1">
      <c r="A17" s="907"/>
      <c r="B17" s="288" t="s">
        <v>997</v>
      </c>
      <c r="C17" s="287">
        <v>1</v>
      </c>
      <c r="D17" s="287">
        <v>1</v>
      </c>
      <c r="E17" s="287">
        <v>0</v>
      </c>
      <c r="F17" s="287">
        <v>0</v>
      </c>
      <c r="G17" s="287">
        <v>1</v>
      </c>
      <c r="H17" s="287">
        <v>6</v>
      </c>
      <c r="I17" s="287">
        <v>0</v>
      </c>
    </row>
    <row r="18" spans="1:9" ht="17.25" customHeight="1">
      <c r="A18" s="907"/>
      <c r="B18" s="288" t="s">
        <v>301</v>
      </c>
      <c r="C18" s="287">
        <v>1</v>
      </c>
      <c r="D18" s="287">
        <v>1</v>
      </c>
      <c r="E18" s="287"/>
      <c r="F18" s="287"/>
      <c r="G18" s="287">
        <v>1</v>
      </c>
      <c r="H18" s="287">
        <v>6</v>
      </c>
      <c r="I18" s="287"/>
    </row>
    <row r="19" spans="1:9" ht="17.25" customHeight="1">
      <c r="A19" s="907"/>
      <c r="B19" s="288" t="s">
        <v>300</v>
      </c>
      <c r="C19" s="103">
        <v>1</v>
      </c>
      <c r="D19" s="103">
        <v>1</v>
      </c>
      <c r="E19" s="103">
        <v>0</v>
      </c>
      <c r="F19" s="103">
        <v>0</v>
      </c>
      <c r="G19" s="103">
        <v>1</v>
      </c>
      <c r="H19" s="103">
        <v>6</v>
      </c>
      <c r="I19" s="103">
        <v>0</v>
      </c>
    </row>
    <row r="20" spans="1:9" ht="17.25" customHeight="1">
      <c r="A20" s="907"/>
      <c r="B20" s="288" t="s">
        <v>299</v>
      </c>
      <c r="C20" s="287">
        <v>1</v>
      </c>
      <c r="D20" s="287">
        <v>1</v>
      </c>
      <c r="E20" s="287"/>
      <c r="F20" s="287"/>
      <c r="G20" s="287">
        <v>1</v>
      </c>
      <c r="H20" s="287">
        <v>5</v>
      </c>
      <c r="I20" s="287"/>
    </row>
    <row r="21" spans="1:9" ht="17.25" customHeight="1">
      <c r="A21" s="907"/>
      <c r="B21" s="288" t="s">
        <v>298</v>
      </c>
      <c r="C21" s="287">
        <v>1</v>
      </c>
      <c r="D21" s="287">
        <v>1</v>
      </c>
      <c r="E21" s="287"/>
      <c r="F21" s="287"/>
      <c r="G21" s="287">
        <v>1</v>
      </c>
      <c r="H21" s="287">
        <v>5</v>
      </c>
      <c r="I21" s="287"/>
    </row>
    <row r="22" spans="1:9" ht="17.25" customHeight="1">
      <c r="A22" s="907">
        <v>3</v>
      </c>
      <c r="B22" s="286" t="s">
        <v>17</v>
      </c>
      <c r="C22" s="287"/>
      <c r="D22" s="287"/>
      <c r="E22" s="287"/>
      <c r="F22" s="287"/>
      <c r="G22" s="287"/>
      <c r="H22" s="287"/>
      <c r="I22" s="287"/>
    </row>
    <row r="23" spans="1:9" ht="17.25" customHeight="1">
      <c r="A23" s="907"/>
      <c r="B23" s="288" t="s">
        <v>997</v>
      </c>
      <c r="C23" s="287">
        <v>2</v>
      </c>
      <c r="D23" s="287">
        <v>1</v>
      </c>
      <c r="E23" s="287">
        <v>0</v>
      </c>
      <c r="F23" s="287">
        <v>0</v>
      </c>
      <c r="G23" s="287">
        <v>5</v>
      </c>
      <c r="H23" s="287">
        <v>6</v>
      </c>
      <c r="I23" s="287">
        <v>13</v>
      </c>
    </row>
    <row r="24" spans="1:9" ht="17.25" customHeight="1">
      <c r="A24" s="907"/>
      <c r="B24" s="288" t="s">
        <v>301</v>
      </c>
      <c r="C24" s="287">
        <v>2</v>
      </c>
      <c r="D24" s="287">
        <v>1</v>
      </c>
      <c r="E24" s="287"/>
      <c r="F24" s="287"/>
      <c r="G24" s="287">
        <v>4</v>
      </c>
      <c r="H24" s="287">
        <v>6</v>
      </c>
      <c r="I24" s="287">
        <v>12</v>
      </c>
    </row>
    <row r="25" spans="1:9" ht="17.25" customHeight="1">
      <c r="A25" s="907"/>
      <c r="B25" s="288" t="s">
        <v>300</v>
      </c>
      <c r="C25" s="103">
        <v>2</v>
      </c>
      <c r="D25" s="103">
        <v>0</v>
      </c>
      <c r="E25" s="103">
        <v>0</v>
      </c>
      <c r="F25" s="103">
        <v>0</v>
      </c>
      <c r="G25" s="103">
        <v>3</v>
      </c>
      <c r="H25" s="103">
        <v>6</v>
      </c>
      <c r="I25" s="103">
        <v>10</v>
      </c>
    </row>
    <row r="26" spans="1:9" ht="17.25" customHeight="1">
      <c r="A26" s="907"/>
      <c r="B26" s="288" t="s">
        <v>299</v>
      </c>
      <c r="C26" s="287">
        <v>2</v>
      </c>
      <c r="D26" s="287"/>
      <c r="E26" s="287"/>
      <c r="F26" s="287"/>
      <c r="G26" s="287">
        <v>3</v>
      </c>
      <c r="H26" s="287">
        <v>5</v>
      </c>
      <c r="I26" s="287">
        <v>10</v>
      </c>
    </row>
    <row r="27" spans="1:9" ht="17.25" customHeight="1">
      <c r="A27" s="907"/>
      <c r="B27" s="288" t="s">
        <v>298</v>
      </c>
      <c r="C27" s="287">
        <v>2</v>
      </c>
      <c r="D27" s="287"/>
      <c r="E27" s="287"/>
      <c r="F27" s="287"/>
      <c r="G27" s="287">
        <v>3</v>
      </c>
      <c r="H27" s="287">
        <v>4</v>
      </c>
      <c r="I27" s="287">
        <v>11</v>
      </c>
    </row>
    <row r="28" spans="1:9" ht="17.25" customHeight="1">
      <c r="A28" s="907">
        <v>4</v>
      </c>
      <c r="B28" s="286" t="s">
        <v>18</v>
      </c>
      <c r="C28" s="287"/>
      <c r="D28" s="287"/>
      <c r="E28" s="287"/>
      <c r="F28" s="287"/>
      <c r="G28" s="287"/>
      <c r="H28" s="287"/>
      <c r="I28" s="287"/>
    </row>
    <row r="29" spans="1:9" ht="17.25" customHeight="1">
      <c r="A29" s="907"/>
      <c r="B29" s="288" t="s">
        <v>997</v>
      </c>
      <c r="C29" s="287">
        <v>4</v>
      </c>
      <c r="D29" s="287">
        <v>1</v>
      </c>
      <c r="E29" s="287">
        <v>0</v>
      </c>
      <c r="F29" s="287">
        <v>0</v>
      </c>
      <c r="G29" s="287">
        <v>6</v>
      </c>
      <c r="H29" s="287">
        <v>7</v>
      </c>
      <c r="I29" s="287">
        <v>17</v>
      </c>
    </row>
    <row r="30" spans="1:9" ht="17.25" customHeight="1">
      <c r="A30" s="907"/>
      <c r="B30" s="288" t="s">
        <v>301</v>
      </c>
      <c r="C30" s="287">
        <v>4</v>
      </c>
      <c r="D30" s="287">
        <v>1</v>
      </c>
      <c r="E30" s="287"/>
      <c r="F30" s="287"/>
      <c r="G30" s="287">
        <v>5</v>
      </c>
      <c r="H30" s="287">
        <v>6</v>
      </c>
      <c r="I30" s="287">
        <v>17</v>
      </c>
    </row>
    <row r="31" spans="1:9" ht="17.25" customHeight="1">
      <c r="A31" s="907"/>
      <c r="B31" s="288" t="s">
        <v>300</v>
      </c>
      <c r="C31" s="103">
        <v>4</v>
      </c>
      <c r="D31" s="103">
        <v>1</v>
      </c>
      <c r="E31" s="103">
        <v>0</v>
      </c>
      <c r="F31" s="103">
        <v>0</v>
      </c>
      <c r="G31" s="103">
        <v>5</v>
      </c>
      <c r="H31" s="103">
        <v>4</v>
      </c>
      <c r="I31" s="103">
        <v>17</v>
      </c>
    </row>
    <row r="32" spans="1:9" ht="17.25" customHeight="1">
      <c r="A32" s="907"/>
      <c r="B32" s="288" t="s">
        <v>299</v>
      </c>
      <c r="C32" s="287">
        <v>4</v>
      </c>
      <c r="D32" s="619">
        <v>1</v>
      </c>
      <c r="E32" s="287"/>
      <c r="F32" s="287"/>
      <c r="G32" s="287">
        <v>3</v>
      </c>
      <c r="H32" s="287">
        <v>1</v>
      </c>
      <c r="I32" s="287">
        <v>13</v>
      </c>
    </row>
    <row r="33" spans="1:9" ht="17.25" customHeight="1">
      <c r="A33" s="907"/>
      <c r="B33" s="288" t="s">
        <v>298</v>
      </c>
      <c r="C33" s="287">
        <v>3</v>
      </c>
      <c r="D33" s="287">
        <v>1</v>
      </c>
      <c r="E33" s="287"/>
      <c r="F33" s="287"/>
      <c r="G33" s="287">
        <v>3</v>
      </c>
      <c r="H33" s="287"/>
      <c r="I33" s="287">
        <v>14</v>
      </c>
    </row>
    <row r="34" spans="1:9" ht="17.25" customHeight="1">
      <c r="A34" s="907">
        <v>5</v>
      </c>
      <c r="B34" s="286" t="s">
        <v>19</v>
      </c>
      <c r="C34" s="287"/>
      <c r="D34" s="287"/>
      <c r="E34" s="287"/>
      <c r="F34" s="287"/>
      <c r="G34" s="287"/>
      <c r="H34" s="287"/>
      <c r="I34" s="287"/>
    </row>
    <row r="35" spans="1:9" ht="17.25" customHeight="1">
      <c r="A35" s="907"/>
      <c r="B35" s="288" t="s">
        <v>997</v>
      </c>
      <c r="C35" s="287">
        <v>0</v>
      </c>
      <c r="D35" s="287">
        <v>1</v>
      </c>
      <c r="E35" s="287">
        <v>0</v>
      </c>
      <c r="F35" s="287">
        <v>0</v>
      </c>
      <c r="G35" s="287">
        <v>1</v>
      </c>
      <c r="H35" s="287">
        <v>0</v>
      </c>
      <c r="I35" s="287">
        <v>1</v>
      </c>
    </row>
    <row r="36" spans="1:9" ht="17.25" customHeight="1">
      <c r="A36" s="907"/>
      <c r="B36" s="288" t="s">
        <v>301</v>
      </c>
      <c r="C36" s="287"/>
      <c r="D36" s="287">
        <v>1</v>
      </c>
      <c r="E36" s="287"/>
      <c r="F36" s="287"/>
      <c r="G36" s="287">
        <v>1</v>
      </c>
      <c r="H36" s="287"/>
      <c r="I36" s="287">
        <v>1</v>
      </c>
    </row>
    <row r="37" spans="1:9" ht="17.25" customHeight="1">
      <c r="A37" s="907"/>
      <c r="B37" s="288" t="s">
        <v>300</v>
      </c>
      <c r="C37" s="103">
        <v>0</v>
      </c>
      <c r="D37" s="103">
        <v>1</v>
      </c>
      <c r="E37" s="103">
        <v>0</v>
      </c>
      <c r="F37" s="103">
        <v>0</v>
      </c>
      <c r="G37" s="103">
        <v>1</v>
      </c>
      <c r="H37" s="103">
        <v>0</v>
      </c>
      <c r="I37" s="103">
        <v>1</v>
      </c>
    </row>
    <row r="38" spans="1:9" ht="17.25" customHeight="1">
      <c r="A38" s="907"/>
      <c r="B38" s="288" t="s">
        <v>299</v>
      </c>
      <c r="C38" s="287"/>
      <c r="D38" s="287">
        <v>1</v>
      </c>
      <c r="E38" s="287"/>
      <c r="F38" s="287"/>
      <c r="G38" s="287">
        <v>1</v>
      </c>
      <c r="H38" s="287"/>
      <c r="I38" s="287">
        <v>1</v>
      </c>
    </row>
    <row r="39" spans="1:9" ht="17.25" customHeight="1">
      <c r="A39" s="907"/>
      <c r="B39" s="288" t="s">
        <v>298</v>
      </c>
      <c r="C39" s="287"/>
      <c r="D39" s="287">
        <v>1</v>
      </c>
      <c r="E39" s="287"/>
      <c r="F39" s="287"/>
      <c r="G39" s="287">
        <v>1</v>
      </c>
      <c r="H39" s="287"/>
      <c r="I39" s="287">
        <v>1</v>
      </c>
    </row>
    <row r="40" spans="1:9" ht="17.25" customHeight="1">
      <c r="A40" s="907">
        <v>6</v>
      </c>
      <c r="B40" s="286" t="s">
        <v>20</v>
      </c>
      <c r="C40" s="287"/>
      <c r="D40" s="287"/>
      <c r="E40" s="287"/>
      <c r="F40" s="287"/>
      <c r="G40" s="287"/>
      <c r="H40" s="287"/>
      <c r="I40" s="287"/>
    </row>
    <row r="41" spans="1:9" ht="17.25" customHeight="1">
      <c r="A41" s="907"/>
      <c r="B41" s="288" t="s">
        <v>997</v>
      </c>
      <c r="C41" s="287">
        <v>1</v>
      </c>
      <c r="D41" s="287">
        <v>0</v>
      </c>
      <c r="E41" s="287">
        <v>0</v>
      </c>
      <c r="F41" s="287">
        <v>0</v>
      </c>
      <c r="G41" s="287">
        <v>4</v>
      </c>
      <c r="H41" s="287">
        <v>12</v>
      </c>
      <c r="I41" s="287">
        <v>14</v>
      </c>
    </row>
    <row r="42" spans="1:9" ht="17.25" customHeight="1">
      <c r="A42" s="907"/>
      <c r="B42" s="288" t="s">
        <v>301</v>
      </c>
      <c r="C42" s="287">
        <v>1</v>
      </c>
      <c r="D42" s="287"/>
      <c r="E42" s="287"/>
      <c r="F42" s="287"/>
      <c r="G42" s="287">
        <v>4</v>
      </c>
      <c r="H42" s="287">
        <v>9</v>
      </c>
      <c r="I42" s="287">
        <v>13</v>
      </c>
    </row>
    <row r="43" spans="1:9" ht="17.25" customHeight="1">
      <c r="A43" s="907"/>
      <c r="B43" s="288" t="s">
        <v>300</v>
      </c>
      <c r="C43" s="103">
        <v>1</v>
      </c>
      <c r="D43" s="103">
        <v>0</v>
      </c>
      <c r="E43" s="103">
        <v>0</v>
      </c>
      <c r="F43" s="103">
        <v>0</v>
      </c>
      <c r="G43" s="103">
        <v>4</v>
      </c>
      <c r="H43" s="103">
        <v>9</v>
      </c>
      <c r="I43" s="103">
        <v>13</v>
      </c>
    </row>
    <row r="44" spans="1:9" ht="17.25" customHeight="1">
      <c r="A44" s="907"/>
      <c r="B44" s="288" t="s">
        <v>299</v>
      </c>
      <c r="C44" s="287">
        <v>1</v>
      </c>
      <c r="D44" s="287"/>
      <c r="E44" s="287"/>
      <c r="F44" s="287"/>
      <c r="G44" s="287">
        <v>2</v>
      </c>
      <c r="H44" s="287">
        <v>8</v>
      </c>
      <c r="I44" s="287">
        <v>12</v>
      </c>
    </row>
    <row r="45" spans="1:9" ht="17.25" customHeight="1">
      <c r="A45" s="907"/>
      <c r="B45" s="288" t="s">
        <v>298</v>
      </c>
      <c r="C45" s="287">
        <v>1</v>
      </c>
      <c r="D45" s="287"/>
      <c r="E45" s="287"/>
      <c r="F45" s="287"/>
      <c r="G45" s="287">
        <v>2</v>
      </c>
      <c r="H45" s="287">
        <v>8</v>
      </c>
      <c r="I45" s="287">
        <v>12</v>
      </c>
    </row>
    <row r="46" spans="1:9" ht="17.25" customHeight="1">
      <c r="A46" s="907">
        <v>7</v>
      </c>
      <c r="B46" s="286" t="s">
        <v>23</v>
      </c>
      <c r="C46" s="287"/>
      <c r="D46" s="287"/>
      <c r="E46" s="287"/>
      <c r="F46" s="287"/>
      <c r="G46" s="287"/>
      <c r="H46" s="287"/>
      <c r="I46" s="287"/>
    </row>
    <row r="47" spans="1:9" ht="17.25" customHeight="1">
      <c r="A47" s="907"/>
      <c r="B47" s="288" t="s">
        <v>997</v>
      </c>
      <c r="C47" s="287">
        <v>6</v>
      </c>
      <c r="D47" s="287">
        <v>6</v>
      </c>
      <c r="E47" s="287">
        <v>1</v>
      </c>
      <c r="F47" s="287">
        <v>1</v>
      </c>
      <c r="G47" s="287">
        <v>5</v>
      </c>
      <c r="H47" s="287">
        <v>0</v>
      </c>
      <c r="I47" s="287">
        <v>8</v>
      </c>
    </row>
    <row r="48" spans="1:9" ht="17.25" customHeight="1">
      <c r="A48" s="907"/>
      <c r="B48" s="288" t="s">
        <v>301</v>
      </c>
      <c r="C48" s="287">
        <v>5</v>
      </c>
      <c r="D48" s="287">
        <v>7</v>
      </c>
      <c r="E48" s="287">
        <v>1</v>
      </c>
      <c r="F48" s="287">
        <v>1</v>
      </c>
      <c r="G48" s="287">
        <v>5</v>
      </c>
      <c r="H48" s="287"/>
      <c r="I48" s="287">
        <v>8</v>
      </c>
    </row>
    <row r="49" spans="1:9" ht="17.25" customHeight="1">
      <c r="A49" s="907"/>
      <c r="B49" s="288" t="s">
        <v>300</v>
      </c>
      <c r="C49" s="103">
        <v>4</v>
      </c>
      <c r="D49" s="103">
        <v>8</v>
      </c>
      <c r="E49" s="103">
        <v>1</v>
      </c>
      <c r="F49" s="103">
        <v>1</v>
      </c>
      <c r="G49" s="103">
        <v>5</v>
      </c>
      <c r="H49" s="103">
        <v>0</v>
      </c>
      <c r="I49" s="103">
        <v>7</v>
      </c>
    </row>
    <row r="50" spans="1:9" ht="17.25" customHeight="1">
      <c r="A50" s="907"/>
      <c r="B50" s="288" t="s">
        <v>299</v>
      </c>
      <c r="C50" s="287">
        <v>4</v>
      </c>
      <c r="D50" s="287">
        <v>8</v>
      </c>
      <c r="E50" s="287">
        <v>1</v>
      </c>
      <c r="F50" s="287">
        <v>1</v>
      </c>
      <c r="G50" s="287">
        <v>5</v>
      </c>
      <c r="H50" s="287"/>
      <c r="I50" s="287">
        <v>7</v>
      </c>
    </row>
    <row r="51" spans="1:9" ht="17.25" customHeight="1">
      <c r="A51" s="907"/>
      <c r="B51" s="288" t="s">
        <v>298</v>
      </c>
      <c r="C51" s="287">
        <v>4</v>
      </c>
      <c r="D51" s="287">
        <v>8</v>
      </c>
      <c r="E51" s="287">
        <v>1</v>
      </c>
      <c r="F51" s="287">
        <v>1</v>
      </c>
      <c r="G51" s="287">
        <v>5</v>
      </c>
      <c r="H51" s="287"/>
      <c r="I51" s="287">
        <v>7</v>
      </c>
    </row>
    <row r="52" spans="1:9" ht="17.25" customHeight="1">
      <c r="A52" s="907">
        <v>8</v>
      </c>
      <c r="B52" s="286" t="s">
        <v>24</v>
      </c>
      <c r="C52" s="287"/>
      <c r="D52" s="287"/>
      <c r="E52" s="287"/>
      <c r="F52" s="287"/>
      <c r="G52" s="287"/>
      <c r="H52" s="287"/>
      <c r="I52" s="287"/>
    </row>
    <row r="53" spans="1:9" ht="17.25" customHeight="1">
      <c r="A53" s="907"/>
      <c r="B53" s="288" t="s">
        <v>997</v>
      </c>
      <c r="C53" s="287">
        <v>0</v>
      </c>
      <c r="D53" s="287">
        <v>0</v>
      </c>
      <c r="E53" s="287">
        <v>0</v>
      </c>
      <c r="F53" s="287">
        <v>0</v>
      </c>
      <c r="G53" s="287">
        <v>2</v>
      </c>
      <c r="H53" s="287">
        <v>0</v>
      </c>
      <c r="I53" s="287">
        <v>1</v>
      </c>
    </row>
    <row r="54" spans="1:9" ht="17.25" customHeight="1">
      <c r="A54" s="907"/>
      <c r="B54" s="288" t="s">
        <v>301</v>
      </c>
      <c r="C54" s="287"/>
      <c r="D54" s="287"/>
      <c r="E54" s="287"/>
      <c r="F54" s="287"/>
      <c r="G54" s="287">
        <v>2</v>
      </c>
      <c r="H54" s="287"/>
      <c r="I54" s="287">
        <v>1</v>
      </c>
    </row>
    <row r="55" spans="1:9" ht="17.25" customHeight="1">
      <c r="A55" s="907"/>
      <c r="B55" s="288" t="s">
        <v>300</v>
      </c>
      <c r="C55" s="103">
        <v>0</v>
      </c>
      <c r="D55" s="103">
        <v>0</v>
      </c>
      <c r="E55" s="103">
        <v>0</v>
      </c>
      <c r="F55" s="103">
        <v>0</v>
      </c>
      <c r="G55" s="103">
        <v>2</v>
      </c>
      <c r="H55" s="103">
        <v>0</v>
      </c>
      <c r="I55" s="103">
        <v>1</v>
      </c>
    </row>
    <row r="56" spans="1:9" ht="17.25" customHeight="1">
      <c r="A56" s="907"/>
      <c r="B56" s="288" t="s">
        <v>299</v>
      </c>
      <c r="C56" s="287"/>
      <c r="D56" s="287"/>
      <c r="E56" s="287"/>
      <c r="F56" s="287"/>
      <c r="G56" s="287">
        <v>2</v>
      </c>
      <c r="H56" s="287"/>
      <c r="I56" s="287">
        <v>1</v>
      </c>
    </row>
    <row r="57" spans="1:9" ht="17.25" customHeight="1">
      <c r="A57" s="907"/>
      <c r="B57" s="288" t="s">
        <v>298</v>
      </c>
      <c r="C57" s="287"/>
      <c r="D57" s="287"/>
      <c r="E57" s="287"/>
      <c r="F57" s="287"/>
      <c r="G57" s="287">
        <v>1</v>
      </c>
      <c r="H57" s="287"/>
      <c r="I57" s="287">
        <v>1</v>
      </c>
    </row>
    <row r="58" spans="1:9" ht="17.25" customHeight="1">
      <c r="A58" s="907">
        <v>9</v>
      </c>
      <c r="B58" s="286" t="s">
        <v>25</v>
      </c>
      <c r="C58" s="287"/>
      <c r="D58" s="287"/>
      <c r="E58" s="287"/>
      <c r="F58" s="287"/>
      <c r="G58" s="287"/>
      <c r="H58" s="287"/>
      <c r="I58" s="287"/>
    </row>
    <row r="59" spans="1:9" ht="17.25" customHeight="1">
      <c r="A59" s="907"/>
      <c r="B59" s="288" t="s">
        <v>997</v>
      </c>
      <c r="C59" s="287">
        <v>1</v>
      </c>
      <c r="D59" s="287">
        <v>1</v>
      </c>
      <c r="E59" s="287">
        <v>1</v>
      </c>
      <c r="F59" s="287">
        <v>1</v>
      </c>
      <c r="G59" s="287">
        <v>9</v>
      </c>
      <c r="H59" s="287">
        <v>44</v>
      </c>
      <c r="I59" s="287">
        <v>25</v>
      </c>
    </row>
    <row r="60" spans="1:9" ht="17.25" customHeight="1">
      <c r="A60" s="907"/>
      <c r="B60" s="288" t="s">
        <v>301</v>
      </c>
      <c r="C60" s="287">
        <v>1</v>
      </c>
      <c r="D60" s="287">
        <v>1</v>
      </c>
      <c r="E60" s="287">
        <v>1</v>
      </c>
      <c r="F60" s="287">
        <v>1</v>
      </c>
      <c r="G60" s="287">
        <v>6</v>
      </c>
      <c r="H60" s="287">
        <v>37</v>
      </c>
      <c r="I60" s="287">
        <v>28</v>
      </c>
    </row>
    <row r="61" spans="1:9" ht="17.25" customHeight="1">
      <c r="A61" s="907"/>
      <c r="B61" s="288" t="s">
        <v>300</v>
      </c>
      <c r="C61" s="103">
        <v>1</v>
      </c>
      <c r="D61" s="103">
        <v>1</v>
      </c>
      <c r="E61" s="103">
        <v>1</v>
      </c>
      <c r="F61" s="103">
        <v>1</v>
      </c>
      <c r="G61" s="103">
        <v>5</v>
      </c>
      <c r="H61" s="103">
        <v>34</v>
      </c>
      <c r="I61" s="103">
        <v>28</v>
      </c>
    </row>
    <row r="62" spans="1:9" ht="17.25" customHeight="1">
      <c r="A62" s="907"/>
      <c r="B62" s="288" t="s">
        <v>299</v>
      </c>
      <c r="C62" s="287">
        <v>1</v>
      </c>
      <c r="D62" s="287"/>
      <c r="E62" s="287">
        <v>1</v>
      </c>
      <c r="F62" s="287">
        <v>1</v>
      </c>
      <c r="G62" s="287">
        <v>3</v>
      </c>
      <c r="H62" s="287">
        <v>31</v>
      </c>
      <c r="I62" s="287">
        <v>27</v>
      </c>
    </row>
    <row r="63" spans="1:9" ht="17.25" customHeight="1">
      <c r="A63" s="907"/>
      <c r="B63" s="288" t="s">
        <v>298</v>
      </c>
      <c r="C63" s="287">
        <v>1</v>
      </c>
      <c r="D63" s="287"/>
      <c r="E63" s="287">
        <v>1</v>
      </c>
      <c r="F63" s="287">
        <v>1</v>
      </c>
      <c r="G63" s="287">
        <v>3</v>
      </c>
      <c r="H63" s="287">
        <v>28</v>
      </c>
      <c r="I63" s="287">
        <v>27</v>
      </c>
    </row>
    <row r="64" spans="1:9" ht="17.25" customHeight="1">
      <c r="A64" s="907">
        <v>10</v>
      </c>
      <c r="B64" s="286" t="s">
        <v>26</v>
      </c>
      <c r="C64" s="287"/>
      <c r="D64" s="287"/>
      <c r="E64" s="287"/>
      <c r="F64" s="287"/>
      <c r="G64" s="287"/>
      <c r="H64" s="287"/>
      <c r="I64" s="287"/>
    </row>
    <row r="65" spans="1:9" ht="17.25" customHeight="1">
      <c r="A65" s="907"/>
      <c r="B65" s="288" t="s">
        <v>997</v>
      </c>
      <c r="C65" s="287">
        <v>1</v>
      </c>
      <c r="D65" s="287">
        <v>3</v>
      </c>
      <c r="E65" s="287">
        <v>0</v>
      </c>
      <c r="F65" s="287">
        <v>3</v>
      </c>
      <c r="G65" s="287">
        <v>5</v>
      </c>
      <c r="H65" s="287">
        <v>24</v>
      </c>
      <c r="I65" s="287">
        <v>20</v>
      </c>
    </row>
    <row r="66" spans="1:9" ht="17.25" customHeight="1">
      <c r="A66" s="907"/>
      <c r="B66" s="288" t="s">
        <v>301</v>
      </c>
      <c r="C66" s="287">
        <v>1</v>
      </c>
      <c r="D66" s="287">
        <v>3</v>
      </c>
      <c r="E66" s="287"/>
      <c r="F66" s="287">
        <v>3</v>
      </c>
      <c r="G66" s="287">
        <v>5</v>
      </c>
      <c r="H66" s="287">
        <v>23</v>
      </c>
      <c r="I66" s="287">
        <v>18</v>
      </c>
    </row>
    <row r="67" spans="1:9" ht="17.25" customHeight="1">
      <c r="A67" s="907"/>
      <c r="B67" s="288" t="s">
        <v>300</v>
      </c>
      <c r="C67" s="103">
        <v>1</v>
      </c>
      <c r="D67" s="103">
        <v>3</v>
      </c>
      <c r="E67" s="103">
        <v>0</v>
      </c>
      <c r="F67" s="103">
        <v>3</v>
      </c>
      <c r="G67" s="103">
        <v>3</v>
      </c>
      <c r="H67" s="103">
        <v>22</v>
      </c>
      <c r="I67" s="103">
        <v>16</v>
      </c>
    </row>
    <row r="68" spans="1:9" ht="17.25" customHeight="1">
      <c r="A68" s="907"/>
      <c r="B68" s="288" t="s">
        <v>299</v>
      </c>
      <c r="C68" s="287">
        <v>1</v>
      </c>
      <c r="D68" s="287">
        <v>2</v>
      </c>
      <c r="E68" s="287"/>
      <c r="F68" s="287">
        <v>3</v>
      </c>
      <c r="G68" s="287">
        <v>2</v>
      </c>
      <c r="H68" s="287">
        <v>18</v>
      </c>
      <c r="I68" s="287">
        <v>14</v>
      </c>
    </row>
    <row r="69" spans="1:9" ht="17.25" customHeight="1">
      <c r="A69" s="907"/>
      <c r="B69" s="288" t="s">
        <v>298</v>
      </c>
      <c r="C69" s="287">
        <v>1</v>
      </c>
      <c r="D69" s="287">
        <v>2</v>
      </c>
      <c r="E69" s="287"/>
      <c r="F69" s="287">
        <v>3</v>
      </c>
      <c r="G69" s="287">
        <v>2</v>
      </c>
      <c r="H69" s="287">
        <v>17</v>
      </c>
      <c r="I69" s="287">
        <v>14</v>
      </c>
    </row>
    <row r="70" spans="1:9" ht="17.25" customHeight="1">
      <c r="A70" s="907">
        <v>11</v>
      </c>
      <c r="B70" s="286" t="s">
        <v>27</v>
      </c>
      <c r="C70" s="287"/>
      <c r="D70" s="287"/>
      <c r="E70" s="287"/>
      <c r="F70" s="287"/>
      <c r="G70" s="287"/>
      <c r="H70" s="287"/>
      <c r="I70" s="287"/>
    </row>
    <row r="71" spans="1:9" ht="17.25" customHeight="1">
      <c r="A71" s="907"/>
      <c r="B71" s="288" t="s">
        <v>997</v>
      </c>
      <c r="C71" s="287">
        <v>1</v>
      </c>
      <c r="D71" s="287">
        <v>0</v>
      </c>
      <c r="E71" s="287">
        <v>0</v>
      </c>
      <c r="F71" s="287">
        <v>0</v>
      </c>
      <c r="G71" s="287">
        <v>4</v>
      </c>
      <c r="H71" s="287">
        <v>17</v>
      </c>
      <c r="I71" s="287">
        <v>7</v>
      </c>
    </row>
    <row r="72" spans="1:9" ht="17.25" customHeight="1">
      <c r="A72" s="907"/>
      <c r="B72" s="288" t="s">
        <v>301</v>
      </c>
      <c r="C72" s="287">
        <v>1</v>
      </c>
      <c r="D72" s="287"/>
      <c r="E72" s="287"/>
      <c r="F72" s="287"/>
      <c r="G72" s="287">
        <v>4</v>
      </c>
      <c r="H72" s="287">
        <v>17</v>
      </c>
      <c r="I72" s="287">
        <v>5</v>
      </c>
    </row>
    <row r="73" spans="1:9" ht="17.25" customHeight="1">
      <c r="A73" s="907"/>
      <c r="B73" s="288" t="s">
        <v>300</v>
      </c>
      <c r="C73" s="103">
        <v>1</v>
      </c>
      <c r="D73" s="103">
        <v>0</v>
      </c>
      <c r="E73" s="103">
        <v>0</v>
      </c>
      <c r="F73" s="103">
        <v>0</v>
      </c>
      <c r="G73" s="103">
        <v>4</v>
      </c>
      <c r="H73" s="103">
        <v>17</v>
      </c>
      <c r="I73" s="103">
        <v>4</v>
      </c>
    </row>
    <row r="74" spans="1:9" ht="17.25" customHeight="1">
      <c r="A74" s="907"/>
      <c r="B74" s="288" t="s">
        <v>299</v>
      </c>
      <c r="C74" s="287">
        <v>1</v>
      </c>
      <c r="D74" s="287"/>
      <c r="E74" s="287"/>
      <c r="F74" s="287"/>
      <c r="G74" s="287">
        <v>3</v>
      </c>
      <c r="H74" s="287">
        <v>17</v>
      </c>
      <c r="I74" s="287">
        <v>4</v>
      </c>
    </row>
    <row r="75" spans="1:9" ht="17.25" customHeight="1">
      <c r="A75" s="907"/>
      <c r="B75" s="288" t="s">
        <v>298</v>
      </c>
      <c r="C75" s="287">
        <v>1</v>
      </c>
      <c r="D75" s="287"/>
      <c r="E75" s="287"/>
      <c r="F75" s="287"/>
      <c r="G75" s="287">
        <v>3</v>
      </c>
      <c r="H75" s="287">
        <v>17</v>
      </c>
      <c r="I75" s="287">
        <v>4</v>
      </c>
    </row>
    <row r="76" spans="1:9" ht="17.25" customHeight="1">
      <c r="A76" s="907">
        <v>12</v>
      </c>
      <c r="B76" s="286" t="s">
        <v>57</v>
      </c>
      <c r="C76" s="287"/>
      <c r="D76" s="287"/>
      <c r="E76" s="287"/>
      <c r="F76" s="287"/>
      <c r="G76" s="287"/>
      <c r="H76" s="287"/>
      <c r="I76" s="287"/>
    </row>
    <row r="77" spans="1:9" ht="17.25" customHeight="1">
      <c r="A77" s="907"/>
      <c r="B77" s="288" t="s">
        <v>997</v>
      </c>
      <c r="C77" s="287">
        <v>2</v>
      </c>
      <c r="D77" s="287">
        <v>0</v>
      </c>
      <c r="E77" s="287">
        <v>0</v>
      </c>
      <c r="F77" s="287">
        <v>0</v>
      </c>
      <c r="G77" s="287">
        <v>3</v>
      </c>
      <c r="H77" s="287">
        <v>0</v>
      </c>
      <c r="I77" s="287">
        <v>9</v>
      </c>
    </row>
    <row r="78" spans="1:9" ht="17.25" customHeight="1">
      <c r="A78" s="907"/>
      <c r="B78" s="288" t="s">
        <v>301</v>
      </c>
      <c r="C78" s="287">
        <v>2</v>
      </c>
      <c r="D78" s="287"/>
      <c r="E78" s="287"/>
      <c r="F78" s="287"/>
      <c r="G78" s="287">
        <v>3</v>
      </c>
      <c r="H78" s="287"/>
      <c r="I78" s="287">
        <v>9</v>
      </c>
    </row>
    <row r="79" spans="1:9" ht="17.25" customHeight="1">
      <c r="A79" s="907"/>
      <c r="B79" s="288" t="s">
        <v>300</v>
      </c>
      <c r="C79" s="103">
        <v>2</v>
      </c>
      <c r="D79" s="103">
        <v>0</v>
      </c>
      <c r="E79" s="103">
        <v>0</v>
      </c>
      <c r="F79" s="103">
        <v>0</v>
      </c>
      <c r="G79" s="103">
        <v>3</v>
      </c>
      <c r="H79" s="103">
        <v>0</v>
      </c>
      <c r="I79" s="103">
        <v>9</v>
      </c>
    </row>
    <row r="80" spans="1:9" ht="17.25" customHeight="1">
      <c r="A80" s="907"/>
      <c r="B80" s="288" t="s">
        <v>299</v>
      </c>
      <c r="C80" s="287">
        <v>2</v>
      </c>
      <c r="D80" s="287"/>
      <c r="E80" s="287"/>
      <c r="F80" s="287"/>
      <c r="G80" s="287">
        <v>2</v>
      </c>
      <c r="H80" s="287"/>
      <c r="I80" s="287">
        <v>9</v>
      </c>
    </row>
    <row r="81" spans="1:9" ht="17.25" customHeight="1">
      <c r="A81" s="907"/>
      <c r="B81" s="288" t="s">
        <v>298</v>
      </c>
      <c r="C81" s="287">
        <v>2</v>
      </c>
      <c r="D81" s="287"/>
      <c r="E81" s="287"/>
      <c r="F81" s="287"/>
      <c r="G81" s="287">
        <v>2</v>
      </c>
      <c r="H81" s="287"/>
      <c r="I81" s="287">
        <v>7</v>
      </c>
    </row>
    <row r="82" spans="1:9" ht="17.25" customHeight="1">
      <c r="A82" s="907">
        <v>13</v>
      </c>
      <c r="B82" s="286" t="s">
        <v>29</v>
      </c>
      <c r="C82" s="287"/>
      <c r="D82" s="287"/>
      <c r="E82" s="287"/>
      <c r="F82" s="287"/>
      <c r="G82" s="287"/>
      <c r="H82" s="287"/>
      <c r="I82" s="287"/>
    </row>
    <row r="83" spans="1:9" ht="17.25" customHeight="1">
      <c r="A83" s="907"/>
      <c r="B83" s="288" t="s">
        <v>997</v>
      </c>
      <c r="C83" s="287">
        <v>1</v>
      </c>
      <c r="D83" s="287">
        <v>0</v>
      </c>
      <c r="E83" s="287">
        <v>0</v>
      </c>
      <c r="F83" s="287">
        <v>1</v>
      </c>
      <c r="G83" s="287">
        <v>5</v>
      </c>
      <c r="H83" s="287">
        <v>14</v>
      </c>
      <c r="I83" s="287">
        <v>11</v>
      </c>
    </row>
    <row r="84" spans="1:9" ht="17.25" customHeight="1">
      <c r="A84" s="907"/>
      <c r="B84" s="288" t="s">
        <v>301</v>
      </c>
      <c r="C84" s="287">
        <v>1</v>
      </c>
      <c r="D84" s="287"/>
      <c r="E84" s="287"/>
      <c r="F84" s="287">
        <v>1</v>
      </c>
      <c r="G84" s="287">
        <v>5</v>
      </c>
      <c r="H84" s="287">
        <v>14</v>
      </c>
      <c r="I84" s="287">
        <v>11</v>
      </c>
    </row>
    <row r="85" spans="1:9" ht="17.25" customHeight="1">
      <c r="A85" s="907"/>
      <c r="B85" s="288" t="s">
        <v>300</v>
      </c>
      <c r="C85" s="103">
        <v>1</v>
      </c>
      <c r="D85" s="103">
        <v>0</v>
      </c>
      <c r="E85" s="103">
        <v>0</v>
      </c>
      <c r="F85" s="103">
        <v>1</v>
      </c>
      <c r="G85" s="103">
        <v>4</v>
      </c>
      <c r="H85" s="103">
        <v>9</v>
      </c>
      <c r="I85" s="103">
        <v>10</v>
      </c>
    </row>
    <row r="86" spans="1:9" ht="17.25" customHeight="1">
      <c r="A86" s="907"/>
      <c r="B86" s="288" t="s">
        <v>299</v>
      </c>
      <c r="C86" s="287">
        <v>1</v>
      </c>
      <c r="D86" s="287">
        <v>1</v>
      </c>
      <c r="E86" s="287"/>
      <c r="F86" s="287">
        <v>1</v>
      </c>
      <c r="G86" s="287">
        <v>2</v>
      </c>
      <c r="H86" s="287">
        <v>8</v>
      </c>
      <c r="I86" s="287">
        <v>8</v>
      </c>
    </row>
    <row r="87" spans="1:9" ht="17.25" customHeight="1">
      <c r="A87" s="907"/>
      <c r="B87" s="288" t="s">
        <v>298</v>
      </c>
      <c r="C87" s="287">
        <v>1</v>
      </c>
      <c r="D87" s="287">
        <v>1</v>
      </c>
      <c r="E87" s="287"/>
      <c r="F87" s="287">
        <v>1</v>
      </c>
      <c r="G87" s="287">
        <v>2</v>
      </c>
      <c r="H87" s="287">
        <v>5</v>
      </c>
      <c r="I87" s="287">
        <v>8</v>
      </c>
    </row>
    <row r="88" spans="1:9" ht="17.25" customHeight="1">
      <c r="A88" s="907">
        <v>14</v>
      </c>
      <c r="B88" s="286" t="s">
        <v>30</v>
      </c>
      <c r="C88" s="287"/>
      <c r="D88" s="287"/>
      <c r="E88" s="287"/>
      <c r="F88" s="287"/>
      <c r="G88" s="287"/>
      <c r="H88" s="287"/>
      <c r="I88" s="287"/>
    </row>
    <row r="89" spans="1:9" ht="17.25" customHeight="1">
      <c r="A89" s="907"/>
      <c r="B89" s="288" t="s">
        <v>997</v>
      </c>
      <c r="C89" s="287">
        <v>1</v>
      </c>
      <c r="D89" s="287">
        <v>3</v>
      </c>
      <c r="E89" s="287">
        <v>0</v>
      </c>
      <c r="F89" s="287">
        <v>11</v>
      </c>
      <c r="G89" s="287">
        <v>6</v>
      </c>
      <c r="H89" s="287">
        <v>18</v>
      </c>
      <c r="I89" s="287">
        <v>32</v>
      </c>
    </row>
    <row r="90" spans="1:9" ht="17.25" customHeight="1">
      <c r="A90" s="907"/>
      <c r="B90" s="288" t="s">
        <v>301</v>
      </c>
      <c r="C90" s="287">
        <v>1</v>
      </c>
      <c r="D90" s="287">
        <v>4</v>
      </c>
      <c r="E90" s="287"/>
      <c r="F90" s="287">
        <v>11</v>
      </c>
      <c r="G90" s="287">
        <v>4</v>
      </c>
      <c r="H90" s="287">
        <v>18</v>
      </c>
      <c r="I90" s="287">
        <v>30</v>
      </c>
    </row>
    <row r="91" spans="1:9" ht="17.25" customHeight="1">
      <c r="A91" s="907"/>
      <c r="B91" s="288" t="s">
        <v>300</v>
      </c>
      <c r="C91" s="103">
        <v>1</v>
      </c>
      <c r="D91" s="103">
        <v>4</v>
      </c>
      <c r="E91" s="103">
        <v>0</v>
      </c>
      <c r="F91" s="103">
        <v>11</v>
      </c>
      <c r="G91" s="103">
        <v>4</v>
      </c>
      <c r="H91" s="103">
        <v>16</v>
      </c>
      <c r="I91" s="103">
        <v>28</v>
      </c>
    </row>
    <row r="92" spans="1:9" ht="17.25" customHeight="1">
      <c r="A92" s="907"/>
      <c r="B92" s="288" t="s">
        <v>299</v>
      </c>
      <c r="C92" s="287">
        <v>1</v>
      </c>
      <c r="D92" s="287">
        <v>4</v>
      </c>
      <c r="E92" s="287"/>
      <c r="F92" s="287">
        <v>11</v>
      </c>
      <c r="G92" s="287">
        <v>3</v>
      </c>
      <c r="H92" s="287">
        <v>14</v>
      </c>
      <c r="I92" s="287">
        <v>26</v>
      </c>
    </row>
    <row r="93" spans="1:9" ht="17.25" customHeight="1">
      <c r="A93" s="907"/>
      <c r="B93" s="288" t="s">
        <v>298</v>
      </c>
      <c r="C93" s="287">
        <v>1</v>
      </c>
      <c r="D93" s="287">
        <v>4</v>
      </c>
      <c r="E93" s="287"/>
      <c r="F93" s="287">
        <v>11</v>
      </c>
      <c r="G93" s="287">
        <v>2</v>
      </c>
      <c r="H93" s="287">
        <v>11</v>
      </c>
      <c r="I93" s="287">
        <v>25</v>
      </c>
    </row>
    <row r="94" spans="1:9" ht="17.25" customHeight="1">
      <c r="A94" s="907">
        <v>15</v>
      </c>
      <c r="B94" s="286" t="s">
        <v>31</v>
      </c>
      <c r="C94" s="287"/>
      <c r="D94" s="287"/>
      <c r="E94" s="287"/>
      <c r="F94" s="287"/>
      <c r="G94" s="287"/>
      <c r="H94" s="287"/>
      <c r="I94" s="287"/>
    </row>
    <row r="95" spans="1:9" ht="17.25" customHeight="1">
      <c r="A95" s="907"/>
      <c r="B95" s="288" t="s">
        <v>997</v>
      </c>
      <c r="C95" s="287">
        <v>1</v>
      </c>
      <c r="D95" s="287">
        <v>2</v>
      </c>
      <c r="E95" s="287">
        <v>0</v>
      </c>
      <c r="F95" s="287">
        <v>1</v>
      </c>
      <c r="G95" s="287">
        <v>6</v>
      </c>
      <c r="H95" s="287">
        <v>0</v>
      </c>
      <c r="I95" s="287">
        <v>13</v>
      </c>
    </row>
    <row r="96" spans="1:9" ht="17.25" customHeight="1">
      <c r="A96" s="907"/>
      <c r="B96" s="288" t="s">
        <v>301</v>
      </c>
      <c r="C96" s="287">
        <v>1</v>
      </c>
      <c r="D96" s="287">
        <v>2</v>
      </c>
      <c r="E96" s="287"/>
      <c r="F96" s="287">
        <v>1</v>
      </c>
      <c r="G96" s="287">
        <v>6</v>
      </c>
      <c r="H96" s="287"/>
      <c r="I96" s="287">
        <v>13</v>
      </c>
    </row>
    <row r="97" spans="1:9" ht="17.25" customHeight="1">
      <c r="A97" s="907"/>
      <c r="B97" s="288" t="s">
        <v>300</v>
      </c>
      <c r="C97" s="103">
        <v>1</v>
      </c>
      <c r="D97" s="103">
        <v>2</v>
      </c>
      <c r="E97" s="103">
        <v>0</v>
      </c>
      <c r="F97" s="103">
        <v>1</v>
      </c>
      <c r="G97" s="103">
        <v>6</v>
      </c>
      <c r="H97" s="103">
        <v>0</v>
      </c>
      <c r="I97" s="103">
        <v>13</v>
      </c>
    </row>
    <row r="98" spans="1:9" ht="17.25" customHeight="1">
      <c r="A98" s="907"/>
      <c r="B98" s="288" t="s">
        <v>299</v>
      </c>
      <c r="C98" s="287">
        <v>1</v>
      </c>
      <c r="D98" s="287">
        <v>2</v>
      </c>
      <c r="E98" s="287"/>
      <c r="F98" s="287">
        <v>1</v>
      </c>
      <c r="G98" s="287">
        <v>5</v>
      </c>
      <c r="H98" s="287"/>
      <c r="I98" s="287">
        <v>13</v>
      </c>
    </row>
    <row r="99" spans="1:9" ht="17.25" customHeight="1">
      <c r="A99" s="907"/>
      <c r="B99" s="288" t="s">
        <v>298</v>
      </c>
      <c r="C99" s="287">
        <v>1</v>
      </c>
      <c r="D99" s="287">
        <v>2</v>
      </c>
      <c r="E99" s="287"/>
      <c r="F99" s="287"/>
      <c r="G99" s="287">
        <v>5</v>
      </c>
      <c r="H99" s="287"/>
      <c r="I99" s="287">
        <v>13</v>
      </c>
    </row>
    <row r="100" spans="1:9" ht="17.25" customHeight="1">
      <c r="A100" s="907">
        <v>16</v>
      </c>
      <c r="B100" s="286" t="s">
        <v>172</v>
      </c>
      <c r="C100" s="287"/>
      <c r="D100" s="287"/>
      <c r="E100" s="287"/>
      <c r="F100" s="287"/>
      <c r="G100" s="287"/>
      <c r="H100" s="287"/>
      <c r="I100" s="287"/>
    </row>
    <row r="101" spans="1:9" ht="17.25" customHeight="1">
      <c r="A101" s="907"/>
      <c r="B101" s="288" t="s">
        <v>997</v>
      </c>
      <c r="C101" s="287">
        <v>0</v>
      </c>
      <c r="D101" s="287">
        <v>1</v>
      </c>
      <c r="E101" s="287">
        <v>0</v>
      </c>
      <c r="F101" s="287">
        <v>0</v>
      </c>
      <c r="G101" s="287">
        <v>0</v>
      </c>
      <c r="H101" s="287">
        <v>0</v>
      </c>
      <c r="I101" s="287">
        <v>1</v>
      </c>
    </row>
    <row r="102" spans="1:9" ht="17.25" customHeight="1">
      <c r="A102" s="907"/>
      <c r="B102" s="288" t="s">
        <v>301</v>
      </c>
      <c r="C102" s="287"/>
      <c r="D102" s="287">
        <v>1</v>
      </c>
      <c r="E102" s="287"/>
      <c r="F102" s="287"/>
      <c r="G102" s="287"/>
      <c r="H102" s="287"/>
      <c r="I102" s="287"/>
    </row>
    <row r="103" spans="1:9" ht="17.25" customHeight="1">
      <c r="A103" s="907">
        <v>17</v>
      </c>
      <c r="B103" s="286" t="s">
        <v>33</v>
      </c>
      <c r="C103" s="287"/>
      <c r="D103" s="287"/>
      <c r="E103" s="287"/>
      <c r="F103" s="287"/>
      <c r="G103" s="287"/>
      <c r="H103" s="287"/>
      <c r="I103" s="287"/>
    </row>
    <row r="104" spans="1:9" ht="17.25" customHeight="1">
      <c r="A104" s="907"/>
      <c r="B104" s="288" t="s">
        <v>997</v>
      </c>
      <c r="C104" s="287">
        <v>2</v>
      </c>
      <c r="D104" s="287">
        <v>1</v>
      </c>
      <c r="E104" s="287">
        <v>0</v>
      </c>
      <c r="F104" s="287">
        <v>0</v>
      </c>
      <c r="G104" s="287">
        <v>9</v>
      </c>
      <c r="H104" s="287">
        <v>39</v>
      </c>
      <c r="I104" s="287">
        <v>22</v>
      </c>
    </row>
    <row r="105" spans="1:9" ht="17.25" customHeight="1">
      <c r="A105" s="907"/>
      <c r="B105" s="288" t="s">
        <v>301</v>
      </c>
      <c r="C105" s="287">
        <v>2</v>
      </c>
      <c r="D105" s="287">
        <v>1</v>
      </c>
      <c r="E105" s="287"/>
      <c r="F105" s="287"/>
      <c r="G105" s="287">
        <v>8</v>
      </c>
      <c r="H105" s="287">
        <v>33</v>
      </c>
      <c r="I105" s="287">
        <v>21</v>
      </c>
    </row>
    <row r="106" spans="1:9" ht="17.25" customHeight="1">
      <c r="A106" s="907"/>
      <c r="B106" s="288" t="s">
        <v>300</v>
      </c>
      <c r="C106" s="103">
        <v>2</v>
      </c>
      <c r="D106" s="103">
        <v>1</v>
      </c>
      <c r="E106" s="103">
        <v>0</v>
      </c>
      <c r="F106" s="103">
        <v>0</v>
      </c>
      <c r="G106" s="103">
        <v>8</v>
      </c>
      <c r="H106" s="103">
        <v>31</v>
      </c>
      <c r="I106" s="103">
        <v>22</v>
      </c>
    </row>
    <row r="107" spans="1:9" ht="17.25" customHeight="1">
      <c r="A107" s="907"/>
      <c r="B107" s="288" t="s">
        <v>299</v>
      </c>
      <c r="C107" s="287">
        <v>2</v>
      </c>
      <c r="D107" s="287">
        <v>1</v>
      </c>
      <c r="E107" s="287"/>
      <c r="F107" s="287"/>
      <c r="G107" s="287">
        <v>7</v>
      </c>
      <c r="H107" s="287">
        <v>22</v>
      </c>
      <c r="I107" s="287">
        <v>19</v>
      </c>
    </row>
    <row r="108" spans="1:9" ht="17.25" customHeight="1">
      <c r="A108" s="907"/>
      <c r="B108" s="288" t="s">
        <v>298</v>
      </c>
      <c r="C108" s="287">
        <v>2</v>
      </c>
      <c r="D108" s="287">
        <v>1</v>
      </c>
      <c r="E108" s="287"/>
      <c r="F108" s="287"/>
      <c r="G108" s="287">
        <v>8</v>
      </c>
      <c r="H108" s="287">
        <v>18</v>
      </c>
      <c r="I108" s="287">
        <v>18</v>
      </c>
    </row>
    <row r="109" spans="1:9" ht="17.25" customHeight="1">
      <c r="A109" s="907">
        <v>18</v>
      </c>
      <c r="B109" s="286" t="s">
        <v>34</v>
      </c>
      <c r="C109" s="287"/>
      <c r="D109" s="287"/>
      <c r="E109" s="287"/>
      <c r="F109" s="287"/>
      <c r="G109" s="287"/>
      <c r="H109" s="287"/>
      <c r="I109" s="287"/>
    </row>
    <row r="110" spans="1:9" ht="17.25" customHeight="1">
      <c r="A110" s="907"/>
      <c r="B110" s="288" t="s">
        <v>997</v>
      </c>
      <c r="C110" s="287">
        <v>1</v>
      </c>
      <c r="D110" s="287">
        <v>7</v>
      </c>
      <c r="E110" s="287">
        <v>2</v>
      </c>
      <c r="F110" s="287">
        <v>12</v>
      </c>
      <c r="G110" s="287">
        <v>7</v>
      </c>
      <c r="H110" s="287">
        <v>18</v>
      </c>
      <c r="I110" s="287">
        <v>23</v>
      </c>
    </row>
    <row r="111" spans="1:9" ht="17.25" customHeight="1">
      <c r="A111" s="907"/>
      <c r="B111" s="288" t="s">
        <v>301</v>
      </c>
      <c r="C111" s="287">
        <v>1</v>
      </c>
      <c r="D111" s="287">
        <v>7</v>
      </c>
      <c r="E111" s="287">
        <v>2</v>
      </c>
      <c r="F111" s="287">
        <v>12</v>
      </c>
      <c r="G111" s="287">
        <v>8</v>
      </c>
      <c r="H111" s="287">
        <v>11</v>
      </c>
      <c r="I111" s="287">
        <v>23</v>
      </c>
    </row>
    <row r="112" spans="1:9" ht="17.25" customHeight="1">
      <c r="A112" s="907"/>
      <c r="B112" s="288" t="s">
        <v>300</v>
      </c>
      <c r="C112" s="103">
        <v>1</v>
      </c>
      <c r="D112" s="103">
        <v>7</v>
      </c>
      <c r="E112" s="103">
        <v>2</v>
      </c>
      <c r="F112" s="103">
        <v>12</v>
      </c>
      <c r="G112" s="103">
        <v>6</v>
      </c>
      <c r="H112" s="103">
        <v>11</v>
      </c>
      <c r="I112" s="103">
        <v>22</v>
      </c>
    </row>
    <row r="113" spans="1:9" ht="17.25" customHeight="1">
      <c r="A113" s="907"/>
      <c r="B113" s="288" t="s">
        <v>299</v>
      </c>
      <c r="C113" s="287">
        <v>1</v>
      </c>
      <c r="D113" s="287">
        <v>7</v>
      </c>
      <c r="E113" s="287">
        <v>2</v>
      </c>
      <c r="F113" s="287">
        <v>12</v>
      </c>
      <c r="G113" s="287">
        <v>5</v>
      </c>
      <c r="H113" s="287">
        <v>4</v>
      </c>
      <c r="I113" s="287">
        <v>22</v>
      </c>
    </row>
    <row r="114" spans="1:9" ht="17.25" customHeight="1">
      <c r="A114" s="907"/>
      <c r="B114" s="288" t="s">
        <v>298</v>
      </c>
      <c r="C114" s="287">
        <v>1</v>
      </c>
      <c r="D114" s="287">
        <v>7</v>
      </c>
      <c r="E114" s="287">
        <v>2</v>
      </c>
      <c r="F114" s="287">
        <v>12</v>
      </c>
      <c r="G114" s="287">
        <v>5</v>
      </c>
      <c r="H114" s="287">
        <v>1</v>
      </c>
      <c r="I114" s="287">
        <v>20</v>
      </c>
    </row>
    <row r="115" spans="1:9" ht="17.25" customHeight="1">
      <c r="A115" s="907">
        <v>19</v>
      </c>
      <c r="B115" s="286" t="s">
        <v>35</v>
      </c>
      <c r="C115" s="287"/>
      <c r="D115" s="287"/>
      <c r="E115" s="287"/>
      <c r="F115" s="287"/>
      <c r="G115" s="287"/>
      <c r="H115" s="287"/>
      <c r="I115" s="287"/>
    </row>
    <row r="116" spans="1:9" ht="17.25" customHeight="1">
      <c r="A116" s="907"/>
      <c r="B116" s="288" t="s">
        <v>997</v>
      </c>
      <c r="C116" s="103">
        <v>3</v>
      </c>
      <c r="D116" s="103">
        <v>0</v>
      </c>
      <c r="E116" s="103">
        <v>0</v>
      </c>
      <c r="F116" s="103">
        <v>0</v>
      </c>
      <c r="G116" s="103">
        <v>2</v>
      </c>
      <c r="H116" s="103">
        <v>1</v>
      </c>
      <c r="I116" s="103">
        <v>3</v>
      </c>
    </row>
    <row r="117" spans="1:9" ht="17.25" customHeight="1">
      <c r="A117" s="907"/>
      <c r="B117" s="288" t="s">
        <v>301</v>
      </c>
      <c r="C117" s="287">
        <v>3</v>
      </c>
      <c r="D117" s="287"/>
      <c r="E117" s="287"/>
      <c r="F117" s="287"/>
      <c r="G117" s="287">
        <v>2</v>
      </c>
      <c r="H117" s="287"/>
      <c r="I117" s="287">
        <v>3</v>
      </c>
    </row>
    <row r="118" spans="1:9" ht="17.25" customHeight="1">
      <c r="A118" s="907"/>
      <c r="B118" s="288" t="s">
        <v>300</v>
      </c>
      <c r="C118" s="103">
        <v>2</v>
      </c>
      <c r="D118" s="103">
        <v>0</v>
      </c>
      <c r="E118" s="103">
        <v>0</v>
      </c>
      <c r="F118" s="103">
        <v>0</v>
      </c>
      <c r="G118" s="103">
        <v>2</v>
      </c>
      <c r="H118" s="103">
        <v>0</v>
      </c>
      <c r="I118" s="103">
        <v>2</v>
      </c>
    </row>
    <row r="119" spans="1:9" ht="17.25" customHeight="1">
      <c r="A119" s="907"/>
      <c r="B119" s="288" t="s">
        <v>299</v>
      </c>
      <c r="C119" s="287">
        <v>2</v>
      </c>
      <c r="D119" s="287"/>
      <c r="E119" s="287"/>
      <c r="F119" s="287"/>
      <c r="G119" s="287">
        <v>2</v>
      </c>
      <c r="H119" s="287"/>
      <c r="I119" s="287">
        <v>1</v>
      </c>
    </row>
    <row r="120" spans="1:9" ht="17.25" customHeight="1">
      <c r="A120" s="907"/>
      <c r="B120" s="288" t="s">
        <v>298</v>
      </c>
      <c r="C120" s="287">
        <v>2</v>
      </c>
      <c r="D120" s="287"/>
      <c r="E120" s="287"/>
      <c r="F120" s="287"/>
      <c r="G120" s="287">
        <v>2</v>
      </c>
      <c r="H120" s="287">
        <v>1</v>
      </c>
      <c r="I120" s="287">
        <v>1</v>
      </c>
    </row>
    <row r="121" spans="1:9" ht="17.25" customHeight="1">
      <c r="A121" s="907">
        <v>20</v>
      </c>
      <c r="B121" s="286" t="s">
        <v>36</v>
      </c>
      <c r="C121" s="287"/>
      <c r="D121" s="287"/>
      <c r="E121" s="287"/>
      <c r="F121" s="287"/>
      <c r="G121" s="287"/>
      <c r="H121" s="287"/>
      <c r="I121" s="287"/>
    </row>
    <row r="122" spans="1:9" ht="17.25" customHeight="1">
      <c r="A122" s="907"/>
      <c r="B122" s="288" t="s">
        <v>997</v>
      </c>
      <c r="C122" s="287">
        <v>1</v>
      </c>
      <c r="D122" s="287">
        <v>0</v>
      </c>
      <c r="E122" s="287">
        <v>0</v>
      </c>
      <c r="F122" s="287">
        <v>0</v>
      </c>
      <c r="G122" s="287">
        <v>2</v>
      </c>
      <c r="H122" s="287">
        <v>8</v>
      </c>
      <c r="I122" s="287">
        <v>0</v>
      </c>
    </row>
    <row r="123" spans="1:9" ht="17.25" customHeight="1">
      <c r="A123" s="907"/>
      <c r="B123" s="288" t="s">
        <v>301</v>
      </c>
      <c r="C123" s="287">
        <v>1</v>
      </c>
      <c r="D123" s="287"/>
      <c r="E123" s="287"/>
      <c r="F123" s="287"/>
      <c r="G123" s="287">
        <v>2</v>
      </c>
      <c r="H123" s="287">
        <v>7</v>
      </c>
      <c r="I123" s="287"/>
    </row>
    <row r="124" spans="1:9" ht="17.25" customHeight="1">
      <c r="A124" s="907"/>
      <c r="B124" s="288" t="s">
        <v>300</v>
      </c>
      <c r="C124" s="103">
        <v>1</v>
      </c>
      <c r="D124" s="103">
        <v>0</v>
      </c>
      <c r="E124" s="103">
        <v>0</v>
      </c>
      <c r="F124" s="103">
        <v>0</v>
      </c>
      <c r="G124" s="103">
        <v>2</v>
      </c>
      <c r="H124" s="103">
        <v>7</v>
      </c>
      <c r="I124" s="103">
        <v>0</v>
      </c>
    </row>
    <row r="125" spans="1:9" ht="17.25" customHeight="1">
      <c r="A125" s="907"/>
      <c r="B125" s="288" t="s">
        <v>299</v>
      </c>
      <c r="C125" s="287">
        <v>1</v>
      </c>
      <c r="D125" s="287"/>
      <c r="E125" s="287"/>
      <c r="F125" s="287"/>
      <c r="G125" s="287">
        <v>1</v>
      </c>
      <c r="H125" s="287">
        <v>6</v>
      </c>
      <c r="I125" s="287"/>
    </row>
    <row r="126" spans="1:9" ht="17.25" customHeight="1">
      <c r="A126" s="907"/>
      <c r="B126" s="288" t="s">
        <v>298</v>
      </c>
      <c r="C126" s="287">
        <v>1</v>
      </c>
      <c r="D126" s="287"/>
      <c r="E126" s="287"/>
      <c r="F126" s="287"/>
      <c r="G126" s="287">
        <v>1</v>
      </c>
      <c r="H126" s="287">
        <v>8</v>
      </c>
      <c r="I126" s="287"/>
    </row>
    <row r="127" spans="1:9" ht="17.25" customHeight="1">
      <c r="A127" s="907">
        <v>21</v>
      </c>
      <c r="B127" s="286" t="s">
        <v>37</v>
      </c>
      <c r="C127" s="287"/>
      <c r="D127" s="287"/>
      <c r="E127" s="287"/>
      <c r="F127" s="287"/>
      <c r="G127" s="287"/>
      <c r="H127" s="287"/>
      <c r="I127" s="287"/>
    </row>
    <row r="128" spans="1:9" ht="17.25" customHeight="1">
      <c r="A128" s="907"/>
      <c r="B128" s="288" t="s">
        <v>997</v>
      </c>
      <c r="C128" s="287">
        <v>1</v>
      </c>
      <c r="D128" s="287">
        <v>0</v>
      </c>
      <c r="E128" s="287">
        <v>0</v>
      </c>
      <c r="F128" s="287">
        <v>0</v>
      </c>
      <c r="G128" s="287">
        <v>1</v>
      </c>
      <c r="H128" s="287">
        <v>1</v>
      </c>
      <c r="I128" s="287">
        <v>0</v>
      </c>
    </row>
    <row r="129" spans="1:9" ht="17.25" customHeight="1">
      <c r="A129" s="907"/>
      <c r="B129" s="288" t="s">
        <v>301</v>
      </c>
      <c r="C129" s="287">
        <v>1</v>
      </c>
      <c r="D129" s="287"/>
      <c r="E129" s="287"/>
      <c r="F129" s="287"/>
      <c r="G129" s="287">
        <v>1</v>
      </c>
      <c r="H129" s="287">
        <v>1</v>
      </c>
      <c r="I129" s="287"/>
    </row>
    <row r="130" spans="1:9" ht="17.25" customHeight="1">
      <c r="A130" s="907"/>
      <c r="B130" s="288" t="s">
        <v>300</v>
      </c>
      <c r="C130" s="103">
        <v>1</v>
      </c>
      <c r="D130" s="103">
        <v>0</v>
      </c>
      <c r="E130" s="103">
        <v>0</v>
      </c>
      <c r="F130" s="103">
        <v>0</v>
      </c>
      <c r="G130" s="103">
        <v>1</v>
      </c>
      <c r="H130" s="103">
        <v>1</v>
      </c>
      <c r="I130" s="103">
        <v>0</v>
      </c>
    </row>
    <row r="131" spans="1:9" ht="17.25" customHeight="1">
      <c r="A131" s="907"/>
      <c r="B131" s="288" t="s">
        <v>299</v>
      </c>
      <c r="C131" s="287">
        <v>1</v>
      </c>
      <c r="D131" s="287"/>
      <c r="E131" s="287"/>
      <c r="F131" s="287"/>
      <c r="G131" s="287">
        <v>1</v>
      </c>
      <c r="H131" s="287">
        <v>1</v>
      </c>
      <c r="I131" s="287"/>
    </row>
    <row r="132" spans="1:9" ht="17.25" customHeight="1">
      <c r="A132" s="907"/>
      <c r="B132" s="288" t="s">
        <v>298</v>
      </c>
      <c r="C132" s="287">
        <v>1</v>
      </c>
      <c r="D132" s="287"/>
      <c r="E132" s="287"/>
      <c r="F132" s="287"/>
      <c r="G132" s="287">
        <v>1</v>
      </c>
      <c r="H132" s="287">
        <v>1</v>
      </c>
      <c r="I132" s="287"/>
    </row>
    <row r="133" spans="1:9" ht="17.25" customHeight="1">
      <c r="A133" s="907">
        <v>22</v>
      </c>
      <c r="B133" s="286" t="s">
        <v>38</v>
      </c>
      <c r="C133" s="287"/>
      <c r="D133" s="287"/>
      <c r="E133" s="287"/>
      <c r="F133" s="287"/>
      <c r="G133" s="287"/>
      <c r="H133" s="287"/>
      <c r="I133" s="287"/>
    </row>
    <row r="134" spans="1:9" ht="17.25" customHeight="1">
      <c r="A134" s="907"/>
      <c r="B134" s="288" t="s">
        <v>997</v>
      </c>
      <c r="C134" s="287">
        <v>1</v>
      </c>
      <c r="D134" s="287">
        <v>0</v>
      </c>
      <c r="E134" s="287">
        <v>0</v>
      </c>
      <c r="F134" s="287">
        <v>0</v>
      </c>
      <c r="G134" s="287">
        <v>1</v>
      </c>
      <c r="H134" s="287">
        <v>3</v>
      </c>
      <c r="I134" s="287">
        <v>0</v>
      </c>
    </row>
    <row r="135" spans="1:9" ht="17.25" customHeight="1">
      <c r="A135" s="907"/>
      <c r="B135" s="288" t="s">
        <v>301</v>
      </c>
      <c r="C135" s="287">
        <v>1</v>
      </c>
      <c r="D135" s="287"/>
      <c r="E135" s="287"/>
      <c r="F135" s="287"/>
      <c r="G135" s="287">
        <v>1</v>
      </c>
      <c r="H135" s="287">
        <v>3</v>
      </c>
      <c r="I135" s="287"/>
    </row>
    <row r="136" spans="1:9" ht="17.25" customHeight="1">
      <c r="A136" s="907"/>
      <c r="B136" s="288" t="s">
        <v>300</v>
      </c>
      <c r="C136" s="103">
        <v>1</v>
      </c>
      <c r="D136" s="103">
        <v>0</v>
      </c>
      <c r="E136" s="103">
        <v>0</v>
      </c>
      <c r="F136" s="103">
        <v>0</v>
      </c>
      <c r="G136" s="103">
        <v>1</v>
      </c>
      <c r="H136" s="103">
        <v>3</v>
      </c>
      <c r="I136" s="103">
        <v>0</v>
      </c>
    </row>
    <row r="137" spans="1:9" ht="17.25" customHeight="1">
      <c r="A137" s="907"/>
      <c r="B137" s="288" t="s">
        <v>299</v>
      </c>
      <c r="C137" s="287">
        <v>1</v>
      </c>
      <c r="D137" s="287"/>
      <c r="E137" s="287"/>
      <c r="F137" s="287"/>
      <c r="G137" s="287">
        <v>1</v>
      </c>
      <c r="H137" s="287">
        <v>3</v>
      </c>
      <c r="I137" s="287"/>
    </row>
    <row r="138" spans="1:9" ht="17.25" customHeight="1">
      <c r="A138" s="907"/>
      <c r="B138" s="288" t="s">
        <v>298</v>
      </c>
      <c r="C138" s="287">
        <v>1</v>
      </c>
      <c r="D138" s="287"/>
      <c r="E138" s="287"/>
      <c r="F138" s="287"/>
      <c r="G138" s="287">
        <v>1</v>
      </c>
      <c r="H138" s="287">
        <v>3</v>
      </c>
      <c r="I138" s="287"/>
    </row>
    <row r="139" spans="1:9" ht="17.25" customHeight="1">
      <c r="A139" s="907">
        <v>23</v>
      </c>
      <c r="B139" s="286" t="s">
        <v>39</v>
      </c>
      <c r="C139" s="287"/>
      <c r="D139" s="287"/>
      <c r="E139" s="287"/>
      <c r="F139" s="287"/>
      <c r="G139" s="287"/>
      <c r="H139" s="287"/>
      <c r="I139" s="287"/>
    </row>
    <row r="140" spans="1:9" ht="17.25" customHeight="1">
      <c r="A140" s="907"/>
      <c r="B140" s="288" t="s">
        <v>997</v>
      </c>
      <c r="C140" s="287">
        <v>1</v>
      </c>
      <c r="D140" s="287">
        <v>0</v>
      </c>
      <c r="E140" s="287">
        <v>0</v>
      </c>
      <c r="F140" s="287">
        <v>3</v>
      </c>
      <c r="G140" s="287">
        <v>5</v>
      </c>
      <c r="H140" s="287">
        <v>8</v>
      </c>
      <c r="I140" s="287">
        <v>18</v>
      </c>
    </row>
    <row r="141" spans="1:9" ht="17.25" customHeight="1">
      <c r="A141" s="907"/>
      <c r="B141" s="288" t="s">
        <v>301</v>
      </c>
      <c r="C141" s="287">
        <v>1</v>
      </c>
      <c r="D141" s="287"/>
      <c r="E141" s="287"/>
      <c r="F141" s="287">
        <v>3</v>
      </c>
      <c r="G141" s="287">
        <v>5</v>
      </c>
      <c r="H141" s="287">
        <v>6</v>
      </c>
      <c r="I141" s="287">
        <v>16</v>
      </c>
    </row>
    <row r="142" spans="1:9" ht="17.25" customHeight="1">
      <c r="A142" s="907"/>
      <c r="B142" s="288" t="s">
        <v>300</v>
      </c>
      <c r="C142" s="103">
        <v>1</v>
      </c>
      <c r="D142" s="103">
        <v>0</v>
      </c>
      <c r="E142" s="103">
        <v>0</v>
      </c>
      <c r="F142" s="103">
        <v>2</v>
      </c>
      <c r="G142" s="103">
        <v>5</v>
      </c>
      <c r="H142" s="103">
        <v>4</v>
      </c>
      <c r="I142" s="103">
        <v>15</v>
      </c>
    </row>
    <row r="143" spans="1:9" ht="17.25" customHeight="1">
      <c r="A143" s="907"/>
      <c r="B143" s="288" t="s">
        <v>299</v>
      </c>
      <c r="C143" s="287">
        <v>1</v>
      </c>
      <c r="D143" s="287"/>
      <c r="E143" s="287"/>
      <c r="F143" s="287">
        <v>2</v>
      </c>
      <c r="G143" s="287">
        <v>4</v>
      </c>
      <c r="H143" s="287">
        <v>3</v>
      </c>
      <c r="I143" s="287">
        <v>14</v>
      </c>
    </row>
    <row r="144" spans="1:9" ht="17.25" customHeight="1">
      <c r="A144" s="907"/>
      <c r="B144" s="288" t="s">
        <v>298</v>
      </c>
      <c r="C144" s="287">
        <v>1</v>
      </c>
      <c r="D144" s="287"/>
      <c r="E144" s="287"/>
      <c r="F144" s="287">
        <v>2</v>
      </c>
      <c r="G144" s="287">
        <v>4</v>
      </c>
      <c r="H144" s="287">
        <v>3</v>
      </c>
      <c r="I144" s="287">
        <v>14</v>
      </c>
    </row>
    <row r="145" spans="1:9" ht="17.25" customHeight="1">
      <c r="A145" s="907">
        <v>24</v>
      </c>
      <c r="B145" s="286" t="s">
        <v>40</v>
      </c>
      <c r="C145" s="287"/>
      <c r="D145" s="287"/>
      <c r="E145" s="287"/>
      <c r="F145" s="287"/>
      <c r="G145" s="287"/>
      <c r="H145" s="287"/>
      <c r="I145" s="287"/>
    </row>
    <row r="146" spans="1:9" ht="17.25" customHeight="1">
      <c r="A146" s="907"/>
      <c r="B146" s="288" t="s">
        <v>997</v>
      </c>
      <c r="C146" s="287">
        <v>1</v>
      </c>
      <c r="D146" s="287">
        <v>0</v>
      </c>
      <c r="E146" s="287">
        <v>0</v>
      </c>
      <c r="F146" s="287">
        <v>1</v>
      </c>
      <c r="G146" s="287">
        <v>2</v>
      </c>
      <c r="H146" s="287">
        <v>0</v>
      </c>
      <c r="I146" s="287">
        <v>0</v>
      </c>
    </row>
    <row r="147" spans="1:9" ht="17.25" customHeight="1">
      <c r="A147" s="907"/>
      <c r="B147" s="288" t="s">
        <v>301</v>
      </c>
      <c r="C147" s="287">
        <v>1</v>
      </c>
      <c r="D147" s="287"/>
      <c r="E147" s="287"/>
      <c r="F147" s="287">
        <v>1</v>
      </c>
      <c r="G147" s="287">
        <v>2</v>
      </c>
      <c r="H147" s="287"/>
      <c r="I147" s="287"/>
    </row>
    <row r="148" spans="1:9" ht="17.25" customHeight="1">
      <c r="A148" s="907"/>
      <c r="B148" s="288" t="s">
        <v>300</v>
      </c>
      <c r="C148" s="103">
        <v>1</v>
      </c>
      <c r="D148" s="103">
        <v>0</v>
      </c>
      <c r="E148" s="103">
        <v>0</v>
      </c>
      <c r="F148" s="103">
        <v>1</v>
      </c>
      <c r="G148" s="103">
        <v>2</v>
      </c>
      <c r="H148" s="103">
        <v>0</v>
      </c>
      <c r="I148" s="103">
        <v>0</v>
      </c>
    </row>
    <row r="149" spans="1:9" ht="17.25" customHeight="1">
      <c r="A149" s="907"/>
      <c r="B149" s="288" t="s">
        <v>299</v>
      </c>
      <c r="C149" s="287">
        <v>1</v>
      </c>
      <c r="D149" s="287"/>
      <c r="E149" s="287"/>
      <c r="F149" s="287">
        <v>1</v>
      </c>
      <c r="G149" s="287">
        <v>2</v>
      </c>
      <c r="H149" s="287"/>
      <c r="I149" s="287"/>
    </row>
    <row r="150" spans="1:9" ht="17.25" customHeight="1">
      <c r="A150" s="907"/>
      <c r="B150" s="288" t="s">
        <v>298</v>
      </c>
      <c r="C150" s="287">
        <v>1</v>
      </c>
      <c r="D150" s="287"/>
      <c r="E150" s="287"/>
      <c r="F150" s="287">
        <v>1</v>
      </c>
      <c r="G150" s="287">
        <v>2</v>
      </c>
      <c r="H150" s="287"/>
      <c r="I150" s="287"/>
    </row>
    <row r="151" spans="1:9" ht="17.25" customHeight="1">
      <c r="A151" s="907">
        <v>25</v>
      </c>
      <c r="B151" s="286" t="s">
        <v>41</v>
      </c>
      <c r="C151" s="287"/>
      <c r="D151" s="287"/>
      <c r="E151" s="287"/>
      <c r="F151" s="287"/>
      <c r="G151" s="287"/>
      <c r="H151" s="287"/>
      <c r="I151" s="287"/>
    </row>
    <row r="152" spans="1:9" ht="17.25" customHeight="1">
      <c r="A152" s="907"/>
      <c r="B152" s="288" t="s">
        <v>997</v>
      </c>
      <c r="C152" s="287">
        <v>1</v>
      </c>
      <c r="D152" s="287">
        <v>1</v>
      </c>
      <c r="E152" s="287">
        <v>0</v>
      </c>
      <c r="F152" s="287">
        <v>1</v>
      </c>
      <c r="G152" s="287">
        <v>6</v>
      </c>
      <c r="H152" s="287">
        <v>15</v>
      </c>
      <c r="I152" s="287">
        <v>10</v>
      </c>
    </row>
    <row r="153" spans="1:9" ht="17.25" customHeight="1">
      <c r="A153" s="907"/>
      <c r="B153" s="288" t="s">
        <v>301</v>
      </c>
      <c r="C153" s="287">
        <v>1</v>
      </c>
      <c r="D153" s="287">
        <v>1</v>
      </c>
      <c r="E153" s="287"/>
      <c r="F153" s="287">
        <v>1</v>
      </c>
      <c r="G153" s="287">
        <v>5</v>
      </c>
      <c r="H153" s="287">
        <v>15</v>
      </c>
      <c r="I153" s="287">
        <v>9</v>
      </c>
    </row>
    <row r="154" spans="1:9" ht="17.25" customHeight="1">
      <c r="A154" s="907"/>
      <c r="B154" s="288" t="s">
        <v>300</v>
      </c>
      <c r="C154" s="103">
        <v>1</v>
      </c>
      <c r="D154" s="103">
        <v>1</v>
      </c>
      <c r="E154" s="103">
        <v>0</v>
      </c>
      <c r="F154" s="103">
        <v>1</v>
      </c>
      <c r="G154" s="103">
        <v>5</v>
      </c>
      <c r="H154" s="103">
        <v>15</v>
      </c>
      <c r="I154" s="103">
        <v>9</v>
      </c>
    </row>
    <row r="155" spans="1:9" ht="17.25" customHeight="1">
      <c r="A155" s="907"/>
      <c r="B155" s="288" t="s">
        <v>299</v>
      </c>
      <c r="C155" s="287">
        <v>1</v>
      </c>
      <c r="D155" s="287">
        <v>1</v>
      </c>
      <c r="E155" s="287"/>
      <c r="F155" s="287">
        <v>1</v>
      </c>
      <c r="G155" s="287">
        <v>4</v>
      </c>
      <c r="H155" s="287">
        <v>15</v>
      </c>
      <c r="I155" s="287">
        <v>9</v>
      </c>
    </row>
    <row r="156" spans="1:9" ht="17.25" customHeight="1">
      <c r="A156" s="907"/>
      <c r="B156" s="288" t="s">
        <v>298</v>
      </c>
      <c r="C156" s="287">
        <v>1</v>
      </c>
      <c r="D156" s="287">
        <v>1</v>
      </c>
      <c r="E156" s="287"/>
      <c r="F156" s="287">
        <v>1</v>
      </c>
      <c r="G156" s="287">
        <v>4</v>
      </c>
      <c r="H156" s="287">
        <v>12</v>
      </c>
      <c r="I156" s="287">
        <v>9</v>
      </c>
    </row>
    <row r="157" spans="1:9" ht="17.25" customHeight="1">
      <c r="A157" s="907">
        <v>26</v>
      </c>
      <c r="B157" s="286" t="s">
        <v>42</v>
      </c>
      <c r="C157" s="287"/>
      <c r="D157" s="287"/>
      <c r="E157" s="287"/>
      <c r="F157" s="287"/>
      <c r="G157" s="287"/>
      <c r="H157" s="287"/>
      <c r="I157" s="287"/>
    </row>
    <row r="158" spans="1:9" ht="17.25" customHeight="1">
      <c r="A158" s="907"/>
      <c r="B158" s="288" t="s">
        <v>997</v>
      </c>
      <c r="C158" s="287">
        <v>1</v>
      </c>
      <c r="D158" s="287">
        <v>0</v>
      </c>
      <c r="E158" s="287">
        <v>0</v>
      </c>
      <c r="F158" s="287">
        <v>7</v>
      </c>
      <c r="G158" s="287">
        <v>5</v>
      </c>
      <c r="H158" s="287">
        <v>52</v>
      </c>
      <c r="I158" s="287">
        <v>26</v>
      </c>
    </row>
    <row r="159" spans="1:9" ht="17.25" customHeight="1">
      <c r="A159" s="907"/>
      <c r="B159" s="288" t="s">
        <v>301</v>
      </c>
      <c r="C159" s="287">
        <v>1</v>
      </c>
      <c r="D159" s="287"/>
      <c r="E159" s="287"/>
      <c r="F159" s="287">
        <v>7</v>
      </c>
      <c r="G159" s="287">
        <v>5</v>
      </c>
      <c r="H159" s="287">
        <v>50</v>
      </c>
      <c r="I159" s="287">
        <v>25</v>
      </c>
    </row>
    <row r="160" spans="1:9" ht="17.25" customHeight="1">
      <c r="A160" s="907"/>
      <c r="B160" s="288" t="s">
        <v>300</v>
      </c>
      <c r="C160" s="103">
        <v>1</v>
      </c>
      <c r="D160" s="103">
        <v>0</v>
      </c>
      <c r="E160" s="103">
        <v>0</v>
      </c>
      <c r="F160" s="103">
        <v>8</v>
      </c>
      <c r="G160" s="103">
        <v>5</v>
      </c>
      <c r="H160" s="103">
        <v>45</v>
      </c>
      <c r="I160" s="103">
        <v>23</v>
      </c>
    </row>
    <row r="161" spans="1:9" ht="17.25" customHeight="1">
      <c r="A161" s="907"/>
      <c r="B161" s="288" t="s">
        <v>299</v>
      </c>
      <c r="C161" s="287">
        <v>1</v>
      </c>
      <c r="D161" s="287"/>
      <c r="E161" s="287"/>
      <c r="F161" s="287">
        <v>8</v>
      </c>
      <c r="G161" s="287">
        <v>4</v>
      </c>
      <c r="H161" s="287">
        <v>43</v>
      </c>
      <c r="I161" s="287">
        <v>22</v>
      </c>
    </row>
    <row r="162" spans="1:9" ht="17.25" customHeight="1">
      <c r="A162" s="907"/>
      <c r="B162" s="288" t="s">
        <v>298</v>
      </c>
      <c r="C162" s="287">
        <v>1</v>
      </c>
      <c r="D162" s="287"/>
      <c r="E162" s="287"/>
      <c r="F162" s="287">
        <v>8</v>
      </c>
      <c r="G162" s="287">
        <v>4</v>
      </c>
      <c r="H162" s="287">
        <v>42</v>
      </c>
      <c r="I162" s="287">
        <v>22</v>
      </c>
    </row>
    <row r="163" spans="1:9" ht="17.25" customHeight="1">
      <c r="A163" s="907">
        <v>27</v>
      </c>
      <c r="B163" s="286" t="s">
        <v>43</v>
      </c>
      <c r="C163" s="287"/>
      <c r="D163" s="287"/>
      <c r="E163" s="287"/>
      <c r="F163" s="287"/>
      <c r="G163" s="287"/>
      <c r="H163" s="287"/>
      <c r="I163" s="287"/>
    </row>
    <row r="164" spans="1:9" ht="17.25" customHeight="1">
      <c r="A164" s="907"/>
      <c r="B164" s="288" t="s">
        <v>997</v>
      </c>
      <c r="C164" s="287">
        <v>1</v>
      </c>
      <c r="D164" s="287">
        <v>0</v>
      </c>
      <c r="E164" s="287">
        <v>0</v>
      </c>
      <c r="F164" s="287">
        <v>0</v>
      </c>
      <c r="G164" s="287">
        <v>1</v>
      </c>
      <c r="H164" s="287">
        <v>5</v>
      </c>
      <c r="I164" s="287">
        <v>1</v>
      </c>
    </row>
    <row r="165" spans="1:9" ht="17.25" customHeight="1">
      <c r="A165" s="907"/>
      <c r="B165" s="288" t="s">
        <v>301</v>
      </c>
      <c r="C165" s="287">
        <v>1</v>
      </c>
      <c r="D165" s="287"/>
      <c r="E165" s="287"/>
      <c r="F165" s="287"/>
      <c r="G165" s="287">
        <v>1</v>
      </c>
      <c r="H165" s="287">
        <v>5</v>
      </c>
      <c r="I165" s="287">
        <v>1</v>
      </c>
    </row>
    <row r="166" spans="1:9" ht="17.25" customHeight="1">
      <c r="A166" s="907"/>
      <c r="B166" s="288" t="s">
        <v>300</v>
      </c>
      <c r="C166" s="103">
        <v>1</v>
      </c>
      <c r="D166" s="103">
        <v>0</v>
      </c>
      <c r="E166" s="103">
        <v>0</v>
      </c>
      <c r="F166" s="103">
        <v>0</v>
      </c>
      <c r="G166" s="103">
        <v>1</v>
      </c>
      <c r="H166" s="103">
        <v>5</v>
      </c>
      <c r="I166" s="103">
        <v>0</v>
      </c>
    </row>
    <row r="167" spans="1:9" ht="17.25" customHeight="1">
      <c r="A167" s="907"/>
      <c r="B167" s="288" t="s">
        <v>299</v>
      </c>
      <c r="C167" s="287">
        <v>1</v>
      </c>
      <c r="D167" s="287"/>
      <c r="E167" s="287"/>
      <c r="F167" s="287"/>
      <c r="G167" s="287">
        <v>1</v>
      </c>
      <c r="H167" s="287">
        <v>5</v>
      </c>
      <c r="I167" s="287"/>
    </row>
    <row r="168" spans="1:9" ht="17.25" customHeight="1">
      <c r="A168" s="907"/>
      <c r="B168" s="288" t="s">
        <v>298</v>
      </c>
      <c r="C168" s="287">
        <v>1</v>
      </c>
      <c r="D168" s="287"/>
      <c r="E168" s="287"/>
      <c r="F168" s="287"/>
      <c r="G168" s="287">
        <v>1</v>
      </c>
      <c r="H168" s="287">
        <v>5</v>
      </c>
      <c r="I168" s="287"/>
    </row>
    <row r="169" spans="1:9" ht="17.25" customHeight="1">
      <c r="A169" s="907">
        <v>28</v>
      </c>
      <c r="B169" s="286" t="s">
        <v>44</v>
      </c>
      <c r="C169" s="287"/>
      <c r="D169" s="287"/>
      <c r="E169" s="287"/>
      <c r="F169" s="287"/>
      <c r="G169" s="287"/>
      <c r="H169" s="287"/>
      <c r="I169" s="287"/>
    </row>
    <row r="170" spans="1:9" ht="17.25" customHeight="1">
      <c r="A170" s="907"/>
      <c r="B170" s="288" t="s">
        <v>997</v>
      </c>
      <c r="C170" s="287">
        <v>2</v>
      </c>
      <c r="D170" s="287">
        <v>0</v>
      </c>
      <c r="E170" s="287">
        <v>2</v>
      </c>
      <c r="F170" s="287">
        <v>26</v>
      </c>
      <c r="G170" s="287">
        <v>7</v>
      </c>
      <c r="H170" s="287">
        <v>0</v>
      </c>
      <c r="I170" s="287">
        <v>21</v>
      </c>
    </row>
    <row r="171" spans="1:9" ht="17.25" customHeight="1">
      <c r="A171" s="907"/>
      <c r="B171" s="288" t="s">
        <v>301</v>
      </c>
      <c r="C171" s="287">
        <v>2</v>
      </c>
      <c r="D171" s="287"/>
      <c r="E171" s="287">
        <v>2</v>
      </c>
      <c r="F171" s="287">
        <v>26</v>
      </c>
      <c r="G171" s="287">
        <v>7</v>
      </c>
      <c r="H171" s="287"/>
      <c r="I171" s="287">
        <v>21</v>
      </c>
    </row>
    <row r="172" spans="1:9" ht="17.25" customHeight="1">
      <c r="A172" s="907"/>
      <c r="B172" s="288" t="s">
        <v>300</v>
      </c>
      <c r="C172" s="103">
        <v>2</v>
      </c>
      <c r="D172" s="103">
        <v>0</v>
      </c>
      <c r="E172" s="103">
        <v>2</v>
      </c>
      <c r="F172" s="103">
        <v>26</v>
      </c>
      <c r="G172" s="103">
        <v>7</v>
      </c>
      <c r="H172" s="103">
        <v>0</v>
      </c>
      <c r="I172" s="103">
        <v>21</v>
      </c>
    </row>
    <row r="173" spans="1:9" ht="17.25" customHeight="1">
      <c r="A173" s="907"/>
      <c r="B173" s="288" t="s">
        <v>299</v>
      </c>
      <c r="C173" s="287">
        <v>2</v>
      </c>
      <c r="D173" s="287"/>
      <c r="E173" s="287">
        <v>2</v>
      </c>
      <c r="F173" s="287">
        <v>26</v>
      </c>
      <c r="G173" s="287">
        <v>7</v>
      </c>
      <c r="H173" s="287"/>
      <c r="I173" s="287">
        <v>20</v>
      </c>
    </row>
    <row r="174" spans="1:9" ht="17.25" customHeight="1">
      <c r="A174" s="907"/>
      <c r="B174" s="288" t="s">
        <v>298</v>
      </c>
      <c r="C174" s="287">
        <v>2</v>
      </c>
      <c r="D174" s="287"/>
      <c r="E174" s="287">
        <v>2</v>
      </c>
      <c r="F174" s="287">
        <v>26</v>
      </c>
      <c r="G174" s="287">
        <v>7</v>
      </c>
      <c r="H174" s="287"/>
      <c r="I174" s="287">
        <v>20</v>
      </c>
    </row>
    <row r="175" spans="1:9" ht="17.25" customHeight="1">
      <c r="A175" s="907">
        <v>29</v>
      </c>
      <c r="B175" s="286" t="s">
        <v>142</v>
      </c>
      <c r="C175" s="287"/>
      <c r="D175" s="287"/>
      <c r="E175" s="287"/>
      <c r="F175" s="287"/>
      <c r="G175" s="287"/>
      <c r="H175" s="287"/>
      <c r="I175" s="287"/>
    </row>
    <row r="176" spans="1:9" ht="17.25" customHeight="1">
      <c r="A176" s="907"/>
      <c r="B176" s="288" t="s">
        <v>997</v>
      </c>
      <c r="C176" s="287">
        <v>3</v>
      </c>
      <c r="D176" s="287">
        <v>1</v>
      </c>
      <c r="E176" s="287">
        <v>0</v>
      </c>
      <c r="F176" s="287">
        <v>2</v>
      </c>
      <c r="G176" s="287">
        <v>4</v>
      </c>
      <c r="H176" s="287">
        <v>4</v>
      </c>
      <c r="I176" s="287">
        <v>15</v>
      </c>
    </row>
    <row r="177" spans="1:9" ht="17.25" customHeight="1">
      <c r="A177" s="907"/>
      <c r="B177" s="288" t="s">
        <v>301</v>
      </c>
      <c r="C177" s="287">
        <v>3</v>
      </c>
      <c r="D177" s="287"/>
      <c r="E177" s="287"/>
      <c r="F177" s="287">
        <v>2</v>
      </c>
      <c r="G177" s="287">
        <v>2</v>
      </c>
      <c r="H177" s="287"/>
      <c r="I177" s="287">
        <v>15</v>
      </c>
    </row>
    <row r="178" spans="1:9" ht="17.25" customHeight="1">
      <c r="A178" s="907"/>
      <c r="B178" s="288" t="s">
        <v>300</v>
      </c>
      <c r="C178" s="103">
        <v>3</v>
      </c>
      <c r="D178" s="103">
        <v>0</v>
      </c>
      <c r="E178" s="103">
        <v>0</v>
      </c>
      <c r="F178" s="103">
        <v>2</v>
      </c>
      <c r="G178" s="103">
        <v>2</v>
      </c>
      <c r="H178" s="103">
        <v>0</v>
      </c>
      <c r="I178" s="103">
        <v>15</v>
      </c>
    </row>
    <row r="179" spans="1:9" ht="17.25" customHeight="1">
      <c r="A179" s="907"/>
      <c r="B179" s="288" t="s">
        <v>299</v>
      </c>
      <c r="C179" s="287">
        <v>3</v>
      </c>
      <c r="D179" s="287"/>
      <c r="E179" s="287"/>
      <c r="F179" s="287">
        <v>2</v>
      </c>
      <c r="G179" s="287">
        <v>2</v>
      </c>
      <c r="H179" s="287"/>
      <c r="I179" s="287">
        <v>15</v>
      </c>
    </row>
    <row r="180" spans="1:9" ht="17.25" customHeight="1">
      <c r="A180" s="907"/>
      <c r="B180" s="288" t="s">
        <v>298</v>
      </c>
      <c r="C180" s="287">
        <v>3</v>
      </c>
      <c r="D180" s="287"/>
      <c r="E180" s="287"/>
      <c r="F180" s="287">
        <v>2</v>
      </c>
      <c r="G180" s="287">
        <v>2</v>
      </c>
      <c r="H180" s="287"/>
      <c r="I180" s="287">
        <v>15</v>
      </c>
    </row>
    <row r="181" spans="1:9" ht="17.25" customHeight="1">
      <c r="A181" s="907">
        <v>30</v>
      </c>
      <c r="B181" s="286" t="s">
        <v>45</v>
      </c>
      <c r="C181" s="287"/>
      <c r="D181" s="287"/>
      <c r="E181" s="287"/>
      <c r="F181" s="287"/>
      <c r="G181" s="287"/>
      <c r="H181" s="287"/>
      <c r="I181" s="287"/>
    </row>
    <row r="182" spans="1:9" ht="17.25" customHeight="1">
      <c r="A182" s="907"/>
      <c r="B182" s="288" t="s">
        <v>997</v>
      </c>
      <c r="C182" s="287">
        <v>1</v>
      </c>
      <c r="D182" s="287">
        <v>0</v>
      </c>
      <c r="E182" s="287">
        <v>0</v>
      </c>
      <c r="F182" s="287">
        <v>0</v>
      </c>
      <c r="G182" s="287">
        <v>2</v>
      </c>
      <c r="H182" s="287">
        <v>1</v>
      </c>
      <c r="I182" s="287">
        <v>1</v>
      </c>
    </row>
    <row r="183" spans="1:9" ht="17.25" customHeight="1">
      <c r="A183" s="907"/>
      <c r="B183" s="288" t="s">
        <v>301</v>
      </c>
      <c r="C183" s="287">
        <v>1</v>
      </c>
      <c r="D183" s="287"/>
      <c r="E183" s="287"/>
      <c r="F183" s="287"/>
      <c r="G183" s="287">
        <v>1</v>
      </c>
      <c r="H183" s="287">
        <v>1</v>
      </c>
      <c r="I183" s="287">
        <v>1</v>
      </c>
    </row>
    <row r="184" spans="1:9" ht="17.25" customHeight="1">
      <c r="A184" s="907"/>
      <c r="B184" s="288" t="s">
        <v>300</v>
      </c>
      <c r="C184" s="103">
        <v>1</v>
      </c>
      <c r="D184" s="103">
        <v>0</v>
      </c>
      <c r="E184" s="103">
        <v>0</v>
      </c>
      <c r="F184" s="103">
        <v>0</v>
      </c>
      <c r="G184" s="103">
        <v>1</v>
      </c>
      <c r="H184" s="103">
        <v>1</v>
      </c>
      <c r="I184" s="103">
        <v>1</v>
      </c>
    </row>
    <row r="185" spans="1:9" ht="17.25" customHeight="1">
      <c r="A185" s="907"/>
      <c r="B185" s="288" t="s">
        <v>299</v>
      </c>
      <c r="C185" s="287">
        <v>1</v>
      </c>
      <c r="D185" s="287"/>
      <c r="E185" s="287"/>
      <c r="F185" s="287"/>
      <c r="G185" s="287">
        <v>1</v>
      </c>
      <c r="H185" s="287">
        <v>1</v>
      </c>
      <c r="I185" s="287">
        <v>1</v>
      </c>
    </row>
    <row r="186" spans="1:9" ht="17.25" customHeight="1">
      <c r="A186" s="907"/>
      <c r="B186" s="288" t="s">
        <v>298</v>
      </c>
      <c r="C186" s="287">
        <v>1</v>
      </c>
      <c r="D186" s="287"/>
      <c r="E186" s="287"/>
      <c r="F186" s="287"/>
      <c r="G186" s="287">
        <v>2</v>
      </c>
      <c r="H186" s="287">
        <v>1</v>
      </c>
      <c r="I186" s="287">
        <v>1</v>
      </c>
    </row>
    <row r="187" spans="1:9" ht="17.25" customHeight="1">
      <c r="A187" s="907">
        <v>31</v>
      </c>
      <c r="B187" s="286" t="s">
        <v>47</v>
      </c>
      <c r="C187" s="287"/>
      <c r="D187" s="287"/>
      <c r="E187" s="287"/>
      <c r="F187" s="287"/>
      <c r="G187" s="287"/>
      <c r="H187" s="287"/>
      <c r="I187" s="287"/>
    </row>
    <row r="188" spans="1:9" ht="17.25" customHeight="1">
      <c r="A188" s="907"/>
      <c r="B188" s="288" t="s">
        <v>997</v>
      </c>
      <c r="C188" s="287">
        <v>5</v>
      </c>
      <c r="D188" s="287">
        <v>2</v>
      </c>
      <c r="E188" s="287">
        <v>3</v>
      </c>
      <c r="F188" s="287">
        <v>4</v>
      </c>
      <c r="G188" s="287">
        <v>11</v>
      </c>
      <c r="H188" s="287">
        <v>29</v>
      </c>
      <c r="I188" s="287">
        <v>28</v>
      </c>
    </row>
    <row r="189" spans="1:9" ht="17.25" customHeight="1">
      <c r="A189" s="907"/>
      <c r="B189" s="288" t="s">
        <v>301</v>
      </c>
      <c r="C189" s="287">
        <v>4</v>
      </c>
      <c r="D189" s="287">
        <v>2</v>
      </c>
      <c r="E189" s="287">
        <v>3</v>
      </c>
      <c r="F189" s="287">
        <v>4</v>
      </c>
      <c r="G189" s="287">
        <v>9</v>
      </c>
      <c r="H189" s="287">
        <v>29</v>
      </c>
      <c r="I189" s="287">
        <v>28</v>
      </c>
    </row>
    <row r="190" spans="1:9" ht="17.25" customHeight="1">
      <c r="A190" s="907"/>
      <c r="B190" s="288" t="s">
        <v>300</v>
      </c>
      <c r="C190" s="103">
        <v>4</v>
      </c>
      <c r="D190" s="103">
        <v>2</v>
      </c>
      <c r="E190" s="103">
        <v>3</v>
      </c>
      <c r="F190" s="103">
        <v>4</v>
      </c>
      <c r="G190" s="103">
        <v>9</v>
      </c>
      <c r="H190" s="103">
        <v>28</v>
      </c>
      <c r="I190" s="103">
        <v>27</v>
      </c>
    </row>
    <row r="191" spans="1:9" ht="17.25" customHeight="1">
      <c r="A191" s="907"/>
      <c r="B191" s="288" t="s">
        <v>299</v>
      </c>
      <c r="C191" s="287">
        <v>4</v>
      </c>
      <c r="D191" s="287">
        <v>2</v>
      </c>
      <c r="E191" s="287">
        <v>3</v>
      </c>
      <c r="F191" s="287">
        <v>4</v>
      </c>
      <c r="G191" s="287">
        <v>7</v>
      </c>
      <c r="H191" s="287">
        <v>27</v>
      </c>
      <c r="I191" s="287">
        <v>27</v>
      </c>
    </row>
    <row r="192" spans="1:9" ht="17.25" customHeight="1">
      <c r="A192" s="907"/>
      <c r="B192" s="288" t="s">
        <v>298</v>
      </c>
      <c r="C192" s="287">
        <v>4</v>
      </c>
      <c r="D192" s="287">
        <v>2</v>
      </c>
      <c r="E192" s="287">
        <v>3</v>
      </c>
      <c r="F192" s="287">
        <v>4</v>
      </c>
      <c r="G192" s="287">
        <v>6</v>
      </c>
      <c r="H192" s="287">
        <v>24</v>
      </c>
      <c r="I192" s="287">
        <v>27</v>
      </c>
    </row>
    <row r="193" spans="1:9" ht="17.25" customHeight="1">
      <c r="A193" s="907">
        <v>32</v>
      </c>
      <c r="B193" s="286" t="s">
        <v>46</v>
      </c>
      <c r="C193" s="287"/>
      <c r="D193" s="287"/>
      <c r="E193" s="287"/>
      <c r="F193" s="287"/>
      <c r="G193" s="287"/>
      <c r="H193" s="287"/>
      <c r="I193" s="287"/>
    </row>
    <row r="194" spans="1:9" ht="17.25" customHeight="1">
      <c r="A194" s="907"/>
      <c r="B194" s="288" t="s">
        <v>997</v>
      </c>
      <c r="C194" s="287">
        <v>1</v>
      </c>
      <c r="D194" s="287">
        <v>1</v>
      </c>
      <c r="E194" s="287">
        <v>1</v>
      </c>
      <c r="F194" s="287">
        <v>1</v>
      </c>
      <c r="G194" s="287">
        <v>4</v>
      </c>
      <c r="H194" s="287">
        <v>17</v>
      </c>
      <c r="I194" s="287">
        <v>11</v>
      </c>
    </row>
    <row r="195" spans="1:9" ht="17.25" customHeight="1">
      <c r="A195" s="907"/>
      <c r="B195" s="288" t="s">
        <v>301</v>
      </c>
      <c r="C195" s="287">
        <v>1</v>
      </c>
      <c r="D195" s="287">
        <v>1</v>
      </c>
      <c r="E195" s="287">
        <v>1</v>
      </c>
      <c r="F195" s="287">
        <v>1</v>
      </c>
      <c r="G195" s="287">
        <v>4</v>
      </c>
      <c r="H195" s="287">
        <v>17</v>
      </c>
      <c r="I195" s="287">
        <v>10</v>
      </c>
    </row>
    <row r="196" spans="1:9" ht="17.25" customHeight="1">
      <c r="A196" s="907"/>
      <c r="B196" s="288" t="s">
        <v>300</v>
      </c>
      <c r="C196" s="103">
        <v>1</v>
      </c>
      <c r="D196" s="103">
        <v>1</v>
      </c>
      <c r="E196" s="103">
        <v>1</v>
      </c>
      <c r="F196" s="103">
        <v>1</v>
      </c>
      <c r="G196" s="103">
        <v>4</v>
      </c>
      <c r="H196" s="103">
        <v>17</v>
      </c>
      <c r="I196" s="103">
        <v>10</v>
      </c>
    </row>
    <row r="197" spans="1:9" ht="17.25" customHeight="1">
      <c r="A197" s="907"/>
      <c r="B197" s="288" t="s">
        <v>299</v>
      </c>
      <c r="C197" s="287">
        <v>1</v>
      </c>
      <c r="D197" s="287">
        <v>1</v>
      </c>
      <c r="E197" s="287">
        <v>1</v>
      </c>
      <c r="F197" s="287">
        <v>1</v>
      </c>
      <c r="G197" s="287">
        <v>3</v>
      </c>
      <c r="H197" s="287">
        <v>15</v>
      </c>
      <c r="I197" s="287">
        <v>10</v>
      </c>
    </row>
    <row r="198" spans="1:9" ht="17.25" customHeight="1">
      <c r="A198" s="907"/>
      <c r="B198" s="288" t="s">
        <v>298</v>
      </c>
      <c r="C198" s="287">
        <v>1</v>
      </c>
      <c r="D198" s="287">
        <v>1</v>
      </c>
      <c r="E198" s="287">
        <v>1</v>
      </c>
      <c r="F198" s="287">
        <v>1</v>
      </c>
      <c r="G198" s="287">
        <v>3</v>
      </c>
      <c r="H198" s="287">
        <v>11</v>
      </c>
      <c r="I198" s="287">
        <v>9</v>
      </c>
    </row>
    <row r="199" spans="1:9" ht="17.25" customHeight="1">
      <c r="A199" s="907">
        <v>33</v>
      </c>
      <c r="B199" s="286" t="s">
        <v>48</v>
      </c>
      <c r="C199" s="287"/>
      <c r="D199" s="287"/>
      <c r="E199" s="287"/>
      <c r="F199" s="287"/>
      <c r="G199" s="287"/>
      <c r="H199" s="287"/>
      <c r="I199" s="287"/>
    </row>
    <row r="200" spans="1:9" ht="17.25" customHeight="1">
      <c r="A200" s="907"/>
      <c r="B200" s="288" t="s">
        <v>997</v>
      </c>
      <c r="C200" s="287">
        <v>1</v>
      </c>
      <c r="D200" s="287">
        <v>1</v>
      </c>
      <c r="E200" s="287">
        <v>0</v>
      </c>
      <c r="F200" s="287">
        <v>1</v>
      </c>
      <c r="G200" s="287">
        <v>8</v>
      </c>
      <c r="H200" s="287">
        <v>11</v>
      </c>
      <c r="I200" s="287">
        <v>29</v>
      </c>
    </row>
    <row r="201" spans="1:9" ht="17.25" customHeight="1">
      <c r="A201" s="907"/>
      <c r="B201" s="288" t="s">
        <v>301</v>
      </c>
      <c r="C201" s="287">
        <v>1</v>
      </c>
      <c r="D201" s="287">
        <v>1</v>
      </c>
      <c r="E201" s="287"/>
      <c r="F201" s="287">
        <v>1</v>
      </c>
      <c r="G201" s="287">
        <v>8</v>
      </c>
      <c r="H201" s="287">
        <v>10</v>
      </c>
      <c r="I201" s="287">
        <v>25</v>
      </c>
    </row>
    <row r="202" spans="1:9" ht="17.25" customHeight="1">
      <c r="A202" s="907"/>
      <c r="B202" s="288" t="s">
        <v>300</v>
      </c>
      <c r="C202" s="103">
        <v>1</v>
      </c>
      <c r="D202" s="103">
        <v>0</v>
      </c>
      <c r="E202" s="103">
        <v>0</v>
      </c>
      <c r="F202" s="103">
        <v>1</v>
      </c>
      <c r="G202" s="103">
        <v>7</v>
      </c>
      <c r="H202" s="103">
        <v>10</v>
      </c>
      <c r="I202" s="103">
        <v>25</v>
      </c>
    </row>
    <row r="203" spans="1:9" ht="17.25" customHeight="1">
      <c r="A203" s="907"/>
      <c r="B203" s="288" t="s">
        <v>299</v>
      </c>
      <c r="C203" s="287">
        <v>1</v>
      </c>
      <c r="D203" s="287"/>
      <c r="E203" s="287"/>
      <c r="F203" s="287">
        <v>1</v>
      </c>
      <c r="G203" s="287">
        <v>6</v>
      </c>
      <c r="H203" s="287">
        <v>9</v>
      </c>
      <c r="I203" s="287">
        <v>25</v>
      </c>
    </row>
    <row r="204" spans="1:9" ht="17.25" customHeight="1">
      <c r="A204" s="907"/>
      <c r="B204" s="288" t="s">
        <v>298</v>
      </c>
      <c r="C204" s="287">
        <v>1</v>
      </c>
      <c r="D204" s="287"/>
      <c r="E204" s="287"/>
      <c r="F204" s="287">
        <v>1</v>
      </c>
      <c r="G204" s="287">
        <v>6</v>
      </c>
      <c r="H204" s="287">
        <v>8</v>
      </c>
      <c r="I204" s="287">
        <v>24</v>
      </c>
    </row>
  </sheetData>
  <mergeCells count="35">
    <mergeCell ref="A52:A57"/>
    <mergeCell ref="A58:A63"/>
    <mergeCell ref="A64:A69"/>
    <mergeCell ref="A100:A102"/>
    <mergeCell ref="A103:A108"/>
    <mergeCell ref="A22:A27"/>
    <mergeCell ref="A28:A33"/>
    <mergeCell ref="A34:A39"/>
    <mergeCell ref="A40:A45"/>
    <mergeCell ref="A46:A51"/>
    <mergeCell ref="A109:A114"/>
    <mergeCell ref="A115:A120"/>
    <mergeCell ref="A121:A126"/>
    <mergeCell ref="B1:I1"/>
    <mergeCell ref="A181:A186"/>
    <mergeCell ref="A139:A144"/>
    <mergeCell ref="A76:A81"/>
    <mergeCell ref="A82:A87"/>
    <mergeCell ref="A88:A93"/>
    <mergeCell ref="A94:A99"/>
    <mergeCell ref="A127:A132"/>
    <mergeCell ref="A133:A138"/>
    <mergeCell ref="A70:A75"/>
    <mergeCell ref="A4:A9"/>
    <mergeCell ref="A10:A15"/>
    <mergeCell ref="A16:A21"/>
    <mergeCell ref="A187:A192"/>
    <mergeCell ref="A193:A198"/>
    <mergeCell ref="A199:A204"/>
    <mergeCell ref="A145:A150"/>
    <mergeCell ref="A151:A156"/>
    <mergeCell ref="A157:A162"/>
    <mergeCell ref="A163:A168"/>
    <mergeCell ref="A169:A174"/>
    <mergeCell ref="A175:A180"/>
  </mergeCells>
  <printOptions horizontalCentered="1"/>
  <pageMargins left="0.51181102362204722" right="0.39370078740157483" top="0.51181102362204722" bottom="0.51181102362204722" header="0.27559055118110237" footer="0.23622047244094491"/>
  <pageSetup paperSize="9" scale="65" firstPageNumber="2" pageOrder="overThenDown" orientation="portrait" useFirstPageNumber="1" r:id="rId1"/>
  <headerFooter alignWithMargins="0">
    <oddFooter>&amp;L     AISHE 2020-21&amp;CT-41</oddFooter>
  </headerFooter>
  <rowBreaks count="3" manualBreakCount="3">
    <brk id="63" max="16383" man="1"/>
    <brk id="126" max="16383" man="1"/>
    <brk id="186" max="16383" man="1"/>
  </rowBreaks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00B050"/>
  </sheetPr>
  <dimension ref="A1:R42"/>
  <sheetViews>
    <sheetView view="pageBreakPreview" zoomScaleSheetLayoutView="100" workbookViewId="0">
      <pane xSplit="2" ySplit="4" topLeftCell="M41" activePane="bottomRight" state="frozen"/>
      <selection activeCell="H31" sqref="H31"/>
      <selection pane="topRight" activeCell="H31" sqref="H31"/>
      <selection pane="bottomLeft" activeCell="H31" sqref="H31"/>
      <selection pane="bottomRight" activeCell="Q41" sqref="Q41"/>
    </sheetView>
  </sheetViews>
  <sheetFormatPr defaultColWidth="9.1796875" defaultRowHeight="14"/>
  <cols>
    <col min="1" max="1" width="8.26953125" style="275" bestFit="1" customWidth="1"/>
    <col min="2" max="2" width="35.54296875" style="276" customWidth="1"/>
    <col min="3" max="17" width="15" style="275" customWidth="1"/>
    <col min="18" max="16384" width="9.1796875" style="275"/>
  </cols>
  <sheetData>
    <row r="1" spans="1:18" s="290" customFormat="1" ht="27.75" customHeight="1">
      <c r="A1" s="275"/>
      <c r="B1" s="289" t="s">
        <v>304</v>
      </c>
      <c r="C1" s="1149" t="s">
        <v>305</v>
      </c>
      <c r="D1" s="1149"/>
      <c r="E1" s="1149"/>
      <c r="F1" s="1149"/>
      <c r="G1" s="1149"/>
      <c r="H1" s="1149" t="str">
        <f>C1</f>
        <v>Various College Indicators during last 5 years</v>
      </c>
      <c r="I1" s="1149"/>
      <c r="J1" s="1149"/>
      <c r="K1" s="1149"/>
      <c r="L1" s="1149"/>
      <c r="M1" s="1149" t="str">
        <f>C1</f>
        <v>Various College Indicators during last 5 years</v>
      </c>
      <c r="N1" s="1149"/>
      <c r="O1" s="1149"/>
      <c r="P1" s="1149"/>
      <c r="Q1" s="1149"/>
    </row>
    <row r="2" spans="1:18" s="291" customFormat="1" ht="18" customHeight="1">
      <c r="A2" s="1150" t="s">
        <v>235</v>
      </c>
      <c r="B2" s="1152" t="s">
        <v>236</v>
      </c>
      <c r="C2" s="1153" t="s">
        <v>146</v>
      </c>
      <c r="D2" s="1154"/>
      <c r="E2" s="1154"/>
      <c r="F2" s="1154"/>
      <c r="G2" s="1154"/>
      <c r="H2" s="1155" t="s">
        <v>306</v>
      </c>
      <c r="I2" s="1155"/>
      <c r="J2" s="1155"/>
      <c r="K2" s="1155"/>
      <c r="L2" s="1155"/>
      <c r="M2" s="1154" t="s">
        <v>157</v>
      </c>
      <c r="N2" s="1154"/>
      <c r="O2" s="1154"/>
      <c r="P2" s="1154"/>
      <c r="Q2" s="1154"/>
    </row>
    <row r="3" spans="1:18" s="291" customFormat="1" ht="24" customHeight="1">
      <c r="A3" s="1151"/>
      <c r="B3" s="1152"/>
      <c r="C3" s="590" t="s">
        <v>298</v>
      </c>
      <c r="D3" s="590" t="s">
        <v>299</v>
      </c>
      <c r="E3" s="590" t="s">
        <v>300</v>
      </c>
      <c r="F3" s="590" t="s">
        <v>301</v>
      </c>
      <c r="G3" s="590" t="s">
        <v>997</v>
      </c>
      <c r="H3" s="590" t="s">
        <v>298</v>
      </c>
      <c r="I3" s="590" t="s">
        <v>299</v>
      </c>
      <c r="J3" s="590" t="s">
        <v>300</v>
      </c>
      <c r="K3" s="590" t="s">
        <v>301</v>
      </c>
      <c r="L3" s="590" t="s">
        <v>997</v>
      </c>
      <c r="M3" s="590" t="s">
        <v>298</v>
      </c>
      <c r="N3" s="590" t="s">
        <v>299</v>
      </c>
      <c r="O3" s="590" t="s">
        <v>300</v>
      </c>
      <c r="P3" s="292" t="s">
        <v>301</v>
      </c>
      <c r="Q3" s="590" t="s">
        <v>997</v>
      </c>
    </row>
    <row r="4" spans="1:18" s="294" customFormat="1" ht="15.75" customHeight="1">
      <c r="A4" s="293">
        <v>1</v>
      </c>
      <c r="B4" s="293">
        <v>2</v>
      </c>
      <c r="C4" s="293">
        <v>3</v>
      </c>
      <c r="D4" s="293">
        <v>4</v>
      </c>
      <c r="E4" s="293">
        <v>5</v>
      </c>
      <c r="F4" s="293">
        <v>6</v>
      </c>
      <c r="G4" s="293">
        <v>7</v>
      </c>
      <c r="H4" s="293">
        <v>3</v>
      </c>
      <c r="I4" s="293">
        <v>4</v>
      </c>
      <c r="J4" s="293">
        <v>5</v>
      </c>
      <c r="K4" s="293">
        <v>6</v>
      </c>
      <c r="L4" s="293">
        <v>7</v>
      </c>
      <c r="M4" s="293">
        <v>3</v>
      </c>
      <c r="N4" s="293">
        <v>4</v>
      </c>
      <c r="O4" s="293">
        <v>5</v>
      </c>
      <c r="P4" s="293">
        <v>6</v>
      </c>
      <c r="Q4" s="428">
        <v>7</v>
      </c>
    </row>
    <row r="5" spans="1:18" s="298" customFormat="1" ht="26.25" customHeight="1">
      <c r="A5" s="300"/>
      <c r="B5" s="295" t="s">
        <v>302</v>
      </c>
      <c r="C5" s="296">
        <v>659</v>
      </c>
      <c r="D5" s="296">
        <v>698</v>
      </c>
      <c r="E5" s="296">
        <v>693</v>
      </c>
      <c r="F5" s="296">
        <v>679.60803403829311</v>
      </c>
      <c r="G5" s="296">
        <v>646</v>
      </c>
      <c r="H5" s="296">
        <v>28</v>
      </c>
      <c r="I5" s="296">
        <v>28</v>
      </c>
      <c r="J5" s="296">
        <v>28</v>
      </c>
      <c r="K5" s="296">
        <v>30</v>
      </c>
      <c r="L5" s="296">
        <v>31</v>
      </c>
      <c r="M5" s="297">
        <f>SUM(M6:M41)</f>
        <v>40026</v>
      </c>
      <c r="N5" s="297">
        <v>39050</v>
      </c>
      <c r="O5" s="297">
        <v>39931</v>
      </c>
      <c r="P5" s="297">
        <v>42343</v>
      </c>
      <c r="Q5" s="297">
        <v>43796</v>
      </c>
      <c r="R5" s="294"/>
    </row>
    <row r="6" spans="1:18" s="281" customFormat="1" ht="28.15" customHeight="1">
      <c r="A6" s="282">
        <v>1</v>
      </c>
      <c r="B6" s="295" t="s">
        <v>171</v>
      </c>
      <c r="C6" s="299">
        <v>903.71428571428567</v>
      </c>
      <c r="D6" s="299">
        <v>927.57142857142856</v>
      </c>
      <c r="E6" s="299">
        <v>913.5</v>
      </c>
      <c r="F6" s="299">
        <v>738.5</v>
      </c>
      <c r="G6" s="299">
        <v>845.33333333333337</v>
      </c>
      <c r="H6" s="299">
        <v>14.704955570027099</v>
      </c>
      <c r="I6" s="94">
        <v>14</v>
      </c>
      <c r="J6" s="94">
        <v>16.107274447822498</v>
      </c>
      <c r="K6" s="94">
        <v>15.781894221853978</v>
      </c>
      <c r="L6" s="299">
        <v>17.319016279875303</v>
      </c>
      <c r="M6" s="300">
        <v>7</v>
      </c>
      <c r="N6" s="95">
        <v>7</v>
      </c>
      <c r="O6" s="300">
        <v>8</v>
      </c>
      <c r="P6" s="300">
        <v>8</v>
      </c>
      <c r="Q6" s="300">
        <v>9</v>
      </c>
      <c r="R6" s="298"/>
    </row>
    <row r="7" spans="1:18" s="281" customFormat="1" ht="26.25" customHeight="1">
      <c r="A7" s="282">
        <v>2</v>
      </c>
      <c r="B7" s="295" t="s">
        <v>15</v>
      </c>
      <c r="C7" s="299">
        <v>468.62598573037928</v>
      </c>
      <c r="D7" s="299">
        <v>493</v>
      </c>
      <c r="E7" s="299">
        <v>524.3216977389925</v>
      </c>
      <c r="F7" s="299">
        <v>546.52738904438229</v>
      </c>
      <c r="G7" s="299">
        <v>540.55478662053054</v>
      </c>
      <c r="H7" s="299">
        <v>47.993656114550383</v>
      </c>
      <c r="I7" s="94">
        <v>48</v>
      </c>
      <c r="J7" s="94">
        <v>49.212842603987859</v>
      </c>
      <c r="K7" s="94">
        <v>51.03848468780501</v>
      </c>
      <c r="L7" s="299">
        <v>48.758394935875494</v>
      </c>
      <c r="M7" s="300">
        <v>2663</v>
      </c>
      <c r="N7" s="95">
        <v>2624</v>
      </c>
      <c r="O7" s="300">
        <v>2678</v>
      </c>
      <c r="P7" s="300">
        <v>2750</v>
      </c>
      <c r="Q7" s="300">
        <v>2601</v>
      </c>
    </row>
    <row r="8" spans="1:18" s="281" customFormat="1" ht="26.25" customHeight="1">
      <c r="A8" s="282">
        <v>3</v>
      </c>
      <c r="B8" s="295" t="s">
        <v>16</v>
      </c>
      <c r="C8" s="299">
        <v>695.41935483870964</v>
      </c>
      <c r="D8" s="299">
        <v>810</v>
      </c>
      <c r="E8" s="299">
        <v>551.36111111111109</v>
      </c>
      <c r="F8" s="299">
        <v>552.97368421052636</v>
      </c>
      <c r="G8" s="299">
        <v>547.11904761904759</v>
      </c>
      <c r="H8" s="299">
        <v>19.256093621884862</v>
      </c>
      <c r="I8" s="94">
        <v>19</v>
      </c>
      <c r="J8" s="94">
        <v>23.293147407850419</v>
      </c>
      <c r="K8" s="94">
        <v>24.721252036333901</v>
      </c>
      <c r="L8" s="299">
        <v>26.809138086210528</v>
      </c>
      <c r="M8" s="300">
        <v>31</v>
      </c>
      <c r="N8" s="95">
        <v>30</v>
      </c>
      <c r="O8" s="300">
        <v>37</v>
      </c>
      <c r="P8" s="300">
        <v>39</v>
      </c>
      <c r="Q8" s="300">
        <v>42</v>
      </c>
    </row>
    <row r="9" spans="1:18" s="281" customFormat="1" ht="26.25" customHeight="1">
      <c r="A9" s="282">
        <v>4</v>
      </c>
      <c r="B9" s="295" t="s">
        <v>17</v>
      </c>
      <c r="C9" s="299">
        <v>916.94824399260631</v>
      </c>
      <c r="D9" s="299">
        <v>983</v>
      </c>
      <c r="E9" s="299">
        <v>970.819391634981</v>
      </c>
      <c r="F9" s="299">
        <v>870.01688555347096</v>
      </c>
      <c r="G9" s="299">
        <v>795.42857142857144</v>
      </c>
      <c r="H9" s="299">
        <v>14.569470791577391</v>
      </c>
      <c r="I9" s="94">
        <v>13.729714480933662</v>
      </c>
      <c r="J9" s="94">
        <v>14.527225596330595</v>
      </c>
      <c r="K9" s="94">
        <v>14.84070971571796</v>
      </c>
      <c r="L9" s="299">
        <v>15.762361864091353</v>
      </c>
      <c r="M9" s="300">
        <v>541</v>
      </c>
      <c r="N9" s="95">
        <v>512</v>
      </c>
      <c r="O9" s="300">
        <v>544</v>
      </c>
      <c r="P9" s="300">
        <v>558</v>
      </c>
      <c r="Q9" s="300">
        <v>595</v>
      </c>
    </row>
    <row r="10" spans="1:18" s="281" customFormat="1" ht="26.25" customHeight="1">
      <c r="A10" s="282">
        <v>5</v>
      </c>
      <c r="B10" s="295" t="s">
        <v>18</v>
      </c>
      <c r="C10" s="299">
        <v>1801.4563492063492</v>
      </c>
      <c r="D10" s="299">
        <v>1686</v>
      </c>
      <c r="E10" s="299">
        <v>1616.0833333333333</v>
      </c>
      <c r="F10" s="299">
        <v>1703.0509849362688</v>
      </c>
      <c r="G10" s="299">
        <v>1880.6299516908211</v>
      </c>
      <c r="H10" s="299">
        <v>6.6294383366213063</v>
      </c>
      <c r="I10" s="94">
        <v>6.6336683307123163</v>
      </c>
      <c r="J10" s="94">
        <v>7.1101979961599842</v>
      </c>
      <c r="K10" s="94">
        <v>7.269127036062522</v>
      </c>
      <c r="L10" s="299">
        <v>8.4588457132694845</v>
      </c>
      <c r="M10" s="300">
        <v>756</v>
      </c>
      <c r="N10" s="95">
        <v>770</v>
      </c>
      <c r="O10" s="300">
        <v>840</v>
      </c>
      <c r="P10" s="300">
        <v>874</v>
      </c>
      <c r="Q10" s="300">
        <v>1035</v>
      </c>
    </row>
    <row r="11" spans="1:18" s="281" customFormat="1" ht="26.25" customHeight="1">
      <c r="A11" s="282">
        <v>6</v>
      </c>
      <c r="B11" s="295" t="s">
        <v>19</v>
      </c>
      <c r="C11" s="299">
        <v>1963.6</v>
      </c>
      <c r="D11" s="299">
        <v>2052</v>
      </c>
      <c r="E11" s="299">
        <v>2034</v>
      </c>
      <c r="F11" s="299">
        <v>2022.24</v>
      </c>
      <c r="G11" s="299">
        <v>1890.2307692307693</v>
      </c>
      <c r="H11" s="299">
        <v>13.913237053732921</v>
      </c>
      <c r="I11" s="94">
        <v>13.31692687941789</v>
      </c>
      <c r="J11" s="94">
        <v>12.764740722586444</v>
      </c>
      <c r="K11" s="94">
        <v>12.22189087318077</v>
      </c>
      <c r="L11" s="299">
        <v>12.153678591295161</v>
      </c>
      <c r="M11" s="300">
        <v>25</v>
      </c>
      <c r="N11" s="95">
        <v>25</v>
      </c>
      <c r="O11" s="300">
        <v>25</v>
      </c>
      <c r="P11" s="300">
        <v>25</v>
      </c>
      <c r="Q11" s="300">
        <v>26</v>
      </c>
    </row>
    <row r="12" spans="1:18" s="281" customFormat="1" ht="26.25" customHeight="1">
      <c r="A12" s="282">
        <v>7</v>
      </c>
      <c r="B12" s="295" t="s">
        <v>20</v>
      </c>
      <c r="C12" s="299">
        <v>531.41655172413789</v>
      </c>
      <c r="D12" s="299">
        <v>550</v>
      </c>
      <c r="E12" s="299">
        <v>565.32232496697486</v>
      </c>
      <c r="F12" s="299">
        <v>557.02106567534076</v>
      </c>
      <c r="G12" s="299">
        <v>545.62643678160919</v>
      </c>
      <c r="H12" s="299">
        <v>23.339491739912429</v>
      </c>
      <c r="I12" s="94">
        <v>23.691000297336441</v>
      </c>
      <c r="J12" s="94">
        <v>24.134469643441793</v>
      </c>
      <c r="K12" s="94">
        <v>25.551308921002924</v>
      </c>
      <c r="L12" s="299">
        <v>27.264547908354768</v>
      </c>
      <c r="M12" s="300">
        <v>725</v>
      </c>
      <c r="N12" s="95">
        <v>741</v>
      </c>
      <c r="O12" s="300">
        <v>760</v>
      </c>
      <c r="P12" s="300">
        <v>810</v>
      </c>
      <c r="Q12" s="300">
        <v>870</v>
      </c>
    </row>
    <row r="13" spans="1:18" s="281" customFormat="1" ht="26.25" customHeight="1">
      <c r="A13" s="282">
        <v>8</v>
      </c>
      <c r="B13" s="295" t="s">
        <v>23</v>
      </c>
      <c r="C13" s="299">
        <v>1501.1404494382023</v>
      </c>
      <c r="D13" s="299">
        <v>1531</v>
      </c>
      <c r="E13" s="299">
        <v>1562.4269662921349</v>
      </c>
      <c r="F13" s="299">
        <v>1620.0977011494253</v>
      </c>
      <c r="G13" s="299">
        <v>1566.5722222222223</v>
      </c>
      <c r="H13" s="299">
        <v>7.8493904815997944</v>
      </c>
      <c r="I13" s="94">
        <v>7.7458086689524048</v>
      </c>
      <c r="J13" s="94">
        <v>7.7303217145166423</v>
      </c>
      <c r="K13" s="94">
        <v>7.5875396491335154</v>
      </c>
      <c r="L13" s="299">
        <v>7.5316580694184552</v>
      </c>
      <c r="M13" s="300">
        <v>178</v>
      </c>
      <c r="N13" s="95">
        <v>178</v>
      </c>
      <c r="O13" s="300">
        <v>180</v>
      </c>
      <c r="P13" s="300">
        <v>179</v>
      </c>
      <c r="Q13" s="300">
        <v>180</v>
      </c>
    </row>
    <row r="14" spans="1:18" s="281" customFormat="1" ht="26.25" customHeight="1">
      <c r="A14" s="282">
        <v>9</v>
      </c>
      <c r="B14" s="295" t="s">
        <v>24</v>
      </c>
      <c r="C14" s="299">
        <v>594.38181818181818</v>
      </c>
      <c r="D14" s="299">
        <v>640.48214285714289</v>
      </c>
      <c r="E14" s="299">
        <v>699.56140350877195</v>
      </c>
      <c r="F14" s="299">
        <v>670.32758620689651</v>
      </c>
      <c r="G14" s="299">
        <v>684.01639344262298</v>
      </c>
      <c r="H14" s="299">
        <v>31.734125724836282</v>
      </c>
      <c r="I14" s="94">
        <v>31.585240668253448</v>
      </c>
      <c r="J14" s="94">
        <v>31.415517060830364</v>
      </c>
      <c r="K14" s="94">
        <v>31.255388860148301</v>
      </c>
      <c r="L14" s="299">
        <v>32.055829694208406</v>
      </c>
      <c r="M14" s="300">
        <v>55</v>
      </c>
      <c r="N14" s="95">
        <v>56</v>
      </c>
      <c r="O14" s="300">
        <v>57</v>
      </c>
      <c r="P14" s="300">
        <v>58</v>
      </c>
      <c r="Q14" s="300">
        <v>61</v>
      </c>
    </row>
    <row r="15" spans="1:18" s="281" customFormat="1" ht="26.25" customHeight="1">
      <c r="A15" s="282">
        <v>10</v>
      </c>
      <c r="B15" s="295" t="s">
        <v>25</v>
      </c>
      <c r="C15" s="299">
        <v>535.95888468809073</v>
      </c>
      <c r="D15" s="299">
        <v>519</v>
      </c>
      <c r="E15" s="299">
        <v>512.93631436314365</v>
      </c>
      <c r="F15" s="299">
        <v>527.68777679362267</v>
      </c>
      <c r="G15" s="299">
        <v>526.00485222761358</v>
      </c>
      <c r="H15" s="299">
        <v>29.382383955552061</v>
      </c>
      <c r="I15" s="94">
        <v>30.427801588564023</v>
      </c>
      <c r="J15" s="94">
        <v>30.863450663764688</v>
      </c>
      <c r="K15" s="94">
        <v>31.396927268983479</v>
      </c>
      <c r="L15" s="299">
        <v>31.228992406960469</v>
      </c>
      <c r="M15" s="300">
        <v>2116</v>
      </c>
      <c r="N15" s="95">
        <v>2196</v>
      </c>
      <c r="O15" s="300">
        <v>2232</v>
      </c>
      <c r="P15" s="300">
        <v>2275</v>
      </c>
      <c r="Q15" s="300">
        <v>2267</v>
      </c>
    </row>
    <row r="16" spans="1:18" s="281" customFormat="1" ht="26.25" customHeight="1">
      <c r="A16" s="282">
        <v>11</v>
      </c>
      <c r="B16" s="295" t="s">
        <v>26</v>
      </c>
      <c r="C16" s="299">
        <v>514.10476190476186</v>
      </c>
      <c r="D16" s="299">
        <v>611</v>
      </c>
      <c r="E16" s="299">
        <v>610.14040404040406</v>
      </c>
      <c r="F16" s="299">
        <v>590.30270793036755</v>
      </c>
      <c r="G16" s="299">
        <v>584.2853185595568</v>
      </c>
      <c r="H16" s="299">
        <v>36.261311252968014</v>
      </c>
      <c r="I16" s="94">
        <v>30.271124393282197</v>
      </c>
      <c r="J16" s="94">
        <v>32.605151613955002</v>
      </c>
      <c r="K16" s="94">
        <v>34.158640014757033</v>
      </c>
      <c r="L16" s="299">
        <v>34.050928618815107</v>
      </c>
      <c r="M16" s="300">
        <v>1155</v>
      </c>
      <c r="N16" s="95">
        <v>964</v>
      </c>
      <c r="O16" s="300">
        <v>1038</v>
      </c>
      <c r="P16" s="300">
        <v>1087</v>
      </c>
      <c r="Q16" s="300">
        <v>1083</v>
      </c>
    </row>
    <row r="17" spans="1:17" s="281" customFormat="1" ht="26.25" customHeight="1">
      <c r="A17" s="282">
        <v>12</v>
      </c>
      <c r="B17" s="295" t="s">
        <v>27</v>
      </c>
      <c r="C17" s="299">
        <v>471.19518716577539</v>
      </c>
      <c r="D17" s="299">
        <v>553.49541284403665</v>
      </c>
      <c r="E17" s="299">
        <v>558.21492537313429</v>
      </c>
      <c r="F17" s="299">
        <v>540.58139534883719</v>
      </c>
      <c r="G17" s="299">
        <v>510.20689655172413</v>
      </c>
      <c r="H17" s="299">
        <v>50.841743518357404</v>
      </c>
      <c r="I17" s="94">
        <v>45.003261704288654</v>
      </c>
      <c r="J17" s="94">
        <v>46.819610728379374</v>
      </c>
      <c r="K17" s="94">
        <v>48.537935783182171</v>
      </c>
      <c r="L17" s="299">
        <v>49.725722630490729</v>
      </c>
      <c r="M17" s="300">
        <v>374</v>
      </c>
      <c r="N17" s="95">
        <v>327</v>
      </c>
      <c r="O17" s="300">
        <v>336</v>
      </c>
      <c r="P17" s="300">
        <v>344</v>
      </c>
      <c r="Q17" s="300">
        <v>348</v>
      </c>
    </row>
    <row r="18" spans="1:17" s="281" customFormat="1" ht="26.25" customHeight="1">
      <c r="A18" s="282">
        <v>13</v>
      </c>
      <c r="B18" s="295" t="s">
        <v>57</v>
      </c>
      <c r="C18" s="299">
        <v>645.60759493670889</v>
      </c>
      <c r="D18" s="299">
        <v>720.24829931972783</v>
      </c>
      <c r="E18" s="299">
        <v>798.91003460207617</v>
      </c>
      <c r="F18" s="299">
        <v>721.31309904153352</v>
      </c>
      <c r="G18" s="299">
        <v>593.72413793103453</v>
      </c>
      <c r="H18" s="299">
        <v>23.949917387943188</v>
      </c>
      <c r="I18" s="94">
        <v>22.878606269200311</v>
      </c>
      <c r="J18" s="94">
        <v>22.94271212612384</v>
      </c>
      <c r="K18" s="94">
        <v>25.909014252271419</v>
      </c>
      <c r="L18" s="299">
        <v>29.00954897653811</v>
      </c>
      <c r="M18" s="300">
        <v>316</v>
      </c>
      <c r="N18" s="95">
        <v>297</v>
      </c>
      <c r="O18" s="300">
        <v>293</v>
      </c>
      <c r="P18" s="300">
        <v>316</v>
      </c>
      <c r="Q18" s="300">
        <v>348</v>
      </c>
    </row>
    <row r="19" spans="1:17" s="281" customFormat="1" ht="26.25" customHeight="1">
      <c r="A19" s="282">
        <v>14</v>
      </c>
      <c r="B19" s="295" t="s">
        <v>29</v>
      </c>
      <c r="C19" s="299">
        <v>1786.4299674267102</v>
      </c>
      <c r="D19" s="299">
        <v>1786.4032786885246</v>
      </c>
      <c r="E19" s="299">
        <v>1875.2597402597403</v>
      </c>
      <c r="F19" s="299">
        <v>1938.1104100946372</v>
      </c>
      <c r="G19" s="299">
        <v>1761.0863095238096</v>
      </c>
      <c r="H19" s="299">
        <v>8.0984454414061648</v>
      </c>
      <c r="I19" s="94">
        <v>8.0672468992661948</v>
      </c>
      <c r="J19" s="94">
        <v>8.0882921067313465</v>
      </c>
      <c r="K19" s="94">
        <v>8.2622811262896061</v>
      </c>
      <c r="L19" s="299">
        <v>8.5087093984519715</v>
      </c>
      <c r="M19" s="300">
        <v>307</v>
      </c>
      <c r="N19" s="95">
        <v>309</v>
      </c>
      <c r="O19" s="300">
        <v>313</v>
      </c>
      <c r="P19" s="300">
        <v>323</v>
      </c>
      <c r="Q19" s="300">
        <v>336</v>
      </c>
    </row>
    <row r="20" spans="1:17" s="281" customFormat="1" ht="26.25" customHeight="1">
      <c r="A20" s="282">
        <v>15</v>
      </c>
      <c r="B20" s="295" t="s">
        <v>30</v>
      </c>
      <c r="C20" s="299">
        <v>381.02904343192114</v>
      </c>
      <c r="D20" s="299">
        <v>416</v>
      </c>
      <c r="E20" s="299">
        <v>426.389816360601</v>
      </c>
      <c r="F20" s="299">
        <v>414.57794006547471</v>
      </c>
      <c r="G20" s="299">
        <v>392.45239782660053</v>
      </c>
      <c r="H20" s="299">
        <v>53.215571843361602</v>
      </c>
      <c r="I20" s="94">
        <v>51.441913100688524</v>
      </c>
      <c r="J20" s="94">
        <v>53.090235027721931</v>
      </c>
      <c r="K20" s="94">
        <v>59.141764870931532</v>
      </c>
      <c r="L20" s="299">
        <v>62.498440491902443</v>
      </c>
      <c r="M20" s="300">
        <v>3753</v>
      </c>
      <c r="N20" s="95">
        <v>3593</v>
      </c>
      <c r="O20" s="300">
        <v>3670</v>
      </c>
      <c r="P20" s="300">
        <v>4047</v>
      </c>
      <c r="Q20" s="300">
        <v>4233</v>
      </c>
    </row>
    <row r="21" spans="1:17" s="281" customFormat="1" ht="26.25" customHeight="1">
      <c r="A21" s="282">
        <v>16</v>
      </c>
      <c r="B21" s="295" t="s">
        <v>31</v>
      </c>
      <c r="C21" s="299">
        <v>509.7991004497751</v>
      </c>
      <c r="D21" s="299">
        <v>554</v>
      </c>
      <c r="E21" s="299">
        <v>568.00937499999998</v>
      </c>
      <c r="F21" s="299">
        <v>574.73267326732673</v>
      </c>
      <c r="G21" s="299">
        <v>530.83149171270713</v>
      </c>
      <c r="H21" s="299">
        <v>44.143083152795626</v>
      </c>
      <c r="I21" s="94">
        <v>43.741725328697846</v>
      </c>
      <c r="J21" s="94">
        <v>45.492834541075844</v>
      </c>
      <c r="K21" s="94">
        <v>48.301966029776096</v>
      </c>
      <c r="L21" s="299">
        <v>49.860044095837338</v>
      </c>
      <c r="M21" s="300">
        <v>1334</v>
      </c>
      <c r="N21" s="95">
        <v>1306</v>
      </c>
      <c r="O21" s="300">
        <v>1348</v>
      </c>
      <c r="P21" s="300">
        <v>1417</v>
      </c>
      <c r="Q21" s="300">
        <v>1448</v>
      </c>
    </row>
    <row r="22" spans="1:17" s="281" customFormat="1" ht="26.25" customHeight="1">
      <c r="A22" s="282">
        <v>17</v>
      </c>
      <c r="B22" s="295" t="s">
        <v>172</v>
      </c>
      <c r="C22" s="299"/>
      <c r="D22" s="299"/>
      <c r="E22" s="299"/>
      <c r="F22" s="299">
        <v>479.6</v>
      </c>
      <c r="G22" s="299">
        <v>777.33333333333337</v>
      </c>
      <c r="H22" s="299"/>
      <c r="I22" s="94"/>
      <c r="J22" s="94"/>
      <c r="K22" s="94">
        <v>13.665582406093526</v>
      </c>
      <c r="L22" s="299">
        <v>8.3363436796621002</v>
      </c>
      <c r="M22" s="300"/>
      <c r="N22" s="95"/>
      <c r="O22" s="300"/>
      <c r="P22" s="300">
        <v>5</v>
      </c>
      <c r="Q22" s="300">
        <v>3</v>
      </c>
    </row>
    <row r="23" spans="1:17" s="281" customFormat="1" ht="26.25" customHeight="1">
      <c r="A23" s="282">
        <v>18</v>
      </c>
      <c r="B23" s="295" t="s">
        <v>32</v>
      </c>
      <c r="C23" s="299">
        <v>0</v>
      </c>
      <c r="D23" s="299">
        <v>0</v>
      </c>
      <c r="E23" s="299">
        <v>0</v>
      </c>
      <c r="F23" s="299">
        <v>0</v>
      </c>
      <c r="G23" s="299"/>
      <c r="H23" s="299">
        <v>0</v>
      </c>
      <c r="I23" s="94">
        <v>0</v>
      </c>
      <c r="J23" s="94">
        <v>0</v>
      </c>
      <c r="K23" s="94">
        <v>0</v>
      </c>
      <c r="L23" s="299">
        <v>0</v>
      </c>
      <c r="M23" s="300">
        <v>0</v>
      </c>
      <c r="N23" s="95">
        <v>0</v>
      </c>
      <c r="O23" s="300">
        <v>0</v>
      </c>
      <c r="P23" s="300">
        <v>0</v>
      </c>
      <c r="Q23" s="300">
        <v>0</v>
      </c>
    </row>
    <row r="24" spans="1:17" s="281" customFormat="1" ht="26.25" customHeight="1">
      <c r="A24" s="282">
        <v>19</v>
      </c>
      <c r="B24" s="295" t="s">
        <v>33</v>
      </c>
      <c r="C24" s="299">
        <v>575.06488725264614</v>
      </c>
      <c r="D24" s="299">
        <v>646</v>
      </c>
      <c r="E24" s="299">
        <v>733.92137203166226</v>
      </c>
      <c r="F24" s="299">
        <v>771.44707091469684</v>
      </c>
      <c r="G24" s="299">
        <v>665.77969348659008</v>
      </c>
      <c r="H24" s="299">
        <v>24.562109470371745</v>
      </c>
      <c r="I24" s="94">
        <v>23.850327739885003</v>
      </c>
      <c r="J24" s="94">
        <v>24.443424016093616</v>
      </c>
      <c r="K24" s="94">
        <v>26.726399597031072</v>
      </c>
      <c r="L24" s="299">
        <v>28.751013032580847</v>
      </c>
      <c r="M24" s="300">
        <v>2173</v>
      </c>
      <c r="N24" s="95">
        <v>2124</v>
      </c>
      <c r="O24" s="300">
        <v>2191</v>
      </c>
      <c r="P24" s="300">
        <v>2411</v>
      </c>
      <c r="Q24" s="300">
        <v>2610</v>
      </c>
    </row>
    <row r="25" spans="1:17" s="281" customFormat="1" ht="26.25" customHeight="1">
      <c r="A25" s="282">
        <v>20</v>
      </c>
      <c r="B25" s="295" t="s">
        <v>34</v>
      </c>
      <c r="C25" s="299">
        <v>645.95053663089129</v>
      </c>
      <c r="D25" s="299">
        <v>678</v>
      </c>
      <c r="E25" s="299">
        <v>681.44953917050691</v>
      </c>
      <c r="F25" s="299">
        <v>669.65264797507791</v>
      </c>
      <c r="G25" s="299">
        <v>671.52140335392767</v>
      </c>
      <c r="H25" s="299">
        <v>32.210662240243295</v>
      </c>
      <c r="I25" s="94">
        <v>32.510076315030325</v>
      </c>
      <c r="J25" s="94">
        <v>32.799234825592713</v>
      </c>
      <c r="K25" s="94">
        <v>34.063299069171464</v>
      </c>
      <c r="L25" s="299">
        <v>34.456326757892299</v>
      </c>
      <c r="M25" s="300">
        <v>4286</v>
      </c>
      <c r="N25" s="95">
        <v>4314</v>
      </c>
      <c r="O25" s="300">
        <v>4340</v>
      </c>
      <c r="P25" s="300">
        <v>4494</v>
      </c>
      <c r="Q25" s="300">
        <v>4532</v>
      </c>
    </row>
    <row r="26" spans="1:17" s="281" customFormat="1" ht="26.25" customHeight="1">
      <c r="A26" s="282">
        <v>21</v>
      </c>
      <c r="B26" s="295" t="s">
        <v>35</v>
      </c>
      <c r="C26" s="299">
        <v>1001.7586206896551</v>
      </c>
      <c r="D26" s="299">
        <v>1156</v>
      </c>
      <c r="E26" s="299">
        <v>1039.1208791208792</v>
      </c>
      <c r="F26" s="299">
        <v>1056.4158415841584</v>
      </c>
      <c r="G26" s="299">
        <v>1089.5904761904762</v>
      </c>
      <c r="H26" s="299">
        <v>30.119856255582558</v>
      </c>
      <c r="I26" s="94">
        <v>26.410214378084987</v>
      </c>
      <c r="J26" s="94">
        <v>28.117273480215527</v>
      </c>
      <c r="K26" s="94">
        <v>31.388188809187508</v>
      </c>
      <c r="L26" s="299">
        <v>32.537355983464828</v>
      </c>
      <c r="M26" s="300">
        <v>87</v>
      </c>
      <c r="N26" s="95">
        <v>87</v>
      </c>
      <c r="O26" s="300">
        <v>92</v>
      </c>
      <c r="P26" s="300">
        <v>102</v>
      </c>
      <c r="Q26" s="300">
        <v>105</v>
      </c>
    </row>
    <row r="27" spans="1:17" s="281" customFormat="1" ht="26.25" customHeight="1">
      <c r="A27" s="282">
        <v>22</v>
      </c>
      <c r="B27" s="295" t="s">
        <v>36</v>
      </c>
      <c r="C27" s="299">
        <v>937.98412698412699</v>
      </c>
      <c r="D27" s="299">
        <v>1087</v>
      </c>
      <c r="E27" s="299">
        <v>1038.8627450980391</v>
      </c>
      <c r="F27" s="299">
        <v>1105.3859649122808</v>
      </c>
      <c r="G27" s="299">
        <v>817.02666666666664</v>
      </c>
      <c r="H27" s="299">
        <v>18.415667933352822</v>
      </c>
      <c r="I27" s="94">
        <v>17.655575042079121</v>
      </c>
      <c r="J27" s="94">
        <v>18.663956936622533</v>
      </c>
      <c r="K27" s="94">
        <v>19.985622283670555</v>
      </c>
      <c r="L27" s="299">
        <v>22.528475993655981</v>
      </c>
      <c r="M27" s="300">
        <v>63</v>
      </c>
      <c r="N27" s="95">
        <v>60</v>
      </c>
      <c r="O27" s="300">
        <v>63</v>
      </c>
      <c r="P27" s="300">
        <v>67</v>
      </c>
      <c r="Q27" s="300">
        <v>75</v>
      </c>
    </row>
    <row r="28" spans="1:17" s="281" customFormat="1" ht="26.25" customHeight="1">
      <c r="A28" s="282">
        <v>23</v>
      </c>
      <c r="B28" s="295" t="s">
        <v>37</v>
      </c>
      <c r="C28" s="299">
        <v>657.86666666666667</v>
      </c>
      <c r="D28" s="299">
        <v>612</v>
      </c>
      <c r="E28" s="299">
        <v>603.34375</v>
      </c>
      <c r="F28" s="299">
        <v>559.42857142857144</v>
      </c>
      <c r="G28" s="299">
        <v>650.46153846153845</v>
      </c>
      <c r="H28" s="299">
        <v>23.129409043598937</v>
      </c>
      <c r="I28" s="94">
        <v>23.283248478827769</v>
      </c>
      <c r="J28" s="94">
        <v>25.004102235523014</v>
      </c>
      <c r="K28" s="94">
        <v>27.536722185943685</v>
      </c>
      <c r="L28" s="299">
        <v>30.897941721728383</v>
      </c>
      <c r="M28" s="300">
        <v>30</v>
      </c>
      <c r="N28" s="95">
        <v>30</v>
      </c>
      <c r="O28" s="300">
        <v>32</v>
      </c>
      <c r="P28" s="300">
        <v>35</v>
      </c>
      <c r="Q28" s="300">
        <v>39</v>
      </c>
    </row>
    <row r="29" spans="1:17" s="281" customFormat="1" ht="26.25" customHeight="1">
      <c r="A29" s="282">
        <v>24</v>
      </c>
      <c r="B29" s="295" t="s">
        <v>38</v>
      </c>
      <c r="C29" s="299">
        <v>463.33846153846156</v>
      </c>
      <c r="D29" s="299">
        <v>484</v>
      </c>
      <c r="E29" s="299">
        <v>496.969696969697</v>
      </c>
      <c r="F29" s="299">
        <v>507.030303030303</v>
      </c>
      <c r="G29" s="299">
        <v>489.64705882352939</v>
      </c>
      <c r="H29" s="299">
        <v>26.4273836483613</v>
      </c>
      <c r="I29" s="94">
        <v>27.01275738860307</v>
      </c>
      <c r="J29" s="94">
        <v>27.608259402260583</v>
      </c>
      <c r="K29" s="94">
        <v>27.798522944154012</v>
      </c>
      <c r="L29" s="299">
        <v>28.410515233049786</v>
      </c>
      <c r="M29" s="300">
        <v>65</v>
      </c>
      <c r="N29" s="95">
        <v>66</v>
      </c>
      <c r="O29" s="300">
        <v>67</v>
      </c>
      <c r="P29" s="300">
        <v>67</v>
      </c>
      <c r="Q29" s="300">
        <v>68</v>
      </c>
    </row>
    <row r="30" spans="1:17" s="281" customFormat="1" ht="26.25" customHeight="1">
      <c r="A30" s="282">
        <v>25</v>
      </c>
      <c r="B30" s="295" t="s">
        <v>39</v>
      </c>
      <c r="C30" s="299">
        <v>681.99062792877226</v>
      </c>
      <c r="D30" s="299">
        <v>685</v>
      </c>
      <c r="E30" s="299">
        <v>682.1530418250951</v>
      </c>
      <c r="F30" s="299">
        <v>658.6471680594243</v>
      </c>
      <c r="G30" s="299">
        <v>573.31343283582089</v>
      </c>
      <c r="H30" s="299">
        <v>22.995550888917048</v>
      </c>
      <c r="I30" s="94">
        <v>22.53494809284485</v>
      </c>
      <c r="J30" s="94">
        <v>23.049981345142218</v>
      </c>
      <c r="K30" s="94">
        <v>23.679838131859011</v>
      </c>
      <c r="L30" s="299">
        <v>26.372253764934438</v>
      </c>
      <c r="M30" s="300">
        <v>1067</v>
      </c>
      <c r="N30" s="95">
        <v>1042</v>
      </c>
      <c r="O30" s="300">
        <v>1062</v>
      </c>
      <c r="P30" s="300">
        <v>1087</v>
      </c>
      <c r="Q30" s="300">
        <v>1206</v>
      </c>
    </row>
    <row r="31" spans="1:17" s="281" customFormat="1" ht="26.25" customHeight="1">
      <c r="A31" s="282">
        <v>26</v>
      </c>
      <c r="B31" s="295" t="s">
        <v>40</v>
      </c>
      <c r="C31" s="299">
        <v>548.56578947368416</v>
      </c>
      <c r="D31" s="299">
        <v>569</v>
      </c>
      <c r="E31" s="299">
        <v>599.89189189189187</v>
      </c>
      <c r="F31" s="299">
        <v>667.68115942028987</v>
      </c>
      <c r="G31" s="299">
        <v>610.65432098765427</v>
      </c>
      <c r="H31" s="299">
        <v>48.950463419189873</v>
      </c>
      <c r="I31" s="94">
        <v>47.232545709917588</v>
      </c>
      <c r="J31" s="94">
        <v>45.565461380273753</v>
      </c>
      <c r="K31" s="94">
        <v>45.686658917284014</v>
      </c>
      <c r="L31" s="299">
        <v>45.066096942181865</v>
      </c>
      <c r="M31" s="300">
        <v>76</v>
      </c>
      <c r="N31" s="95">
        <v>76</v>
      </c>
      <c r="O31" s="300">
        <v>76</v>
      </c>
      <c r="P31" s="300">
        <v>79</v>
      </c>
      <c r="Q31" s="300">
        <v>81</v>
      </c>
    </row>
    <row r="32" spans="1:17" s="281" customFormat="1" ht="26.25" customHeight="1">
      <c r="A32" s="282">
        <v>27</v>
      </c>
      <c r="B32" s="295" t="s">
        <v>41</v>
      </c>
      <c r="C32" s="299">
        <v>579.95692883895128</v>
      </c>
      <c r="D32" s="620">
        <v>576</v>
      </c>
      <c r="E32" s="299">
        <v>545.60714285714289</v>
      </c>
      <c r="F32" s="299">
        <v>521.34890656063624</v>
      </c>
      <c r="G32" s="299">
        <v>484.42925890279116</v>
      </c>
      <c r="H32" s="299">
        <v>33.319512599174686</v>
      </c>
      <c r="I32" s="94">
        <v>33.292989691503934</v>
      </c>
      <c r="J32" s="94">
        <v>34.064267704766941</v>
      </c>
      <c r="K32" s="94">
        <v>35.0486035453985</v>
      </c>
      <c r="L32" s="299">
        <v>34.213093900947989</v>
      </c>
      <c r="M32" s="300">
        <v>1068</v>
      </c>
      <c r="N32" s="95">
        <v>1053</v>
      </c>
      <c r="O32" s="300">
        <v>1063</v>
      </c>
      <c r="P32" s="300">
        <v>1079</v>
      </c>
      <c r="Q32" s="300">
        <v>1039</v>
      </c>
    </row>
    <row r="33" spans="1:18" s="281" customFormat="1" ht="26.25" customHeight="1">
      <c r="A33" s="282">
        <v>28</v>
      </c>
      <c r="B33" s="295" t="s">
        <v>42</v>
      </c>
      <c r="C33" s="299">
        <v>443.16109896971591</v>
      </c>
      <c r="D33" s="299">
        <v>526</v>
      </c>
      <c r="E33" s="299">
        <v>520.6484700973574</v>
      </c>
      <c r="F33" s="299">
        <v>517.23024830699774</v>
      </c>
      <c r="G33" s="299">
        <v>466.7715213860314</v>
      </c>
      <c r="H33" s="299">
        <v>36.321357491175092</v>
      </c>
      <c r="I33" s="94">
        <v>33.11083271784733</v>
      </c>
      <c r="J33" s="94">
        <v>34.899143024782589</v>
      </c>
      <c r="K33" s="94">
        <v>36.914462092396903</v>
      </c>
      <c r="L33" s="299">
        <v>39.849620004638695</v>
      </c>
      <c r="M33" s="300">
        <v>3203</v>
      </c>
      <c r="N33" s="95">
        <v>2957</v>
      </c>
      <c r="O33" s="300">
        <v>3156</v>
      </c>
      <c r="P33" s="300">
        <v>3380</v>
      </c>
      <c r="Q33" s="300">
        <v>3694</v>
      </c>
    </row>
    <row r="34" spans="1:18" s="281" customFormat="1" ht="26.25" customHeight="1">
      <c r="A34" s="282">
        <v>29</v>
      </c>
      <c r="B34" s="295" t="s">
        <v>43</v>
      </c>
      <c r="C34" s="299">
        <v>586.29411764705878</v>
      </c>
      <c r="D34" s="299">
        <v>737</v>
      </c>
      <c r="E34" s="299">
        <v>751.0625</v>
      </c>
      <c r="F34" s="299">
        <v>633.89473684210532</v>
      </c>
      <c r="G34" s="299">
        <v>577.86956521739125</v>
      </c>
      <c r="H34" s="299">
        <v>21.756101306645849</v>
      </c>
      <c r="I34" s="94">
        <v>21.900725300490834</v>
      </c>
      <c r="J34" s="94">
        <v>24.64363999533068</v>
      </c>
      <c r="K34" s="94">
        <v>28.73150409423933</v>
      </c>
      <c r="L34" s="299">
        <v>30.247636081484501</v>
      </c>
      <c r="M34" s="300">
        <v>17</v>
      </c>
      <c r="N34" s="95">
        <v>17</v>
      </c>
      <c r="O34" s="300">
        <v>19</v>
      </c>
      <c r="P34" s="300">
        <v>22</v>
      </c>
      <c r="Q34" s="300">
        <v>23</v>
      </c>
    </row>
    <row r="35" spans="1:18" s="281" customFormat="1" ht="26.25" customHeight="1">
      <c r="A35" s="282">
        <v>30</v>
      </c>
      <c r="B35" s="295" t="s">
        <v>44</v>
      </c>
      <c r="C35" s="299">
        <v>922.28842905405406</v>
      </c>
      <c r="D35" s="299">
        <v>919</v>
      </c>
      <c r="E35" s="299">
        <v>923.89886271324121</v>
      </c>
      <c r="F35" s="299">
        <v>872.42714723926383</v>
      </c>
      <c r="G35" s="299">
        <v>838.15598050243716</v>
      </c>
      <c r="H35" s="299">
        <v>32.946678277773614</v>
      </c>
      <c r="I35" s="94">
        <v>34.940635549241485</v>
      </c>
      <c r="J35" s="94">
        <v>35.414075414747508</v>
      </c>
      <c r="K35" s="94">
        <v>38.086382542252899</v>
      </c>
      <c r="L35" s="299">
        <v>39.549993148820086</v>
      </c>
      <c r="M35" s="300">
        <v>2368</v>
      </c>
      <c r="N35" s="95">
        <v>2472</v>
      </c>
      <c r="O35" s="300">
        <v>2466</v>
      </c>
      <c r="P35" s="300">
        <v>2610</v>
      </c>
      <c r="Q35" s="300">
        <v>2667</v>
      </c>
    </row>
    <row r="36" spans="1:18" s="281" customFormat="1" ht="26.25" customHeight="1">
      <c r="A36" s="282">
        <v>31</v>
      </c>
      <c r="B36" s="295" t="s">
        <v>142</v>
      </c>
      <c r="C36" s="299">
        <v>483.32025316455696</v>
      </c>
      <c r="D36" s="299">
        <v>558</v>
      </c>
      <c r="E36" s="299">
        <v>554.43471659919032</v>
      </c>
      <c r="F36" s="299">
        <v>545.16013712047015</v>
      </c>
      <c r="G36" s="299">
        <v>555.6028128031038</v>
      </c>
      <c r="H36" s="299">
        <v>58.975028927624948</v>
      </c>
      <c r="I36" s="94">
        <v>51</v>
      </c>
      <c r="J36" s="94">
        <v>50.443204960282323</v>
      </c>
      <c r="K36" s="94">
        <v>53.071959272716839</v>
      </c>
      <c r="L36" s="299">
        <v>53.372690731658835</v>
      </c>
      <c r="M36" s="300">
        <v>2370</v>
      </c>
      <c r="N36" s="95">
        <v>2045</v>
      </c>
      <c r="O36" s="300">
        <v>1988</v>
      </c>
      <c r="P36" s="300">
        <v>2071</v>
      </c>
      <c r="Q36" s="300">
        <v>2062</v>
      </c>
    </row>
    <row r="37" spans="1:18" s="281" customFormat="1" ht="33" customHeight="1">
      <c r="A37" s="282">
        <v>32</v>
      </c>
      <c r="B37" s="295" t="s">
        <v>173</v>
      </c>
      <c r="C37" s="299">
        <v>1050.125</v>
      </c>
      <c r="D37" s="299">
        <v>1026</v>
      </c>
      <c r="E37" s="299">
        <v>1068.925</v>
      </c>
      <c r="F37" s="299">
        <v>1154.2</v>
      </c>
      <c r="G37" s="300">
        <v>589</v>
      </c>
      <c r="H37" s="299">
        <v>27.209011994974063</v>
      </c>
      <c r="I37" s="299">
        <v>27.853863280063592</v>
      </c>
      <c r="J37" s="299">
        <v>28.442427571796443</v>
      </c>
      <c r="K37" s="299">
        <v>27.272037757119307</v>
      </c>
      <c r="L37" s="299">
        <v>13.798111837327523</v>
      </c>
      <c r="M37" s="299">
        <v>16</v>
      </c>
      <c r="N37" s="299">
        <v>17</v>
      </c>
      <c r="O37" s="299">
        <v>18</v>
      </c>
      <c r="P37" s="299">
        <v>18</v>
      </c>
      <c r="Q37" s="300">
        <v>19</v>
      </c>
    </row>
    <row r="38" spans="1:18" s="281" customFormat="1" ht="26.25" customHeight="1">
      <c r="A38" s="282">
        <v>33</v>
      </c>
      <c r="B38" s="295" t="s">
        <v>45</v>
      </c>
      <c r="C38" s="299">
        <v>1206.75</v>
      </c>
      <c r="D38" s="299">
        <v>1156</v>
      </c>
      <c r="E38" s="299">
        <v>1152.5576923076924</v>
      </c>
      <c r="F38" s="299">
        <v>1174.6603773584907</v>
      </c>
      <c r="G38" s="299">
        <v>1197.5</v>
      </c>
      <c r="H38" s="299">
        <v>11.93489971241482</v>
      </c>
      <c r="I38" s="94">
        <v>12.014343277512845</v>
      </c>
      <c r="J38" s="94">
        <v>12.095836240986277</v>
      </c>
      <c r="K38" s="94">
        <v>12.413195460986262</v>
      </c>
      <c r="L38" s="299">
        <v>12.735849056603774</v>
      </c>
      <c r="M38" s="300">
        <v>52</v>
      </c>
      <c r="N38" s="95">
        <v>52</v>
      </c>
      <c r="O38" s="300">
        <v>52</v>
      </c>
      <c r="P38" s="300">
        <v>53</v>
      </c>
      <c r="Q38" s="300">
        <v>54</v>
      </c>
    </row>
    <row r="39" spans="1:18" s="281" customFormat="1" ht="26.25" customHeight="1">
      <c r="A39" s="282">
        <v>34</v>
      </c>
      <c r="B39" s="295" t="s">
        <v>47</v>
      </c>
      <c r="C39" s="299">
        <v>775.51222960554219</v>
      </c>
      <c r="D39" s="299">
        <v>816</v>
      </c>
      <c r="E39" s="299">
        <v>743.25252055219482</v>
      </c>
      <c r="F39" s="299">
        <v>691.991724738676</v>
      </c>
      <c r="G39" s="299">
        <v>613.866526990387</v>
      </c>
      <c r="H39" s="299">
        <v>28.632630957448381</v>
      </c>
      <c r="I39" s="94">
        <v>27.800530989338647</v>
      </c>
      <c r="J39" s="94">
        <v>28.20553426215271</v>
      </c>
      <c r="K39" s="94">
        <v>30.795564742732079</v>
      </c>
      <c r="L39" s="299">
        <v>31.840085388249697</v>
      </c>
      <c r="M39" s="300">
        <v>7073</v>
      </c>
      <c r="N39" s="95">
        <v>6922</v>
      </c>
      <c r="O39" s="300">
        <v>7078</v>
      </c>
      <c r="P39" s="300">
        <v>7788</v>
      </c>
      <c r="Q39" s="300">
        <v>8114</v>
      </c>
    </row>
    <row r="40" spans="1:18" s="281" customFormat="1" ht="26.25" customHeight="1">
      <c r="A40" s="282">
        <v>35</v>
      </c>
      <c r="B40" s="295" t="s">
        <v>46</v>
      </c>
      <c r="C40" s="299">
        <v>507.60897435897436</v>
      </c>
      <c r="D40" s="299">
        <v>621</v>
      </c>
      <c r="E40" s="299">
        <v>641.19746835443038</v>
      </c>
      <c r="F40" s="299">
        <v>633.90594059405942</v>
      </c>
      <c r="G40" s="299">
        <v>545.55136268343813</v>
      </c>
      <c r="H40" s="299">
        <v>38.630977586603969</v>
      </c>
      <c r="I40" s="94">
        <v>36.545214736359505</v>
      </c>
      <c r="J40" s="94">
        <v>36.609033905983324</v>
      </c>
      <c r="K40" s="94">
        <v>38.190188822724345</v>
      </c>
      <c r="L40" s="299">
        <v>40.387140802103858</v>
      </c>
      <c r="M40" s="300">
        <v>468</v>
      </c>
      <c r="N40" s="95">
        <v>440</v>
      </c>
      <c r="O40" s="300">
        <v>438</v>
      </c>
      <c r="P40" s="300">
        <v>454</v>
      </c>
      <c r="Q40" s="300">
        <v>477</v>
      </c>
    </row>
    <row r="41" spans="1:18" s="281" customFormat="1" ht="26.25" customHeight="1">
      <c r="A41" s="282">
        <v>36</v>
      </c>
      <c r="B41" s="295" t="s">
        <v>48</v>
      </c>
      <c r="C41" s="299">
        <v>1323.0140728476822</v>
      </c>
      <c r="D41" s="299">
        <v>1170</v>
      </c>
      <c r="E41" s="299">
        <v>1170.2080291970804</v>
      </c>
      <c r="F41" s="299">
        <v>1179.3669268985095</v>
      </c>
      <c r="G41" s="299">
        <v>1161.2918395573997</v>
      </c>
      <c r="H41" s="299">
        <v>11.09148676972935</v>
      </c>
      <c r="I41" s="94">
        <v>12.333531810303105</v>
      </c>
      <c r="J41" s="94">
        <v>12.631944390698024</v>
      </c>
      <c r="K41" s="94">
        <v>13.024762464240748</v>
      </c>
      <c r="L41" s="299">
        <v>13.37394103312862</v>
      </c>
      <c r="M41" s="300">
        <v>1208</v>
      </c>
      <c r="N41" s="95">
        <v>1341</v>
      </c>
      <c r="O41" s="300">
        <v>1371</v>
      </c>
      <c r="P41" s="300">
        <v>1411</v>
      </c>
      <c r="Q41" s="300">
        <v>1446</v>
      </c>
    </row>
    <row r="42" spans="1:18">
      <c r="R42" s="281"/>
    </row>
  </sheetData>
  <mergeCells count="8">
    <mergeCell ref="A2:A3"/>
    <mergeCell ref="C1:G1"/>
    <mergeCell ref="H1:L1"/>
    <mergeCell ref="M1:Q1"/>
    <mergeCell ref="B2:B3"/>
    <mergeCell ref="C2:G2"/>
    <mergeCell ref="H2:L2"/>
    <mergeCell ref="M2:Q2"/>
  </mergeCells>
  <printOptions horizontalCentered="1"/>
  <pageMargins left="0.31496062992126" right="0.511811023622047" top="0.43307086614173201" bottom="0.511811023622047" header="0.27559055118110198" footer="0.23622047244094499"/>
  <pageSetup paperSize="9" scale="70" firstPageNumber="2" pageOrder="overThenDown" orientation="portrait" useFirstPageNumber="1" r:id="rId1"/>
  <headerFooter alignWithMargins="0">
    <oddFooter>&amp;L&amp;"Arial,Italic"&amp;9          AISHE 2020-21&amp;CT-42</oddFooter>
  </headerFooter>
  <colBreaks count="2" manualBreakCount="2">
    <brk id="7" max="40" man="1"/>
    <brk id="12" max="40" man="1"/>
  </colBreaks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00B050"/>
  </sheetPr>
  <dimension ref="A1:AC223"/>
  <sheetViews>
    <sheetView showZeros="0" view="pageBreakPreview" zoomScaleSheetLayoutView="100" workbookViewId="0">
      <pane xSplit="2" ySplit="3" topLeftCell="U193" activePane="bottomRight" state="frozen"/>
      <selection activeCell="H31" sqref="H31"/>
      <selection pane="topRight" activeCell="H31" sqref="H31"/>
      <selection pane="bottomLeft" activeCell="H31" sqref="H31"/>
      <selection pane="bottomRight" activeCell="AC223" sqref="AC223"/>
    </sheetView>
  </sheetViews>
  <sheetFormatPr defaultColWidth="8.81640625" defaultRowHeight="14"/>
  <cols>
    <col min="1" max="1" width="4.26953125" style="427" bestFit="1" customWidth="1"/>
    <col min="2" max="2" width="30.1796875" style="275" customWidth="1"/>
    <col min="3" max="5" width="9.26953125" style="275" customWidth="1"/>
    <col min="6" max="8" width="8.7265625" style="275" customWidth="1"/>
    <col min="9" max="9" width="10" style="275" customWidth="1"/>
    <col min="10" max="10" width="9.26953125" style="275" customWidth="1"/>
    <col min="11" max="11" width="11.1796875" style="275" customWidth="1"/>
    <col min="12" max="14" width="10.81640625" style="275" customWidth="1"/>
    <col min="15" max="15" width="8.54296875" style="275" customWidth="1"/>
    <col min="16" max="16" width="8.26953125" style="275" bestFit="1" customWidth="1"/>
    <col min="17" max="17" width="8.81640625" style="275" customWidth="1"/>
    <col min="18" max="19" width="9.26953125" style="275" customWidth="1"/>
    <col min="20" max="20" width="10" style="275" customWidth="1"/>
    <col min="21" max="25" width="9.26953125" style="275" customWidth="1"/>
    <col min="26" max="26" width="7.81640625" style="275" bestFit="1" customWidth="1"/>
    <col min="27" max="27" width="10.54296875" style="275" customWidth="1"/>
    <col min="28" max="28" width="10.1796875" style="275" bestFit="1" customWidth="1"/>
    <col min="29" max="29" width="10.54296875" style="275" customWidth="1"/>
    <col min="30" max="16384" width="8.81640625" style="275"/>
  </cols>
  <sheetData>
    <row r="1" spans="1:29" s="303" customFormat="1" ht="28.5" customHeight="1">
      <c r="A1" s="427"/>
      <c r="B1" s="301" t="s">
        <v>307</v>
      </c>
      <c r="C1" s="290" t="s">
        <v>308</v>
      </c>
      <c r="D1" s="302"/>
      <c r="E1" s="302"/>
      <c r="F1" s="302"/>
      <c r="G1" s="302"/>
      <c r="H1" s="302"/>
      <c r="I1" s="302"/>
      <c r="J1" s="302"/>
      <c r="K1" s="302"/>
      <c r="L1" s="283" t="str">
        <f>C1</f>
        <v>Estimated Student Enrolment at various levels during last 5 years</v>
      </c>
      <c r="M1" s="302"/>
      <c r="N1" s="302"/>
      <c r="O1" s="302"/>
      <c r="P1" s="302"/>
      <c r="Q1" s="302"/>
      <c r="R1" s="302"/>
      <c r="S1" s="302"/>
      <c r="T1" s="302"/>
      <c r="U1" s="283" t="str">
        <f>L1</f>
        <v>Estimated Student Enrolment at various levels during last 5 years</v>
      </c>
      <c r="V1" s="302"/>
      <c r="W1" s="302"/>
      <c r="X1" s="302"/>
      <c r="Y1" s="302"/>
      <c r="Z1" s="302"/>
      <c r="AA1" s="302"/>
      <c r="AB1" s="302"/>
      <c r="AC1" s="302"/>
    </row>
    <row r="2" spans="1:29" s="304" customFormat="1" ht="18.75" customHeight="1">
      <c r="A2" s="1159" t="s">
        <v>1050</v>
      </c>
      <c r="B2" s="1162" t="s">
        <v>236</v>
      </c>
      <c r="C2" s="1155" t="s">
        <v>89</v>
      </c>
      <c r="D2" s="1161"/>
      <c r="E2" s="1161"/>
      <c r="F2" s="1155" t="s">
        <v>90</v>
      </c>
      <c r="G2" s="1161"/>
      <c r="H2" s="1161"/>
      <c r="I2" s="1155" t="s">
        <v>85</v>
      </c>
      <c r="J2" s="1155"/>
      <c r="K2" s="1155"/>
      <c r="L2" s="1155" t="s">
        <v>86</v>
      </c>
      <c r="M2" s="1155"/>
      <c r="N2" s="1155"/>
      <c r="O2" s="1155" t="s">
        <v>91</v>
      </c>
      <c r="P2" s="1155"/>
      <c r="Q2" s="1155"/>
      <c r="R2" s="1155" t="s">
        <v>92</v>
      </c>
      <c r="S2" s="1155"/>
      <c r="T2" s="1155"/>
      <c r="U2" s="1155" t="s">
        <v>93</v>
      </c>
      <c r="V2" s="1155"/>
      <c r="W2" s="1155"/>
      <c r="X2" s="1155" t="s">
        <v>94</v>
      </c>
      <c r="Y2" s="1161"/>
      <c r="Z2" s="1161"/>
      <c r="AA2" s="1155" t="s">
        <v>60</v>
      </c>
      <c r="AB2" s="1161"/>
      <c r="AC2" s="1161"/>
    </row>
    <row r="3" spans="1:29" s="304" customFormat="1" ht="18.75" customHeight="1">
      <c r="A3" s="1160"/>
      <c r="B3" s="1162"/>
      <c r="C3" s="585" t="s">
        <v>87</v>
      </c>
      <c r="D3" s="585" t="s">
        <v>88</v>
      </c>
      <c r="E3" s="585" t="s">
        <v>309</v>
      </c>
      <c r="F3" s="585" t="s">
        <v>87</v>
      </c>
      <c r="G3" s="585" t="s">
        <v>88</v>
      </c>
      <c r="H3" s="585" t="s">
        <v>309</v>
      </c>
      <c r="I3" s="585" t="s">
        <v>87</v>
      </c>
      <c r="J3" s="585" t="s">
        <v>88</v>
      </c>
      <c r="K3" s="585" t="s">
        <v>309</v>
      </c>
      <c r="L3" s="305" t="s">
        <v>87</v>
      </c>
      <c r="M3" s="585" t="s">
        <v>88</v>
      </c>
      <c r="N3" s="585" t="s">
        <v>309</v>
      </c>
      <c r="O3" s="585" t="s">
        <v>87</v>
      </c>
      <c r="P3" s="585" t="s">
        <v>88</v>
      </c>
      <c r="Q3" s="585" t="s">
        <v>309</v>
      </c>
      <c r="R3" s="585" t="s">
        <v>87</v>
      </c>
      <c r="S3" s="585" t="s">
        <v>88</v>
      </c>
      <c r="T3" s="585" t="s">
        <v>309</v>
      </c>
      <c r="U3" s="585" t="s">
        <v>87</v>
      </c>
      <c r="V3" s="585" t="s">
        <v>88</v>
      </c>
      <c r="W3" s="585" t="s">
        <v>309</v>
      </c>
      <c r="X3" s="585" t="s">
        <v>87</v>
      </c>
      <c r="Y3" s="585" t="s">
        <v>88</v>
      </c>
      <c r="Z3" s="585" t="s">
        <v>309</v>
      </c>
      <c r="AA3" s="585" t="s">
        <v>87</v>
      </c>
      <c r="AB3" s="585" t="s">
        <v>88</v>
      </c>
      <c r="AC3" s="585" t="s">
        <v>309</v>
      </c>
    </row>
    <row r="4" spans="1:29" s="308" customFormat="1" ht="14.5">
      <c r="A4" s="306">
        <v>1</v>
      </c>
      <c r="B4" s="307">
        <v>2</v>
      </c>
      <c r="C4" s="306">
        <v>3</v>
      </c>
      <c r="D4" s="307">
        <v>4</v>
      </c>
      <c r="E4" s="306">
        <v>5</v>
      </c>
      <c r="F4" s="307">
        <v>6</v>
      </c>
      <c r="G4" s="306">
        <v>7</v>
      </c>
      <c r="H4" s="307">
        <v>8</v>
      </c>
      <c r="I4" s="306">
        <v>9</v>
      </c>
      <c r="J4" s="307">
        <v>10</v>
      </c>
      <c r="K4" s="306">
        <v>11</v>
      </c>
      <c r="L4" s="307">
        <v>12</v>
      </c>
      <c r="M4" s="306">
        <v>13</v>
      </c>
      <c r="N4" s="307">
        <v>14</v>
      </c>
      <c r="O4" s="306">
        <v>15</v>
      </c>
      <c r="P4" s="307">
        <v>16</v>
      </c>
      <c r="Q4" s="306">
        <v>17</v>
      </c>
      <c r="R4" s="307">
        <v>18</v>
      </c>
      <c r="S4" s="306">
        <v>19</v>
      </c>
      <c r="T4" s="307">
        <v>20</v>
      </c>
      <c r="U4" s="306">
        <v>21</v>
      </c>
      <c r="V4" s="307">
        <v>22</v>
      </c>
      <c r="W4" s="306">
        <v>23</v>
      </c>
      <c r="X4" s="307">
        <v>24</v>
      </c>
      <c r="Y4" s="306">
        <v>25</v>
      </c>
      <c r="Z4" s="307">
        <v>26</v>
      </c>
      <c r="AA4" s="306">
        <v>27</v>
      </c>
      <c r="AB4" s="307">
        <v>28</v>
      </c>
      <c r="AC4" s="306">
        <v>29</v>
      </c>
    </row>
    <row r="5" spans="1:29">
      <c r="A5" s="909"/>
      <c r="B5" s="309" t="s">
        <v>302</v>
      </c>
      <c r="C5" s="310"/>
      <c r="D5" s="310"/>
      <c r="E5" s="310"/>
      <c r="F5" s="310"/>
      <c r="G5" s="310"/>
      <c r="H5" s="310"/>
      <c r="I5" s="310"/>
      <c r="J5" s="310"/>
      <c r="K5" s="311"/>
      <c r="L5" s="310"/>
      <c r="M5" s="310"/>
      <c r="N5" s="310"/>
      <c r="O5" s="310"/>
      <c r="P5" s="310"/>
      <c r="Q5" s="310"/>
      <c r="R5" s="310"/>
      <c r="S5" s="310"/>
      <c r="T5" s="311"/>
      <c r="U5" s="310"/>
      <c r="V5" s="310"/>
      <c r="W5" s="310"/>
      <c r="X5" s="310"/>
      <c r="Y5" s="310"/>
      <c r="Z5" s="310"/>
      <c r="AA5" s="310"/>
      <c r="AB5" s="310"/>
      <c r="AC5" s="311"/>
    </row>
    <row r="6" spans="1:29">
      <c r="A6" s="909"/>
      <c r="B6" s="312" t="s">
        <v>997</v>
      </c>
      <c r="C6" s="313">
        <v>116764</v>
      </c>
      <c r="D6" s="313">
        <v>95088</v>
      </c>
      <c r="E6" s="313">
        <v>211852</v>
      </c>
      <c r="F6" s="313">
        <v>6345</v>
      </c>
      <c r="G6" s="313">
        <v>10399</v>
      </c>
      <c r="H6" s="313">
        <v>16744</v>
      </c>
      <c r="I6" s="313">
        <v>2053794</v>
      </c>
      <c r="J6" s="313">
        <v>2662855</v>
      </c>
      <c r="K6" s="313">
        <v>4716649</v>
      </c>
      <c r="L6" s="313">
        <v>16747674</v>
      </c>
      <c r="M6" s="313">
        <v>15909835</v>
      </c>
      <c r="N6" s="313">
        <v>32657509</v>
      </c>
      <c r="O6" s="313">
        <v>143723</v>
      </c>
      <c r="P6" s="313">
        <v>113464</v>
      </c>
      <c r="Q6" s="313">
        <v>257187</v>
      </c>
      <c r="R6" s="313">
        <v>1873568</v>
      </c>
      <c r="S6" s="313">
        <v>1105752</v>
      </c>
      <c r="T6" s="313">
        <v>2979320</v>
      </c>
      <c r="U6" s="313">
        <v>83841</v>
      </c>
      <c r="V6" s="313">
        <v>72070</v>
      </c>
      <c r="W6" s="313">
        <v>155911</v>
      </c>
      <c r="X6" s="313">
        <v>212201</v>
      </c>
      <c r="Y6" s="313">
        <v>173340</v>
      </c>
      <c r="Z6" s="313">
        <v>385541</v>
      </c>
      <c r="AA6" s="313">
        <v>21237910</v>
      </c>
      <c r="AB6" s="313">
        <v>20142803</v>
      </c>
      <c r="AC6" s="313">
        <v>41380713</v>
      </c>
    </row>
    <row r="7" spans="1:29">
      <c r="A7" s="909"/>
      <c r="B7" s="312" t="s">
        <v>301</v>
      </c>
      <c r="C7" s="126">
        <v>111444</v>
      </c>
      <c r="D7" s="126">
        <v>91106</v>
      </c>
      <c r="E7" s="126">
        <v>202550</v>
      </c>
      <c r="F7" s="126">
        <v>9043</v>
      </c>
      <c r="G7" s="126">
        <v>14891</v>
      </c>
      <c r="H7" s="126">
        <v>23934</v>
      </c>
      <c r="I7" s="126">
        <v>1860163</v>
      </c>
      <c r="J7" s="126">
        <v>2452372</v>
      </c>
      <c r="K7" s="126">
        <v>4312535</v>
      </c>
      <c r="L7" s="256">
        <v>15563077</v>
      </c>
      <c r="M7" s="126">
        <v>15084210</v>
      </c>
      <c r="N7" s="126">
        <v>30647287</v>
      </c>
      <c r="O7" s="126">
        <v>116346</v>
      </c>
      <c r="P7" s="126">
        <v>100903</v>
      </c>
      <c r="Q7" s="126">
        <v>217249</v>
      </c>
      <c r="R7" s="126">
        <v>1740798</v>
      </c>
      <c r="S7" s="126">
        <v>931764</v>
      </c>
      <c r="T7" s="126">
        <v>2672562</v>
      </c>
      <c r="U7" s="95">
        <v>74164</v>
      </c>
      <c r="V7" s="126">
        <v>85705</v>
      </c>
      <c r="W7" s="126">
        <v>159869</v>
      </c>
      <c r="X7" s="126">
        <v>168712</v>
      </c>
      <c r="Y7" s="126">
        <v>131661</v>
      </c>
      <c r="Z7" s="126">
        <v>300373</v>
      </c>
      <c r="AA7" s="126">
        <v>19643747</v>
      </c>
      <c r="AB7" s="126">
        <v>18892612</v>
      </c>
      <c r="AC7" s="126">
        <v>38536359</v>
      </c>
    </row>
    <row r="8" spans="1:29">
      <c r="A8" s="909"/>
      <c r="B8" s="314" t="s">
        <v>300</v>
      </c>
      <c r="C8" s="287">
        <v>95043</v>
      </c>
      <c r="D8" s="287">
        <v>74127</v>
      </c>
      <c r="E8" s="287">
        <v>169170</v>
      </c>
      <c r="F8" s="287">
        <v>11623</v>
      </c>
      <c r="G8" s="287">
        <v>19069</v>
      </c>
      <c r="H8" s="287">
        <v>30692</v>
      </c>
      <c r="I8" s="287">
        <v>1761330</v>
      </c>
      <c r="J8" s="287">
        <v>2281192</v>
      </c>
      <c r="K8" s="287">
        <v>4042522</v>
      </c>
      <c r="L8" s="315">
        <v>15203346</v>
      </c>
      <c r="M8" s="287">
        <v>14625729</v>
      </c>
      <c r="N8" s="287">
        <v>29829075</v>
      </c>
      <c r="O8" s="287">
        <v>121555</v>
      </c>
      <c r="P8" s="287">
        <v>103156</v>
      </c>
      <c r="Q8" s="287">
        <v>224711</v>
      </c>
      <c r="R8" s="287">
        <v>1803208</v>
      </c>
      <c r="S8" s="287">
        <v>896187</v>
      </c>
      <c r="T8" s="287">
        <v>2699395</v>
      </c>
      <c r="U8" s="287">
        <v>75127</v>
      </c>
      <c r="V8" s="287">
        <v>87570</v>
      </c>
      <c r="W8" s="287">
        <v>162697</v>
      </c>
      <c r="X8" s="287">
        <v>138656</v>
      </c>
      <c r="Y8" s="287">
        <v>102470</v>
      </c>
      <c r="Z8" s="287">
        <v>241126</v>
      </c>
      <c r="AA8" s="287">
        <v>19209888</v>
      </c>
      <c r="AB8" s="287">
        <v>18189500</v>
      </c>
      <c r="AC8" s="287">
        <v>37399388</v>
      </c>
    </row>
    <row r="9" spans="1:29">
      <c r="A9" s="909"/>
      <c r="B9" s="314" t="s">
        <v>299</v>
      </c>
      <c r="C9" s="287">
        <v>92570</v>
      </c>
      <c r="D9" s="287">
        <v>68842</v>
      </c>
      <c r="E9" s="287">
        <v>161412</v>
      </c>
      <c r="F9" s="287">
        <v>12287</v>
      </c>
      <c r="G9" s="287">
        <v>21822</v>
      </c>
      <c r="H9" s="287">
        <v>34109</v>
      </c>
      <c r="I9" s="287">
        <v>1891070.7673861897</v>
      </c>
      <c r="J9" s="287">
        <v>2223239.0743189426</v>
      </c>
      <c r="K9" s="316">
        <v>4114309.8417051332</v>
      </c>
      <c r="L9" s="317">
        <v>15052304.146459209</v>
      </c>
      <c r="M9" s="316">
        <v>13964045.595048957</v>
      </c>
      <c r="N9" s="316">
        <v>29016349.741508164</v>
      </c>
      <c r="O9" s="287">
        <v>126853</v>
      </c>
      <c r="P9" s="287">
        <v>108410</v>
      </c>
      <c r="Q9" s="287">
        <v>235263</v>
      </c>
      <c r="R9" s="287">
        <v>1838217</v>
      </c>
      <c r="S9" s="287">
        <v>869717</v>
      </c>
      <c r="T9" s="287">
        <v>2707934</v>
      </c>
      <c r="U9" s="287">
        <v>76962</v>
      </c>
      <c r="V9" s="287">
        <v>100261</v>
      </c>
      <c r="W9" s="287">
        <v>177223</v>
      </c>
      <c r="X9" s="287">
        <v>114411</v>
      </c>
      <c r="Y9" s="287">
        <v>81366</v>
      </c>
      <c r="Z9" s="287">
        <v>195777</v>
      </c>
      <c r="AA9" s="316">
        <v>19204674.913845398</v>
      </c>
      <c r="AB9" s="316">
        <v>17437702.669367902</v>
      </c>
      <c r="AC9" s="287">
        <v>36642377.5832133</v>
      </c>
    </row>
    <row r="10" spans="1:29">
      <c r="A10" s="909"/>
      <c r="B10" s="314" t="s">
        <v>298</v>
      </c>
      <c r="C10" s="287">
        <v>81795</v>
      </c>
      <c r="D10" s="287">
        <v>59242</v>
      </c>
      <c r="E10" s="287">
        <v>141037</v>
      </c>
      <c r="F10" s="287">
        <v>16464</v>
      </c>
      <c r="G10" s="287">
        <v>26803</v>
      </c>
      <c r="H10" s="287">
        <v>43267</v>
      </c>
      <c r="I10" s="287">
        <v>1820564</v>
      </c>
      <c r="J10" s="287">
        <v>2187006</v>
      </c>
      <c r="K10" s="287">
        <v>4007570</v>
      </c>
      <c r="L10" s="315">
        <v>14933909</v>
      </c>
      <c r="M10" s="287">
        <v>13414288</v>
      </c>
      <c r="N10" s="287">
        <v>28348197</v>
      </c>
      <c r="O10" s="287">
        <v>120792</v>
      </c>
      <c r="P10" s="287">
        <v>92259</v>
      </c>
      <c r="Q10" s="287">
        <v>213051</v>
      </c>
      <c r="R10" s="287">
        <v>1820977</v>
      </c>
      <c r="S10" s="287">
        <v>791232</v>
      </c>
      <c r="T10" s="287">
        <v>2612209</v>
      </c>
      <c r="U10" s="287">
        <v>83640</v>
      </c>
      <c r="V10" s="287">
        <v>82977</v>
      </c>
      <c r="W10" s="287">
        <v>166617</v>
      </c>
      <c r="X10" s="287">
        <v>102454</v>
      </c>
      <c r="Y10" s="287">
        <v>71503</v>
      </c>
      <c r="Z10" s="287">
        <v>173957</v>
      </c>
      <c r="AA10" s="287">
        <v>18980595</v>
      </c>
      <c r="AB10" s="287">
        <v>16725310</v>
      </c>
      <c r="AC10" s="287">
        <v>35705905</v>
      </c>
    </row>
    <row r="11" spans="1:29">
      <c r="A11" s="907">
        <v>1</v>
      </c>
      <c r="B11" s="309" t="s">
        <v>171</v>
      </c>
      <c r="C11" s="310"/>
      <c r="D11" s="310"/>
      <c r="E11" s="310"/>
      <c r="F11" s="310"/>
      <c r="G11" s="310"/>
      <c r="H11" s="310"/>
      <c r="I11" s="310"/>
      <c r="J11" s="310"/>
      <c r="K11" s="311"/>
      <c r="L11" s="310"/>
      <c r="M11" s="310"/>
      <c r="N11" s="310"/>
      <c r="O11" s="310"/>
      <c r="P11" s="310"/>
      <c r="Q11" s="310"/>
      <c r="R11" s="310"/>
      <c r="S11" s="310"/>
      <c r="T11" s="311"/>
      <c r="U11" s="310"/>
      <c r="V11" s="310"/>
      <c r="W11" s="310"/>
      <c r="X11" s="310"/>
      <c r="Y11" s="310"/>
      <c r="Z11" s="310"/>
      <c r="AA11" s="310"/>
      <c r="AB11" s="310"/>
      <c r="AC11" s="311"/>
    </row>
    <row r="12" spans="1:29">
      <c r="A12" s="907"/>
      <c r="B12" s="312" t="s">
        <v>997</v>
      </c>
      <c r="C12" s="313">
        <v>7</v>
      </c>
      <c r="D12" s="313">
        <v>12</v>
      </c>
      <c r="E12" s="313">
        <v>19</v>
      </c>
      <c r="F12" s="313">
        <v>0</v>
      </c>
      <c r="G12" s="313">
        <v>0</v>
      </c>
      <c r="H12" s="313">
        <v>0</v>
      </c>
      <c r="I12" s="313">
        <v>582</v>
      </c>
      <c r="J12" s="313">
        <v>979</v>
      </c>
      <c r="K12" s="313">
        <v>1561</v>
      </c>
      <c r="L12" s="313">
        <v>4055</v>
      </c>
      <c r="M12" s="313">
        <v>4672</v>
      </c>
      <c r="N12" s="313">
        <v>8727</v>
      </c>
      <c r="O12" s="313">
        <v>85</v>
      </c>
      <c r="P12" s="313">
        <v>56</v>
      </c>
      <c r="Q12" s="313">
        <v>141</v>
      </c>
      <c r="R12" s="313">
        <v>621</v>
      </c>
      <c r="S12" s="313">
        <v>455</v>
      </c>
      <c r="T12" s="313">
        <v>1076</v>
      </c>
      <c r="U12" s="313">
        <v>39</v>
      </c>
      <c r="V12" s="313">
        <v>33</v>
      </c>
      <c r="W12" s="313">
        <v>72</v>
      </c>
      <c r="X12" s="313">
        <v>145</v>
      </c>
      <c r="Y12" s="313">
        <v>224</v>
      </c>
      <c r="Z12" s="313">
        <v>369</v>
      </c>
      <c r="AA12" s="313">
        <v>5534</v>
      </c>
      <c r="AB12" s="313">
        <v>6431</v>
      </c>
      <c r="AC12" s="313">
        <v>11965</v>
      </c>
    </row>
    <row r="13" spans="1:29">
      <c r="A13" s="907"/>
      <c r="B13" s="312" t="s">
        <v>301</v>
      </c>
      <c r="C13" s="257">
        <f ca="1">SUMIF('[2]7UnivActwithConsUnit'!$B:$B,$C13,'[2]7UnivActwithConsUnit'!D:D)+SUMIF('[2]8CollegeAct'!$B:$B,$C13,'[2]8CollegeAct'!D:D)+SUMIF(#REF!,$C13,#REF!)</f>
        <v>5</v>
      </c>
      <c r="D13" s="257">
        <f ca="1">SUMIF('[2]7UnivActwithConsUnit'!$B:$B,$C13,'[2]7UnivActwithConsUnit'!E:E)+SUMIF('[2]8CollegeAct'!$B:$B,$C13,'[2]8CollegeAct'!E:E)+SUMIF(#REF!,$C13,#REF!)</f>
        <v>9</v>
      </c>
      <c r="E13" s="257">
        <f ca="1">SUMIF('[2]7UnivActwithConsUnit'!$B:$B,$C13,'[2]7UnivActwithConsUnit'!F:F)+SUMIF('[2]8CollegeAct'!$B:$B,$C13,'[2]8CollegeAct'!F:F)+SUMIF(#REF!,$C13,#REF!)</f>
        <v>14</v>
      </c>
      <c r="F13" s="257">
        <f ca="1">SUMIF('[2]7UnivActwithConsUnit'!$B:$B,$C13,'[2]7UnivActwithConsUnit'!G:G)+SUMIF('[2]8CollegeAct'!$B:$B,$C13,'[2]8CollegeAct'!G:G)+SUMIF(#REF!,$C13,#REF!)</f>
        <v>0</v>
      </c>
      <c r="G13" s="257">
        <f ca="1">SUMIF('[2]7UnivActwithConsUnit'!$B:$B,$C13,'[2]7UnivActwithConsUnit'!H:H)+SUMIF('[2]8CollegeAct'!$B:$B,$C13,'[2]8CollegeAct'!H:H)+SUMIF(#REF!,$C13,#REF!)</f>
        <v>0</v>
      </c>
      <c r="H13" s="257">
        <f ca="1">SUMIF('[2]7UnivActwithConsUnit'!$B:$B,$C13,'[2]7UnivActwithConsUnit'!I:I)+SUMIF('[2]8CollegeAct'!$B:$B,$C13,'[2]8CollegeAct'!I:I)+SUMIF(#REF!,$C13,#REF!)</f>
        <v>0</v>
      </c>
      <c r="I13" s="257">
        <f ca="1">SUMIF('[2]7UnivActwithConsUnit'!$B:$B,$C13,'[2]7UnivActwithConsUnit'!J:J)+SUMIF('[2]10CollegeEst'!$B:$B,$C13,'[2]10CollegeEst'!B:B)+SUMIF(#REF!,$C13,#REF!)</f>
        <v>571</v>
      </c>
      <c r="J13" s="257">
        <f ca="1">SUMIF('[2]7UnivActwithConsUnit'!$B:$B,$C13,'[2]7UnivActwithConsUnit'!K:K)+SUMIF('[2]10CollegeEst'!$B:$B,$C13,'[2]10CollegeEst'!C:C)+SUMIF(#REF!,$C13,#REF!)</f>
        <v>969</v>
      </c>
      <c r="K13" s="257">
        <f ca="1">SUMIF('[2]7UnivActwithConsUnit'!$B:$B,$C13,'[2]7UnivActwithConsUnit'!L:L)+SUMIF('[2]10CollegeEst'!$B:$B,$C13,'[2]10CollegeEst'!D:D)+SUMIF(#REF!,$C13,#REF!)</f>
        <v>1540</v>
      </c>
      <c r="L13" s="258">
        <f ca="1">SUMIF('[2]7UnivActwithConsUnit'!$B:$B,$C13,'[2]7UnivActwithConsUnit'!M:M)+SUMIF('[2]10CollegeEst'!$B:$B,$C13,'[2]10CollegeEst'!E:E)+SUMIF(#REF!,$C13,#REF!)</f>
        <v>3397</v>
      </c>
      <c r="M13" s="257">
        <f ca="1">SUMIF('[2]7UnivActwithConsUnit'!$B:$B,$C13,'[2]7UnivActwithConsUnit'!N:N)+SUMIF('[2]10CollegeEst'!$B:$B,$C13,'[2]10CollegeEst'!F:F)+SUMIF(#REF!,$C13,#REF!)</f>
        <v>4059</v>
      </c>
      <c r="N13" s="257">
        <f ca="1">SUMIF('[2]7UnivActwithConsUnit'!$B:$B,$C13,'[2]7UnivActwithConsUnit'!O:O)+SUMIF('[2]10CollegeEst'!$B:$B,$C13,'[2]10CollegeEst'!G:G)+SUMIF(#REF!,$C13,#REF!)</f>
        <v>7456</v>
      </c>
      <c r="O13" s="257">
        <f ca="1">SUMIF('[2]7UnivActwithConsUnit'!$B:$B,$C13,'[2]7UnivActwithConsUnit'!P:P)+SUMIF('[2]8CollegeAct'!$B:$B,$C13,'[2]8CollegeAct'!P:P)+SUMIF(#REF!,$C13,#REF!)</f>
        <v>58</v>
      </c>
      <c r="P13" s="257">
        <f ca="1">SUMIF('[2]7UnivActwithConsUnit'!$B:$B,$C13,'[2]7UnivActwithConsUnit'!Q:Q)+SUMIF('[2]8CollegeAct'!$B:$B,$C13,'[2]8CollegeAct'!Q:Q)+SUMIF(#REF!,$C13,#REF!)</f>
        <v>40</v>
      </c>
      <c r="Q13" s="257">
        <f ca="1">SUMIF('[2]7UnivActwithConsUnit'!$B:$B,$C13,'[2]7UnivActwithConsUnit'!R:R)+SUMIF('[2]8CollegeAct'!$B:$B,$C13,'[2]8CollegeAct'!R:R)+SUMIF(#REF!,$C13,#REF!)</f>
        <v>98</v>
      </c>
      <c r="R13" s="257">
        <f ca="1">SUMIF('[2]7UnivActwithConsUnit'!$B:$B,$C13,'[2]7UnivActwithConsUnit'!S:S)+SUMIF('[2]8CollegeAct'!$B:$B,$C13,'[2]8CollegeAct'!S:S)+SUMIF(#REF!,$C13,#REF!)</f>
        <v>310</v>
      </c>
      <c r="S13" s="257">
        <f ca="1">SUMIF('[2]7UnivActwithConsUnit'!$B:$B,$C13,'[2]7UnivActwithConsUnit'!T:T)+SUMIF('[2]8CollegeAct'!$B:$B,$C13,'[2]8CollegeAct'!T:T)+SUMIF(#REF!,$C13,#REF!)</f>
        <v>262</v>
      </c>
      <c r="T13" s="257">
        <f ca="1">SUMIF('[2]7UnivActwithConsUnit'!$B:$B,$C13,'[2]7UnivActwithConsUnit'!U:U)+SUMIF('[2]8CollegeAct'!$B:$B,$C13,'[2]8CollegeAct'!U:U)+SUMIF(#REF!,$C13,#REF!)</f>
        <v>572</v>
      </c>
      <c r="U13" s="259">
        <f ca="1">SUMIF('[2]7UnivActwithConsUnit'!$B:$B,$C13,'[2]7UnivActwithConsUnit'!V:V)+SUMIF('[2]8CollegeAct'!$B:$B,$C13,'[2]8CollegeAct'!V:V)+SUMIF(#REF!,$C13,#REF!)</f>
        <v>46</v>
      </c>
      <c r="V13" s="257">
        <f ca="1">SUMIF('[2]7UnivActwithConsUnit'!$B:$B,$C13,'[2]7UnivActwithConsUnit'!W:W)+SUMIF('[2]8CollegeAct'!$B:$B,$C13,'[2]8CollegeAct'!W:W)+SUMIF(#REF!,$C13,#REF!)</f>
        <v>36</v>
      </c>
      <c r="W13" s="257">
        <f ca="1">SUMIF('[2]7UnivActwithConsUnit'!$B:$B,$C13,'[2]7UnivActwithConsUnit'!X:X)+SUMIF('[2]8CollegeAct'!$B:$B,$C13,'[2]8CollegeAct'!X:X)+SUMIF(#REF!,$C13,#REF!)</f>
        <v>82</v>
      </c>
      <c r="X13" s="257">
        <f ca="1">SUMIF('[2]7UnivActwithConsUnit'!$B:$B,$C13,'[2]7UnivActwithConsUnit'!Y:Y)+SUMIF('[2]8CollegeAct'!$B:$B,$C13,'[2]8CollegeAct'!Y:Y)+SUMIF(#REF!,$C13,#REF!)</f>
        <v>145</v>
      </c>
      <c r="Y13" s="257">
        <f ca="1">SUMIF('[2]7UnivActwithConsUnit'!$B:$B,$C13,'[2]7UnivActwithConsUnit'!Z:Z)+SUMIF('[2]8CollegeAct'!$B:$B,$C13,'[2]8CollegeAct'!Z:Z)+SUMIF(#REF!,$C13,#REF!)</f>
        <v>224</v>
      </c>
      <c r="Z13" s="257">
        <f ca="1">SUMIF('[2]7UnivActwithConsUnit'!$B:$B,$C13,'[2]7UnivActwithConsUnit'!AA:AA)+SUMIF('[2]8CollegeAct'!$B:$B,$C13,'[2]8CollegeAct'!AA:AA)+SUMIF(#REF!,$C13,#REF!)</f>
        <v>369</v>
      </c>
      <c r="AA13" s="125">
        <f ca="1">C13+F13+I13+L13+O13+R13+U13+X13</f>
        <v>4532</v>
      </c>
      <c r="AB13" s="125">
        <f ca="1">D13+G13+J13+M13+P13+S13+V13+Y13</f>
        <v>5599</v>
      </c>
      <c r="AC13" s="125">
        <f ca="1">AA13+AB13</f>
        <v>10131</v>
      </c>
    </row>
    <row r="14" spans="1:29">
      <c r="A14" s="907"/>
      <c r="B14" s="314" t="s">
        <v>300</v>
      </c>
      <c r="C14" s="287">
        <v>44</v>
      </c>
      <c r="D14" s="287">
        <v>23</v>
      </c>
      <c r="E14" s="287">
        <v>67</v>
      </c>
      <c r="F14" s="287">
        <v>0</v>
      </c>
      <c r="G14" s="287">
        <v>0</v>
      </c>
      <c r="H14" s="287">
        <v>0</v>
      </c>
      <c r="I14" s="287">
        <v>629</v>
      </c>
      <c r="J14" s="287">
        <v>966</v>
      </c>
      <c r="K14" s="287">
        <v>1595</v>
      </c>
      <c r="L14" s="315">
        <v>3804</v>
      </c>
      <c r="M14" s="287">
        <v>4885</v>
      </c>
      <c r="N14" s="287">
        <v>8689</v>
      </c>
      <c r="O14" s="287">
        <v>46</v>
      </c>
      <c r="P14" s="287">
        <v>42</v>
      </c>
      <c r="Q14" s="287">
        <v>88</v>
      </c>
      <c r="R14" s="287">
        <v>534</v>
      </c>
      <c r="S14" s="287">
        <v>350</v>
      </c>
      <c r="T14" s="287">
        <v>884</v>
      </c>
      <c r="U14" s="287">
        <v>0</v>
      </c>
      <c r="V14" s="287">
        <v>0</v>
      </c>
      <c r="W14" s="287">
        <v>0</v>
      </c>
      <c r="X14" s="287">
        <v>46</v>
      </c>
      <c r="Y14" s="287">
        <v>142</v>
      </c>
      <c r="Z14" s="287">
        <v>188</v>
      </c>
      <c r="AA14" s="287">
        <v>5103</v>
      </c>
      <c r="AB14" s="287">
        <v>6408</v>
      </c>
      <c r="AC14" s="287">
        <v>11511</v>
      </c>
    </row>
    <row r="15" spans="1:29">
      <c r="A15" s="907"/>
      <c r="B15" s="314" t="s">
        <v>299</v>
      </c>
      <c r="C15" s="96">
        <v>42</v>
      </c>
      <c r="D15" s="96">
        <v>26</v>
      </c>
      <c r="E15" s="96">
        <v>68</v>
      </c>
      <c r="F15" s="96">
        <v>0</v>
      </c>
      <c r="G15" s="96">
        <v>0</v>
      </c>
      <c r="H15" s="96">
        <v>0</v>
      </c>
      <c r="I15" s="96">
        <v>730</v>
      </c>
      <c r="J15" s="96">
        <v>771</v>
      </c>
      <c r="K15" s="96">
        <v>1501</v>
      </c>
      <c r="L15" s="97">
        <v>3967</v>
      </c>
      <c r="M15" s="96">
        <v>4170</v>
      </c>
      <c r="N15" s="96">
        <v>8137</v>
      </c>
      <c r="O15" s="96">
        <v>47</v>
      </c>
      <c r="P15" s="96">
        <v>28</v>
      </c>
      <c r="Q15" s="96">
        <v>75</v>
      </c>
      <c r="R15" s="96">
        <v>429</v>
      </c>
      <c r="S15" s="96">
        <v>273</v>
      </c>
      <c r="T15" s="96">
        <v>702</v>
      </c>
      <c r="U15" s="96">
        <v>0</v>
      </c>
      <c r="V15" s="96">
        <v>0</v>
      </c>
      <c r="W15" s="96">
        <v>0</v>
      </c>
      <c r="X15" s="96">
        <v>26</v>
      </c>
      <c r="Y15" s="96">
        <v>91</v>
      </c>
      <c r="Z15" s="96">
        <v>117</v>
      </c>
      <c r="AA15" s="98">
        <v>5241</v>
      </c>
      <c r="AB15" s="98">
        <v>5359</v>
      </c>
      <c r="AC15" s="98">
        <v>10600</v>
      </c>
    </row>
    <row r="16" spans="1:29">
      <c r="A16" s="907"/>
      <c r="B16" s="314" t="s">
        <v>298</v>
      </c>
      <c r="C16" s="287">
        <v>64</v>
      </c>
      <c r="D16" s="287">
        <v>21</v>
      </c>
      <c r="E16" s="287">
        <v>85</v>
      </c>
      <c r="F16" s="287">
        <v>0</v>
      </c>
      <c r="G16" s="287">
        <v>0</v>
      </c>
      <c r="H16" s="287">
        <v>0</v>
      </c>
      <c r="I16" s="287">
        <v>588</v>
      </c>
      <c r="J16" s="287">
        <v>966</v>
      </c>
      <c r="K16" s="287">
        <v>1554</v>
      </c>
      <c r="L16" s="315">
        <v>4042</v>
      </c>
      <c r="M16" s="287">
        <v>4270</v>
      </c>
      <c r="N16" s="287">
        <v>8312</v>
      </c>
      <c r="O16" s="287">
        <v>41</v>
      </c>
      <c r="P16" s="287">
        <v>33</v>
      </c>
      <c r="Q16" s="287">
        <v>74</v>
      </c>
      <c r="R16" s="287">
        <v>459</v>
      </c>
      <c r="S16" s="287">
        <v>258</v>
      </c>
      <c r="T16" s="287">
        <v>717</v>
      </c>
      <c r="U16" s="287">
        <v>0</v>
      </c>
      <c r="V16" s="287">
        <v>0</v>
      </c>
      <c r="W16" s="287">
        <v>0</v>
      </c>
      <c r="X16" s="287">
        <v>24</v>
      </c>
      <c r="Y16" s="287">
        <v>91</v>
      </c>
      <c r="Z16" s="287">
        <v>115</v>
      </c>
      <c r="AA16" s="287">
        <v>5218</v>
      </c>
      <c r="AB16" s="287">
        <v>5639</v>
      </c>
      <c r="AC16" s="287">
        <v>10857</v>
      </c>
    </row>
    <row r="17" spans="1:29">
      <c r="A17" s="907">
        <v>2</v>
      </c>
      <c r="B17" s="309" t="s">
        <v>15</v>
      </c>
      <c r="C17" s="310"/>
      <c r="D17" s="310"/>
      <c r="E17" s="310"/>
      <c r="F17" s="310"/>
      <c r="G17" s="310"/>
      <c r="H17" s="310"/>
      <c r="I17" s="310"/>
      <c r="J17" s="310"/>
      <c r="K17" s="311"/>
      <c r="L17" s="310"/>
      <c r="M17" s="310"/>
      <c r="N17" s="310"/>
      <c r="O17" s="310"/>
      <c r="P17" s="310"/>
      <c r="Q17" s="310"/>
      <c r="R17" s="310"/>
      <c r="S17" s="310"/>
      <c r="T17" s="311"/>
      <c r="U17" s="310"/>
      <c r="V17" s="310"/>
      <c r="W17" s="310"/>
      <c r="X17" s="310"/>
      <c r="Y17" s="310"/>
      <c r="Z17" s="310"/>
      <c r="AA17" s="310"/>
      <c r="AB17" s="310"/>
      <c r="AC17" s="311"/>
    </row>
    <row r="18" spans="1:29">
      <c r="A18" s="907"/>
      <c r="B18" s="312" t="s">
        <v>997</v>
      </c>
      <c r="C18" s="313">
        <v>4283</v>
      </c>
      <c r="D18" s="313">
        <v>2708</v>
      </c>
      <c r="E18" s="313">
        <v>6991</v>
      </c>
      <c r="F18" s="313">
        <v>70</v>
      </c>
      <c r="G18" s="313">
        <v>48</v>
      </c>
      <c r="H18" s="313">
        <v>118</v>
      </c>
      <c r="I18" s="313">
        <v>98570</v>
      </c>
      <c r="J18" s="313">
        <v>97244</v>
      </c>
      <c r="K18" s="313">
        <v>195814</v>
      </c>
      <c r="L18" s="313">
        <v>846588</v>
      </c>
      <c r="M18" s="313">
        <v>759307</v>
      </c>
      <c r="N18" s="313">
        <v>1605895</v>
      </c>
      <c r="O18" s="313">
        <v>758</v>
      </c>
      <c r="P18" s="313">
        <v>431</v>
      </c>
      <c r="Q18" s="313">
        <v>1189</v>
      </c>
      <c r="R18" s="313">
        <v>96913</v>
      </c>
      <c r="S18" s="313">
        <v>66591</v>
      </c>
      <c r="T18" s="313">
        <v>163504</v>
      </c>
      <c r="U18" s="313">
        <v>454</v>
      </c>
      <c r="V18" s="313">
        <v>696</v>
      </c>
      <c r="W18" s="313">
        <v>1150</v>
      </c>
      <c r="X18" s="313">
        <v>8429</v>
      </c>
      <c r="Y18" s="313">
        <v>4528</v>
      </c>
      <c r="Z18" s="313">
        <v>12957</v>
      </c>
      <c r="AA18" s="313">
        <v>1056065</v>
      </c>
      <c r="AB18" s="313">
        <v>931553</v>
      </c>
      <c r="AC18" s="313">
        <v>1987618</v>
      </c>
    </row>
    <row r="19" spans="1:29">
      <c r="A19" s="907"/>
      <c r="B19" s="314" t="s">
        <v>301</v>
      </c>
      <c r="C19" s="259">
        <f ca="1">SUMIF('[2]7UnivActwithConsUnit'!$B:$B,$C19,'[2]7UnivActwithConsUnit'!D:D)+SUMIF('[2]8CollegeAct'!$B:$B,$C19,'[2]8CollegeAct'!D:D)+SUMIF(#REF!,$C19,#REF!)</f>
        <v>3837</v>
      </c>
      <c r="D19" s="259">
        <f ca="1">SUMIF('[2]7UnivActwithConsUnit'!$B:$B,$C19,'[2]7UnivActwithConsUnit'!E:E)+SUMIF('[2]8CollegeAct'!$B:$B,$C19,'[2]8CollegeAct'!E:E)+SUMIF(#REF!,$C19,#REF!)</f>
        <v>2879</v>
      </c>
      <c r="E19" s="259">
        <f ca="1">SUMIF('[2]7UnivActwithConsUnit'!$B:$B,$C19,'[2]7UnivActwithConsUnit'!F:F)+SUMIF('[2]8CollegeAct'!$B:$B,$C19,'[2]8CollegeAct'!F:F)+SUMIF(#REF!,$C19,#REF!)</f>
        <v>6716</v>
      </c>
      <c r="F19" s="259">
        <f ca="1">SUMIF('[2]7UnivActwithConsUnit'!$B:$B,$C19,'[2]7UnivActwithConsUnit'!G:G)+SUMIF('[2]8CollegeAct'!$B:$B,$C19,'[2]8CollegeAct'!G:G)+SUMIF(#REF!,$C19,#REF!)</f>
        <v>175</v>
      </c>
      <c r="G19" s="259">
        <f ca="1">SUMIF('[2]7UnivActwithConsUnit'!$B:$B,$C19,'[2]7UnivActwithConsUnit'!H:H)+SUMIF('[2]8CollegeAct'!$B:$B,$C19,'[2]8CollegeAct'!H:H)+SUMIF(#REF!,$C19,#REF!)</f>
        <v>102</v>
      </c>
      <c r="H19" s="259">
        <f ca="1">SUMIF('[2]7UnivActwithConsUnit'!$B:$B,$C19,'[2]7UnivActwithConsUnit'!I:I)+SUMIF('[2]8CollegeAct'!$B:$B,$C19,'[2]8CollegeAct'!I:I)+SUMIF(#REF!,$C19,#REF!)</f>
        <v>277</v>
      </c>
      <c r="I19" s="259">
        <f ca="1">SUMIF('[2]7UnivActwithConsUnit'!$B:$B,$C19,'[2]7UnivActwithConsUnit'!J:J)+SUMIF('[2]10CollegeEst'!$B:$B,$C19,'[2]10CollegeEst'!B:B)+SUMIF(#REF!,$C19,#REF!)</f>
        <v>112024</v>
      </c>
      <c r="J19" s="259">
        <f ca="1">SUMIF('[2]7UnivActwithConsUnit'!$B:$B,$C19,'[2]7UnivActwithConsUnit'!K:K)+SUMIF('[2]10CollegeEst'!$B:$B,$C19,'[2]10CollegeEst'!C:C)+SUMIF(#REF!,$C19,#REF!)</f>
        <v>105816</v>
      </c>
      <c r="K19" s="259">
        <f ca="1">SUMIF('[2]7UnivActwithConsUnit'!$B:$B,$C19,'[2]7UnivActwithConsUnit'!L:L)+SUMIF('[2]10CollegeEst'!$B:$B,$C19,'[2]10CollegeEst'!D:D)+SUMIF(#REF!,$C19,#REF!)</f>
        <v>217840</v>
      </c>
      <c r="L19" s="260">
        <f ca="1">SUMIF('[2]7UnivActwithConsUnit'!$B:$B,$C19,'[2]7UnivActwithConsUnit'!M:M)+SUMIF('[2]10CollegeEst'!$B:$B,$C19,'[2]10CollegeEst'!E:E)+SUMIF(#REF!,$C19,#REF!)</f>
        <v>798084</v>
      </c>
      <c r="M19" s="259">
        <f ca="1">SUMIF('[2]7UnivActwithConsUnit'!$B:$B,$C19,'[2]7UnivActwithConsUnit'!N:N)+SUMIF('[2]10CollegeEst'!$B:$B,$C19,'[2]10CollegeEst'!F:F)+SUMIF(#REF!,$C19,#REF!)</f>
        <v>694983</v>
      </c>
      <c r="N19" s="259">
        <f ca="1">SUMIF('[2]7UnivActwithConsUnit'!$B:$B,$C19,'[2]7UnivActwithConsUnit'!O:O)+SUMIF('[2]10CollegeEst'!$B:$B,$C19,'[2]10CollegeEst'!G:G)+SUMIF(#REF!,$C19,#REF!)</f>
        <v>1493067</v>
      </c>
      <c r="O19" s="259">
        <f ca="1">SUMIF('[2]7UnivActwithConsUnit'!$B:$B,$C19,'[2]7UnivActwithConsUnit'!P:P)+SUMIF('[2]8CollegeAct'!$B:$B,$C19,'[2]8CollegeAct'!P:P)+SUMIF(#REF!,$C19,#REF!)</f>
        <v>1402</v>
      </c>
      <c r="P19" s="259">
        <f ca="1">SUMIF('[2]7UnivActwithConsUnit'!$B:$B,$C19,'[2]7UnivActwithConsUnit'!Q:Q)+SUMIF('[2]8CollegeAct'!$B:$B,$C19,'[2]8CollegeAct'!Q:Q)+SUMIF(#REF!,$C19,#REF!)</f>
        <v>879</v>
      </c>
      <c r="Q19" s="259">
        <f ca="1">SUMIF('[2]7UnivActwithConsUnit'!$B:$B,$C19,'[2]7UnivActwithConsUnit'!R:R)+SUMIF('[2]8CollegeAct'!$B:$B,$C19,'[2]8CollegeAct'!R:R)+SUMIF(#REF!,$C19,#REF!)</f>
        <v>2281</v>
      </c>
      <c r="R19" s="259">
        <f ca="1">SUMIF('[2]7UnivActwithConsUnit'!$B:$B,$C19,'[2]7UnivActwithConsUnit'!S:S)+SUMIF('[2]8CollegeAct'!$B:$B,$C19,'[2]8CollegeAct'!S:S)+SUMIF(#REF!,$C19,#REF!)</f>
        <v>93033</v>
      </c>
      <c r="S19" s="259">
        <f ca="1">SUMIF('[2]7UnivActwithConsUnit'!$B:$B,$C19,'[2]7UnivActwithConsUnit'!T:T)+SUMIF('[2]8CollegeAct'!$B:$B,$C19,'[2]8CollegeAct'!T:T)+SUMIF(#REF!,$C19,#REF!)</f>
        <v>60085</v>
      </c>
      <c r="T19" s="259">
        <f ca="1">SUMIF('[2]7UnivActwithConsUnit'!$B:$B,$C19,'[2]7UnivActwithConsUnit'!U:U)+SUMIF('[2]8CollegeAct'!$B:$B,$C19,'[2]8CollegeAct'!U:U)+SUMIF(#REF!,$C19,#REF!)</f>
        <v>153118</v>
      </c>
      <c r="U19" s="260">
        <f ca="1">SUMIF('[2]7UnivActwithConsUnit'!$B:$B,$C19,'[2]7UnivActwithConsUnit'!V:V)+SUMIF('[2]8CollegeAct'!$B:$B,$C19,'[2]8CollegeAct'!V:V)+SUMIF(#REF!,$C19,#REF!)</f>
        <v>3921</v>
      </c>
      <c r="V19" s="259">
        <f ca="1">SUMIF('[2]7UnivActwithConsUnit'!$B:$B,$C19,'[2]7UnivActwithConsUnit'!W:W)+SUMIF('[2]8CollegeAct'!$B:$B,$C19,'[2]8CollegeAct'!W:W)+SUMIF(#REF!,$C19,#REF!)</f>
        <v>6917</v>
      </c>
      <c r="W19" s="259">
        <f ca="1">SUMIF('[2]7UnivActwithConsUnit'!$B:$B,$C19,'[2]7UnivActwithConsUnit'!X:X)+SUMIF('[2]8CollegeAct'!$B:$B,$C19,'[2]8CollegeAct'!X:X)+SUMIF(#REF!,$C19,#REF!)</f>
        <v>10838</v>
      </c>
      <c r="X19" s="259">
        <f ca="1">SUMIF('[2]7UnivActwithConsUnit'!$B:$B,$C19,'[2]7UnivActwithConsUnit'!Y:Y)+SUMIF('[2]8CollegeAct'!$B:$B,$C19,'[2]8CollegeAct'!Y:Y)+SUMIF(#REF!,$C19,#REF!)</f>
        <v>8650</v>
      </c>
      <c r="Y19" s="259">
        <f ca="1">SUMIF('[2]7UnivActwithConsUnit'!$B:$B,$C19,'[2]7UnivActwithConsUnit'!Z:Z)+SUMIF('[2]8CollegeAct'!$B:$B,$C19,'[2]8CollegeAct'!Z:Z)+SUMIF(#REF!,$C19,#REF!)</f>
        <v>4362</v>
      </c>
      <c r="Z19" s="259">
        <f ca="1">SUMIF('[2]7UnivActwithConsUnit'!$B:$B,$C19,'[2]7UnivActwithConsUnit'!AA:AA)+SUMIF('[2]8CollegeAct'!$B:$B,$C19,'[2]8CollegeAct'!AA:AA)+SUMIF(#REF!,$C19,#REF!)</f>
        <v>13012</v>
      </c>
      <c r="AA19" s="261">
        <f t="shared" ref="AA19:AB19" ca="1" si="0">C19+F19+I19+L19+O19+R19+U19+X19</f>
        <v>1021126</v>
      </c>
      <c r="AB19" s="261">
        <f t="shared" ca="1" si="0"/>
        <v>876023</v>
      </c>
      <c r="AC19" s="261">
        <f t="shared" ref="AC19" ca="1" si="1">AA19+AB19</f>
        <v>1897149</v>
      </c>
    </row>
    <row r="20" spans="1:29">
      <c r="A20" s="907"/>
      <c r="B20" s="314" t="s">
        <v>300</v>
      </c>
      <c r="C20" s="287">
        <v>3054</v>
      </c>
      <c r="D20" s="287">
        <v>1927</v>
      </c>
      <c r="E20" s="287">
        <v>4981</v>
      </c>
      <c r="F20" s="287">
        <v>249</v>
      </c>
      <c r="G20" s="287">
        <v>182</v>
      </c>
      <c r="H20" s="287">
        <v>431</v>
      </c>
      <c r="I20" s="287">
        <v>112753</v>
      </c>
      <c r="J20" s="287">
        <v>98539</v>
      </c>
      <c r="K20" s="287">
        <v>211292</v>
      </c>
      <c r="L20" s="315">
        <v>741636</v>
      </c>
      <c r="M20" s="287">
        <v>625754</v>
      </c>
      <c r="N20" s="287">
        <v>1367390</v>
      </c>
      <c r="O20" s="287">
        <v>1665</v>
      </c>
      <c r="P20" s="287">
        <v>1030</v>
      </c>
      <c r="Q20" s="287">
        <v>2695</v>
      </c>
      <c r="R20" s="287">
        <v>97733</v>
      </c>
      <c r="S20" s="287">
        <v>64378</v>
      </c>
      <c r="T20" s="287">
        <v>162111</v>
      </c>
      <c r="U20" s="315">
        <v>327</v>
      </c>
      <c r="V20" s="287">
        <v>636</v>
      </c>
      <c r="W20" s="287">
        <v>963</v>
      </c>
      <c r="X20" s="287">
        <v>7389</v>
      </c>
      <c r="Y20" s="287">
        <v>3578</v>
      </c>
      <c r="Z20" s="287">
        <v>10967</v>
      </c>
      <c r="AA20" s="287">
        <v>964806</v>
      </c>
      <c r="AB20" s="287">
        <v>796024</v>
      </c>
      <c r="AC20" s="287">
        <v>1760830</v>
      </c>
    </row>
    <row r="21" spans="1:29">
      <c r="A21" s="907"/>
      <c r="B21" s="314" t="s">
        <v>299</v>
      </c>
      <c r="C21" s="96">
        <v>4007</v>
      </c>
      <c r="D21" s="96">
        <v>2282</v>
      </c>
      <c r="E21" s="96">
        <v>6289</v>
      </c>
      <c r="F21" s="96">
        <v>555</v>
      </c>
      <c r="G21" s="96">
        <v>342</v>
      </c>
      <c r="H21" s="96">
        <v>897</v>
      </c>
      <c r="I21" s="96">
        <v>120479.38457744679</v>
      </c>
      <c r="J21" s="96">
        <v>98816.577628071362</v>
      </c>
      <c r="K21" s="96">
        <v>219295.96220551815</v>
      </c>
      <c r="L21" s="97">
        <v>711831.13217008556</v>
      </c>
      <c r="M21" s="96">
        <v>578321.87024372909</v>
      </c>
      <c r="N21" s="96">
        <v>1290153.0024138147</v>
      </c>
      <c r="O21" s="96">
        <v>1596</v>
      </c>
      <c r="P21" s="96">
        <v>1018</v>
      </c>
      <c r="Q21" s="96">
        <v>2614</v>
      </c>
      <c r="R21" s="96">
        <v>100939</v>
      </c>
      <c r="S21" s="96">
        <v>66275</v>
      </c>
      <c r="T21" s="96">
        <v>167214</v>
      </c>
      <c r="U21" s="97">
        <v>258</v>
      </c>
      <c r="V21" s="96">
        <v>529</v>
      </c>
      <c r="W21" s="96">
        <v>787</v>
      </c>
      <c r="X21" s="96">
        <v>7132</v>
      </c>
      <c r="Y21" s="96">
        <v>2900</v>
      </c>
      <c r="Z21" s="96">
        <v>10032</v>
      </c>
      <c r="AA21" s="98">
        <f t="shared" ref="AA21:AC21" si="2">C21+F21+I21+L21+O21+R21+U21+X21</f>
        <v>946797.51674753241</v>
      </c>
      <c r="AB21" s="98">
        <f t="shared" si="2"/>
        <v>750484.44787180051</v>
      </c>
      <c r="AC21" s="98">
        <f t="shared" si="2"/>
        <v>1697281.9646193329</v>
      </c>
    </row>
    <row r="22" spans="1:29">
      <c r="A22" s="907"/>
      <c r="B22" s="314" t="s">
        <v>298</v>
      </c>
      <c r="C22" s="287">
        <v>2932</v>
      </c>
      <c r="D22" s="287">
        <v>1740</v>
      </c>
      <c r="E22" s="287">
        <v>4672</v>
      </c>
      <c r="F22" s="287">
        <v>790</v>
      </c>
      <c r="G22" s="287">
        <v>472</v>
      </c>
      <c r="H22" s="287">
        <v>1262</v>
      </c>
      <c r="I22" s="287">
        <v>141504</v>
      </c>
      <c r="J22" s="287">
        <v>113146</v>
      </c>
      <c r="K22" s="287">
        <v>254650</v>
      </c>
      <c r="L22" s="315">
        <v>754053</v>
      </c>
      <c r="M22" s="287">
        <v>607532</v>
      </c>
      <c r="N22" s="287">
        <v>1361585</v>
      </c>
      <c r="O22" s="287">
        <v>2429</v>
      </c>
      <c r="P22" s="287">
        <v>1377</v>
      </c>
      <c r="Q22" s="287">
        <v>3806</v>
      </c>
      <c r="R22" s="287">
        <v>99111</v>
      </c>
      <c r="S22" s="287">
        <v>64717</v>
      </c>
      <c r="T22" s="287">
        <v>163828</v>
      </c>
      <c r="U22" s="315">
        <v>209</v>
      </c>
      <c r="V22" s="287">
        <v>507</v>
      </c>
      <c r="W22" s="287">
        <v>716</v>
      </c>
      <c r="X22" s="287">
        <v>6378</v>
      </c>
      <c r="Y22" s="287">
        <v>2536</v>
      </c>
      <c r="Z22" s="287">
        <v>8914</v>
      </c>
      <c r="AA22" s="287">
        <v>1007406</v>
      </c>
      <c r="AB22" s="287">
        <v>792027</v>
      </c>
      <c r="AC22" s="287">
        <v>1799433</v>
      </c>
    </row>
    <row r="23" spans="1:29">
      <c r="A23" s="907">
        <v>3</v>
      </c>
      <c r="B23" s="309" t="s">
        <v>16</v>
      </c>
      <c r="C23" s="310"/>
      <c r="D23" s="310"/>
      <c r="E23" s="310"/>
      <c r="F23" s="310"/>
      <c r="G23" s="310"/>
      <c r="H23" s="310"/>
      <c r="I23" s="310"/>
      <c r="J23" s="310"/>
      <c r="K23" s="311"/>
      <c r="L23" s="310"/>
      <c r="M23" s="310"/>
      <c r="N23" s="310"/>
      <c r="O23" s="310"/>
      <c r="P23" s="310"/>
      <c r="Q23" s="310"/>
      <c r="R23" s="310"/>
      <c r="S23" s="310"/>
      <c r="T23" s="311"/>
      <c r="U23" s="310"/>
      <c r="V23" s="310"/>
      <c r="W23" s="310"/>
      <c r="X23" s="310"/>
      <c r="Y23" s="310"/>
      <c r="Z23" s="310"/>
      <c r="AA23" s="310"/>
      <c r="AB23" s="310"/>
      <c r="AC23" s="311"/>
    </row>
    <row r="24" spans="1:29">
      <c r="A24" s="907"/>
      <c r="B24" s="312" t="s">
        <v>997</v>
      </c>
      <c r="C24" s="313">
        <v>470</v>
      </c>
      <c r="D24" s="313">
        <v>258</v>
      </c>
      <c r="E24" s="313">
        <v>728</v>
      </c>
      <c r="F24" s="313">
        <v>56</v>
      </c>
      <c r="G24" s="313">
        <v>74</v>
      </c>
      <c r="H24" s="313">
        <v>130</v>
      </c>
      <c r="I24" s="313">
        <v>5623</v>
      </c>
      <c r="J24" s="313">
        <v>5814</v>
      </c>
      <c r="K24" s="313">
        <v>11437</v>
      </c>
      <c r="L24" s="313">
        <v>22310</v>
      </c>
      <c r="M24" s="313">
        <v>20017</v>
      </c>
      <c r="N24" s="313">
        <v>42327</v>
      </c>
      <c r="O24" s="313">
        <v>97</v>
      </c>
      <c r="P24" s="313">
        <v>80</v>
      </c>
      <c r="Q24" s="313">
        <v>177</v>
      </c>
      <c r="R24" s="313">
        <v>1403</v>
      </c>
      <c r="S24" s="313">
        <v>1139</v>
      </c>
      <c r="T24" s="313">
        <v>2542</v>
      </c>
      <c r="U24" s="313">
        <v>310</v>
      </c>
      <c r="V24" s="313">
        <v>162</v>
      </c>
      <c r="W24" s="313">
        <v>472</v>
      </c>
      <c r="X24" s="313">
        <v>1196</v>
      </c>
      <c r="Y24" s="313">
        <v>726</v>
      </c>
      <c r="Z24" s="313">
        <v>1922</v>
      </c>
      <c r="AA24" s="313">
        <v>31465</v>
      </c>
      <c r="AB24" s="313">
        <v>28270</v>
      </c>
      <c r="AC24" s="313">
        <v>59735</v>
      </c>
    </row>
    <row r="25" spans="1:29">
      <c r="A25" s="907"/>
      <c r="B25" s="312" t="s">
        <v>301</v>
      </c>
      <c r="C25" s="257">
        <f ca="1">SUMIF('[2]7UnivActwithConsUnit'!$B:$B,$C25,'[2]7UnivActwithConsUnit'!D:D)+SUMIF('[2]8CollegeAct'!$B:$B,$C25,'[2]8CollegeAct'!D:D)+SUMIF(#REF!,$C25,#REF!)</f>
        <v>597</v>
      </c>
      <c r="D25" s="257">
        <f ca="1">SUMIF('[2]7UnivActwithConsUnit'!$B:$B,$C25,'[2]7UnivActwithConsUnit'!E:E)+SUMIF('[2]8CollegeAct'!$B:$B,$C25,'[2]8CollegeAct'!E:E)+SUMIF(#REF!,$C25,#REF!)</f>
        <v>469</v>
      </c>
      <c r="E25" s="257">
        <f ca="1">SUMIF('[2]7UnivActwithConsUnit'!$B:$B,$C25,'[2]7UnivActwithConsUnit'!F:F)+SUMIF('[2]8CollegeAct'!$B:$B,$C25,'[2]8CollegeAct'!F:F)+SUMIF(#REF!,$C25,#REF!)</f>
        <v>1066</v>
      </c>
      <c r="F25" s="257">
        <f ca="1">SUMIF('[2]7UnivActwithConsUnit'!$B:$B,$C25,'[2]7UnivActwithConsUnit'!G:G)+SUMIF('[2]8CollegeAct'!$B:$B,$C25,'[2]8CollegeAct'!G:G)+SUMIF(#REF!,$C25,#REF!)</f>
        <v>77</v>
      </c>
      <c r="G25" s="257">
        <f ca="1">SUMIF('[2]7UnivActwithConsUnit'!$B:$B,$C25,'[2]7UnivActwithConsUnit'!H:H)+SUMIF('[2]8CollegeAct'!$B:$B,$C25,'[2]8CollegeAct'!H:H)+SUMIF(#REF!,$C25,#REF!)</f>
        <v>113</v>
      </c>
      <c r="H25" s="257">
        <f ca="1">SUMIF('[2]7UnivActwithConsUnit'!$B:$B,$C25,'[2]7UnivActwithConsUnit'!I:I)+SUMIF('[2]8CollegeAct'!$B:$B,$C25,'[2]8CollegeAct'!I:I)+SUMIF(#REF!,$C25,#REF!)</f>
        <v>190</v>
      </c>
      <c r="I25" s="257">
        <f ca="1">SUMIF('[2]7UnivActwithConsUnit'!$B:$B,$C25,'[2]7UnivActwithConsUnit'!J:J)+SUMIF('[2]10CollegeEst'!$B:$B,$C25,'[2]10CollegeEst'!B:B)+SUMIF(#REF!,$C25,#REF!)</f>
        <v>4960</v>
      </c>
      <c r="J25" s="257">
        <f ca="1">SUMIF('[2]7UnivActwithConsUnit'!$B:$B,$C25,'[2]7UnivActwithConsUnit'!K:K)+SUMIF('[2]10CollegeEst'!$B:$B,$C25,'[2]10CollegeEst'!C:C)+SUMIF(#REF!,$C25,#REF!)</f>
        <v>5880</v>
      </c>
      <c r="K25" s="257">
        <f ca="1">SUMIF('[2]7UnivActwithConsUnit'!$B:$B,$C25,'[2]7UnivActwithConsUnit'!L:L)+SUMIF('[2]10CollegeEst'!$B:$B,$C25,'[2]10CollegeEst'!D:D)+SUMIF(#REF!,$C25,#REF!)</f>
        <v>10840</v>
      </c>
      <c r="L25" s="258">
        <f ca="1">SUMIF('[2]7UnivActwithConsUnit'!$B:$B,$C25,'[2]7UnivActwithConsUnit'!M:M)+SUMIF('[2]10CollegeEst'!$B:$B,$C25,'[2]10CollegeEst'!E:E)+SUMIF(#REF!,$C25,#REF!)</f>
        <v>20418</v>
      </c>
      <c r="M25" s="257">
        <f ca="1">SUMIF('[2]7UnivActwithConsUnit'!$B:$B,$C25,'[2]7UnivActwithConsUnit'!N:N)+SUMIF('[2]10CollegeEst'!$B:$B,$C25,'[2]10CollegeEst'!F:F)+SUMIF(#REF!,$C25,#REF!)</f>
        <v>19017</v>
      </c>
      <c r="N25" s="257">
        <f ca="1">SUMIF('[2]7UnivActwithConsUnit'!$B:$B,$C25,'[2]7UnivActwithConsUnit'!O:O)+SUMIF('[2]10CollegeEst'!$B:$B,$C25,'[2]10CollegeEst'!G:G)+SUMIF(#REF!,$C25,#REF!)</f>
        <v>39435</v>
      </c>
      <c r="O25" s="257">
        <f ca="1">SUMIF('[2]7UnivActwithConsUnit'!$B:$B,$C25,'[2]7UnivActwithConsUnit'!P:P)+SUMIF('[2]8CollegeAct'!$B:$B,$C25,'[2]8CollegeAct'!P:P)+SUMIF(#REF!,$C25,#REF!)</f>
        <v>127</v>
      </c>
      <c r="P25" s="257">
        <f ca="1">SUMIF('[2]7UnivActwithConsUnit'!$B:$B,$C25,'[2]7UnivActwithConsUnit'!Q:Q)+SUMIF('[2]8CollegeAct'!$B:$B,$C25,'[2]8CollegeAct'!Q:Q)+SUMIF(#REF!,$C25,#REF!)</f>
        <v>144</v>
      </c>
      <c r="Q25" s="257">
        <f ca="1">SUMIF('[2]7UnivActwithConsUnit'!$B:$B,$C25,'[2]7UnivActwithConsUnit'!R:R)+SUMIF('[2]8CollegeAct'!$B:$B,$C25,'[2]8CollegeAct'!R:R)+SUMIF(#REF!,$C25,#REF!)</f>
        <v>271</v>
      </c>
      <c r="R25" s="257">
        <f ca="1">SUMIF('[2]7UnivActwithConsUnit'!$B:$B,$C25,'[2]7UnivActwithConsUnit'!S:S)+SUMIF('[2]8CollegeAct'!$B:$B,$C25,'[2]8CollegeAct'!S:S)+SUMIF(#REF!,$C25,#REF!)</f>
        <v>1308</v>
      </c>
      <c r="S25" s="257">
        <f ca="1">SUMIF('[2]7UnivActwithConsUnit'!$B:$B,$C25,'[2]7UnivActwithConsUnit'!T:T)+SUMIF('[2]8CollegeAct'!$B:$B,$C25,'[2]8CollegeAct'!T:T)+SUMIF(#REF!,$C25,#REF!)</f>
        <v>645</v>
      </c>
      <c r="T25" s="257">
        <f ca="1">SUMIF('[2]7UnivActwithConsUnit'!$B:$B,$C25,'[2]7UnivActwithConsUnit'!U:U)+SUMIF('[2]8CollegeAct'!$B:$B,$C25,'[2]8CollegeAct'!U:U)+SUMIF(#REF!,$C25,#REF!)</f>
        <v>1953</v>
      </c>
      <c r="U25" s="258">
        <f ca="1">SUMIF('[2]7UnivActwithConsUnit'!$B:$B,$C25,'[2]7UnivActwithConsUnit'!V:V)+SUMIF('[2]8CollegeAct'!$B:$B,$C25,'[2]8CollegeAct'!V:V)+SUMIF(#REF!,$C25,#REF!)</f>
        <v>299</v>
      </c>
      <c r="V25" s="257">
        <f ca="1">SUMIF('[2]7UnivActwithConsUnit'!$B:$B,$C25,'[2]7UnivActwithConsUnit'!W:W)+SUMIF('[2]8CollegeAct'!$B:$B,$C25,'[2]8CollegeAct'!W:W)+SUMIF(#REF!,$C25,#REF!)</f>
        <v>119</v>
      </c>
      <c r="W25" s="257">
        <f ca="1">SUMIF('[2]7UnivActwithConsUnit'!$B:$B,$C25,'[2]7UnivActwithConsUnit'!X:X)+SUMIF('[2]8CollegeAct'!$B:$B,$C25,'[2]8CollegeAct'!X:X)+SUMIF(#REF!,$C25,#REF!)</f>
        <v>418</v>
      </c>
      <c r="X25" s="257">
        <f ca="1">SUMIF('[2]7UnivActwithConsUnit'!$B:$B,$C25,'[2]7UnivActwithConsUnit'!Y:Y)+SUMIF('[2]8CollegeAct'!$B:$B,$C25,'[2]8CollegeAct'!Y:Y)+SUMIF(#REF!,$C25,#REF!)</f>
        <v>1015</v>
      </c>
      <c r="Y25" s="257">
        <f ca="1">SUMIF('[2]7UnivActwithConsUnit'!$B:$B,$C25,'[2]7UnivActwithConsUnit'!Z:Z)+SUMIF('[2]8CollegeAct'!$B:$B,$C25,'[2]8CollegeAct'!Z:Z)+SUMIF(#REF!,$C25,#REF!)</f>
        <v>628</v>
      </c>
      <c r="Z25" s="257">
        <f ca="1">SUMIF('[2]7UnivActwithConsUnit'!$B:$B,$C25,'[2]7UnivActwithConsUnit'!AA:AA)+SUMIF('[2]8CollegeAct'!$B:$B,$C25,'[2]8CollegeAct'!AA:AA)+SUMIF(#REF!,$C25,#REF!)</f>
        <v>1643</v>
      </c>
      <c r="AA25" s="125">
        <f t="shared" ref="AA25:AB25" ca="1" si="3">C25+F25+I25+L25+O25+R25+U25+X25</f>
        <v>28801</v>
      </c>
      <c r="AB25" s="125">
        <f t="shared" ca="1" si="3"/>
        <v>27015</v>
      </c>
      <c r="AC25" s="125">
        <f t="shared" ref="AC25" ca="1" si="4">AA25+AB25</f>
        <v>55816</v>
      </c>
    </row>
    <row r="26" spans="1:29">
      <c r="A26" s="907"/>
      <c r="B26" s="314" t="s">
        <v>300</v>
      </c>
      <c r="C26" s="287">
        <v>396</v>
      </c>
      <c r="D26" s="287">
        <v>280</v>
      </c>
      <c r="E26" s="287">
        <v>676</v>
      </c>
      <c r="F26" s="287">
        <v>47</v>
      </c>
      <c r="G26" s="287">
        <v>77</v>
      </c>
      <c r="H26" s="287">
        <v>124</v>
      </c>
      <c r="I26" s="287">
        <v>3796</v>
      </c>
      <c r="J26" s="287">
        <v>4287</v>
      </c>
      <c r="K26" s="287">
        <v>8083</v>
      </c>
      <c r="L26" s="315">
        <v>17976</v>
      </c>
      <c r="M26" s="287">
        <v>17966</v>
      </c>
      <c r="N26" s="287">
        <v>35942</v>
      </c>
      <c r="O26" s="287">
        <v>104</v>
      </c>
      <c r="P26" s="287">
        <v>61</v>
      </c>
      <c r="Q26" s="287">
        <v>165</v>
      </c>
      <c r="R26" s="287">
        <v>832</v>
      </c>
      <c r="S26" s="287">
        <v>595</v>
      </c>
      <c r="T26" s="287">
        <v>1427</v>
      </c>
      <c r="U26" s="315">
        <v>265</v>
      </c>
      <c r="V26" s="287">
        <v>84</v>
      </c>
      <c r="W26" s="287">
        <v>349</v>
      </c>
      <c r="X26" s="287">
        <v>308</v>
      </c>
      <c r="Y26" s="287">
        <v>94</v>
      </c>
      <c r="Z26" s="287">
        <v>402</v>
      </c>
      <c r="AA26" s="287">
        <v>23724</v>
      </c>
      <c r="AB26" s="287">
        <v>23444</v>
      </c>
      <c r="AC26" s="287">
        <v>47168</v>
      </c>
    </row>
    <row r="27" spans="1:29">
      <c r="A27" s="907"/>
      <c r="B27" s="314" t="s">
        <v>299</v>
      </c>
      <c r="C27" s="96">
        <v>397</v>
      </c>
      <c r="D27" s="96">
        <v>247</v>
      </c>
      <c r="E27" s="96">
        <v>644</v>
      </c>
      <c r="F27" s="96">
        <v>43</v>
      </c>
      <c r="G27" s="96">
        <v>67</v>
      </c>
      <c r="H27" s="96">
        <v>110</v>
      </c>
      <c r="I27" s="96">
        <v>4333.0670025145218</v>
      </c>
      <c r="J27" s="96">
        <v>3357.7752973164288</v>
      </c>
      <c r="K27" s="96">
        <v>7690.8422998309507</v>
      </c>
      <c r="L27" s="97">
        <v>18731.047202461981</v>
      </c>
      <c r="M27" s="96">
        <v>17733.980349528741</v>
      </c>
      <c r="N27" s="96">
        <v>36465.027551990723</v>
      </c>
      <c r="O27" s="96">
        <v>84</v>
      </c>
      <c r="P27" s="96">
        <v>54</v>
      </c>
      <c r="Q27" s="96">
        <v>138</v>
      </c>
      <c r="R27" s="96">
        <v>1202</v>
      </c>
      <c r="S27" s="96">
        <v>663</v>
      </c>
      <c r="T27" s="96">
        <v>1865</v>
      </c>
      <c r="U27" s="97">
        <v>246</v>
      </c>
      <c r="V27" s="96">
        <v>79</v>
      </c>
      <c r="W27" s="96">
        <v>325</v>
      </c>
      <c r="X27" s="96">
        <v>177</v>
      </c>
      <c r="Y27" s="96">
        <v>49</v>
      </c>
      <c r="Z27" s="96">
        <v>226</v>
      </c>
      <c r="AA27" s="98">
        <f t="shared" ref="AA27:AC27" si="5">C27+F27+I27+L27+O27+R27+U27+X27</f>
        <v>25213.114204976504</v>
      </c>
      <c r="AB27" s="98">
        <f t="shared" si="5"/>
        <v>22250.755646845169</v>
      </c>
      <c r="AC27" s="98">
        <f t="shared" si="5"/>
        <v>47463.86985182167</v>
      </c>
    </row>
    <row r="28" spans="1:29">
      <c r="A28" s="907"/>
      <c r="B28" s="314" t="s">
        <v>298</v>
      </c>
      <c r="C28" s="287">
        <v>365</v>
      </c>
      <c r="D28" s="287">
        <v>270</v>
      </c>
      <c r="E28" s="287">
        <v>635</v>
      </c>
      <c r="F28" s="287">
        <v>48</v>
      </c>
      <c r="G28" s="287">
        <v>68</v>
      </c>
      <c r="H28" s="287">
        <v>116</v>
      </c>
      <c r="I28" s="287">
        <v>3633</v>
      </c>
      <c r="J28" s="287">
        <v>4482</v>
      </c>
      <c r="K28" s="287">
        <v>8115</v>
      </c>
      <c r="L28" s="315">
        <v>18142</v>
      </c>
      <c r="M28" s="287">
        <v>17133</v>
      </c>
      <c r="N28" s="287">
        <v>35275</v>
      </c>
      <c r="O28" s="287">
        <v>126</v>
      </c>
      <c r="P28" s="287">
        <v>91</v>
      </c>
      <c r="Q28" s="287">
        <v>217</v>
      </c>
      <c r="R28" s="287">
        <v>962</v>
      </c>
      <c r="S28" s="287">
        <v>835</v>
      </c>
      <c r="T28" s="287">
        <v>1797</v>
      </c>
      <c r="U28" s="315">
        <v>266</v>
      </c>
      <c r="V28" s="287">
        <v>74</v>
      </c>
      <c r="W28" s="287">
        <v>340</v>
      </c>
      <c r="X28" s="287">
        <v>59</v>
      </c>
      <c r="Y28" s="287">
        <v>10</v>
      </c>
      <c r="Z28" s="287">
        <v>69</v>
      </c>
      <c r="AA28" s="287">
        <v>23601</v>
      </c>
      <c r="AB28" s="287">
        <v>22963</v>
      </c>
      <c r="AC28" s="287">
        <v>46564</v>
      </c>
    </row>
    <row r="29" spans="1:29">
      <c r="A29" s="907">
        <v>4</v>
      </c>
      <c r="B29" s="309" t="s">
        <v>17</v>
      </c>
      <c r="C29" s="310"/>
      <c r="D29" s="310"/>
      <c r="E29" s="310"/>
      <c r="F29" s="310"/>
      <c r="G29" s="310"/>
      <c r="H29" s="310"/>
      <c r="I29" s="310"/>
      <c r="J29" s="310"/>
      <c r="K29" s="311"/>
      <c r="L29" s="310"/>
      <c r="M29" s="310"/>
      <c r="N29" s="310"/>
      <c r="O29" s="310"/>
      <c r="P29" s="310"/>
      <c r="Q29" s="310"/>
      <c r="R29" s="310"/>
      <c r="S29" s="310"/>
      <c r="T29" s="311"/>
      <c r="U29" s="310"/>
      <c r="V29" s="310"/>
      <c r="W29" s="310"/>
      <c r="X29" s="310"/>
      <c r="Y29" s="310"/>
      <c r="Z29" s="310"/>
      <c r="AA29" s="310"/>
      <c r="AB29" s="310"/>
      <c r="AC29" s="311"/>
    </row>
    <row r="30" spans="1:29">
      <c r="A30" s="907"/>
      <c r="B30" s="312" t="s">
        <v>997</v>
      </c>
      <c r="C30" s="313">
        <v>3648</v>
      </c>
      <c r="D30" s="313">
        <v>2356</v>
      </c>
      <c r="E30" s="313">
        <v>6004</v>
      </c>
      <c r="F30" s="313">
        <v>126</v>
      </c>
      <c r="G30" s="313">
        <v>180</v>
      </c>
      <c r="H30" s="313">
        <v>306</v>
      </c>
      <c r="I30" s="313">
        <v>23461</v>
      </c>
      <c r="J30" s="313">
        <v>33328</v>
      </c>
      <c r="K30" s="313">
        <v>56789</v>
      </c>
      <c r="L30" s="313">
        <v>297876</v>
      </c>
      <c r="M30" s="313">
        <v>304835</v>
      </c>
      <c r="N30" s="313">
        <v>602711</v>
      </c>
      <c r="O30" s="313">
        <v>984</v>
      </c>
      <c r="P30" s="313">
        <v>946</v>
      </c>
      <c r="Q30" s="313">
        <v>1930</v>
      </c>
      <c r="R30" s="313">
        <v>12972</v>
      </c>
      <c r="S30" s="313">
        <v>9814</v>
      </c>
      <c r="T30" s="313">
        <v>22786</v>
      </c>
      <c r="U30" s="313">
        <v>459</v>
      </c>
      <c r="V30" s="313">
        <v>866</v>
      </c>
      <c r="W30" s="313">
        <v>1325</v>
      </c>
      <c r="X30" s="313">
        <v>2459</v>
      </c>
      <c r="Y30" s="313">
        <v>2783</v>
      </c>
      <c r="Z30" s="313">
        <v>5242</v>
      </c>
      <c r="AA30" s="313">
        <v>341985</v>
      </c>
      <c r="AB30" s="313">
        <v>355108</v>
      </c>
      <c r="AC30" s="313">
        <v>697093</v>
      </c>
    </row>
    <row r="31" spans="1:29">
      <c r="A31" s="907"/>
      <c r="B31" s="312" t="s">
        <v>301</v>
      </c>
      <c r="C31" s="257">
        <f ca="1">SUMIF('[2]7UnivActwithConsUnit'!$B:$B,$C31,'[2]7UnivActwithConsUnit'!D:D)+SUMIF('[2]8CollegeAct'!$B:$B,$C31,'[2]8CollegeAct'!D:D)+SUMIF(#REF!,$C31,#REF!)</f>
        <v>3214</v>
      </c>
      <c r="D31" s="257">
        <f ca="1">SUMIF('[2]7UnivActwithConsUnit'!$B:$B,$C31,'[2]7UnivActwithConsUnit'!E:E)+SUMIF('[2]8CollegeAct'!$B:$B,$C31,'[2]8CollegeAct'!E:E)+SUMIF(#REF!,$C31,#REF!)</f>
        <v>2413</v>
      </c>
      <c r="E31" s="257">
        <f ca="1">SUMIF('[2]7UnivActwithConsUnit'!$B:$B,$C31,'[2]7UnivActwithConsUnit'!F:F)+SUMIF('[2]8CollegeAct'!$B:$B,$C31,'[2]8CollegeAct'!F:F)+SUMIF(#REF!,$C31,#REF!)</f>
        <v>5627</v>
      </c>
      <c r="F31" s="257">
        <f ca="1">SUMIF('[2]7UnivActwithConsUnit'!$B:$B,$C31,'[2]7UnivActwithConsUnit'!G:G)+SUMIF('[2]8CollegeAct'!$B:$B,$C31,'[2]8CollegeAct'!G:G)+SUMIF(#REF!,$C31,#REF!)</f>
        <v>245</v>
      </c>
      <c r="G31" s="257">
        <f ca="1">SUMIF('[2]7UnivActwithConsUnit'!$B:$B,$C31,'[2]7UnivActwithConsUnit'!H:H)+SUMIF('[2]8CollegeAct'!$B:$B,$C31,'[2]8CollegeAct'!H:H)+SUMIF(#REF!,$C31,#REF!)</f>
        <v>371</v>
      </c>
      <c r="H31" s="257">
        <f ca="1">SUMIF('[2]7UnivActwithConsUnit'!$B:$B,$C31,'[2]7UnivActwithConsUnit'!I:I)+SUMIF('[2]8CollegeAct'!$B:$B,$C31,'[2]8CollegeAct'!I:I)+SUMIF(#REF!,$C31,#REF!)</f>
        <v>616</v>
      </c>
      <c r="I31" s="257">
        <f ca="1">SUMIF('[2]7UnivActwithConsUnit'!$B:$B,$C31,'[2]7UnivActwithConsUnit'!J:J)+SUMIF('[2]10CollegeEst'!$B:$B,$C31,'[2]10CollegeEst'!B:B)+SUMIF(#REF!,$C31,#REF!)</f>
        <v>27523</v>
      </c>
      <c r="J31" s="257">
        <f ca="1">SUMIF('[2]7UnivActwithConsUnit'!$B:$B,$C31,'[2]7UnivActwithConsUnit'!K:K)+SUMIF('[2]10CollegeEst'!$B:$B,$C31,'[2]10CollegeEst'!C:C)+SUMIF(#REF!,$C31,#REF!)</f>
        <v>39800</v>
      </c>
      <c r="K31" s="257">
        <f ca="1">SUMIF('[2]7UnivActwithConsUnit'!$B:$B,$C31,'[2]7UnivActwithConsUnit'!L:L)+SUMIF('[2]10CollegeEst'!$B:$B,$C31,'[2]10CollegeEst'!D:D)+SUMIF(#REF!,$C31,#REF!)</f>
        <v>67323</v>
      </c>
      <c r="L31" s="258">
        <f ca="1">SUMIF('[2]7UnivActwithConsUnit'!$B:$B,$C31,'[2]7UnivActwithConsUnit'!M:M)+SUMIF('[2]10CollegeEst'!$B:$B,$C31,'[2]10CollegeEst'!E:E)+SUMIF(#REF!,$C31,#REF!)</f>
        <v>269915</v>
      </c>
      <c r="M31" s="257">
        <f ca="1">SUMIF('[2]7UnivActwithConsUnit'!$B:$B,$C31,'[2]7UnivActwithConsUnit'!N:N)+SUMIF('[2]10CollegeEst'!$B:$B,$C31,'[2]10CollegeEst'!F:F)+SUMIF(#REF!,$C31,#REF!)</f>
        <v>278078</v>
      </c>
      <c r="N31" s="257">
        <f ca="1">SUMIF('[2]7UnivActwithConsUnit'!$B:$B,$C31,'[2]7UnivActwithConsUnit'!O:O)+SUMIF('[2]10CollegeEst'!$B:$B,$C31,'[2]10CollegeEst'!G:G)+SUMIF(#REF!,$C31,#REF!)</f>
        <v>547993</v>
      </c>
      <c r="O31" s="257">
        <f ca="1">SUMIF('[2]7UnivActwithConsUnit'!$B:$B,$C31,'[2]7UnivActwithConsUnit'!P:P)+SUMIF('[2]8CollegeAct'!$B:$B,$C31,'[2]8CollegeAct'!P:P)+SUMIF(#REF!,$C31,#REF!)</f>
        <v>1683</v>
      </c>
      <c r="P31" s="257">
        <f ca="1">SUMIF('[2]7UnivActwithConsUnit'!$B:$B,$C31,'[2]7UnivActwithConsUnit'!Q:Q)+SUMIF('[2]8CollegeAct'!$B:$B,$C31,'[2]8CollegeAct'!Q:Q)+SUMIF(#REF!,$C31,#REF!)</f>
        <v>1530</v>
      </c>
      <c r="Q31" s="257">
        <f ca="1">SUMIF('[2]7UnivActwithConsUnit'!$B:$B,$C31,'[2]7UnivActwithConsUnit'!R:R)+SUMIF('[2]8CollegeAct'!$B:$B,$C31,'[2]8CollegeAct'!R:R)+SUMIF(#REF!,$C31,#REF!)</f>
        <v>3213</v>
      </c>
      <c r="R31" s="257">
        <f ca="1">SUMIF('[2]7UnivActwithConsUnit'!$B:$B,$C31,'[2]7UnivActwithConsUnit'!S:S)+SUMIF('[2]8CollegeAct'!$B:$B,$C31,'[2]8CollegeAct'!S:S)+SUMIF(#REF!,$C31,#REF!)</f>
        <v>11139</v>
      </c>
      <c r="S31" s="257">
        <f ca="1">SUMIF('[2]7UnivActwithConsUnit'!$B:$B,$C31,'[2]7UnivActwithConsUnit'!T:T)+SUMIF('[2]8CollegeAct'!$B:$B,$C31,'[2]8CollegeAct'!T:T)+SUMIF(#REF!,$C31,#REF!)</f>
        <v>8078</v>
      </c>
      <c r="T31" s="257">
        <f ca="1">SUMIF('[2]7UnivActwithConsUnit'!$B:$B,$C31,'[2]7UnivActwithConsUnit'!U:U)+SUMIF('[2]8CollegeAct'!$B:$B,$C31,'[2]8CollegeAct'!U:U)+SUMIF(#REF!,$C31,#REF!)</f>
        <v>19217</v>
      </c>
      <c r="U31" s="258">
        <f ca="1">SUMIF('[2]7UnivActwithConsUnit'!$B:$B,$C31,'[2]7UnivActwithConsUnit'!V:V)+SUMIF('[2]8CollegeAct'!$B:$B,$C31,'[2]8CollegeAct'!V:V)+SUMIF(#REF!,$C31,#REF!)</f>
        <v>743</v>
      </c>
      <c r="V31" s="257">
        <f ca="1">SUMIF('[2]7UnivActwithConsUnit'!$B:$B,$C31,'[2]7UnivActwithConsUnit'!W:W)+SUMIF('[2]8CollegeAct'!$B:$B,$C31,'[2]8CollegeAct'!W:W)+SUMIF(#REF!,$C31,#REF!)</f>
        <v>1176</v>
      </c>
      <c r="W31" s="257">
        <f ca="1">SUMIF('[2]7UnivActwithConsUnit'!$B:$B,$C31,'[2]7UnivActwithConsUnit'!X:X)+SUMIF('[2]8CollegeAct'!$B:$B,$C31,'[2]8CollegeAct'!X:X)+SUMIF(#REF!,$C31,#REF!)</f>
        <v>1919</v>
      </c>
      <c r="X31" s="257">
        <f ca="1">SUMIF('[2]7UnivActwithConsUnit'!$B:$B,$C31,'[2]7UnivActwithConsUnit'!Y:Y)+SUMIF('[2]8CollegeAct'!$B:$B,$C31,'[2]8CollegeAct'!Y:Y)+SUMIF(#REF!,$C31,#REF!)</f>
        <v>2446</v>
      </c>
      <c r="Y31" s="257">
        <f ca="1">SUMIF('[2]7UnivActwithConsUnit'!$B:$B,$C31,'[2]7UnivActwithConsUnit'!Z:Z)+SUMIF('[2]8CollegeAct'!$B:$B,$C31,'[2]8CollegeAct'!Z:Z)+SUMIF(#REF!,$C31,#REF!)</f>
        <v>2247</v>
      </c>
      <c r="Z31" s="257">
        <f ca="1">SUMIF('[2]7UnivActwithConsUnit'!$B:$B,$C31,'[2]7UnivActwithConsUnit'!AA:AA)+SUMIF('[2]8CollegeAct'!$B:$B,$C31,'[2]8CollegeAct'!AA:AA)+SUMIF(#REF!,$C31,#REF!)</f>
        <v>4693</v>
      </c>
      <c r="AA31" s="125">
        <f t="shared" ref="AA31:AB31" ca="1" si="6">C31+F31+I31+L31+O31+R31+U31+X31</f>
        <v>316908</v>
      </c>
      <c r="AB31" s="125">
        <f t="shared" ca="1" si="6"/>
        <v>333693</v>
      </c>
      <c r="AC31" s="125">
        <f t="shared" ref="AC31" ca="1" si="7">AA31+AB31</f>
        <v>650601</v>
      </c>
    </row>
    <row r="32" spans="1:29">
      <c r="A32" s="907"/>
      <c r="B32" s="314" t="s">
        <v>300</v>
      </c>
      <c r="C32" s="287">
        <v>2970</v>
      </c>
      <c r="D32" s="619">
        <v>1970</v>
      </c>
      <c r="E32" s="287">
        <v>4940</v>
      </c>
      <c r="F32" s="287">
        <v>192</v>
      </c>
      <c r="G32" s="287">
        <v>272</v>
      </c>
      <c r="H32" s="287">
        <v>464</v>
      </c>
      <c r="I32" s="287">
        <v>26709</v>
      </c>
      <c r="J32" s="287">
        <v>38720</v>
      </c>
      <c r="K32" s="287">
        <v>65429</v>
      </c>
      <c r="L32" s="315">
        <v>300082</v>
      </c>
      <c r="M32" s="287">
        <v>296037</v>
      </c>
      <c r="N32" s="287">
        <v>596119</v>
      </c>
      <c r="O32" s="287">
        <v>1694</v>
      </c>
      <c r="P32" s="287">
        <v>1564</v>
      </c>
      <c r="Q32" s="287">
        <v>3258</v>
      </c>
      <c r="R32" s="287">
        <v>12704</v>
      </c>
      <c r="S32" s="287">
        <v>10910</v>
      </c>
      <c r="T32" s="287">
        <v>23614</v>
      </c>
      <c r="U32" s="315">
        <v>756</v>
      </c>
      <c r="V32" s="287">
        <v>1034</v>
      </c>
      <c r="W32" s="287">
        <v>1790</v>
      </c>
      <c r="X32" s="287">
        <v>2377</v>
      </c>
      <c r="Y32" s="287">
        <v>2172</v>
      </c>
      <c r="Z32" s="287">
        <v>4549</v>
      </c>
      <c r="AA32" s="287">
        <v>347484</v>
      </c>
      <c r="AB32" s="287">
        <v>352679</v>
      </c>
      <c r="AC32" s="287">
        <v>700163</v>
      </c>
    </row>
    <row r="33" spans="1:29">
      <c r="A33" s="907"/>
      <c r="B33" s="314" t="s">
        <v>299</v>
      </c>
      <c r="C33" s="96">
        <v>2633</v>
      </c>
      <c r="D33" s="96">
        <v>1704</v>
      </c>
      <c r="E33" s="96">
        <v>4337</v>
      </c>
      <c r="F33" s="96">
        <v>129</v>
      </c>
      <c r="G33" s="96">
        <v>224</v>
      </c>
      <c r="H33" s="96">
        <v>353</v>
      </c>
      <c r="I33" s="96">
        <v>39906.581104964018</v>
      </c>
      <c r="J33" s="96">
        <v>48392.65349222636</v>
      </c>
      <c r="K33" s="96">
        <v>88299.234597190385</v>
      </c>
      <c r="L33" s="97">
        <v>278600.10512203502</v>
      </c>
      <c r="M33" s="96">
        <v>277744.19171424501</v>
      </c>
      <c r="N33" s="96">
        <v>556344.29683628003</v>
      </c>
      <c r="O33" s="96">
        <v>1735</v>
      </c>
      <c r="P33" s="96">
        <v>1627</v>
      </c>
      <c r="Q33" s="96">
        <v>3362</v>
      </c>
      <c r="R33" s="96">
        <v>10223</v>
      </c>
      <c r="S33" s="96">
        <v>7709</v>
      </c>
      <c r="T33" s="96">
        <v>17932</v>
      </c>
      <c r="U33" s="97">
        <v>1082</v>
      </c>
      <c r="V33" s="96">
        <v>1353</v>
      </c>
      <c r="W33" s="96">
        <v>2435</v>
      </c>
      <c r="X33" s="96">
        <v>2630</v>
      </c>
      <c r="Y33" s="96">
        <v>2651</v>
      </c>
      <c r="Z33" s="96">
        <v>5281</v>
      </c>
      <c r="AA33" s="98">
        <f t="shared" ref="AA33:AC33" si="8">C33+F33+I33+L33+O33+R33+U33+X33</f>
        <v>336938.68622699904</v>
      </c>
      <c r="AB33" s="98">
        <f t="shared" si="8"/>
        <v>341404.84520647139</v>
      </c>
      <c r="AC33" s="98">
        <f t="shared" si="8"/>
        <v>678343.53143347043</v>
      </c>
    </row>
    <row r="34" spans="1:29">
      <c r="A34" s="907"/>
      <c r="B34" s="314" t="s">
        <v>298</v>
      </c>
      <c r="C34" s="100">
        <v>2545</v>
      </c>
      <c r="D34" s="100">
        <v>1573</v>
      </c>
      <c r="E34" s="101">
        <v>4118</v>
      </c>
      <c r="F34" s="100">
        <v>76</v>
      </c>
      <c r="G34" s="100">
        <v>152</v>
      </c>
      <c r="H34" s="101">
        <v>228</v>
      </c>
      <c r="I34" s="100">
        <v>33834</v>
      </c>
      <c r="J34" s="100">
        <v>42433</v>
      </c>
      <c r="K34" s="101">
        <v>76267</v>
      </c>
      <c r="L34" s="102">
        <v>265032</v>
      </c>
      <c r="M34" s="100">
        <v>257856</v>
      </c>
      <c r="N34" s="101">
        <v>522888</v>
      </c>
      <c r="O34" s="100">
        <v>1755</v>
      </c>
      <c r="P34" s="100">
        <v>1312</v>
      </c>
      <c r="Q34" s="101">
        <v>3067</v>
      </c>
      <c r="R34" s="100">
        <v>17206</v>
      </c>
      <c r="S34" s="100">
        <v>9254</v>
      </c>
      <c r="T34" s="101">
        <v>26460</v>
      </c>
      <c r="U34" s="102">
        <v>970</v>
      </c>
      <c r="V34" s="100">
        <v>1324</v>
      </c>
      <c r="W34" s="101">
        <v>2294</v>
      </c>
      <c r="X34" s="100">
        <v>2472</v>
      </c>
      <c r="Y34" s="100">
        <v>2476</v>
      </c>
      <c r="Z34" s="101">
        <v>4948</v>
      </c>
      <c r="AA34" s="101">
        <v>323890</v>
      </c>
      <c r="AB34" s="101">
        <v>316380</v>
      </c>
      <c r="AC34" s="101">
        <f t="shared" ref="AC34" si="9">SUM(AA34+AB34)</f>
        <v>640270</v>
      </c>
    </row>
    <row r="35" spans="1:29">
      <c r="A35" s="907">
        <v>5</v>
      </c>
      <c r="B35" s="309" t="s">
        <v>18</v>
      </c>
      <c r="C35" s="310"/>
      <c r="D35" s="310"/>
      <c r="E35" s="310"/>
      <c r="F35" s="310"/>
      <c r="G35" s="310"/>
      <c r="H35" s="310"/>
      <c r="I35" s="310"/>
      <c r="J35" s="310"/>
      <c r="K35" s="311"/>
      <c r="L35" s="310"/>
      <c r="M35" s="310"/>
      <c r="N35" s="310"/>
      <c r="O35" s="310"/>
      <c r="P35" s="310"/>
      <c r="Q35" s="310"/>
      <c r="R35" s="310"/>
      <c r="S35" s="310"/>
      <c r="T35" s="311"/>
      <c r="U35" s="310"/>
      <c r="V35" s="310"/>
      <c r="W35" s="310"/>
      <c r="X35" s="310"/>
      <c r="Y35" s="310"/>
      <c r="Z35" s="310"/>
      <c r="AA35" s="310"/>
      <c r="AB35" s="310"/>
      <c r="AC35" s="311"/>
    </row>
    <row r="36" spans="1:29">
      <c r="A36" s="907"/>
      <c r="B36" s="312" t="s">
        <v>997</v>
      </c>
      <c r="C36" s="313">
        <v>2625</v>
      </c>
      <c r="D36" s="313">
        <v>1183</v>
      </c>
      <c r="E36" s="313">
        <v>3808</v>
      </c>
      <c r="F36" s="313">
        <v>50</v>
      </c>
      <c r="G36" s="313">
        <v>23</v>
      </c>
      <c r="H36" s="313">
        <v>73</v>
      </c>
      <c r="I36" s="313">
        <v>99157</v>
      </c>
      <c r="J36" s="313">
        <v>84462</v>
      </c>
      <c r="K36" s="313">
        <v>183619</v>
      </c>
      <c r="L36" s="313">
        <v>1141620</v>
      </c>
      <c r="M36" s="313">
        <v>911387</v>
      </c>
      <c r="N36" s="313">
        <v>2053007</v>
      </c>
      <c r="O36" s="313">
        <v>2798</v>
      </c>
      <c r="P36" s="313">
        <v>1077</v>
      </c>
      <c r="Q36" s="313">
        <v>3875</v>
      </c>
      <c r="R36" s="313">
        <v>57296</v>
      </c>
      <c r="S36" s="313">
        <v>49189</v>
      </c>
      <c r="T36" s="313">
        <v>106485</v>
      </c>
      <c r="U36" s="313">
        <v>3264</v>
      </c>
      <c r="V36" s="313">
        <v>2885</v>
      </c>
      <c r="W36" s="313">
        <v>6149</v>
      </c>
      <c r="X36" s="313">
        <v>2592</v>
      </c>
      <c r="Y36" s="313">
        <v>1333</v>
      </c>
      <c r="Z36" s="313">
        <v>3925</v>
      </c>
      <c r="AA36" s="313">
        <v>1309402</v>
      </c>
      <c r="AB36" s="313">
        <v>1051539</v>
      </c>
      <c r="AC36" s="313">
        <v>2360941</v>
      </c>
    </row>
    <row r="37" spans="1:29">
      <c r="A37" s="907"/>
      <c r="B37" s="312" t="s">
        <v>301</v>
      </c>
      <c r="C37" s="257">
        <f ca="1">SUMIF('[2]7UnivActwithConsUnit'!$B:$B,$C37,'[2]7UnivActwithConsUnit'!D:D)+SUMIF('[2]8CollegeAct'!$B:$B,$C37,'[2]8CollegeAct'!D:D)+SUMIF(#REF!,$C37,#REF!)</f>
        <v>1665</v>
      </c>
      <c r="D37" s="257">
        <f ca="1">SUMIF('[2]7UnivActwithConsUnit'!$B:$B,$C37,'[2]7UnivActwithConsUnit'!E:E)+SUMIF('[2]8CollegeAct'!$B:$B,$C37,'[2]8CollegeAct'!E:E)+SUMIF(#REF!,$C37,#REF!)</f>
        <v>1034</v>
      </c>
      <c r="E37" s="257">
        <f ca="1">SUMIF('[2]7UnivActwithConsUnit'!$B:$B,$C37,'[2]7UnivActwithConsUnit'!F:F)+SUMIF('[2]8CollegeAct'!$B:$B,$C37,'[2]8CollegeAct'!F:F)+SUMIF(#REF!,$C37,#REF!)</f>
        <v>2699</v>
      </c>
      <c r="F37" s="257">
        <f ca="1">SUMIF('[2]7UnivActwithConsUnit'!$B:$B,$C37,'[2]7UnivActwithConsUnit'!G:G)+SUMIF('[2]8CollegeAct'!$B:$B,$C37,'[2]8CollegeAct'!G:G)+SUMIF(#REF!,$C37,#REF!)</f>
        <v>55</v>
      </c>
      <c r="G37" s="257">
        <f ca="1">SUMIF('[2]7UnivActwithConsUnit'!$B:$B,$C37,'[2]7UnivActwithConsUnit'!H:H)+SUMIF('[2]8CollegeAct'!$B:$B,$C37,'[2]8CollegeAct'!H:H)+SUMIF(#REF!,$C37,#REF!)</f>
        <v>15</v>
      </c>
      <c r="H37" s="257">
        <f ca="1">SUMIF('[2]7UnivActwithConsUnit'!$B:$B,$C37,'[2]7UnivActwithConsUnit'!I:I)+SUMIF('[2]8CollegeAct'!$B:$B,$C37,'[2]8CollegeAct'!I:I)+SUMIF(#REF!,$C37,#REF!)</f>
        <v>70</v>
      </c>
      <c r="I37" s="257">
        <f ca="1">SUMIF('[2]7UnivActwithConsUnit'!$B:$B,$C37,'[2]7UnivActwithConsUnit'!J:J)+SUMIF('[2]10CollegeEst'!$B:$B,$C37,'[2]10CollegeEst'!B:B)+SUMIF(#REF!,$C37,#REF!)</f>
        <v>61287</v>
      </c>
      <c r="J37" s="257">
        <f ca="1">SUMIF('[2]7UnivActwithConsUnit'!$B:$B,$C37,'[2]7UnivActwithConsUnit'!K:K)+SUMIF('[2]10CollegeEst'!$B:$B,$C37,'[2]10CollegeEst'!C:C)+SUMIF(#REF!,$C37,#REF!)</f>
        <v>59654</v>
      </c>
      <c r="K37" s="257">
        <f ca="1">SUMIF('[2]7UnivActwithConsUnit'!$B:$B,$C37,'[2]7UnivActwithConsUnit'!L:L)+SUMIF('[2]10CollegeEst'!$B:$B,$C37,'[2]10CollegeEst'!D:D)+SUMIF(#REF!,$C37,#REF!)</f>
        <v>120941</v>
      </c>
      <c r="L37" s="258">
        <f ca="1">SUMIF('[2]7UnivActwithConsUnit'!$B:$B,$C37,'[2]7UnivActwithConsUnit'!M:M)+SUMIF('[2]10CollegeEst'!$B:$B,$C37,'[2]10CollegeEst'!E:E)+SUMIF(#REF!,$C37,#REF!)</f>
        <v>855740</v>
      </c>
      <c r="M37" s="257">
        <f ca="1">SUMIF('[2]7UnivActwithConsUnit'!$B:$B,$C37,'[2]7UnivActwithConsUnit'!N:N)+SUMIF('[2]10CollegeEst'!$B:$B,$C37,'[2]10CollegeEst'!F:F)+SUMIF(#REF!,$C37,#REF!)</f>
        <v>677529</v>
      </c>
      <c r="N37" s="257">
        <f ca="1">SUMIF('[2]7UnivActwithConsUnit'!$B:$B,$C37,'[2]7UnivActwithConsUnit'!O:O)+SUMIF('[2]10CollegeEst'!$B:$B,$C37,'[2]10CollegeEst'!G:G)+SUMIF(#REF!,$C37,#REF!)</f>
        <v>1533269</v>
      </c>
      <c r="O37" s="257">
        <f ca="1">SUMIF('[2]7UnivActwithConsUnit'!$B:$B,$C37,'[2]7UnivActwithConsUnit'!P:P)+SUMIF('[2]8CollegeAct'!$B:$B,$C37,'[2]8CollegeAct'!P:P)+SUMIF(#REF!,$C37,#REF!)</f>
        <v>1814</v>
      </c>
      <c r="P37" s="257">
        <f ca="1">SUMIF('[2]7UnivActwithConsUnit'!$B:$B,$C37,'[2]7UnivActwithConsUnit'!Q:Q)+SUMIF('[2]8CollegeAct'!$B:$B,$C37,'[2]8CollegeAct'!Q:Q)+SUMIF(#REF!,$C37,#REF!)</f>
        <v>801</v>
      </c>
      <c r="Q37" s="257">
        <f ca="1">SUMIF('[2]7UnivActwithConsUnit'!$B:$B,$C37,'[2]7UnivActwithConsUnit'!R:R)+SUMIF('[2]8CollegeAct'!$B:$B,$C37,'[2]8CollegeAct'!R:R)+SUMIF(#REF!,$C37,#REF!)</f>
        <v>2615</v>
      </c>
      <c r="R37" s="257">
        <f ca="1">SUMIF('[2]7UnivActwithConsUnit'!$B:$B,$C37,'[2]7UnivActwithConsUnit'!S:S)+SUMIF('[2]8CollegeAct'!$B:$B,$C37,'[2]8CollegeAct'!S:S)+SUMIF(#REF!,$C37,#REF!)</f>
        <v>43054</v>
      </c>
      <c r="S37" s="257">
        <f ca="1">SUMIF('[2]7UnivActwithConsUnit'!$B:$B,$C37,'[2]7UnivActwithConsUnit'!T:T)+SUMIF('[2]8CollegeAct'!$B:$B,$C37,'[2]8CollegeAct'!T:T)+SUMIF(#REF!,$C37,#REF!)</f>
        <v>25907</v>
      </c>
      <c r="T37" s="257">
        <f ca="1">SUMIF('[2]7UnivActwithConsUnit'!$B:$B,$C37,'[2]7UnivActwithConsUnit'!U:U)+SUMIF('[2]8CollegeAct'!$B:$B,$C37,'[2]8CollegeAct'!U:U)+SUMIF(#REF!,$C37,#REF!)</f>
        <v>68961</v>
      </c>
      <c r="U37" s="258">
        <f ca="1">SUMIF('[2]7UnivActwithConsUnit'!$B:$B,$C37,'[2]7UnivActwithConsUnit'!V:V)+SUMIF('[2]8CollegeAct'!$B:$B,$C37,'[2]8CollegeAct'!V:V)+SUMIF(#REF!,$C37,#REF!)</f>
        <v>4029</v>
      </c>
      <c r="V37" s="257">
        <f ca="1">SUMIF('[2]7UnivActwithConsUnit'!$B:$B,$C37,'[2]7UnivActwithConsUnit'!W:W)+SUMIF('[2]8CollegeAct'!$B:$B,$C37,'[2]8CollegeAct'!W:W)+SUMIF(#REF!,$C37,#REF!)</f>
        <v>2564</v>
      </c>
      <c r="W37" s="257">
        <f ca="1">SUMIF('[2]7UnivActwithConsUnit'!$B:$B,$C37,'[2]7UnivActwithConsUnit'!X:X)+SUMIF('[2]8CollegeAct'!$B:$B,$C37,'[2]8CollegeAct'!X:X)+SUMIF(#REF!,$C37,#REF!)</f>
        <v>6593</v>
      </c>
      <c r="X37" s="257">
        <f ca="1">SUMIF('[2]7UnivActwithConsUnit'!$B:$B,$C37,'[2]7UnivActwithConsUnit'!Y:Y)+SUMIF('[2]8CollegeAct'!$B:$B,$C37,'[2]8CollegeAct'!Y:Y)+SUMIF(#REF!,$C37,#REF!)</f>
        <v>2258</v>
      </c>
      <c r="Y37" s="257">
        <f ca="1">SUMIF('[2]7UnivActwithConsUnit'!$B:$B,$C37,'[2]7UnivActwithConsUnit'!Z:Z)+SUMIF('[2]8CollegeAct'!$B:$B,$C37,'[2]8CollegeAct'!Z:Z)+SUMIF(#REF!,$C37,#REF!)</f>
        <v>1026</v>
      </c>
      <c r="Z37" s="257">
        <f ca="1">SUMIF('[2]7UnivActwithConsUnit'!$B:$B,$C37,'[2]7UnivActwithConsUnit'!AA:AA)+SUMIF('[2]8CollegeAct'!$B:$B,$C37,'[2]8CollegeAct'!AA:AA)+SUMIF(#REF!,$C37,#REF!)</f>
        <v>3284</v>
      </c>
      <c r="AA37" s="125">
        <f t="shared" ref="AA37:AB37" ca="1" si="10">C37+F37+I37+L37+O37+R37+U37+X37</f>
        <v>969902</v>
      </c>
      <c r="AB37" s="125">
        <f t="shared" ca="1" si="10"/>
        <v>768530</v>
      </c>
      <c r="AC37" s="125">
        <f t="shared" ref="AC37" ca="1" si="11">AA37+AB37</f>
        <v>1738432</v>
      </c>
    </row>
    <row r="38" spans="1:29">
      <c r="A38" s="907"/>
      <c r="B38" s="314" t="s">
        <v>300</v>
      </c>
      <c r="C38" s="287">
        <v>2239</v>
      </c>
      <c r="D38" s="287">
        <v>1123</v>
      </c>
      <c r="E38" s="287">
        <v>3362</v>
      </c>
      <c r="F38" s="287">
        <v>0</v>
      </c>
      <c r="G38" s="287">
        <v>0</v>
      </c>
      <c r="H38" s="287">
        <v>0</v>
      </c>
      <c r="I38" s="287">
        <v>69515</v>
      </c>
      <c r="J38" s="287">
        <v>58697</v>
      </c>
      <c r="K38" s="287">
        <v>128212</v>
      </c>
      <c r="L38" s="315">
        <v>807032</v>
      </c>
      <c r="M38" s="287">
        <v>604600</v>
      </c>
      <c r="N38" s="287">
        <v>1411632</v>
      </c>
      <c r="O38" s="287">
        <v>1692</v>
      </c>
      <c r="P38" s="287">
        <v>778</v>
      </c>
      <c r="Q38" s="287">
        <v>2470</v>
      </c>
      <c r="R38" s="287">
        <v>35350</v>
      </c>
      <c r="S38" s="287">
        <v>18990</v>
      </c>
      <c r="T38" s="287">
        <v>54340</v>
      </c>
      <c r="U38" s="315">
        <v>2705</v>
      </c>
      <c r="V38" s="287">
        <v>1439</v>
      </c>
      <c r="W38" s="287">
        <v>4144</v>
      </c>
      <c r="X38" s="287">
        <v>1952</v>
      </c>
      <c r="Y38" s="287">
        <v>896</v>
      </c>
      <c r="Z38" s="287">
        <v>2848</v>
      </c>
      <c r="AA38" s="287">
        <v>920485</v>
      </c>
      <c r="AB38" s="287">
        <v>686523</v>
      </c>
      <c r="AC38" s="287">
        <v>1607008</v>
      </c>
    </row>
    <row r="39" spans="1:29">
      <c r="A39" s="907"/>
      <c r="B39" s="314" t="s">
        <v>299</v>
      </c>
      <c r="C39" s="103">
        <v>1902</v>
      </c>
      <c r="D39" s="103">
        <v>954</v>
      </c>
      <c r="E39" s="95">
        <v>2856</v>
      </c>
      <c r="F39" s="805"/>
      <c r="G39" s="805"/>
      <c r="H39" s="805"/>
      <c r="I39" s="103">
        <v>70534</v>
      </c>
      <c r="J39" s="103">
        <v>54605</v>
      </c>
      <c r="K39" s="95">
        <v>125139</v>
      </c>
      <c r="L39" s="104">
        <v>763699</v>
      </c>
      <c r="M39" s="103">
        <v>570070</v>
      </c>
      <c r="N39" s="95">
        <v>1333769</v>
      </c>
      <c r="O39" s="103">
        <v>2030</v>
      </c>
      <c r="P39" s="103">
        <v>850</v>
      </c>
      <c r="Q39" s="95">
        <v>2880</v>
      </c>
      <c r="R39" s="103">
        <v>30942</v>
      </c>
      <c r="S39" s="103">
        <v>14031</v>
      </c>
      <c r="T39" s="95">
        <v>44973</v>
      </c>
      <c r="U39" s="104">
        <v>2336</v>
      </c>
      <c r="V39" s="103">
        <v>1075</v>
      </c>
      <c r="W39" s="95">
        <v>3411</v>
      </c>
      <c r="X39" s="103">
        <v>1512</v>
      </c>
      <c r="Y39" s="103">
        <v>788</v>
      </c>
      <c r="Z39" s="95">
        <v>2300</v>
      </c>
      <c r="AA39" s="95">
        <v>872270</v>
      </c>
      <c r="AB39" s="95">
        <v>642325</v>
      </c>
      <c r="AC39" s="95">
        <v>1514595</v>
      </c>
    </row>
    <row r="40" spans="1:29">
      <c r="A40" s="907"/>
      <c r="B40" s="314" t="s">
        <v>298</v>
      </c>
      <c r="C40" s="100">
        <v>1502</v>
      </c>
      <c r="D40" s="100">
        <v>726</v>
      </c>
      <c r="E40" s="101">
        <v>2228</v>
      </c>
      <c r="F40" s="100">
        <v>0</v>
      </c>
      <c r="G40" s="100">
        <v>0</v>
      </c>
      <c r="H40" s="101">
        <v>0</v>
      </c>
      <c r="I40" s="100">
        <v>77794</v>
      </c>
      <c r="J40" s="100">
        <v>62155</v>
      </c>
      <c r="K40" s="101">
        <v>139949</v>
      </c>
      <c r="L40" s="102">
        <v>839122</v>
      </c>
      <c r="M40" s="100">
        <v>621470</v>
      </c>
      <c r="N40" s="101">
        <v>1460592</v>
      </c>
      <c r="O40" s="100">
        <v>1845</v>
      </c>
      <c r="P40" s="100">
        <v>767</v>
      </c>
      <c r="Q40" s="101">
        <v>2612</v>
      </c>
      <c r="R40" s="100">
        <v>24408</v>
      </c>
      <c r="S40" s="100">
        <v>9473</v>
      </c>
      <c r="T40" s="101">
        <v>33881</v>
      </c>
      <c r="U40" s="102">
        <v>2865</v>
      </c>
      <c r="V40" s="100">
        <v>1539</v>
      </c>
      <c r="W40" s="101">
        <v>4404</v>
      </c>
      <c r="X40" s="100">
        <v>1212</v>
      </c>
      <c r="Y40" s="100">
        <v>640</v>
      </c>
      <c r="Z40" s="101">
        <v>1852</v>
      </c>
      <c r="AA40" s="101">
        <v>948748</v>
      </c>
      <c r="AB40" s="101">
        <v>696770</v>
      </c>
      <c r="AC40" s="101">
        <f t="shared" ref="AC40" si="12">SUM(AA40+AB40)</f>
        <v>1645518</v>
      </c>
    </row>
    <row r="41" spans="1:29">
      <c r="A41" s="907">
        <v>6</v>
      </c>
      <c r="B41" s="309" t="s">
        <v>19</v>
      </c>
      <c r="C41" s="310"/>
      <c r="D41" s="310"/>
      <c r="E41" s="310"/>
      <c r="F41" s="310"/>
      <c r="G41" s="310"/>
      <c r="H41" s="310"/>
      <c r="I41" s="310"/>
      <c r="J41" s="310"/>
      <c r="K41" s="311"/>
      <c r="L41" s="310"/>
      <c r="M41" s="310"/>
      <c r="N41" s="310"/>
      <c r="O41" s="310"/>
      <c r="P41" s="310"/>
      <c r="Q41" s="310"/>
      <c r="R41" s="310"/>
      <c r="S41" s="310"/>
      <c r="T41" s="311"/>
      <c r="U41" s="310"/>
      <c r="V41" s="310"/>
      <c r="W41" s="310"/>
      <c r="X41" s="310"/>
      <c r="Y41" s="310"/>
      <c r="Z41" s="310"/>
      <c r="AA41" s="310"/>
      <c r="AB41" s="310"/>
      <c r="AC41" s="311"/>
    </row>
    <row r="42" spans="1:29">
      <c r="A42" s="907"/>
      <c r="B42" s="312" t="s">
        <v>997</v>
      </c>
      <c r="C42" s="313">
        <v>323</v>
      </c>
      <c r="D42" s="313">
        <v>427</v>
      </c>
      <c r="E42" s="313">
        <v>750</v>
      </c>
      <c r="F42" s="313">
        <v>158</v>
      </c>
      <c r="G42" s="313">
        <v>29</v>
      </c>
      <c r="H42" s="313">
        <v>187</v>
      </c>
      <c r="I42" s="313">
        <v>8669</v>
      </c>
      <c r="J42" s="313">
        <v>13715</v>
      </c>
      <c r="K42" s="313">
        <v>22384</v>
      </c>
      <c r="L42" s="313">
        <v>40358</v>
      </c>
      <c r="M42" s="313">
        <v>35349</v>
      </c>
      <c r="N42" s="313">
        <v>75707</v>
      </c>
      <c r="O42" s="313">
        <v>1138</v>
      </c>
      <c r="P42" s="313">
        <v>1181</v>
      </c>
      <c r="Q42" s="313">
        <v>2319</v>
      </c>
      <c r="R42" s="313">
        <v>3035</v>
      </c>
      <c r="S42" s="313">
        <v>3631</v>
      </c>
      <c r="T42" s="313">
        <v>6666</v>
      </c>
      <c r="U42" s="313">
        <v>245</v>
      </c>
      <c r="V42" s="313">
        <v>237</v>
      </c>
      <c r="W42" s="313">
        <v>482</v>
      </c>
      <c r="X42" s="313">
        <v>883</v>
      </c>
      <c r="Y42" s="313">
        <v>1087</v>
      </c>
      <c r="Z42" s="313">
        <v>1970</v>
      </c>
      <c r="AA42" s="313">
        <v>54809</v>
      </c>
      <c r="AB42" s="313">
        <v>55656</v>
      </c>
      <c r="AC42" s="313">
        <v>110465</v>
      </c>
    </row>
    <row r="43" spans="1:29">
      <c r="A43" s="907"/>
      <c r="B43" s="314" t="s">
        <v>301</v>
      </c>
      <c r="C43" s="259">
        <f ca="1">SUMIF('[2]7UnivActwithConsUnit'!$B:$B,$C43,'[2]7UnivActwithConsUnit'!D:D)+SUMIF('[2]8CollegeAct'!$B:$B,$C43,'[2]8CollegeAct'!D:D)+SUMIF(#REF!,$C43,#REF!)</f>
        <v>409</v>
      </c>
      <c r="D43" s="259">
        <f ca="1">SUMIF('[2]7UnivActwithConsUnit'!$B:$B,$C43,'[2]7UnivActwithConsUnit'!E:E)+SUMIF('[2]8CollegeAct'!$B:$B,$C43,'[2]8CollegeAct'!E:E)+SUMIF(#REF!,$C43,#REF!)</f>
        <v>550</v>
      </c>
      <c r="E43" s="259">
        <f ca="1">SUMIF('[2]7UnivActwithConsUnit'!$B:$B,$C43,'[2]7UnivActwithConsUnit'!F:F)+SUMIF('[2]8CollegeAct'!$B:$B,$C43,'[2]8CollegeAct'!F:F)+SUMIF(#REF!,$C43,#REF!)</f>
        <v>959</v>
      </c>
      <c r="F43" s="259">
        <f ca="1">SUMIF('[2]7UnivActwithConsUnit'!$B:$B,$C43,'[2]7UnivActwithConsUnit'!G:G)+SUMIF('[2]8CollegeAct'!$B:$B,$C43,'[2]8CollegeAct'!G:G)+SUMIF(#REF!,$C43,#REF!)</f>
        <v>140</v>
      </c>
      <c r="G43" s="259">
        <f ca="1">SUMIF('[2]7UnivActwithConsUnit'!$B:$B,$C43,'[2]7UnivActwithConsUnit'!H:H)+SUMIF('[2]8CollegeAct'!$B:$B,$C43,'[2]8CollegeAct'!H:H)+SUMIF(#REF!,$C43,#REF!)</f>
        <v>48</v>
      </c>
      <c r="H43" s="259">
        <f ca="1">SUMIF('[2]7UnivActwithConsUnit'!$B:$B,$C43,'[2]7UnivActwithConsUnit'!I:I)+SUMIF('[2]8CollegeAct'!$B:$B,$C43,'[2]8CollegeAct'!I:I)+SUMIF(#REF!,$C43,#REF!)</f>
        <v>188</v>
      </c>
      <c r="I43" s="259">
        <f ca="1">SUMIF('[2]7UnivActwithConsUnit'!$B:$B,$C43,'[2]7UnivActwithConsUnit'!J:J)+SUMIF('[2]10CollegeEst'!$B:$B,$C43,'[2]10CollegeEst'!B:B)+SUMIF(#REF!,$C43,#REF!)</f>
        <v>8560</v>
      </c>
      <c r="J43" s="259">
        <f ca="1">SUMIF('[2]7UnivActwithConsUnit'!$B:$B,$C43,'[2]7UnivActwithConsUnit'!K:K)+SUMIF('[2]10CollegeEst'!$B:$B,$C43,'[2]10CollegeEst'!C:C)+SUMIF(#REF!,$C43,#REF!)</f>
        <v>13854</v>
      </c>
      <c r="K43" s="259">
        <f ca="1">SUMIF('[2]7UnivActwithConsUnit'!$B:$B,$C43,'[2]7UnivActwithConsUnit'!L:L)+SUMIF('[2]10CollegeEst'!$B:$B,$C43,'[2]10CollegeEst'!D:D)+SUMIF(#REF!,$C43,#REF!)</f>
        <v>22414</v>
      </c>
      <c r="L43" s="260">
        <f ca="1">SUMIF('[2]7UnivActwithConsUnit'!$B:$B,$C43,'[2]7UnivActwithConsUnit'!M:M)+SUMIF('[2]10CollegeEst'!$B:$B,$C43,'[2]10CollegeEst'!E:E)+SUMIF(#REF!,$C43,#REF!)</f>
        <v>39098</v>
      </c>
      <c r="M43" s="259">
        <f ca="1">SUMIF('[2]7UnivActwithConsUnit'!$B:$B,$C43,'[2]7UnivActwithConsUnit'!N:N)+SUMIF('[2]10CollegeEst'!$B:$B,$C43,'[2]10CollegeEst'!F:F)+SUMIF(#REF!,$C43,#REF!)</f>
        <v>34415</v>
      </c>
      <c r="N43" s="259">
        <f ca="1">SUMIF('[2]7UnivActwithConsUnit'!$B:$B,$C43,'[2]7UnivActwithConsUnit'!O:O)+SUMIF('[2]10CollegeEst'!$B:$B,$C43,'[2]10CollegeEst'!G:G)+SUMIF(#REF!,$C43,#REF!)</f>
        <v>73513</v>
      </c>
      <c r="O43" s="259">
        <f ca="1">SUMIF('[2]7UnivActwithConsUnit'!$B:$B,$C43,'[2]7UnivActwithConsUnit'!P:P)+SUMIF('[2]8CollegeAct'!$B:$B,$C43,'[2]8CollegeAct'!P:P)+SUMIF(#REF!,$C43,#REF!)</f>
        <v>1065</v>
      </c>
      <c r="P43" s="259">
        <f ca="1">SUMIF('[2]7UnivActwithConsUnit'!$B:$B,$C43,'[2]7UnivActwithConsUnit'!Q:Q)+SUMIF('[2]8CollegeAct'!$B:$B,$C43,'[2]8CollegeAct'!Q:Q)+SUMIF(#REF!,$C43,#REF!)</f>
        <v>1115</v>
      </c>
      <c r="Q43" s="259">
        <f ca="1">SUMIF('[2]7UnivActwithConsUnit'!$B:$B,$C43,'[2]7UnivActwithConsUnit'!R:R)+SUMIF('[2]8CollegeAct'!$B:$B,$C43,'[2]8CollegeAct'!R:R)+SUMIF(#REF!,$C43,#REF!)</f>
        <v>2180</v>
      </c>
      <c r="R43" s="259">
        <f ca="1">SUMIF('[2]7UnivActwithConsUnit'!$B:$B,$C43,'[2]7UnivActwithConsUnit'!S:S)+SUMIF('[2]8CollegeAct'!$B:$B,$C43,'[2]8CollegeAct'!S:S)+SUMIF(#REF!,$C43,#REF!)</f>
        <v>2340</v>
      </c>
      <c r="S43" s="259">
        <f ca="1">SUMIF('[2]7UnivActwithConsUnit'!$B:$B,$C43,'[2]7UnivActwithConsUnit'!T:T)+SUMIF('[2]8CollegeAct'!$B:$B,$C43,'[2]8CollegeAct'!T:T)+SUMIF(#REF!,$C43,#REF!)</f>
        <v>1944</v>
      </c>
      <c r="T43" s="259">
        <f ca="1">SUMIF('[2]7UnivActwithConsUnit'!$B:$B,$C43,'[2]7UnivActwithConsUnit'!U:U)+SUMIF('[2]8CollegeAct'!$B:$B,$C43,'[2]8CollegeAct'!U:U)+SUMIF(#REF!,$C43,#REF!)</f>
        <v>4284</v>
      </c>
      <c r="U43" s="260">
        <f ca="1">SUMIF('[2]7UnivActwithConsUnit'!$B:$B,$C43,'[2]7UnivActwithConsUnit'!V:V)+SUMIF('[2]8CollegeAct'!$B:$B,$C43,'[2]8CollegeAct'!V:V)+SUMIF(#REF!,$C43,#REF!)</f>
        <v>419</v>
      </c>
      <c r="V43" s="259">
        <f ca="1">SUMIF('[2]7UnivActwithConsUnit'!$B:$B,$C43,'[2]7UnivActwithConsUnit'!W:W)+SUMIF('[2]8CollegeAct'!$B:$B,$C43,'[2]8CollegeAct'!W:W)+SUMIF(#REF!,$C43,#REF!)</f>
        <v>281</v>
      </c>
      <c r="W43" s="259">
        <f ca="1">SUMIF('[2]7UnivActwithConsUnit'!$B:$B,$C43,'[2]7UnivActwithConsUnit'!X:X)+SUMIF('[2]8CollegeAct'!$B:$B,$C43,'[2]8CollegeAct'!X:X)+SUMIF(#REF!,$C43,#REF!)</f>
        <v>700</v>
      </c>
      <c r="X43" s="259">
        <f ca="1">SUMIF('[2]7UnivActwithConsUnit'!$B:$B,$C43,'[2]7UnivActwithConsUnit'!Y:Y)+SUMIF('[2]8CollegeAct'!$B:$B,$C43,'[2]8CollegeAct'!Y:Y)+SUMIF(#REF!,$C43,#REF!)</f>
        <v>1139</v>
      </c>
      <c r="Y43" s="259">
        <f ca="1">SUMIF('[2]7UnivActwithConsUnit'!$B:$B,$C43,'[2]7UnivActwithConsUnit'!Z:Z)+SUMIF('[2]8CollegeAct'!$B:$B,$C43,'[2]8CollegeAct'!Z:Z)+SUMIF(#REF!,$C43,#REF!)</f>
        <v>1290</v>
      </c>
      <c r="Z43" s="259">
        <f ca="1">SUMIF('[2]7UnivActwithConsUnit'!$B:$B,$C43,'[2]7UnivActwithConsUnit'!AA:AA)+SUMIF('[2]8CollegeAct'!$B:$B,$C43,'[2]8CollegeAct'!AA:AA)+SUMIF(#REF!,$C43,#REF!)</f>
        <v>2429</v>
      </c>
      <c r="AA43" s="261">
        <f t="shared" ref="AA43:AB43" ca="1" si="13">C43+F43+I43+L43+O43+R43+U43+X43</f>
        <v>53170</v>
      </c>
      <c r="AB43" s="261">
        <f t="shared" ca="1" si="13"/>
        <v>53497</v>
      </c>
      <c r="AC43" s="261">
        <f t="shared" ref="AC43" ca="1" si="14">AA43+AB43</f>
        <v>106667</v>
      </c>
    </row>
    <row r="44" spans="1:29">
      <c r="A44" s="907"/>
      <c r="B44" s="314" t="s">
        <v>300</v>
      </c>
      <c r="C44" s="287">
        <v>353</v>
      </c>
      <c r="D44" s="287">
        <v>508</v>
      </c>
      <c r="E44" s="287">
        <v>861</v>
      </c>
      <c r="F44" s="287">
        <v>145</v>
      </c>
      <c r="G44" s="287">
        <v>43</v>
      </c>
      <c r="H44" s="287">
        <v>188</v>
      </c>
      <c r="I44" s="287">
        <v>7576</v>
      </c>
      <c r="J44" s="287">
        <v>13291</v>
      </c>
      <c r="K44" s="287">
        <v>20867</v>
      </c>
      <c r="L44" s="315">
        <v>36391</v>
      </c>
      <c r="M44" s="287">
        <v>32954</v>
      </c>
      <c r="N44" s="287">
        <v>69345</v>
      </c>
      <c r="O44" s="287">
        <v>778</v>
      </c>
      <c r="P44" s="287">
        <v>857</v>
      </c>
      <c r="Q44" s="287">
        <v>1635</v>
      </c>
      <c r="R44" s="287">
        <v>1644</v>
      </c>
      <c r="S44" s="287">
        <v>1477</v>
      </c>
      <c r="T44" s="287">
        <v>3121</v>
      </c>
      <c r="U44" s="315">
        <v>568</v>
      </c>
      <c r="V44" s="287">
        <v>222</v>
      </c>
      <c r="W44" s="287">
        <v>790</v>
      </c>
      <c r="X44" s="287">
        <v>1111</v>
      </c>
      <c r="Y44" s="287">
        <v>1091</v>
      </c>
      <c r="Z44" s="287">
        <v>2202</v>
      </c>
      <c r="AA44" s="287">
        <v>48566</v>
      </c>
      <c r="AB44" s="287">
        <v>50443</v>
      </c>
      <c r="AC44" s="287">
        <v>99009</v>
      </c>
    </row>
    <row r="45" spans="1:29">
      <c r="A45" s="907"/>
      <c r="B45" s="314" t="s">
        <v>299</v>
      </c>
      <c r="C45" s="96">
        <v>472</v>
      </c>
      <c r="D45" s="96">
        <v>415</v>
      </c>
      <c r="E45" s="96">
        <v>887</v>
      </c>
      <c r="F45" s="96">
        <v>168</v>
      </c>
      <c r="G45" s="96">
        <v>67</v>
      </c>
      <c r="H45" s="96">
        <v>235</v>
      </c>
      <c r="I45" s="96">
        <v>9571.8463378402666</v>
      </c>
      <c r="J45" s="96">
        <v>14184.183966206754</v>
      </c>
      <c r="K45" s="96">
        <v>23756.030304047021</v>
      </c>
      <c r="L45" s="97">
        <v>40220.809648325136</v>
      </c>
      <c r="M45" s="96">
        <v>33672.608451791282</v>
      </c>
      <c r="N45" s="96">
        <v>73893.418100116411</v>
      </c>
      <c r="O45" s="96">
        <v>533</v>
      </c>
      <c r="P45" s="96">
        <v>639</v>
      </c>
      <c r="Q45" s="96">
        <v>1172</v>
      </c>
      <c r="R45" s="96">
        <v>1571</v>
      </c>
      <c r="S45" s="96">
        <v>1398</v>
      </c>
      <c r="T45" s="96">
        <v>2969</v>
      </c>
      <c r="U45" s="97">
        <v>464</v>
      </c>
      <c r="V45" s="96">
        <v>262</v>
      </c>
      <c r="W45" s="96">
        <v>726</v>
      </c>
      <c r="X45" s="96">
        <v>1058</v>
      </c>
      <c r="Y45" s="96">
        <v>1133</v>
      </c>
      <c r="Z45" s="96">
        <v>2191</v>
      </c>
      <c r="AA45" s="98">
        <f t="shared" ref="AA45:AC45" si="15">C45+F45+I45+L45+O45+R45+U45+X45</f>
        <v>54058.655986165402</v>
      </c>
      <c r="AB45" s="98">
        <f t="shared" si="15"/>
        <v>51770.792417998033</v>
      </c>
      <c r="AC45" s="98">
        <f t="shared" si="15"/>
        <v>105829.44840416343</v>
      </c>
    </row>
    <row r="46" spans="1:29">
      <c r="A46" s="907"/>
      <c r="B46" s="314" t="s">
        <v>298</v>
      </c>
      <c r="C46" s="100">
        <v>629</v>
      </c>
      <c r="D46" s="100">
        <v>625</v>
      </c>
      <c r="E46" s="101">
        <v>1254</v>
      </c>
      <c r="F46" s="100">
        <v>56</v>
      </c>
      <c r="G46" s="100">
        <v>87</v>
      </c>
      <c r="H46" s="101">
        <v>143</v>
      </c>
      <c r="I46" s="100">
        <v>8784</v>
      </c>
      <c r="J46" s="100">
        <v>14181</v>
      </c>
      <c r="K46" s="101">
        <v>22965</v>
      </c>
      <c r="L46" s="102">
        <v>37043</v>
      </c>
      <c r="M46" s="100">
        <v>32480</v>
      </c>
      <c r="N46" s="101">
        <v>69523</v>
      </c>
      <c r="O46" s="100">
        <v>468</v>
      </c>
      <c r="P46" s="100">
        <v>687</v>
      </c>
      <c r="Q46" s="101">
        <v>1155</v>
      </c>
      <c r="R46" s="100">
        <v>1528</v>
      </c>
      <c r="S46" s="100">
        <v>1334</v>
      </c>
      <c r="T46" s="101">
        <v>2862</v>
      </c>
      <c r="U46" s="102">
        <v>373</v>
      </c>
      <c r="V46" s="100">
        <v>210</v>
      </c>
      <c r="W46" s="101">
        <v>583</v>
      </c>
      <c r="X46" s="100">
        <v>1100</v>
      </c>
      <c r="Y46" s="100">
        <v>1264</v>
      </c>
      <c r="Z46" s="101">
        <v>2364</v>
      </c>
      <c r="AA46" s="101">
        <v>49981</v>
      </c>
      <c r="AB46" s="101">
        <v>50868</v>
      </c>
      <c r="AC46" s="101">
        <f t="shared" ref="AC46" si="16">SUM(AA46+AB46)</f>
        <v>100849</v>
      </c>
    </row>
    <row r="47" spans="1:29">
      <c r="A47" s="907">
        <v>7</v>
      </c>
      <c r="B47" s="309" t="s">
        <v>20</v>
      </c>
      <c r="C47" s="310"/>
      <c r="D47" s="310"/>
      <c r="E47" s="310"/>
      <c r="F47" s="310"/>
      <c r="G47" s="310"/>
      <c r="H47" s="310"/>
      <c r="I47" s="310"/>
      <c r="J47" s="310"/>
      <c r="K47" s="311"/>
      <c r="L47" s="310"/>
      <c r="M47" s="310"/>
      <c r="N47" s="310"/>
      <c r="O47" s="310"/>
      <c r="P47" s="310"/>
      <c r="Q47" s="310"/>
      <c r="R47" s="310"/>
      <c r="S47" s="310"/>
      <c r="T47" s="311"/>
      <c r="U47" s="310"/>
      <c r="V47" s="310"/>
      <c r="W47" s="310"/>
      <c r="X47" s="310"/>
      <c r="Y47" s="310"/>
      <c r="Z47" s="310"/>
      <c r="AA47" s="310"/>
      <c r="AB47" s="310"/>
      <c r="AC47" s="311"/>
    </row>
    <row r="48" spans="1:29">
      <c r="A48" s="907"/>
      <c r="B48" s="312" t="s">
        <v>997</v>
      </c>
      <c r="C48" s="313">
        <v>910</v>
      </c>
      <c r="D48" s="313">
        <v>744</v>
      </c>
      <c r="E48" s="313">
        <v>1654</v>
      </c>
      <c r="F48" s="313">
        <v>36</v>
      </c>
      <c r="G48" s="313">
        <v>22</v>
      </c>
      <c r="H48" s="313">
        <v>58</v>
      </c>
      <c r="I48" s="313">
        <v>33737</v>
      </c>
      <c r="J48" s="313">
        <v>46771</v>
      </c>
      <c r="K48" s="313">
        <v>80508</v>
      </c>
      <c r="L48" s="313">
        <v>215732</v>
      </c>
      <c r="M48" s="313">
        <v>259411</v>
      </c>
      <c r="N48" s="313">
        <v>475143</v>
      </c>
      <c r="O48" s="313">
        <v>14443</v>
      </c>
      <c r="P48" s="313">
        <v>14621</v>
      </c>
      <c r="Q48" s="313">
        <v>29064</v>
      </c>
      <c r="R48" s="313">
        <v>36144</v>
      </c>
      <c r="S48" s="313">
        <v>27021</v>
      </c>
      <c r="T48" s="313">
        <v>63165</v>
      </c>
      <c r="U48" s="313">
        <v>296</v>
      </c>
      <c r="V48" s="313">
        <v>435</v>
      </c>
      <c r="W48" s="313">
        <v>731</v>
      </c>
      <c r="X48" s="313">
        <v>1542</v>
      </c>
      <c r="Y48" s="313">
        <v>1540</v>
      </c>
      <c r="Z48" s="313">
        <v>3082</v>
      </c>
      <c r="AA48" s="313">
        <v>302840</v>
      </c>
      <c r="AB48" s="313">
        <v>350565</v>
      </c>
      <c r="AC48" s="313">
        <v>653405</v>
      </c>
    </row>
    <row r="49" spans="1:29">
      <c r="A49" s="907"/>
      <c r="B49" s="314" t="s">
        <v>301</v>
      </c>
      <c r="C49" s="259">
        <f ca="1">SUMIF('[2]7UnivActwithConsUnit'!$B:$B,$C49,'[2]7UnivActwithConsUnit'!D:D)+SUMIF('[2]8CollegeAct'!$B:$B,$C49,'[2]8CollegeAct'!D:D)+SUMIF(#REF!,$C49,#REF!)</f>
        <v>824</v>
      </c>
      <c r="D49" s="259">
        <f ca="1">SUMIF('[2]7UnivActwithConsUnit'!$B:$B,$C49,'[2]7UnivActwithConsUnit'!E:E)+SUMIF('[2]8CollegeAct'!$B:$B,$C49,'[2]8CollegeAct'!E:E)+SUMIF(#REF!,$C49,#REF!)</f>
        <v>691</v>
      </c>
      <c r="E49" s="259">
        <f ca="1">SUMIF('[2]7UnivActwithConsUnit'!$B:$B,$C49,'[2]7UnivActwithConsUnit'!F:F)+SUMIF('[2]8CollegeAct'!$B:$B,$C49,'[2]8CollegeAct'!F:F)+SUMIF(#REF!,$C49,#REF!)</f>
        <v>1515</v>
      </c>
      <c r="F49" s="259">
        <f ca="1">SUMIF('[2]7UnivActwithConsUnit'!$B:$B,$C49,'[2]7UnivActwithConsUnit'!G:G)+SUMIF('[2]8CollegeAct'!$B:$B,$C49,'[2]8CollegeAct'!G:G)+SUMIF(#REF!,$C49,#REF!)</f>
        <v>109</v>
      </c>
      <c r="G49" s="259">
        <f ca="1">SUMIF('[2]7UnivActwithConsUnit'!$B:$B,$C49,'[2]7UnivActwithConsUnit'!H:H)+SUMIF('[2]8CollegeAct'!$B:$B,$C49,'[2]8CollegeAct'!H:H)+SUMIF(#REF!,$C49,#REF!)</f>
        <v>89</v>
      </c>
      <c r="H49" s="259">
        <f ca="1">SUMIF('[2]7UnivActwithConsUnit'!$B:$B,$C49,'[2]7UnivActwithConsUnit'!I:I)+SUMIF('[2]8CollegeAct'!$B:$B,$C49,'[2]8CollegeAct'!I:I)+SUMIF(#REF!,$C49,#REF!)</f>
        <v>198</v>
      </c>
      <c r="I49" s="259">
        <f ca="1">SUMIF('[2]7UnivActwithConsUnit'!$B:$B,$C49,'[2]7UnivActwithConsUnit'!J:J)+SUMIF('[2]10CollegeEst'!$B:$B,$C49,'[2]10CollegeEst'!B:B)+SUMIF(#REF!,$C49,#REF!)</f>
        <v>30137</v>
      </c>
      <c r="J49" s="259">
        <f ca="1">SUMIF('[2]7UnivActwithConsUnit'!$B:$B,$C49,'[2]7UnivActwithConsUnit'!K:K)+SUMIF('[2]10CollegeEst'!$B:$B,$C49,'[2]10CollegeEst'!C:C)+SUMIF(#REF!,$C49,#REF!)</f>
        <v>40444</v>
      </c>
      <c r="K49" s="259">
        <f ca="1">SUMIF('[2]7UnivActwithConsUnit'!$B:$B,$C49,'[2]7UnivActwithConsUnit'!L:L)+SUMIF('[2]10CollegeEst'!$B:$B,$C49,'[2]10CollegeEst'!D:D)+SUMIF(#REF!,$C49,#REF!)</f>
        <v>70581</v>
      </c>
      <c r="L49" s="260">
        <f ca="1">SUMIF('[2]7UnivActwithConsUnit'!$B:$B,$C49,'[2]7UnivActwithConsUnit'!M:M)+SUMIF('[2]10CollegeEst'!$B:$B,$C49,'[2]10CollegeEst'!E:E)+SUMIF(#REF!,$C49,#REF!)</f>
        <v>187304</v>
      </c>
      <c r="M49" s="259">
        <f ca="1">SUMIF('[2]7UnivActwithConsUnit'!$B:$B,$C49,'[2]7UnivActwithConsUnit'!N:N)+SUMIF('[2]10CollegeEst'!$B:$B,$C49,'[2]10CollegeEst'!F:F)+SUMIF(#REF!,$C49,#REF!)</f>
        <v>228077</v>
      </c>
      <c r="N49" s="259">
        <f ca="1">SUMIF('[2]7UnivActwithConsUnit'!$B:$B,$C49,'[2]7UnivActwithConsUnit'!O:O)+SUMIF('[2]10CollegeEst'!$B:$B,$C49,'[2]10CollegeEst'!G:G)+SUMIF(#REF!,$C49,#REF!)</f>
        <v>415381</v>
      </c>
      <c r="O49" s="259">
        <f ca="1">SUMIF('[2]7UnivActwithConsUnit'!$B:$B,$C49,'[2]7UnivActwithConsUnit'!P:P)+SUMIF('[2]8CollegeAct'!$B:$B,$C49,'[2]8CollegeAct'!P:P)+SUMIF(#REF!,$C49,#REF!)</f>
        <v>13986</v>
      </c>
      <c r="P49" s="259">
        <f ca="1">SUMIF('[2]7UnivActwithConsUnit'!$B:$B,$C49,'[2]7UnivActwithConsUnit'!Q:Q)+SUMIF('[2]8CollegeAct'!$B:$B,$C49,'[2]8CollegeAct'!Q:Q)+SUMIF(#REF!,$C49,#REF!)</f>
        <v>14396</v>
      </c>
      <c r="Q49" s="259">
        <f ca="1">SUMIF('[2]7UnivActwithConsUnit'!$B:$B,$C49,'[2]7UnivActwithConsUnit'!R:R)+SUMIF('[2]8CollegeAct'!$B:$B,$C49,'[2]8CollegeAct'!R:R)+SUMIF(#REF!,$C49,#REF!)</f>
        <v>28382</v>
      </c>
      <c r="R49" s="259">
        <f ca="1">SUMIF('[2]7UnivActwithConsUnit'!$B:$B,$C49,'[2]7UnivActwithConsUnit'!S:S)+SUMIF('[2]8CollegeAct'!$B:$B,$C49,'[2]8CollegeAct'!S:S)+SUMIF(#REF!,$C49,#REF!)</f>
        <v>38361</v>
      </c>
      <c r="S49" s="259">
        <f ca="1">SUMIF('[2]7UnivActwithConsUnit'!$B:$B,$C49,'[2]7UnivActwithConsUnit'!T:T)+SUMIF('[2]8CollegeAct'!$B:$B,$C49,'[2]8CollegeAct'!T:T)+SUMIF(#REF!,$C49,#REF!)</f>
        <v>27702</v>
      </c>
      <c r="T49" s="259">
        <f ca="1">SUMIF('[2]7UnivActwithConsUnit'!$B:$B,$C49,'[2]7UnivActwithConsUnit'!U:U)+SUMIF('[2]8CollegeAct'!$B:$B,$C49,'[2]8CollegeAct'!U:U)+SUMIF(#REF!,$C49,#REF!)</f>
        <v>66063</v>
      </c>
      <c r="U49" s="260">
        <f ca="1">SUMIF('[2]7UnivActwithConsUnit'!$B:$B,$C49,'[2]7UnivActwithConsUnit'!V:V)+SUMIF('[2]8CollegeAct'!$B:$B,$C49,'[2]8CollegeAct'!V:V)+SUMIF(#REF!,$C49,#REF!)</f>
        <v>210</v>
      </c>
      <c r="V49" s="259">
        <f ca="1">SUMIF('[2]7UnivActwithConsUnit'!$B:$B,$C49,'[2]7UnivActwithConsUnit'!W:W)+SUMIF('[2]8CollegeAct'!$B:$B,$C49,'[2]8CollegeAct'!W:W)+SUMIF(#REF!,$C49,#REF!)</f>
        <v>335</v>
      </c>
      <c r="W49" s="259">
        <f ca="1">SUMIF('[2]7UnivActwithConsUnit'!$B:$B,$C49,'[2]7UnivActwithConsUnit'!X:X)+SUMIF('[2]8CollegeAct'!$B:$B,$C49,'[2]8CollegeAct'!X:X)+SUMIF(#REF!,$C49,#REF!)</f>
        <v>545</v>
      </c>
      <c r="X49" s="259">
        <f ca="1">SUMIF('[2]7UnivActwithConsUnit'!$B:$B,$C49,'[2]7UnivActwithConsUnit'!Y:Y)+SUMIF('[2]8CollegeAct'!$B:$B,$C49,'[2]8CollegeAct'!Y:Y)+SUMIF(#REF!,$C49,#REF!)</f>
        <v>1882</v>
      </c>
      <c r="Y49" s="259">
        <f ca="1">SUMIF('[2]7UnivActwithConsUnit'!$B:$B,$C49,'[2]7UnivActwithConsUnit'!Z:Z)+SUMIF('[2]8CollegeAct'!$B:$B,$C49,'[2]8CollegeAct'!Z:Z)+SUMIF(#REF!,$C49,#REF!)</f>
        <v>1848</v>
      </c>
      <c r="Z49" s="259">
        <f ca="1">SUMIF('[2]7UnivActwithConsUnit'!$B:$B,$C49,'[2]7UnivActwithConsUnit'!AA:AA)+SUMIF('[2]8CollegeAct'!$B:$B,$C49,'[2]8CollegeAct'!AA:AA)+SUMIF(#REF!,$C49,#REF!)</f>
        <v>3730</v>
      </c>
      <c r="AA49" s="261">
        <f t="shared" ref="AA49:AB49" ca="1" si="17">C49+F49+I49+L49+O49+R49+U49+X49</f>
        <v>272813</v>
      </c>
      <c r="AB49" s="261">
        <f t="shared" ca="1" si="17"/>
        <v>313582</v>
      </c>
      <c r="AC49" s="261">
        <f t="shared" ref="AC49" ca="1" si="18">AA49+AB49</f>
        <v>586395</v>
      </c>
    </row>
    <row r="50" spans="1:29">
      <c r="A50" s="907"/>
      <c r="B50" s="314" t="s">
        <v>300</v>
      </c>
      <c r="C50" s="287">
        <v>965</v>
      </c>
      <c r="D50" s="287">
        <v>509</v>
      </c>
      <c r="E50" s="287">
        <v>1474</v>
      </c>
      <c r="F50" s="287">
        <v>193</v>
      </c>
      <c r="G50" s="287">
        <v>151</v>
      </c>
      <c r="H50" s="287">
        <v>344</v>
      </c>
      <c r="I50" s="287">
        <v>30690</v>
      </c>
      <c r="J50" s="287">
        <v>37757</v>
      </c>
      <c r="K50" s="287">
        <v>68447</v>
      </c>
      <c r="L50" s="315">
        <v>190502</v>
      </c>
      <c r="M50" s="287">
        <v>215794</v>
      </c>
      <c r="N50" s="287">
        <v>406296</v>
      </c>
      <c r="O50" s="287">
        <v>14887</v>
      </c>
      <c r="P50" s="287">
        <v>15114</v>
      </c>
      <c r="Q50" s="287">
        <v>30001</v>
      </c>
      <c r="R50" s="287">
        <v>44001</v>
      </c>
      <c r="S50" s="287">
        <v>33005</v>
      </c>
      <c r="T50" s="287">
        <v>77006</v>
      </c>
      <c r="U50" s="315">
        <v>190</v>
      </c>
      <c r="V50" s="287">
        <v>365</v>
      </c>
      <c r="W50" s="287">
        <v>555</v>
      </c>
      <c r="X50" s="287">
        <v>1357</v>
      </c>
      <c r="Y50" s="287">
        <v>1444</v>
      </c>
      <c r="Z50" s="287">
        <v>2801</v>
      </c>
      <c r="AA50" s="287">
        <v>282785</v>
      </c>
      <c r="AB50" s="287">
        <v>304139</v>
      </c>
      <c r="AC50" s="287">
        <v>586924</v>
      </c>
    </row>
    <row r="51" spans="1:29">
      <c r="A51" s="907"/>
      <c r="B51" s="314" t="s">
        <v>299</v>
      </c>
      <c r="C51" s="96">
        <v>740</v>
      </c>
      <c r="D51" s="96">
        <v>425</v>
      </c>
      <c r="E51" s="96">
        <v>1165</v>
      </c>
      <c r="F51" s="96">
        <v>149</v>
      </c>
      <c r="G51" s="96">
        <v>150</v>
      </c>
      <c r="H51" s="96">
        <v>299</v>
      </c>
      <c r="I51" s="96">
        <v>29365</v>
      </c>
      <c r="J51" s="96">
        <v>34811</v>
      </c>
      <c r="K51" s="96">
        <v>64176</v>
      </c>
      <c r="L51" s="97">
        <v>185435</v>
      </c>
      <c r="M51" s="96">
        <v>199088</v>
      </c>
      <c r="N51" s="96">
        <v>384523</v>
      </c>
      <c r="O51" s="96">
        <v>18658</v>
      </c>
      <c r="P51" s="96">
        <v>18485</v>
      </c>
      <c r="Q51" s="96">
        <v>37143</v>
      </c>
      <c r="R51" s="96">
        <v>51571</v>
      </c>
      <c r="S51" s="96">
        <v>33441</v>
      </c>
      <c r="T51" s="96">
        <v>85012</v>
      </c>
      <c r="U51" s="97">
        <v>211</v>
      </c>
      <c r="V51" s="96">
        <v>313</v>
      </c>
      <c r="W51" s="96">
        <v>524</v>
      </c>
      <c r="X51" s="96">
        <v>1014</v>
      </c>
      <c r="Y51" s="96">
        <v>1005</v>
      </c>
      <c r="Z51" s="96">
        <v>2019</v>
      </c>
      <c r="AA51" s="98">
        <f t="shared" ref="AA51:AC51" si="19">C51+F51+I51+L51+O51+R51+U51+X51</f>
        <v>287143</v>
      </c>
      <c r="AB51" s="98">
        <f t="shared" si="19"/>
        <v>287718</v>
      </c>
      <c r="AC51" s="98">
        <f t="shared" si="19"/>
        <v>574861</v>
      </c>
    </row>
    <row r="52" spans="1:29">
      <c r="A52" s="907"/>
      <c r="B52" s="314" t="s">
        <v>298</v>
      </c>
      <c r="C52" s="100">
        <v>778</v>
      </c>
      <c r="D52" s="100">
        <v>488</v>
      </c>
      <c r="E52" s="101">
        <v>1266</v>
      </c>
      <c r="F52" s="100">
        <v>141</v>
      </c>
      <c r="G52" s="100">
        <v>136</v>
      </c>
      <c r="H52" s="101">
        <v>277</v>
      </c>
      <c r="I52" s="100">
        <v>26255</v>
      </c>
      <c r="J52" s="100">
        <v>30836</v>
      </c>
      <c r="K52" s="101">
        <v>57091</v>
      </c>
      <c r="L52" s="102">
        <v>179137</v>
      </c>
      <c r="M52" s="100">
        <v>181098</v>
      </c>
      <c r="N52" s="101">
        <v>360235</v>
      </c>
      <c r="O52" s="100">
        <v>11779</v>
      </c>
      <c r="P52" s="100">
        <v>10542</v>
      </c>
      <c r="Q52" s="101">
        <v>22321</v>
      </c>
      <c r="R52" s="100">
        <v>33878</v>
      </c>
      <c r="S52" s="100">
        <v>22515</v>
      </c>
      <c r="T52" s="101">
        <v>56393</v>
      </c>
      <c r="U52" s="102">
        <v>220</v>
      </c>
      <c r="V52" s="100">
        <v>384</v>
      </c>
      <c r="W52" s="101">
        <v>604</v>
      </c>
      <c r="X52" s="100">
        <v>938</v>
      </c>
      <c r="Y52" s="100">
        <v>921</v>
      </c>
      <c r="Z52" s="101">
        <v>1859</v>
      </c>
      <c r="AA52" s="101">
        <v>253126</v>
      </c>
      <c r="AB52" s="101">
        <v>246920</v>
      </c>
      <c r="AC52" s="101">
        <f t="shared" ref="AC52" si="20">SUM(AA52+AB52)</f>
        <v>500046</v>
      </c>
    </row>
    <row r="53" spans="1:29">
      <c r="A53" s="907">
        <v>8</v>
      </c>
      <c r="B53" s="309" t="s">
        <v>23</v>
      </c>
      <c r="C53" s="310"/>
      <c r="D53" s="310"/>
      <c r="E53" s="310"/>
      <c r="F53" s="310"/>
      <c r="G53" s="310"/>
      <c r="H53" s="310"/>
      <c r="I53" s="310"/>
      <c r="J53" s="310"/>
      <c r="K53" s="311"/>
      <c r="L53" s="310"/>
      <c r="M53" s="310"/>
      <c r="N53" s="310"/>
      <c r="O53" s="310"/>
      <c r="P53" s="310"/>
      <c r="Q53" s="310"/>
      <c r="R53" s="310"/>
      <c r="S53" s="310"/>
      <c r="T53" s="311"/>
      <c r="U53" s="310"/>
      <c r="V53" s="310"/>
      <c r="W53" s="310"/>
      <c r="X53" s="310"/>
      <c r="Y53" s="310"/>
      <c r="Z53" s="310"/>
      <c r="AA53" s="310"/>
      <c r="AB53" s="310"/>
      <c r="AC53" s="311"/>
    </row>
    <row r="54" spans="1:29">
      <c r="A54" s="907"/>
      <c r="B54" s="312" t="s">
        <v>997</v>
      </c>
      <c r="C54" s="313">
        <v>8112</v>
      </c>
      <c r="D54" s="313">
        <v>7332</v>
      </c>
      <c r="E54" s="313">
        <v>15444</v>
      </c>
      <c r="F54" s="313">
        <v>772</v>
      </c>
      <c r="G54" s="313">
        <v>764</v>
      </c>
      <c r="H54" s="313">
        <v>1536</v>
      </c>
      <c r="I54" s="313">
        <v>69649</v>
      </c>
      <c r="J54" s="313">
        <v>97222</v>
      </c>
      <c r="K54" s="313">
        <v>166871</v>
      </c>
      <c r="L54" s="313">
        <v>454449</v>
      </c>
      <c r="M54" s="313">
        <v>409832</v>
      </c>
      <c r="N54" s="313">
        <v>864281</v>
      </c>
      <c r="O54" s="313">
        <v>9715</v>
      </c>
      <c r="P54" s="313">
        <v>7442</v>
      </c>
      <c r="Q54" s="313">
        <v>17157</v>
      </c>
      <c r="R54" s="313">
        <v>17002</v>
      </c>
      <c r="S54" s="313">
        <v>15459</v>
      </c>
      <c r="T54" s="313">
        <v>32461</v>
      </c>
      <c r="U54" s="313">
        <v>1415</v>
      </c>
      <c r="V54" s="313">
        <v>1143</v>
      </c>
      <c r="W54" s="313">
        <v>2558</v>
      </c>
      <c r="X54" s="313">
        <v>3735</v>
      </c>
      <c r="Y54" s="313">
        <v>2228</v>
      </c>
      <c r="Z54" s="313">
        <v>5963</v>
      </c>
      <c r="AA54" s="313">
        <v>564849</v>
      </c>
      <c r="AB54" s="313">
        <v>541422</v>
      </c>
      <c r="AC54" s="313">
        <v>1106271</v>
      </c>
    </row>
    <row r="55" spans="1:29">
      <c r="A55" s="907"/>
      <c r="B55" s="314" t="s">
        <v>301</v>
      </c>
      <c r="C55" s="259">
        <f ca="1">SUMIF('[2]7UnivActwithConsUnit'!$B:$B,$C55,'[2]7UnivActwithConsUnit'!D:D)+SUMIF('[2]8CollegeAct'!$B:$B,$C55,'[2]8CollegeAct'!D:D)+SUMIF(#REF!,$C55,#REF!)</f>
        <v>8812</v>
      </c>
      <c r="D55" s="259">
        <f ca="1">SUMIF('[2]7UnivActwithConsUnit'!$B:$B,$C55,'[2]7UnivActwithConsUnit'!E:E)+SUMIF('[2]8CollegeAct'!$B:$B,$C55,'[2]8CollegeAct'!E:E)+SUMIF(#REF!,$C55,#REF!)</f>
        <v>7458</v>
      </c>
      <c r="E55" s="259">
        <f ca="1">SUMIF('[2]7UnivActwithConsUnit'!$B:$B,$C55,'[2]7UnivActwithConsUnit'!F:F)+SUMIF('[2]8CollegeAct'!$B:$B,$C55,'[2]8CollegeAct'!F:F)+SUMIF(#REF!,$C55,#REF!)</f>
        <v>16270</v>
      </c>
      <c r="F55" s="259">
        <f ca="1">SUMIF('[2]7UnivActwithConsUnit'!$B:$B,$C55,'[2]7UnivActwithConsUnit'!G:G)+SUMIF('[2]8CollegeAct'!$B:$B,$C55,'[2]8CollegeAct'!G:G)+SUMIF(#REF!,$C55,#REF!)</f>
        <v>650</v>
      </c>
      <c r="G55" s="259">
        <f ca="1">SUMIF('[2]7UnivActwithConsUnit'!$B:$B,$C55,'[2]7UnivActwithConsUnit'!H:H)+SUMIF('[2]8CollegeAct'!$B:$B,$C55,'[2]8CollegeAct'!H:H)+SUMIF(#REF!,$C55,#REF!)</f>
        <v>672</v>
      </c>
      <c r="H55" s="259">
        <f ca="1">SUMIF('[2]7UnivActwithConsUnit'!$B:$B,$C55,'[2]7UnivActwithConsUnit'!I:I)+SUMIF('[2]8CollegeAct'!$B:$B,$C55,'[2]8CollegeAct'!I:I)+SUMIF(#REF!,$C55,#REF!)</f>
        <v>1322</v>
      </c>
      <c r="I55" s="259">
        <f ca="1">SUMIF('[2]7UnivActwithConsUnit'!$B:$B,$C55,'[2]7UnivActwithConsUnit'!J:J)+SUMIF('[2]10CollegeEst'!$B:$B,$C55,'[2]10CollegeEst'!B:B)+SUMIF(#REF!,$C55,#REF!)</f>
        <v>71734</v>
      </c>
      <c r="J55" s="259">
        <f ca="1">SUMIF('[2]7UnivActwithConsUnit'!$B:$B,$C55,'[2]7UnivActwithConsUnit'!K:K)+SUMIF('[2]10CollegeEst'!$B:$B,$C55,'[2]10CollegeEst'!C:C)+SUMIF(#REF!,$C55,#REF!)</f>
        <v>103717</v>
      </c>
      <c r="K55" s="259">
        <f ca="1">SUMIF('[2]7UnivActwithConsUnit'!$B:$B,$C55,'[2]7UnivActwithConsUnit'!L:L)+SUMIF('[2]10CollegeEst'!$B:$B,$C55,'[2]10CollegeEst'!D:D)+SUMIF(#REF!,$C55,#REF!)</f>
        <v>175451</v>
      </c>
      <c r="L55" s="260">
        <f ca="1">SUMIF('[2]7UnivActwithConsUnit'!$B:$B,$C55,'[2]7UnivActwithConsUnit'!M:M)+SUMIF('[2]10CollegeEst'!$B:$B,$C55,'[2]10CollegeEst'!E:E)+SUMIF(#REF!,$C55,#REF!)</f>
        <v>467104</v>
      </c>
      <c r="M55" s="259">
        <f ca="1">SUMIF('[2]7UnivActwithConsUnit'!$B:$B,$C55,'[2]7UnivActwithConsUnit'!N:N)+SUMIF('[2]10CollegeEst'!$B:$B,$C55,'[2]10CollegeEst'!F:F)+SUMIF(#REF!,$C55,#REF!)</f>
        <v>419284</v>
      </c>
      <c r="N55" s="259">
        <f ca="1">SUMIF('[2]7UnivActwithConsUnit'!$B:$B,$C55,'[2]7UnivActwithConsUnit'!O:O)+SUMIF('[2]10CollegeEst'!$B:$B,$C55,'[2]10CollegeEst'!G:G)+SUMIF(#REF!,$C55,#REF!)</f>
        <v>886388</v>
      </c>
      <c r="O55" s="259">
        <f ca="1">SUMIF('[2]7UnivActwithConsUnit'!$B:$B,$C55,'[2]7UnivActwithConsUnit'!P:P)+SUMIF('[2]8CollegeAct'!$B:$B,$C55,'[2]8CollegeAct'!P:P)+SUMIF(#REF!,$C55,#REF!)</f>
        <v>6054</v>
      </c>
      <c r="P55" s="259">
        <f ca="1">SUMIF('[2]7UnivActwithConsUnit'!$B:$B,$C55,'[2]7UnivActwithConsUnit'!Q:Q)+SUMIF('[2]8CollegeAct'!$B:$B,$C55,'[2]8CollegeAct'!Q:Q)+SUMIF(#REF!,$C55,#REF!)</f>
        <v>4758</v>
      </c>
      <c r="Q55" s="259">
        <f ca="1">SUMIF('[2]7UnivActwithConsUnit'!$B:$B,$C55,'[2]7UnivActwithConsUnit'!R:R)+SUMIF('[2]8CollegeAct'!$B:$B,$C55,'[2]8CollegeAct'!R:R)+SUMIF(#REF!,$C55,#REF!)</f>
        <v>10812</v>
      </c>
      <c r="R55" s="259">
        <f ca="1">SUMIF('[2]7UnivActwithConsUnit'!$B:$B,$C55,'[2]7UnivActwithConsUnit'!S:S)+SUMIF('[2]8CollegeAct'!$B:$B,$C55,'[2]8CollegeAct'!S:S)+SUMIF(#REF!,$C55,#REF!)</f>
        <v>18927</v>
      </c>
      <c r="S55" s="259">
        <f ca="1">SUMIF('[2]7UnivActwithConsUnit'!$B:$B,$C55,'[2]7UnivActwithConsUnit'!T:T)+SUMIF('[2]8CollegeAct'!$B:$B,$C55,'[2]8CollegeAct'!T:T)+SUMIF(#REF!,$C55,#REF!)</f>
        <v>15039</v>
      </c>
      <c r="T55" s="259">
        <f ca="1">SUMIF('[2]7UnivActwithConsUnit'!$B:$B,$C55,'[2]7UnivActwithConsUnit'!U:U)+SUMIF('[2]8CollegeAct'!$B:$B,$C55,'[2]8CollegeAct'!U:U)+SUMIF(#REF!,$C55,#REF!)</f>
        <v>33966</v>
      </c>
      <c r="U55" s="260">
        <f ca="1">SUMIF('[2]7UnivActwithConsUnit'!$B:$B,$C55,'[2]7UnivActwithConsUnit'!V:V)+SUMIF('[2]8CollegeAct'!$B:$B,$C55,'[2]8CollegeAct'!V:V)+SUMIF(#REF!,$C55,#REF!)</f>
        <v>2467</v>
      </c>
      <c r="V55" s="259">
        <f ca="1">SUMIF('[2]7UnivActwithConsUnit'!$B:$B,$C55,'[2]7UnivActwithConsUnit'!W:W)+SUMIF('[2]8CollegeAct'!$B:$B,$C55,'[2]8CollegeAct'!W:W)+SUMIF(#REF!,$C55,#REF!)</f>
        <v>1684</v>
      </c>
      <c r="W55" s="259">
        <f ca="1">SUMIF('[2]7UnivActwithConsUnit'!$B:$B,$C55,'[2]7UnivActwithConsUnit'!X:X)+SUMIF('[2]8CollegeAct'!$B:$B,$C55,'[2]8CollegeAct'!X:X)+SUMIF(#REF!,$C55,#REF!)</f>
        <v>4151</v>
      </c>
      <c r="X55" s="259">
        <f ca="1">SUMIF('[2]7UnivActwithConsUnit'!$B:$B,$C55,'[2]7UnivActwithConsUnit'!Y:Y)+SUMIF('[2]8CollegeAct'!$B:$B,$C55,'[2]8CollegeAct'!Y:Y)+SUMIF(#REF!,$C55,#REF!)</f>
        <v>2999</v>
      </c>
      <c r="Y55" s="259">
        <f ca="1">SUMIF('[2]7UnivActwithConsUnit'!$B:$B,$C55,'[2]7UnivActwithConsUnit'!Z:Z)+SUMIF('[2]8CollegeAct'!$B:$B,$C55,'[2]8CollegeAct'!Z:Z)+SUMIF(#REF!,$C55,#REF!)</f>
        <v>1497</v>
      </c>
      <c r="Z55" s="259">
        <f ca="1">SUMIF('[2]7UnivActwithConsUnit'!$B:$B,$C55,'[2]7UnivActwithConsUnit'!AA:AA)+SUMIF('[2]8CollegeAct'!$B:$B,$C55,'[2]8CollegeAct'!AA:AA)+SUMIF(#REF!,$C55,#REF!)</f>
        <v>4496</v>
      </c>
      <c r="AA55" s="261">
        <f t="shared" ref="AA55:AB55" ca="1" si="21">C55+F55+I55+L55+O55+R55+U55+X55</f>
        <v>578747</v>
      </c>
      <c r="AB55" s="261">
        <f t="shared" ca="1" si="21"/>
        <v>554109</v>
      </c>
      <c r="AC55" s="261">
        <f t="shared" ref="AC55" ca="1" si="22">AA55+AB55</f>
        <v>1132856</v>
      </c>
    </row>
    <row r="56" spans="1:29">
      <c r="A56" s="907"/>
      <c r="B56" s="314" t="s">
        <v>300</v>
      </c>
      <c r="C56" s="287">
        <v>4918</v>
      </c>
      <c r="D56" s="287">
        <v>4493</v>
      </c>
      <c r="E56" s="287">
        <v>9411</v>
      </c>
      <c r="F56" s="287">
        <v>2402</v>
      </c>
      <c r="G56" s="287">
        <v>2684</v>
      </c>
      <c r="H56" s="287">
        <v>5086</v>
      </c>
      <c r="I56" s="287">
        <v>65500</v>
      </c>
      <c r="J56" s="287">
        <v>93497</v>
      </c>
      <c r="K56" s="287">
        <v>158997</v>
      </c>
      <c r="L56" s="315">
        <v>448749</v>
      </c>
      <c r="M56" s="287">
        <v>405107</v>
      </c>
      <c r="N56" s="287">
        <v>853856</v>
      </c>
      <c r="O56" s="287">
        <v>4512</v>
      </c>
      <c r="P56" s="287">
        <v>3831</v>
      </c>
      <c r="Q56" s="287">
        <v>8343</v>
      </c>
      <c r="R56" s="287">
        <v>17907</v>
      </c>
      <c r="S56" s="287">
        <v>14441</v>
      </c>
      <c r="T56" s="287">
        <v>32348</v>
      </c>
      <c r="U56" s="315">
        <v>2605</v>
      </c>
      <c r="V56" s="287">
        <v>1839</v>
      </c>
      <c r="W56" s="287">
        <v>4444</v>
      </c>
      <c r="X56" s="287">
        <v>3189</v>
      </c>
      <c r="Y56" s="287">
        <v>1882</v>
      </c>
      <c r="Z56" s="287">
        <v>5071</v>
      </c>
      <c r="AA56" s="287">
        <v>549782</v>
      </c>
      <c r="AB56" s="287">
        <v>527774</v>
      </c>
      <c r="AC56" s="287">
        <v>1077556</v>
      </c>
    </row>
    <row r="57" spans="1:29">
      <c r="A57" s="907"/>
      <c r="B57" s="314" t="s">
        <v>299</v>
      </c>
      <c r="C57" s="96">
        <v>7580</v>
      </c>
      <c r="D57" s="96">
        <v>7132</v>
      </c>
      <c r="E57" s="96">
        <v>14712</v>
      </c>
      <c r="F57" s="96">
        <v>1243</v>
      </c>
      <c r="G57" s="96">
        <v>1380</v>
      </c>
      <c r="H57" s="96">
        <v>2623</v>
      </c>
      <c r="I57" s="96">
        <v>76741.452372635584</v>
      </c>
      <c r="J57" s="96">
        <v>76782.275494269546</v>
      </c>
      <c r="K57" s="96">
        <v>153523.72786690513</v>
      </c>
      <c r="L57" s="97">
        <v>452469.12838086154</v>
      </c>
      <c r="M57" s="96">
        <v>394715.03819226782</v>
      </c>
      <c r="N57" s="96">
        <v>847184.16657312936</v>
      </c>
      <c r="O57" s="96">
        <v>4815</v>
      </c>
      <c r="P57" s="96">
        <v>3517</v>
      </c>
      <c r="Q57" s="96">
        <v>8332</v>
      </c>
      <c r="R57" s="96">
        <v>17797</v>
      </c>
      <c r="S57" s="96">
        <v>13228</v>
      </c>
      <c r="T57" s="96">
        <v>31025</v>
      </c>
      <c r="U57" s="97">
        <v>2317</v>
      </c>
      <c r="V57" s="96">
        <v>1544</v>
      </c>
      <c r="W57" s="96">
        <v>3861</v>
      </c>
      <c r="X57" s="96">
        <v>2126</v>
      </c>
      <c r="Y57" s="96">
        <v>1019</v>
      </c>
      <c r="Z57" s="96">
        <v>3145</v>
      </c>
      <c r="AA57" s="98">
        <f t="shared" ref="AA57:AC57" si="23">C57+F57+I57+L57+O57+R57+U57+X57</f>
        <v>565088.58075349708</v>
      </c>
      <c r="AB57" s="98">
        <f t="shared" si="23"/>
        <v>499317.31368653738</v>
      </c>
      <c r="AC57" s="98">
        <f t="shared" si="23"/>
        <v>1064405.8944400344</v>
      </c>
    </row>
    <row r="58" spans="1:29">
      <c r="A58" s="907"/>
      <c r="B58" s="314" t="s">
        <v>298</v>
      </c>
      <c r="C58" s="100">
        <v>5319</v>
      </c>
      <c r="D58" s="100">
        <v>4604</v>
      </c>
      <c r="E58" s="101">
        <v>9923</v>
      </c>
      <c r="F58" s="100">
        <v>3028</v>
      </c>
      <c r="G58" s="100">
        <v>3380</v>
      </c>
      <c r="H58" s="101">
        <v>6408</v>
      </c>
      <c r="I58" s="100">
        <v>55740</v>
      </c>
      <c r="J58" s="100">
        <v>80303</v>
      </c>
      <c r="K58" s="101">
        <v>136043</v>
      </c>
      <c r="L58" s="102">
        <v>439831</v>
      </c>
      <c r="M58" s="100">
        <v>389879</v>
      </c>
      <c r="N58" s="101">
        <v>829710</v>
      </c>
      <c r="O58" s="100">
        <v>5931</v>
      </c>
      <c r="P58" s="100">
        <v>3496</v>
      </c>
      <c r="Q58" s="101">
        <v>9427</v>
      </c>
      <c r="R58" s="100">
        <v>17244</v>
      </c>
      <c r="S58" s="100">
        <v>13005</v>
      </c>
      <c r="T58" s="101">
        <v>30249</v>
      </c>
      <c r="U58" s="102">
        <v>1943</v>
      </c>
      <c r="V58" s="100">
        <v>1329</v>
      </c>
      <c r="W58" s="101">
        <v>3272</v>
      </c>
      <c r="X58" s="100">
        <v>2020</v>
      </c>
      <c r="Y58" s="100">
        <v>754</v>
      </c>
      <c r="Z58" s="101">
        <v>2774</v>
      </c>
      <c r="AA58" s="101">
        <v>531056</v>
      </c>
      <c r="AB58" s="101">
        <v>496750</v>
      </c>
      <c r="AC58" s="101">
        <f t="shared" ref="AC58" si="24">SUM(AA58+AB58)</f>
        <v>1027806</v>
      </c>
    </row>
    <row r="59" spans="1:29">
      <c r="A59" s="907">
        <v>9</v>
      </c>
      <c r="B59" s="309" t="s">
        <v>24</v>
      </c>
      <c r="C59" s="310"/>
      <c r="D59" s="310"/>
      <c r="E59" s="310"/>
      <c r="F59" s="310"/>
      <c r="G59" s="310"/>
      <c r="H59" s="310"/>
      <c r="I59" s="310"/>
      <c r="J59" s="310"/>
      <c r="K59" s="311"/>
      <c r="L59" s="310"/>
      <c r="M59" s="310"/>
      <c r="N59" s="310"/>
      <c r="O59" s="310"/>
      <c r="P59" s="310"/>
      <c r="Q59" s="310"/>
      <c r="R59" s="310"/>
      <c r="S59" s="310"/>
      <c r="T59" s="311"/>
      <c r="U59" s="310"/>
      <c r="V59" s="310"/>
      <c r="W59" s="310"/>
      <c r="X59" s="310"/>
      <c r="Y59" s="310"/>
      <c r="Z59" s="310"/>
      <c r="AA59" s="310"/>
      <c r="AB59" s="310"/>
      <c r="AC59" s="311"/>
    </row>
    <row r="60" spans="1:29">
      <c r="A60" s="907"/>
      <c r="B60" s="312" t="s">
        <v>997</v>
      </c>
      <c r="C60" s="313">
        <v>276</v>
      </c>
      <c r="D60" s="313">
        <v>340</v>
      </c>
      <c r="E60" s="313">
        <v>616</v>
      </c>
      <c r="F60" s="313">
        <v>6</v>
      </c>
      <c r="G60" s="313">
        <v>2</v>
      </c>
      <c r="H60" s="313">
        <v>8</v>
      </c>
      <c r="I60" s="313">
        <v>3113</v>
      </c>
      <c r="J60" s="313">
        <v>4464</v>
      </c>
      <c r="K60" s="313">
        <v>7577</v>
      </c>
      <c r="L60" s="313">
        <v>20785</v>
      </c>
      <c r="M60" s="313">
        <v>23406</v>
      </c>
      <c r="N60" s="313">
        <v>44191</v>
      </c>
      <c r="O60" s="313">
        <v>108</v>
      </c>
      <c r="P60" s="313">
        <v>139</v>
      </c>
      <c r="Q60" s="313">
        <v>247</v>
      </c>
      <c r="R60" s="313">
        <v>4677</v>
      </c>
      <c r="S60" s="313">
        <v>1593</v>
      </c>
      <c r="T60" s="313">
        <v>6270</v>
      </c>
      <c r="U60" s="313">
        <v>17</v>
      </c>
      <c r="V60" s="313">
        <v>14</v>
      </c>
      <c r="W60" s="313">
        <v>31</v>
      </c>
      <c r="X60" s="313">
        <v>422</v>
      </c>
      <c r="Y60" s="313">
        <v>923</v>
      </c>
      <c r="Z60" s="313">
        <v>1345</v>
      </c>
      <c r="AA60" s="313">
        <v>29404</v>
      </c>
      <c r="AB60" s="313">
        <v>30881</v>
      </c>
      <c r="AC60" s="313">
        <v>60285</v>
      </c>
    </row>
    <row r="61" spans="1:29">
      <c r="A61" s="907"/>
      <c r="B61" s="314" t="s">
        <v>301</v>
      </c>
      <c r="C61" s="259">
        <f ca="1">SUMIF('[2]7UnivActwithConsUnit'!$B:$B,$C61,'[2]7UnivActwithConsUnit'!D:D)+SUMIF('[2]8CollegeAct'!$B:$B,$C61,'[2]8CollegeAct'!D:D)+SUMIF(#REF!,$C61,#REF!)</f>
        <v>217</v>
      </c>
      <c r="D61" s="259">
        <f ca="1">SUMIF('[2]7UnivActwithConsUnit'!$B:$B,$C61,'[2]7UnivActwithConsUnit'!E:E)+SUMIF('[2]8CollegeAct'!$B:$B,$C61,'[2]8CollegeAct'!E:E)+SUMIF(#REF!,$C61,#REF!)</f>
        <v>216</v>
      </c>
      <c r="E61" s="259">
        <f ca="1">SUMIF('[2]7UnivActwithConsUnit'!$B:$B,$C61,'[2]7UnivActwithConsUnit'!F:F)+SUMIF('[2]8CollegeAct'!$B:$B,$C61,'[2]8CollegeAct'!F:F)+SUMIF(#REF!,$C61,#REF!)</f>
        <v>433</v>
      </c>
      <c r="F61" s="259">
        <f ca="1">SUMIF('[2]7UnivActwithConsUnit'!$B:$B,$C61,'[2]7UnivActwithConsUnit'!G:G)+SUMIF('[2]8CollegeAct'!$B:$B,$C61,'[2]8CollegeAct'!G:G)+SUMIF(#REF!,$C61,#REF!)</f>
        <v>1</v>
      </c>
      <c r="G61" s="259">
        <f ca="1">SUMIF('[2]7UnivActwithConsUnit'!$B:$B,$C61,'[2]7UnivActwithConsUnit'!H:H)+SUMIF('[2]8CollegeAct'!$B:$B,$C61,'[2]8CollegeAct'!H:H)+SUMIF(#REF!,$C61,#REF!)</f>
        <v>4</v>
      </c>
      <c r="H61" s="259">
        <f ca="1">SUMIF('[2]7UnivActwithConsUnit'!$B:$B,$C61,'[2]7UnivActwithConsUnit'!I:I)+SUMIF('[2]8CollegeAct'!$B:$B,$C61,'[2]8CollegeAct'!I:I)+SUMIF(#REF!,$C61,#REF!)</f>
        <v>5</v>
      </c>
      <c r="I61" s="259">
        <f ca="1">SUMIF('[2]7UnivActwithConsUnit'!$B:$B,$C61,'[2]7UnivActwithConsUnit'!J:J)+SUMIF('[2]10CollegeEst'!$B:$B,$C61,'[2]10CollegeEst'!B:B)+SUMIF(#REF!,$C61,#REF!)</f>
        <v>2534</v>
      </c>
      <c r="J61" s="259">
        <f ca="1">SUMIF('[2]7UnivActwithConsUnit'!$B:$B,$C61,'[2]7UnivActwithConsUnit'!K:K)+SUMIF('[2]10CollegeEst'!$B:$B,$C61,'[2]10CollegeEst'!C:C)+SUMIF(#REF!,$C61,#REF!)</f>
        <v>4183</v>
      </c>
      <c r="K61" s="259">
        <f ca="1">SUMIF('[2]7UnivActwithConsUnit'!$B:$B,$C61,'[2]7UnivActwithConsUnit'!L:L)+SUMIF('[2]10CollegeEst'!$B:$B,$C61,'[2]10CollegeEst'!D:D)+SUMIF(#REF!,$C61,#REF!)</f>
        <v>6717</v>
      </c>
      <c r="L61" s="260">
        <f ca="1">SUMIF('[2]7UnivActwithConsUnit'!$B:$B,$C61,'[2]7UnivActwithConsUnit'!M:M)+SUMIF('[2]10CollegeEst'!$B:$B,$C61,'[2]10CollegeEst'!E:E)+SUMIF(#REF!,$C61,#REF!)</f>
        <v>17543</v>
      </c>
      <c r="M61" s="259">
        <f ca="1">SUMIF('[2]7UnivActwithConsUnit'!$B:$B,$C61,'[2]7UnivActwithConsUnit'!N:N)+SUMIF('[2]10CollegeEst'!$B:$B,$C61,'[2]10CollegeEst'!F:F)+SUMIF(#REF!,$C61,#REF!)</f>
        <v>21755</v>
      </c>
      <c r="N61" s="259">
        <f ca="1">SUMIF('[2]7UnivActwithConsUnit'!$B:$B,$C61,'[2]7UnivActwithConsUnit'!O:O)+SUMIF('[2]10CollegeEst'!$B:$B,$C61,'[2]10CollegeEst'!G:G)+SUMIF(#REF!,$C61,#REF!)</f>
        <v>39298</v>
      </c>
      <c r="O61" s="259">
        <f ca="1">SUMIF('[2]7UnivActwithConsUnit'!$B:$B,$C61,'[2]7UnivActwithConsUnit'!P:P)+SUMIF('[2]8CollegeAct'!$B:$B,$C61,'[2]8CollegeAct'!P:P)+SUMIF(#REF!,$C61,#REF!)</f>
        <v>105</v>
      </c>
      <c r="P61" s="259">
        <f ca="1">SUMIF('[2]7UnivActwithConsUnit'!$B:$B,$C61,'[2]7UnivActwithConsUnit'!Q:Q)+SUMIF('[2]8CollegeAct'!$B:$B,$C61,'[2]8CollegeAct'!Q:Q)+SUMIF(#REF!,$C61,#REF!)</f>
        <v>107</v>
      </c>
      <c r="Q61" s="259">
        <f ca="1">SUMIF('[2]7UnivActwithConsUnit'!$B:$B,$C61,'[2]7UnivActwithConsUnit'!R:R)+SUMIF('[2]8CollegeAct'!$B:$B,$C61,'[2]8CollegeAct'!R:R)+SUMIF(#REF!,$C61,#REF!)</f>
        <v>212</v>
      </c>
      <c r="R61" s="259">
        <f ca="1">SUMIF('[2]7UnivActwithConsUnit'!$B:$B,$C61,'[2]7UnivActwithConsUnit'!S:S)+SUMIF('[2]8CollegeAct'!$B:$B,$C61,'[2]8CollegeAct'!S:S)+SUMIF(#REF!,$C61,#REF!)</f>
        <v>4439</v>
      </c>
      <c r="S61" s="259">
        <f ca="1">SUMIF('[2]7UnivActwithConsUnit'!$B:$B,$C61,'[2]7UnivActwithConsUnit'!T:T)+SUMIF('[2]8CollegeAct'!$B:$B,$C61,'[2]8CollegeAct'!T:T)+SUMIF(#REF!,$C61,#REF!)</f>
        <v>930</v>
      </c>
      <c r="T61" s="259">
        <f ca="1">SUMIF('[2]7UnivActwithConsUnit'!$B:$B,$C61,'[2]7UnivActwithConsUnit'!U:U)+SUMIF('[2]8CollegeAct'!$B:$B,$C61,'[2]8CollegeAct'!U:U)+SUMIF(#REF!,$C61,#REF!)</f>
        <v>5369</v>
      </c>
      <c r="U61" s="260">
        <f ca="1">SUMIF('[2]7UnivActwithConsUnit'!$B:$B,$C61,'[2]7UnivActwithConsUnit'!V:V)+SUMIF('[2]8CollegeAct'!$B:$B,$C61,'[2]8CollegeAct'!V:V)+SUMIF(#REF!,$C61,#REF!)</f>
        <v>20</v>
      </c>
      <c r="V61" s="259">
        <f ca="1">SUMIF('[2]7UnivActwithConsUnit'!$B:$B,$C61,'[2]7UnivActwithConsUnit'!W:W)+SUMIF('[2]8CollegeAct'!$B:$B,$C61,'[2]8CollegeAct'!W:W)+SUMIF(#REF!,$C61,#REF!)</f>
        <v>4</v>
      </c>
      <c r="W61" s="259">
        <f ca="1">SUMIF('[2]7UnivActwithConsUnit'!$B:$B,$C61,'[2]7UnivActwithConsUnit'!X:X)+SUMIF('[2]8CollegeAct'!$B:$B,$C61,'[2]8CollegeAct'!X:X)+SUMIF(#REF!,$C61,#REF!)</f>
        <v>24</v>
      </c>
      <c r="X61" s="259">
        <f ca="1">SUMIF('[2]7UnivActwithConsUnit'!$B:$B,$C61,'[2]7UnivActwithConsUnit'!Y:Y)+SUMIF('[2]8CollegeAct'!$B:$B,$C61,'[2]8CollegeAct'!Y:Y)+SUMIF(#REF!,$C61,#REF!)</f>
        <v>196</v>
      </c>
      <c r="Y61" s="259">
        <f ca="1">SUMIF('[2]7UnivActwithConsUnit'!$B:$B,$C61,'[2]7UnivActwithConsUnit'!Z:Z)+SUMIF('[2]8CollegeAct'!$B:$B,$C61,'[2]8CollegeAct'!Z:Z)+SUMIF(#REF!,$C61,#REF!)</f>
        <v>528</v>
      </c>
      <c r="Z61" s="259">
        <f ca="1">SUMIF('[2]7UnivActwithConsUnit'!$B:$B,$C61,'[2]7UnivActwithConsUnit'!AA:AA)+SUMIF('[2]8CollegeAct'!$B:$B,$C61,'[2]8CollegeAct'!AA:AA)+SUMIF(#REF!,$C61,#REF!)</f>
        <v>724</v>
      </c>
      <c r="AA61" s="261">
        <f t="shared" ref="AA61:AB61" ca="1" si="25">C61+F61+I61+L61+O61+R61+U61+X61</f>
        <v>25055</v>
      </c>
      <c r="AB61" s="261">
        <f t="shared" ca="1" si="25"/>
        <v>27727</v>
      </c>
      <c r="AC61" s="261">
        <f t="shared" ref="AC61" ca="1" si="26">AA61+AB61</f>
        <v>52782</v>
      </c>
    </row>
    <row r="62" spans="1:29">
      <c r="A62" s="907"/>
      <c r="B62" s="314" t="s">
        <v>300</v>
      </c>
      <c r="C62" s="287">
        <v>167</v>
      </c>
      <c r="D62" s="287">
        <v>129</v>
      </c>
      <c r="E62" s="287">
        <v>296</v>
      </c>
      <c r="F62" s="287">
        <v>0</v>
      </c>
      <c r="G62" s="287">
        <v>0</v>
      </c>
      <c r="H62" s="287">
        <v>0</v>
      </c>
      <c r="I62" s="287">
        <v>2343</v>
      </c>
      <c r="J62" s="287">
        <v>3873</v>
      </c>
      <c r="K62" s="287">
        <v>6216</v>
      </c>
      <c r="L62" s="315">
        <v>18525</v>
      </c>
      <c r="M62" s="287">
        <v>22303</v>
      </c>
      <c r="N62" s="287">
        <v>40828</v>
      </c>
      <c r="O62" s="287">
        <v>113</v>
      </c>
      <c r="P62" s="287">
        <v>84</v>
      </c>
      <c r="Q62" s="287">
        <v>197</v>
      </c>
      <c r="R62" s="287">
        <v>5595</v>
      </c>
      <c r="S62" s="287">
        <v>845</v>
      </c>
      <c r="T62" s="287">
        <v>6440</v>
      </c>
      <c r="U62" s="315">
        <v>11</v>
      </c>
      <c r="V62" s="287">
        <v>0</v>
      </c>
      <c r="W62" s="287">
        <v>11</v>
      </c>
      <c r="X62" s="287">
        <v>213</v>
      </c>
      <c r="Y62" s="287">
        <v>479</v>
      </c>
      <c r="Z62" s="287">
        <v>692</v>
      </c>
      <c r="AA62" s="287">
        <v>26967</v>
      </c>
      <c r="AB62" s="287">
        <v>27713</v>
      </c>
      <c r="AC62" s="287">
        <v>54680</v>
      </c>
    </row>
    <row r="63" spans="1:29">
      <c r="A63" s="907"/>
      <c r="B63" s="314" t="s">
        <v>299</v>
      </c>
      <c r="C63" s="96">
        <v>71</v>
      </c>
      <c r="D63" s="96">
        <v>41</v>
      </c>
      <c r="E63" s="96">
        <v>112</v>
      </c>
      <c r="F63" s="96">
        <v>0</v>
      </c>
      <c r="G63" s="96">
        <v>0</v>
      </c>
      <c r="H63" s="96">
        <v>0</v>
      </c>
      <c r="I63" s="96">
        <v>2717.6060566671986</v>
      </c>
      <c r="J63" s="96">
        <v>3527.6443697007871</v>
      </c>
      <c r="K63" s="96">
        <v>6245.2504263679857</v>
      </c>
      <c r="L63" s="97">
        <v>15655.713183328669</v>
      </c>
      <c r="M63" s="96">
        <v>20031.159220925842</v>
      </c>
      <c r="N63" s="96">
        <v>35686.872404254507</v>
      </c>
      <c r="O63" s="96">
        <v>118</v>
      </c>
      <c r="P63" s="96">
        <v>81</v>
      </c>
      <c r="Q63" s="96">
        <v>199</v>
      </c>
      <c r="R63" s="96">
        <v>5971</v>
      </c>
      <c r="S63" s="96">
        <v>841</v>
      </c>
      <c r="T63" s="96">
        <v>6812</v>
      </c>
      <c r="U63" s="97">
        <v>12</v>
      </c>
      <c r="V63" s="96">
        <v>0</v>
      </c>
      <c r="W63" s="96">
        <v>12</v>
      </c>
      <c r="X63" s="96">
        <v>198</v>
      </c>
      <c r="Y63" s="96">
        <v>376</v>
      </c>
      <c r="Z63" s="96">
        <v>574</v>
      </c>
      <c r="AA63" s="98">
        <f t="shared" ref="AA63:AC63" si="27">C63+F63+I63+L63+O63+R63+U63+X63</f>
        <v>24743.319239995868</v>
      </c>
      <c r="AB63" s="98">
        <f t="shared" si="27"/>
        <v>24897.80359062663</v>
      </c>
      <c r="AC63" s="98">
        <f t="shared" si="27"/>
        <v>49641.122830622495</v>
      </c>
    </row>
    <row r="64" spans="1:29">
      <c r="A64" s="907"/>
      <c r="B64" s="314" t="s">
        <v>298</v>
      </c>
      <c r="C64" s="100">
        <v>194</v>
      </c>
      <c r="D64" s="100">
        <v>294</v>
      </c>
      <c r="E64" s="101">
        <v>488</v>
      </c>
      <c r="F64" s="100">
        <v>2</v>
      </c>
      <c r="G64" s="100">
        <v>1</v>
      </c>
      <c r="H64" s="101">
        <v>3</v>
      </c>
      <c r="I64" s="100">
        <v>2574</v>
      </c>
      <c r="J64" s="100">
        <v>4152</v>
      </c>
      <c r="K64" s="101">
        <v>6726</v>
      </c>
      <c r="L64" s="102">
        <v>15169</v>
      </c>
      <c r="M64" s="100">
        <v>19022</v>
      </c>
      <c r="N64" s="101">
        <v>34191</v>
      </c>
      <c r="O64" s="100">
        <v>144</v>
      </c>
      <c r="P64" s="100">
        <v>83</v>
      </c>
      <c r="Q64" s="101">
        <v>227</v>
      </c>
      <c r="R64" s="100">
        <v>5874</v>
      </c>
      <c r="S64" s="100">
        <v>847</v>
      </c>
      <c r="T64" s="101">
        <v>6721</v>
      </c>
      <c r="U64" s="102">
        <v>13</v>
      </c>
      <c r="V64" s="100">
        <v>0</v>
      </c>
      <c r="W64" s="101">
        <v>13</v>
      </c>
      <c r="X64" s="100">
        <v>131</v>
      </c>
      <c r="Y64" s="100">
        <v>169</v>
      </c>
      <c r="Z64" s="101">
        <v>300</v>
      </c>
      <c r="AA64" s="101">
        <v>24101</v>
      </c>
      <c r="AB64" s="101">
        <v>24568</v>
      </c>
      <c r="AC64" s="101">
        <f t="shared" ref="AC64" si="28">SUM(AA64+AB64)</f>
        <v>48669</v>
      </c>
    </row>
    <row r="65" spans="1:29">
      <c r="A65" s="907">
        <v>10</v>
      </c>
      <c r="B65" s="309" t="s">
        <v>25</v>
      </c>
      <c r="C65" s="310"/>
      <c r="D65" s="310"/>
      <c r="E65" s="310"/>
      <c r="F65" s="310"/>
      <c r="G65" s="310"/>
      <c r="H65" s="310"/>
      <c r="I65" s="310"/>
      <c r="J65" s="310"/>
      <c r="K65" s="311"/>
      <c r="L65" s="310"/>
      <c r="M65" s="310"/>
      <c r="N65" s="310"/>
      <c r="O65" s="310"/>
      <c r="P65" s="310"/>
      <c r="Q65" s="310"/>
      <c r="R65" s="310"/>
      <c r="S65" s="310"/>
      <c r="T65" s="311"/>
      <c r="U65" s="310"/>
      <c r="V65" s="310"/>
      <c r="W65" s="310"/>
      <c r="X65" s="310"/>
      <c r="Y65" s="310"/>
      <c r="Z65" s="310"/>
      <c r="AA65" s="310"/>
      <c r="AB65" s="310"/>
      <c r="AC65" s="311"/>
    </row>
    <row r="66" spans="1:29">
      <c r="A66" s="907"/>
      <c r="B66" s="312" t="s">
        <v>997</v>
      </c>
      <c r="C66" s="313">
        <v>4819</v>
      </c>
      <c r="D66" s="313">
        <v>3202</v>
      </c>
      <c r="E66" s="313">
        <v>8021</v>
      </c>
      <c r="F66" s="313">
        <v>135</v>
      </c>
      <c r="G66" s="313">
        <v>177</v>
      </c>
      <c r="H66" s="313">
        <v>312</v>
      </c>
      <c r="I66" s="313">
        <v>86719</v>
      </c>
      <c r="J66" s="313">
        <v>99388</v>
      </c>
      <c r="K66" s="313">
        <v>186107</v>
      </c>
      <c r="L66" s="313">
        <v>712608</v>
      </c>
      <c r="M66" s="313">
        <v>545854</v>
      </c>
      <c r="N66" s="313">
        <v>1258462</v>
      </c>
      <c r="O66" s="313">
        <v>3856</v>
      </c>
      <c r="P66" s="313">
        <v>3072</v>
      </c>
      <c r="Q66" s="313">
        <v>6928</v>
      </c>
      <c r="R66" s="313">
        <v>103346</v>
      </c>
      <c r="S66" s="313">
        <v>50683</v>
      </c>
      <c r="T66" s="313">
        <v>154029</v>
      </c>
      <c r="U66" s="313">
        <v>17256</v>
      </c>
      <c r="V66" s="313">
        <v>5035</v>
      </c>
      <c r="W66" s="313">
        <v>22291</v>
      </c>
      <c r="X66" s="313">
        <v>9405</v>
      </c>
      <c r="Y66" s="313">
        <v>7575</v>
      </c>
      <c r="Z66" s="313">
        <v>16980</v>
      </c>
      <c r="AA66" s="313">
        <v>938144</v>
      </c>
      <c r="AB66" s="313">
        <v>714986</v>
      </c>
      <c r="AC66" s="313">
        <v>1653130</v>
      </c>
    </row>
    <row r="67" spans="1:29">
      <c r="A67" s="907"/>
      <c r="B67" s="314" t="s">
        <v>301</v>
      </c>
      <c r="C67" s="259">
        <f ca="1">SUMIF('[2]7UnivActwithConsUnit'!$B:$B,$C67,'[2]7UnivActwithConsUnit'!D:D)+SUMIF('[2]8CollegeAct'!$B:$B,$C67,'[2]8CollegeAct'!D:D)+SUMIF(#REF!,$C67,#REF!)</f>
        <v>4380</v>
      </c>
      <c r="D67" s="259">
        <f ca="1">SUMIF('[2]7UnivActwithConsUnit'!$B:$B,$C67,'[2]7UnivActwithConsUnit'!E:E)+SUMIF('[2]8CollegeAct'!$B:$B,$C67,'[2]8CollegeAct'!E:E)+SUMIF(#REF!,$C67,#REF!)</f>
        <v>3050</v>
      </c>
      <c r="E67" s="259">
        <f ca="1">SUMIF('[2]7UnivActwithConsUnit'!$B:$B,$C67,'[2]7UnivActwithConsUnit'!F:F)+SUMIF('[2]8CollegeAct'!$B:$B,$C67,'[2]8CollegeAct'!F:F)+SUMIF(#REF!,$C67,#REF!)</f>
        <v>7430</v>
      </c>
      <c r="F67" s="259">
        <f ca="1">SUMIF('[2]7UnivActwithConsUnit'!$B:$B,$C67,'[2]7UnivActwithConsUnit'!G:G)+SUMIF('[2]8CollegeAct'!$B:$B,$C67,'[2]8CollegeAct'!G:G)+SUMIF(#REF!,$C67,#REF!)</f>
        <v>468</v>
      </c>
      <c r="G67" s="259">
        <f ca="1">SUMIF('[2]7UnivActwithConsUnit'!$B:$B,$C67,'[2]7UnivActwithConsUnit'!H:H)+SUMIF('[2]8CollegeAct'!$B:$B,$C67,'[2]8CollegeAct'!H:H)+SUMIF(#REF!,$C67,#REF!)</f>
        <v>469</v>
      </c>
      <c r="H67" s="259">
        <f ca="1">SUMIF('[2]7UnivActwithConsUnit'!$B:$B,$C67,'[2]7UnivActwithConsUnit'!I:I)+SUMIF('[2]8CollegeAct'!$B:$B,$C67,'[2]8CollegeAct'!I:I)+SUMIF(#REF!,$C67,#REF!)</f>
        <v>937</v>
      </c>
      <c r="I67" s="259">
        <f ca="1">SUMIF('[2]7UnivActwithConsUnit'!$B:$B,$C67,'[2]7UnivActwithConsUnit'!J:J)+SUMIF('[2]10CollegeEst'!$B:$B,$C67,'[2]10CollegeEst'!B:B)+SUMIF(#REF!,$C67,#REF!)</f>
        <v>67586</v>
      </c>
      <c r="J67" s="259">
        <f ca="1">SUMIF('[2]7UnivActwithConsUnit'!$B:$B,$C67,'[2]7UnivActwithConsUnit'!K:K)+SUMIF('[2]10CollegeEst'!$B:$B,$C67,'[2]10CollegeEst'!C:C)+SUMIF(#REF!,$C67,#REF!)</f>
        <v>87425</v>
      </c>
      <c r="K67" s="259">
        <f ca="1">SUMIF('[2]7UnivActwithConsUnit'!$B:$B,$C67,'[2]7UnivActwithConsUnit'!L:L)+SUMIF('[2]10CollegeEst'!$B:$B,$C67,'[2]10CollegeEst'!D:D)+SUMIF(#REF!,$C67,#REF!)</f>
        <v>155011</v>
      </c>
      <c r="L67" s="260">
        <f ca="1">SUMIF('[2]7UnivActwithConsUnit'!$B:$B,$C67,'[2]7UnivActwithConsUnit'!M:M)+SUMIF('[2]10CollegeEst'!$B:$B,$C67,'[2]10CollegeEst'!E:E)+SUMIF(#REF!,$C67,#REF!)</f>
        <v>681018</v>
      </c>
      <c r="M67" s="259">
        <f ca="1">SUMIF('[2]7UnivActwithConsUnit'!$B:$B,$C67,'[2]7UnivActwithConsUnit'!N:N)+SUMIF('[2]10CollegeEst'!$B:$B,$C67,'[2]10CollegeEst'!F:F)+SUMIF(#REF!,$C67,#REF!)</f>
        <v>526227</v>
      </c>
      <c r="N67" s="259">
        <f ca="1">SUMIF('[2]7UnivActwithConsUnit'!$B:$B,$C67,'[2]7UnivActwithConsUnit'!O:O)+SUMIF('[2]10CollegeEst'!$B:$B,$C67,'[2]10CollegeEst'!G:G)+SUMIF(#REF!,$C67,#REF!)</f>
        <v>1207245</v>
      </c>
      <c r="O67" s="259">
        <f ca="1">SUMIF('[2]7UnivActwithConsUnit'!$B:$B,$C67,'[2]7UnivActwithConsUnit'!P:P)+SUMIF('[2]8CollegeAct'!$B:$B,$C67,'[2]8CollegeAct'!P:P)+SUMIF(#REF!,$C67,#REF!)</f>
        <v>3780</v>
      </c>
      <c r="P67" s="259">
        <f ca="1">SUMIF('[2]7UnivActwithConsUnit'!$B:$B,$C67,'[2]7UnivActwithConsUnit'!Q:Q)+SUMIF('[2]8CollegeAct'!$B:$B,$C67,'[2]8CollegeAct'!Q:Q)+SUMIF(#REF!,$C67,#REF!)</f>
        <v>3456</v>
      </c>
      <c r="Q67" s="259">
        <f ca="1">SUMIF('[2]7UnivActwithConsUnit'!$B:$B,$C67,'[2]7UnivActwithConsUnit'!R:R)+SUMIF('[2]8CollegeAct'!$B:$B,$C67,'[2]8CollegeAct'!R:R)+SUMIF(#REF!,$C67,#REF!)</f>
        <v>7236</v>
      </c>
      <c r="R67" s="259">
        <f ca="1">SUMIF('[2]7UnivActwithConsUnit'!$B:$B,$C67,'[2]7UnivActwithConsUnit'!S:S)+SUMIF('[2]8CollegeAct'!$B:$B,$C67,'[2]8CollegeAct'!S:S)+SUMIF(#REF!,$C67,#REF!)</f>
        <v>94560</v>
      </c>
      <c r="S67" s="259">
        <f ca="1">SUMIF('[2]7UnivActwithConsUnit'!$B:$B,$C67,'[2]7UnivActwithConsUnit'!T:T)+SUMIF('[2]8CollegeAct'!$B:$B,$C67,'[2]8CollegeAct'!T:T)+SUMIF(#REF!,$C67,#REF!)</f>
        <v>45181</v>
      </c>
      <c r="T67" s="259">
        <f ca="1">SUMIF('[2]7UnivActwithConsUnit'!$B:$B,$C67,'[2]7UnivActwithConsUnit'!U:U)+SUMIF('[2]8CollegeAct'!$B:$B,$C67,'[2]8CollegeAct'!U:U)+SUMIF(#REF!,$C67,#REF!)</f>
        <v>139741</v>
      </c>
      <c r="U67" s="260">
        <f ca="1">SUMIF('[2]7UnivActwithConsUnit'!$B:$B,$C67,'[2]7UnivActwithConsUnit'!V:V)+SUMIF('[2]8CollegeAct'!$B:$B,$C67,'[2]8CollegeAct'!V:V)+SUMIF(#REF!,$C67,#REF!)</f>
        <v>5540</v>
      </c>
      <c r="V67" s="259">
        <f ca="1">SUMIF('[2]7UnivActwithConsUnit'!$B:$B,$C67,'[2]7UnivActwithConsUnit'!W:W)+SUMIF('[2]8CollegeAct'!$B:$B,$C67,'[2]8CollegeAct'!W:W)+SUMIF(#REF!,$C67,#REF!)</f>
        <v>7185</v>
      </c>
      <c r="W67" s="259">
        <f ca="1">SUMIF('[2]7UnivActwithConsUnit'!$B:$B,$C67,'[2]7UnivActwithConsUnit'!X:X)+SUMIF('[2]8CollegeAct'!$B:$B,$C67,'[2]8CollegeAct'!X:X)+SUMIF(#REF!,$C67,#REF!)</f>
        <v>12725</v>
      </c>
      <c r="X67" s="259">
        <f ca="1">SUMIF('[2]7UnivActwithConsUnit'!$B:$B,$C67,'[2]7UnivActwithConsUnit'!Y:Y)+SUMIF('[2]8CollegeAct'!$B:$B,$C67,'[2]8CollegeAct'!Y:Y)+SUMIF(#REF!,$C67,#REF!)</f>
        <v>7635</v>
      </c>
      <c r="Y67" s="259">
        <f ca="1">SUMIF('[2]7UnivActwithConsUnit'!$B:$B,$C67,'[2]7UnivActwithConsUnit'!Z:Z)+SUMIF('[2]8CollegeAct'!$B:$B,$C67,'[2]8CollegeAct'!Z:Z)+SUMIF(#REF!,$C67,#REF!)</f>
        <v>6880</v>
      </c>
      <c r="Z67" s="259">
        <f ca="1">SUMIF('[2]7UnivActwithConsUnit'!$B:$B,$C67,'[2]7UnivActwithConsUnit'!AA:AA)+SUMIF('[2]8CollegeAct'!$B:$B,$C67,'[2]8CollegeAct'!AA:AA)+SUMIF(#REF!,$C67,#REF!)</f>
        <v>14515</v>
      </c>
      <c r="AA67" s="261">
        <f t="shared" ref="AA67:AB67" ca="1" si="29">C67+F67+I67+L67+O67+R67+U67+X67</f>
        <v>864967</v>
      </c>
      <c r="AB67" s="261">
        <f t="shared" ca="1" si="29"/>
        <v>679873</v>
      </c>
      <c r="AC67" s="261">
        <f t="shared" ref="AC67" ca="1" si="30">AA67+AB67</f>
        <v>1544840</v>
      </c>
    </row>
    <row r="68" spans="1:29">
      <c r="A68" s="907"/>
      <c r="B68" s="314" t="s">
        <v>300</v>
      </c>
      <c r="C68" s="287">
        <v>3589</v>
      </c>
      <c r="D68" s="287">
        <v>2328</v>
      </c>
      <c r="E68" s="287">
        <v>5917</v>
      </c>
      <c r="F68" s="287">
        <v>470</v>
      </c>
      <c r="G68" s="287">
        <v>414</v>
      </c>
      <c r="H68" s="287">
        <v>884</v>
      </c>
      <c r="I68" s="287">
        <v>63874</v>
      </c>
      <c r="J68" s="287">
        <v>83554</v>
      </c>
      <c r="K68" s="287">
        <v>147428</v>
      </c>
      <c r="L68" s="315">
        <v>650213</v>
      </c>
      <c r="M68" s="287">
        <v>497400</v>
      </c>
      <c r="N68" s="287">
        <v>1147613</v>
      </c>
      <c r="O68" s="287">
        <v>3623</v>
      </c>
      <c r="P68" s="287">
        <v>3377</v>
      </c>
      <c r="Q68" s="287">
        <v>7000</v>
      </c>
      <c r="R68" s="287">
        <v>97626</v>
      </c>
      <c r="S68" s="287">
        <v>40902</v>
      </c>
      <c r="T68" s="287">
        <v>138528</v>
      </c>
      <c r="U68" s="315">
        <v>5824</v>
      </c>
      <c r="V68" s="287">
        <v>9742</v>
      </c>
      <c r="W68" s="287">
        <v>15566</v>
      </c>
      <c r="X68" s="287">
        <v>7727</v>
      </c>
      <c r="Y68" s="287">
        <v>7389</v>
      </c>
      <c r="Z68" s="287">
        <v>15116</v>
      </c>
      <c r="AA68" s="287">
        <v>832946</v>
      </c>
      <c r="AB68" s="287">
        <v>645106</v>
      </c>
      <c r="AC68" s="287">
        <v>1478052</v>
      </c>
    </row>
    <row r="69" spans="1:29">
      <c r="A69" s="907"/>
      <c r="B69" s="314" t="s">
        <v>299</v>
      </c>
      <c r="C69" s="96">
        <v>3256</v>
      </c>
      <c r="D69" s="96">
        <v>1995</v>
      </c>
      <c r="E69" s="96">
        <v>5251</v>
      </c>
      <c r="F69" s="96">
        <v>306</v>
      </c>
      <c r="G69" s="96">
        <v>291</v>
      </c>
      <c r="H69" s="96">
        <v>597</v>
      </c>
      <c r="I69" s="96">
        <v>62301</v>
      </c>
      <c r="J69" s="96">
        <v>76475</v>
      </c>
      <c r="K69" s="96">
        <v>138776</v>
      </c>
      <c r="L69" s="97">
        <v>642272</v>
      </c>
      <c r="M69" s="96">
        <v>487400</v>
      </c>
      <c r="N69" s="96">
        <v>1129672</v>
      </c>
      <c r="O69" s="96">
        <v>3485</v>
      </c>
      <c r="P69" s="96">
        <v>3341</v>
      </c>
      <c r="Q69" s="96">
        <v>6826</v>
      </c>
      <c r="R69" s="96">
        <v>103277</v>
      </c>
      <c r="S69" s="96">
        <v>38690</v>
      </c>
      <c r="T69" s="96">
        <v>141967</v>
      </c>
      <c r="U69" s="97">
        <v>5599</v>
      </c>
      <c r="V69" s="96">
        <v>10162</v>
      </c>
      <c r="W69" s="96">
        <v>15761</v>
      </c>
      <c r="X69" s="96">
        <v>7115</v>
      </c>
      <c r="Y69" s="96">
        <v>7290</v>
      </c>
      <c r="Z69" s="96">
        <v>14405</v>
      </c>
      <c r="AA69" s="98">
        <f t="shared" ref="AA69:AC69" si="31">C69+F69+I69+L69+O69+R69+U69+X69</f>
        <v>827611</v>
      </c>
      <c r="AB69" s="98">
        <f t="shared" si="31"/>
        <v>625644</v>
      </c>
      <c r="AC69" s="98">
        <f t="shared" si="31"/>
        <v>1453255</v>
      </c>
    </row>
    <row r="70" spans="1:29">
      <c r="A70" s="907"/>
      <c r="B70" s="314" t="s">
        <v>298</v>
      </c>
      <c r="C70" s="100">
        <v>3035</v>
      </c>
      <c r="D70" s="100">
        <v>1953</v>
      </c>
      <c r="E70" s="101">
        <v>4988</v>
      </c>
      <c r="F70" s="100">
        <v>352</v>
      </c>
      <c r="G70" s="100">
        <v>406</v>
      </c>
      <c r="H70" s="101">
        <v>758</v>
      </c>
      <c r="I70" s="100">
        <v>75691</v>
      </c>
      <c r="J70" s="100">
        <v>82487</v>
      </c>
      <c r="K70" s="101">
        <v>158178</v>
      </c>
      <c r="L70" s="102">
        <v>651887</v>
      </c>
      <c r="M70" s="100">
        <v>457692</v>
      </c>
      <c r="N70" s="101">
        <v>1109579</v>
      </c>
      <c r="O70" s="100">
        <v>4787</v>
      </c>
      <c r="P70" s="100">
        <v>3486</v>
      </c>
      <c r="Q70" s="101">
        <v>8273</v>
      </c>
      <c r="R70" s="100">
        <v>106197</v>
      </c>
      <c r="S70" s="100">
        <v>35013</v>
      </c>
      <c r="T70" s="101">
        <v>141210</v>
      </c>
      <c r="U70" s="102">
        <v>19310</v>
      </c>
      <c r="V70" s="100">
        <v>3539</v>
      </c>
      <c r="W70" s="101">
        <v>22849</v>
      </c>
      <c r="X70" s="100">
        <v>5886</v>
      </c>
      <c r="Y70" s="100">
        <v>6383</v>
      </c>
      <c r="Z70" s="101">
        <v>12269</v>
      </c>
      <c r="AA70" s="101">
        <v>867145</v>
      </c>
      <c r="AB70" s="101">
        <v>590959</v>
      </c>
      <c r="AC70" s="101">
        <f t="shared" ref="AC70" si="32">SUM(AA70+AB70)</f>
        <v>1458104</v>
      </c>
    </row>
    <row r="71" spans="1:29">
      <c r="A71" s="907">
        <v>11</v>
      </c>
      <c r="B71" s="309" t="s">
        <v>26</v>
      </c>
      <c r="C71" s="310"/>
      <c r="D71" s="310"/>
      <c r="E71" s="310"/>
      <c r="F71" s="310"/>
      <c r="G71" s="310"/>
      <c r="H71" s="310"/>
      <c r="I71" s="310"/>
      <c r="J71" s="310"/>
      <c r="K71" s="311"/>
      <c r="L71" s="310"/>
      <c r="M71" s="310"/>
      <c r="N71" s="310"/>
      <c r="O71" s="310"/>
      <c r="P71" s="310"/>
      <c r="Q71" s="310"/>
      <c r="R71" s="310"/>
      <c r="S71" s="310"/>
      <c r="T71" s="311"/>
      <c r="U71" s="310"/>
      <c r="V71" s="310"/>
      <c r="W71" s="310"/>
      <c r="X71" s="310"/>
      <c r="Y71" s="310"/>
      <c r="Z71" s="310"/>
      <c r="AA71" s="310"/>
      <c r="AB71" s="310"/>
      <c r="AC71" s="311"/>
    </row>
    <row r="72" spans="1:29">
      <c r="A72" s="907"/>
      <c r="B72" s="312" t="s">
        <v>997</v>
      </c>
      <c r="C72" s="313">
        <v>2046</v>
      </c>
      <c r="D72" s="313">
        <v>2502</v>
      </c>
      <c r="E72" s="313">
        <v>4548</v>
      </c>
      <c r="F72" s="313">
        <v>104</v>
      </c>
      <c r="G72" s="313">
        <v>142</v>
      </c>
      <c r="H72" s="313">
        <v>246</v>
      </c>
      <c r="I72" s="313">
        <v>50192</v>
      </c>
      <c r="J72" s="313">
        <v>80377</v>
      </c>
      <c r="K72" s="313">
        <v>130569</v>
      </c>
      <c r="L72" s="313">
        <v>392179</v>
      </c>
      <c r="M72" s="313">
        <v>389514</v>
      </c>
      <c r="N72" s="313">
        <v>781693</v>
      </c>
      <c r="O72" s="313">
        <v>1596</v>
      </c>
      <c r="P72" s="313">
        <v>1331</v>
      </c>
      <c r="Q72" s="313">
        <v>2927</v>
      </c>
      <c r="R72" s="313">
        <v>61163</v>
      </c>
      <c r="S72" s="313">
        <v>28798</v>
      </c>
      <c r="T72" s="313">
        <v>89961</v>
      </c>
      <c r="U72" s="313">
        <v>693</v>
      </c>
      <c r="V72" s="313">
        <v>991</v>
      </c>
      <c r="W72" s="313">
        <v>1684</v>
      </c>
      <c r="X72" s="313">
        <v>9840</v>
      </c>
      <c r="Y72" s="313">
        <v>7691</v>
      </c>
      <c r="Z72" s="313">
        <v>17531</v>
      </c>
      <c r="AA72" s="313">
        <v>517813</v>
      </c>
      <c r="AB72" s="313">
        <v>511346</v>
      </c>
      <c r="AC72" s="313">
        <v>1029159</v>
      </c>
    </row>
    <row r="73" spans="1:29">
      <c r="A73" s="907"/>
      <c r="B73" s="314" t="s">
        <v>301</v>
      </c>
      <c r="C73" s="259">
        <f ca="1">SUMIF('[2]7UnivActwithConsUnit'!$B:$B,$C73,'[2]7UnivActwithConsUnit'!D:D)+SUMIF('[2]8CollegeAct'!$B:$B,$C73,'[2]8CollegeAct'!D:D)+SUMIF(#REF!,$C73,#REF!)</f>
        <v>1810</v>
      </c>
      <c r="D73" s="259">
        <f ca="1">SUMIF('[2]7UnivActwithConsUnit'!$B:$B,$C73,'[2]7UnivActwithConsUnit'!E:E)+SUMIF('[2]8CollegeAct'!$B:$B,$C73,'[2]8CollegeAct'!E:E)+SUMIF(#REF!,$C73,#REF!)</f>
        <v>2356</v>
      </c>
      <c r="E73" s="259">
        <f ca="1">SUMIF('[2]7UnivActwithConsUnit'!$B:$B,$C73,'[2]7UnivActwithConsUnit'!F:F)+SUMIF('[2]8CollegeAct'!$B:$B,$C73,'[2]8CollegeAct'!F:F)+SUMIF(#REF!,$C73,#REF!)</f>
        <v>4166</v>
      </c>
      <c r="F73" s="259">
        <f ca="1">SUMIF('[2]7UnivActwithConsUnit'!$B:$B,$C73,'[2]7UnivActwithConsUnit'!G:G)+SUMIF('[2]8CollegeAct'!$B:$B,$C73,'[2]8CollegeAct'!G:G)+SUMIF(#REF!,$C73,#REF!)</f>
        <v>80</v>
      </c>
      <c r="G73" s="259">
        <f ca="1">SUMIF('[2]7UnivActwithConsUnit'!$B:$B,$C73,'[2]7UnivActwithConsUnit'!H:H)+SUMIF('[2]8CollegeAct'!$B:$B,$C73,'[2]8CollegeAct'!H:H)+SUMIF(#REF!,$C73,#REF!)</f>
        <v>230</v>
      </c>
      <c r="H73" s="259">
        <f ca="1">SUMIF('[2]7UnivActwithConsUnit'!$B:$B,$C73,'[2]7UnivActwithConsUnit'!I:I)+SUMIF('[2]8CollegeAct'!$B:$B,$C73,'[2]8CollegeAct'!I:I)+SUMIF(#REF!,$C73,#REF!)</f>
        <v>310</v>
      </c>
      <c r="I73" s="259">
        <f ca="1">SUMIF('[2]7UnivActwithConsUnit'!$B:$B,$C73,'[2]7UnivActwithConsUnit'!J:J)+SUMIF('[2]10CollegeEst'!$B:$B,$C73,'[2]10CollegeEst'!B:B)+SUMIF(#REF!,$C73,#REF!)</f>
        <v>41587</v>
      </c>
      <c r="J73" s="259">
        <f ca="1">SUMIF('[2]7UnivActwithConsUnit'!$B:$B,$C73,'[2]7UnivActwithConsUnit'!K:K)+SUMIF('[2]10CollegeEst'!$B:$B,$C73,'[2]10CollegeEst'!C:C)+SUMIF(#REF!,$C73,#REF!)</f>
        <v>69928</v>
      </c>
      <c r="K73" s="259">
        <f ca="1">SUMIF('[2]7UnivActwithConsUnit'!$B:$B,$C73,'[2]7UnivActwithConsUnit'!L:L)+SUMIF('[2]10CollegeEst'!$B:$B,$C73,'[2]10CollegeEst'!D:D)+SUMIF(#REF!,$C73,#REF!)</f>
        <v>111515</v>
      </c>
      <c r="L73" s="260">
        <f ca="1">SUMIF('[2]7UnivActwithConsUnit'!$B:$B,$C73,'[2]7UnivActwithConsUnit'!M:M)+SUMIF('[2]10CollegeEst'!$B:$B,$C73,'[2]10CollegeEst'!E:E)+SUMIF(#REF!,$C73,#REF!)</f>
        <v>354321</v>
      </c>
      <c r="M73" s="259">
        <f ca="1">SUMIF('[2]7UnivActwithConsUnit'!$B:$B,$C73,'[2]7UnivActwithConsUnit'!N:N)+SUMIF('[2]10CollegeEst'!$B:$B,$C73,'[2]10CollegeEst'!F:F)+SUMIF(#REF!,$C73,#REF!)</f>
        <v>368329</v>
      </c>
      <c r="N73" s="259">
        <f ca="1">SUMIF('[2]7UnivActwithConsUnit'!$B:$B,$C73,'[2]7UnivActwithConsUnit'!O:O)+SUMIF('[2]10CollegeEst'!$B:$B,$C73,'[2]10CollegeEst'!G:G)+SUMIF(#REF!,$C73,#REF!)</f>
        <v>722650</v>
      </c>
      <c r="O73" s="259">
        <f ca="1">SUMIF('[2]7UnivActwithConsUnit'!$B:$B,$C73,'[2]7UnivActwithConsUnit'!P:P)+SUMIF('[2]8CollegeAct'!$B:$B,$C73,'[2]8CollegeAct'!P:P)+SUMIF(#REF!,$C73,#REF!)</f>
        <v>2059</v>
      </c>
      <c r="P73" s="259">
        <f ca="1">SUMIF('[2]7UnivActwithConsUnit'!$B:$B,$C73,'[2]7UnivActwithConsUnit'!Q:Q)+SUMIF('[2]8CollegeAct'!$B:$B,$C73,'[2]8CollegeAct'!Q:Q)+SUMIF(#REF!,$C73,#REF!)</f>
        <v>1672</v>
      </c>
      <c r="Q73" s="259">
        <f ca="1">SUMIF('[2]7UnivActwithConsUnit'!$B:$B,$C73,'[2]7UnivActwithConsUnit'!R:R)+SUMIF('[2]8CollegeAct'!$B:$B,$C73,'[2]8CollegeAct'!R:R)+SUMIF(#REF!,$C73,#REF!)</f>
        <v>3731</v>
      </c>
      <c r="R73" s="259">
        <f ca="1">SUMIF('[2]7UnivActwithConsUnit'!$B:$B,$C73,'[2]7UnivActwithConsUnit'!S:S)+SUMIF('[2]8CollegeAct'!$B:$B,$C73,'[2]8CollegeAct'!S:S)+SUMIF(#REF!,$C73,#REF!)</f>
        <v>49706</v>
      </c>
      <c r="S73" s="259">
        <f ca="1">SUMIF('[2]7UnivActwithConsUnit'!$B:$B,$C73,'[2]7UnivActwithConsUnit'!T:T)+SUMIF('[2]8CollegeAct'!$B:$B,$C73,'[2]8CollegeAct'!T:T)+SUMIF(#REF!,$C73,#REF!)</f>
        <v>21579</v>
      </c>
      <c r="T73" s="259">
        <f ca="1">SUMIF('[2]7UnivActwithConsUnit'!$B:$B,$C73,'[2]7UnivActwithConsUnit'!U:U)+SUMIF('[2]8CollegeAct'!$B:$B,$C73,'[2]8CollegeAct'!U:U)+SUMIF(#REF!,$C73,#REF!)</f>
        <v>71285</v>
      </c>
      <c r="U73" s="260">
        <f ca="1">SUMIF('[2]7UnivActwithConsUnit'!$B:$B,$C73,'[2]7UnivActwithConsUnit'!V:V)+SUMIF('[2]8CollegeAct'!$B:$B,$C73,'[2]8CollegeAct'!V:V)+SUMIF(#REF!,$C73,#REF!)</f>
        <v>1621</v>
      </c>
      <c r="V73" s="259">
        <f ca="1">SUMIF('[2]7UnivActwithConsUnit'!$B:$B,$C73,'[2]7UnivActwithConsUnit'!W:W)+SUMIF('[2]8CollegeAct'!$B:$B,$C73,'[2]8CollegeAct'!W:W)+SUMIF(#REF!,$C73,#REF!)</f>
        <v>1778</v>
      </c>
      <c r="W73" s="259">
        <f ca="1">SUMIF('[2]7UnivActwithConsUnit'!$B:$B,$C73,'[2]7UnivActwithConsUnit'!X:X)+SUMIF('[2]8CollegeAct'!$B:$B,$C73,'[2]8CollegeAct'!X:X)+SUMIF(#REF!,$C73,#REF!)</f>
        <v>3399</v>
      </c>
      <c r="X73" s="259">
        <f ca="1">SUMIF('[2]7UnivActwithConsUnit'!$B:$B,$C73,'[2]7UnivActwithConsUnit'!Y:Y)+SUMIF('[2]8CollegeAct'!$B:$B,$C73,'[2]8CollegeAct'!Y:Y)+SUMIF(#REF!,$C73,#REF!)</f>
        <v>9303</v>
      </c>
      <c r="Y73" s="259">
        <f ca="1">SUMIF('[2]7UnivActwithConsUnit'!$B:$B,$C73,'[2]7UnivActwithConsUnit'!Z:Z)+SUMIF('[2]8CollegeAct'!$B:$B,$C73,'[2]8CollegeAct'!Z:Z)+SUMIF(#REF!,$C73,#REF!)</f>
        <v>7182</v>
      </c>
      <c r="Z73" s="259">
        <f ca="1">SUMIF('[2]7UnivActwithConsUnit'!$B:$B,$C73,'[2]7UnivActwithConsUnit'!AA:AA)+SUMIF('[2]8CollegeAct'!$B:$B,$C73,'[2]8CollegeAct'!AA:AA)+SUMIF(#REF!,$C73,#REF!)</f>
        <v>16485</v>
      </c>
      <c r="AA73" s="261">
        <f t="shared" ref="AA73:AB73" ca="1" si="33">C73+F73+I73+L73+O73+R73+U73+X73</f>
        <v>460487</v>
      </c>
      <c r="AB73" s="261">
        <f t="shared" ca="1" si="33"/>
        <v>473054</v>
      </c>
      <c r="AC73" s="261">
        <f t="shared" ref="AC73" ca="1" si="34">AA73+AB73</f>
        <v>933541</v>
      </c>
    </row>
    <row r="74" spans="1:29">
      <c r="A74" s="907"/>
      <c r="B74" s="314" t="s">
        <v>300</v>
      </c>
      <c r="C74" s="287">
        <v>1855</v>
      </c>
      <c r="D74" s="287">
        <v>1991</v>
      </c>
      <c r="E74" s="287">
        <v>3846</v>
      </c>
      <c r="F74" s="287">
        <v>154</v>
      </c>
      <c r="G74" s="287">
        <v>287</v>
      </c>
      <c r="H74" s="287">
        <v>441</v>
      </c>
      <c r="I74" s="287">
        <v>39800</v>
      </c>
      <c r="J74" s="287">
        <v>69046</v>
      </c>
      <c r="K74" s="287">
        <v>108846</v>
      </c>
      <c r="L74" s="315">
        <v>353487</v>
      </c>
      <c r="M74" s="287">
        <v>368952</v>
      </c>
      <c r="N74" s="287">
        <v>722439</v>
      </c>
      <c r="O74" s="287">
        <v>1917</v>
      </c>
      <c r="P74" s="287">
        <v>1507</v>
      </c>
      <c r="Q74" s="287">
        <v>3424</v>
      </c>
      <c r="R74" s="287">
        <v>50412</v>
      </c>
      <c r="S74" s="287">
        <v>22284</v>
      </c>
      <c r="T74" s="287">
        <v>72696</v>
      </c>
      <c r="U74" s="315">
        <v>1175</v>
      </c>
      <c r="V74" s="287">
        <v>1577</v>
      </c>
      <c r="W74" s="287">
        <v>2752</v>
      </c>
      <c r="X74" s="287">
        <v>8489</v>
      </c>
      <c r="Y74" s="287">
        <v>5960</v>
      </c>
      <c r="Z74" s="287">
        <v>14449</v>
      </c>
      <c r="AA74" s="287">
        <v>457289</v>
      </c>
      <c r="AB74" s="287">
        <v>471604</v>
      </c>
      <c r="AC74" s="287">
        <v>928893</v>
      </c>
    </row>
    <row r="75" spans="1:29">
      <c r="A75" s="907"/>
      <c r="B75" s="314" t="s">
        <v>299</v>
      </c>
      <c r="C75" s="96">
        <v>1632</v>
      </c>
      <c r="D75" s="96">
        <v>1696</v>
      </c>
      <c r="E75" s="96">
        <v>3328</v>
      </c>
      <c r="F75" s="96">
        <v>170</v>
      </c>
      <c r="G75" s="96">
        <v>270</v>
      </c>
      <c r="H75" s="96">
        <v>440</v>
      </c>
      <c r="I75" s="96">
        <v>47613.360389324749</v>
      </c>
      <c r="J75" s="96">
        <v>82880.467817951023</v>
      </c>
      <c r="K75" s="96">
        <v>130493.82820727579</v>
      </c>
      <c r="L75" s="97">
        <v>361144.02289604669</v>
      </c>
      <c r="M75" s="96">
        <v>332361.36593495507</v>
      </c>
      <c r="N75" s="96">
        <v>693505.38883100171</v>
      </c>
      <c r="O75" s="96">
        <v>1846</v>
      </c>
      <c r="P75" s="96">
        <v>1200</v>
      </c>
      <c r="Q75" s="96">
        <v>3046</v>
      </c>
      <c r="R75" s="96">
        <v>45449</v>
      </c>
      <c r="S75" s="96">
        <v>20955</v>
      </c>
      <c r="T75" s="96">
        <v>66404</v>
      </c>
      <c r="U75" s="97">
        <v>1241</v>
      </c>
      <c r="V75" s="96">
        <v>1833</v>
      </c>
      <c r="W75" s="96">
        <v>3074</v>
      </c>
      <c r="X75" s="96">
        <v>8294</v>
      </c>
      <c r="Y75" s="96">
        <v>4858</v>
      </c>
      <c r="Z75" s="96">
        <v>13152</v>
      </c>
      <c r="AA75" s="98">
        <f t="shared" ref="AA75:AC75" si="35">C75+F75+I75+L75+O75+R75+U75+X75</f>
        <v>467389.38328537147</v>
      </c>
      <c r="AB75" s="98">
        <f t="shared" si="35"/>
        <v>446053.83375290607</v>
      </c>
      <c r="AC75" s="98">
        <f t="shared" si="35"/>
        <v>913443.21703827754</v>
      </c>
    </row>
    <row r="76" spans="1:29">
      <c r="A76" s="907"/>
      <c r="B76" s="314" t="s">
        <v>298</v>
      </c>
      <c r="C76" s="100">
        <v>1817</v>
      </c>
      <c r="D76" s="100">
        <v>1784</v>
      </c>
      <c r="E76" s="101">
        <v>3601</v>
      </c>
      <c r="F76" s="100">
        <v>208</v>
      </c>
      <c r="G76" s="100">
        <v>260</v>
      </c>
      <c r="H76" s="101">
        <v>468</v>
      </c>
      <c r="I76" s="100">
        <v>57433</v>
      </c>
      <c r="J76" s="100">
        <v>90425</v>
      </c>
      <c r="K76" s="101">
        <v>147858</v>
      </c>
      <c r="L76" s="102">
        <v>375085</v>
      </c>
      <c r="M76" s="100">
        <v>313060</v>
      </c>
      <c r="N76" s="101">
        <v>688145</v>
      </c>
      <c r="O76" s="100">
        <v>1740</v>
      </c>
      <c r="P76" s="100">
        <v>1352</v>
      </c>
      <c r="Q76" s="101">
        <v>3092</v>
      </c>
      <c r="R76" s="100">
        <v>49362</v>
      </c>
      <c r="S76" s="100">
        <v>19458</v>
      </c>
      <c r="T76" s="101">
        <v>68820</v>
      </c>
      <c r="U76" s="102">
        <v>1037</v>
      </c>
      <c r="V76" s="100">
        <v>1853</v>
      </c>
      <c r="W76" s="101">
        <v>2890</v>
      </c>
      <c r="X76" s="100">
        <v>6428</v>
      </c>
      <c r="Y76" s="100">
        <v>3988</v>
      </c>
      <c r="Z76" s="101">
        <v>10416</v>
      </c>
      <c r="AA76" s="101">
        <v>493110</v>
      </c>
      <c r="AB76" s="101">
        <v>432180</v>
      </c>
      <c r="AC76" s="101">
        <f t="shared" ref="AC76" si="36">SUM(AA76+AB76)</f>
        <v>925290</v>
      </c>
    </row>
    <row r="77" spans="1:29">
      <c r="A77" s="907">
        <v>12</v>
      </c>
      <c r="B77" s="309" t="s">
        <v>27</v>
      </c>
      <c r="C77" s="310"/>
      <c r="D77" s="310"/>
      <c r="E77" s="310"/>
      <c r="F77" s="310"/>
      <c r="G77" s="310"/>
      <c r="H77" s="310"/>
      <c r="I77" s="310"/>
      <c r="J77" s="310"/>
      <c r="K77" s="311"/>
      <c r="L77" s="310"/>
      <c r="M77" s="310"/>
      <c r="N77" s="310"/>
      <c r="O77" s="310"/>
      <c r="P77" s="310"/>
      <c r="Q77" s="310"/>
      <c r="R77" s="310"/>
      <c r="S77" s="310"/>
      <c r="T77" s="311"/>
      <c r="U77" s="310"/>
      <c r="V77" s="310"/>
      <c r="W77" s="310"/>
      <c r="X77" s="310"/>
      <c r="Y77" s="310"/>
      <c r="Z77" s="310"/>
      <c r="AA77" s="310"/>
      <c r="AB77" s="310"/>
      <c r="AC77" s="311"/>
    </row>
    <row r="78" spans="1:29">
      <c r="A78" s="907"/>
      <c r="B78" s="312" t="s">
        <v>997</v>
      </c>
      <c r="C78" s="313">
        <v>1100</v>
      </c>
      <c r="D78" s="313">
        <v>1012</v>
      </c>
      <c r="E78" s="313">
        <v>2112</v>
      </c>
      <c r="F78" s="313">
        <v>136</v>
      </c>
      <c r="G78" s="313">
        <v>134</v>
      </c>
      <c r="H78" s="313">
        <v>270</v>
      </c>
      <c r="I78" s="313">
        <v>13471</v>
      </c>
      <c r="J78" s="313">
        <v>16133</v>
      </c>
      <c r="K78" s="313">
        <v>29604</v>
      </c>
      <c r="L78" s="313">
        <v>107717</v>
      </c>
      <c r="M78" s="313">
        <v>128469</v>
      </c>
      <c r="N78" s="313">
        <v>236186</v>
      </c>
      <c r="O78" s="313">
        <v>730</v>
      </c>
      <c r="P78" s="313">
        <v>753</v>
      </c>
      <c r="Q78" s="313">
        <v>1483</v>
      </c>
      <c r="R78" s="313">
        <v>8214</v>
      </c>
      <c r="S78" s="313">
        <v>8687</v>
      </c>
      <c r="T78" s="313">
        <v>16901</v>
      </c>
      <c r="U78" s="313">
        <v>324</v>
      </c>
      <c r="V78" s="313">
        <v>236</v>
      </c>
      <c r="W78" s="313">
        <v>560</v>
      </c>
      <c r="X78" s="313">
        <v>1504</v>
      </c>
      <c r="Y78" s="313">
        <v>965</v>
      </c>
      <c r="Z78" s="313">
        <v>2469</v>
      </c>
      <c r="AA78" s="313">
        <v>133196</v>
      </c>
      <c r="AB78" s="313">
        <v>156389</v>
      </c>
      <c r="AC78" s="313">
        <v>289585</v>
      </c>
    </row>
    <row r="79" spans="1:29">
      <c r="A79" s="907"/>
      <c r="B79" s="314" t="s">
        <v>301</v>
      </c>
      <c r="C79" s="259">
        <f ca="1">SUMIF('[2]7UnivActwithConsUnit'!$B:$B,$C79,'[2]7UnivActwithConsUnit'!D:D)+SUMIF('[2]8CollegeAct'!$B:$B,$C79,'[2]8CollegeAct'!D:D)+SUMIF(#REF!,$C79,#REF!)</f>
        <v>1027</v>
      </c>
      <c r="D79" s="259">
        <f ca="1">SUMIF('[2]7UnivActwithConsUnit'!$B:$B,$C79,'[2]7UnivActwithConsUnit'!E:E)+SUMIF('[2]8CollegeAct'!$B:$B,$C79,'[2]8CollegeAct'!E:E)+SUMIF(#REF!,$C79,#REF!)</f>
        <v>897</v>
      </c>
      <c r="E79" s="259">
        <f ca="1">SUMIF('[2]7UnivActwithConsUnit'!$B:$B,$C79,'[2]7UnivActwithConsUnit'!F:F)+SUMIF('[2]8CollegeAct'!$B:$B,$C79,'[2]8CollegeAct'!F:F)+SUMIF(#REF!,$C79,#REF!)</f>
        <v>1924</v>
      </c>
      <c r="F79" s="259">
        <f ca="1">SUMIF('[2]7UnivActwithConsUnit'!$B:$B,$C79,'[2]7UnivActwithConsUnit'!G:G)+SUMIF('[2]8CollegeAct'!$B:$B,$C79,'[2]8CollegeAct'!G:G)+SUMIF(#REF!,$C79,#REF!)</f>
        <v>118</v>
      </c>
      <c r="G79" s="259">
        <f ca="1">SUMIF('[2]7UnivActwithConsUnit'!$B:$B,$C79,'[2]7UnivActwithConsUnit'!H:H)+SUMIF('[2]8CollegeAct'!$B:$B,$C79,'[2]8CollegeAct'!H:H)+SUMIF(#REF!,$C79,#REF!)</f>
        <v>214</v>
      </c>
      <c r="H79" s="259">
        <f ca="1">SUMIF('[2]7UnivActwithConsUnit'!$B:$B,$C79,'[2]7UnivActwithConsUnit'!I:I)+SUMIF('[2]8CollegeAct'!$B:$B,$C79,'[2]8CollegeAct'!I:I)+SUMIF(#REF!,$C79,#REF!)</f>
        <v>332</v>
      </c>
      <c r="I79" s="259">
        <f ca="1">SUMIF('[2]7UnivActwithConsUnit'!$B:$B,$C79,'[2]7UnivActwithConsUnit'!J:J)+SUMIF('[2]10CollegeEst'!$B:$B,$C79,'[2]10CollegeEst'!B:B)+SUMIF(#REF!,$C79,#REF!)</f>
        <v>12488</v>
      </c>
      <c r="J79" s="259">
        <f ca="1">SUMIF('[2]7UnivActwithConsUnit'!$B:$B,$C79,'[2]7UnivActwithConsUnit'!K:K)+SUMIF('[2]10CollegeEst'!$B:$B,$C79,'[2]10CollegeEst'!C:C)+SUMIF(#REF!,$C79,#REF!)</f>
        <v>16079</v>
      </c>
      <c r="K79" s="259">
        <f ca="1">SUMIF('[2]7UnivActwithConsUnit'!$B:$B,$C79,'[2]7UnivActwithConsUnit'!L:L)+SUMIF('[2]10CollegeEst'!$B:$B,$C79,'[2]10CollegeEst'!D:D)+SUMIF(#REF!,$C79,#REF!)</f>
        <v>28567</v>
      </c>
      <c r="L79" s="260">
        <f ca="1">SUMIF('[2]7UnivActwithConsUnit'!$B:$B,$C79,'[2]7UnivActwithConsUnit'!M:M)+SUMIF('[2]10CollegeEst'!$B:$B,$C79,'[2]10CollegeEst'!E:E)+SUMIF(#REF!,$C79,#REF!)</f>
        <v>107453</v>
      </c>
      <c r="M79" s="259">
        <f ca="1">SUMIF('[2]7UnivActwithConsUnit'!$B:$B,$C79,'[2]7UnivActwithConsUnit'!N:N)+SUMIF('[2]10CollegeEst'!$B:$B,$C79,'[2]10CollegeEst'!F:F)+SUMIF(#REF!,$C79,#REF!)</f>
        <v>129428</v>
      </c>
      <c r="N79" s="259">
        <f ca="1">SUMIF('[2]7UnivActwithConsUnit'!$B:$B,$C79,'[2]7UnivActwithConsUnit'!O:O)+SUMIF('[2]10CollegeEst'!$B:$B,$C79,'[2]10CollegeEst'!G:G)+SUMIF(#REF!,$C79,#REF!)</f>
        <v>236881</v>
      </c>
      <c r="O79" s="259">
        <f ca="1">SUMIF('[2]7UnivActwithConsUnit'!$B:$B,$C79,'[2]7UnivActwithConsUnit'!P:P)+SUMIF('[2]8CollegeAct'!$B:$B,$C79,'[2]8CollegeAct'!P:P)+SUMIF(#REF!,$C79,#REF!)</f>
        <v>1049</v>
      </c>
      <c r="P79" s="259">
        <f ca="1">SUMIF('[2]7UnivActwithConsUnit'!$B:$B,$C79,'[2]7UnivActwithConsUnit'!Q:Q)+SUMIF('[2]8CollegeAct'!$B:$B,$C79,'[2]8CollegeAct'!Q:Q)+SUMIF(#REF!,$C79,#REF!)</f>
        <v>1240</v>
      </c>
      <c r="Q79" s="259">
        <f ca="1">SUMIF('[2]7UnivActwithConsUnit'!$B:$B,$C79,'[2]7UnivActwithConsUnit'!R:R)+SUMIF('[2]8CollegeAct'!$B:$B,$C79,'[2]8CollegeAct'!R:R)+SUMIF(#REF!,$C79,#REF!)</f>
        <v>2289</v>
      </c>
      <c r="R79" s="259">
        <f ca="1">SUMIF('[2]7UnivActwithConsUnit'!$B:$B,$C79,'[2]7UnivActwithConsUnit'!S:S)+SUMIF('[2]8CollegeAct'!$B:$B,$C79,'[2]8CollegeAct'!S:S)+SUMIF(#REF!,$C79,#REF!)</f>
        <v>8515</v>
      </c>
      <c r="S79" s="259">
        <f ca="1">SUMIF('[2]7UnivActwithConsUnit'!$B:$B,$C79,'[2]7UnivActwithConsUnit'!T:T)+SUMIF('[2]8CollegeAct'!$B:$B,$C79,'[2]8CollegeAct'!T:T)+SUMIF(#REF!,$C79,#REF!)</f>
        <v>8198</v>
      </c>
      <c r="T79" s="259">
        <f ca="1">SUMIF('[2]7UnivActwithConsUnit'!$B:$B,$C79,'[2]7UnivActwithConsUnit'!U:U)+SUMIF('[2]8CollegeAct'!$B:$B,$C79,'[2]8CollegeAct'!U:U)+SUMIF(#REF!,$C79,#REF!)</f>
        <v>16713</v>
      </c>
      <c r="U79" s="260">
        <f ca="1">SUMIF('[2]7UnivActwithConsUnit'!$B:$B,$C79,'[2]7UnivActwithConsUnit'!V:V)+SUMIF('[2]8CollegeAct'!$B:$B,$C79,'[2]8CollegeAct'!V:V)+SUMIF(#REF!,$C79,#REF!)</f>
        <v>591</v>
      </c>
      <c r="V79" s="259">
        <f ca="1">SUMIF('[2]7UnivActwithConsUnit'!$B:$B,$C79,'[2]7UnivActwithConsUnit'!W:W)+SUMIF('[2]8CollegeAct'!$B:$B,$C79,'[2]8CollegeAct'!W:W)+SUMIF(#REF!,$C79,#REF!)</f>
        <v>678</v>
      </c>
      <c r="W79" s="259">
        <f ca="1">SUMIF('[2]7UnivActwithConsUnit'!$B:$B,$C79,'[2]7UnivActwithConsUnit'!X:X)+SUMIF('[2]8CollegeAct'!$B:$B,$C79,'[2]8CollegeAct'!X:X)+SUMIF(#REF!,$C79,#REF!)</f>
        <v>1269</v>
      </c>
      <c r="X79" s="259">
        <f ca="1">SUMIF('[2]7UnivActwithConsUnit'!$B:$B,$C79,'[2]7UnivActwithConsUnit'!Y:Y)+SUMIF('[2]8CollegeAct'!$B:$B,$C79,'[2]8CollegeAct'!Y:Y)+SUMIF(#REF!,$C79,#REF!)</f>
        <v>990</v>
      </c>
      <c r="Y79" s="259">
        <f ca="1">SUMIF('[2]7UnivActwithConsUnit'!$B:$B,$C79,'[2]7UnivActwithConsUnit'!Z:Z)+SUMIF('[2]8CollegeAct'!$B:$B,$C79,'[2]8CollegeAct'!Z:Z)+SUMIF(#REF!,$C79,#REF!)</f>
        <v>523</v>
      </c>
      <c r="Z79" s="259">
        <f ca="1">SUMIF('[2]7UnivActwithConsUnit'!$B:$B,$C79,'[2]7UnivActwithConsUnit'!AA:AA)+SUMIF('[2]8CollegeAct'!$B:$B,$C79,'[2]8CollegeAct'!AA:AA)+SUMIF(#REF!,$C79,#REF!)</f>
        <v>1513</v>
      </c>
      <c r="AA79" s="261">
        <f t="shared" ref="AA79:AB79" ca="1" si="37">C79+F79+I79+L79+O79+R79+U79+X79</f>
        <v>132231</v>
      </c>
      <c r="AB79" s="261">
        <f t="shared" ca="1" si="37"/>
        <v>157257</v>
      </c>
      <c r="AC79" s="261">
        <f t="shared" ref="AC79" ca="1" si="38">AA79+AB79</f>
        <v>289488</v>
      </c>
    </row>
    <row r="80" spans="1:29">
      <c r="A80" s="907"/>
      <c r="B80" s="314" t="s">
        <v>300</v>
      </c>
      <c r="C80" s="287">
        <v>1121</v>
      </c>
      <c r="D80" s="287">
        <v>794</v>
      </c>
      <c r="E80" s="287">
        <v>1915</v>
      </c>
      <c r="F80" s="287">
        <v>95</v>
      </c>
      <c r="G80" s="287">
        <v>179</v>
      </c>
      <c r="H80" s="287">
        <v>274</v>
      </c>
      <c r="I80" s="287">
        <v>12156</v>
      </c>
      <c r="J80" s="287">
        <v>15978</v>
      </c>
      <c r="K80" s="287">
        <v>28134</v>
      </c>
      <c r="L80" s="315">
        <v>105035</v>
      </c>
      <c r="M80" s="287">
        <v>127077</v>
      </c>
      <c r="N80" s="287">
        <v>232112</v>
      </c>
      <c r="O80" s="287">
        <v>876</v>
      </c>
      <c r="P80" s="287">
        <v>717</v>
      </c>
      <c r="Q80" s="287">
        <v>1593</v>
      </c>
      <c r="R80" s="287">
        <v>8354</v>
      </c>
      <c r="S80" s="287">
        <v>8197</v>
      </c>
      <c r="T80" s="287">
        <v>16551</v>
      </c>
      <c r="U80" s="315">
        <v>899</v>
      </c>
      <c r="V80" s="287">
        <v>1050</v>
      </c>
      <c r="W80" s="287">
        <v>1949</v>
      </c>
      <c r="X80" s="287">
        <v>913</v>
      </c>
      <c r="Y80" s="287">
        <v>419</v>
      </c>
      <c r="Z80" s="287">
        <v>1332</v>
      </c>
      <c r="AA80" s="287">
        <v>129449</v>
      </c>
      <c r="AB80" s="287">
        <v>154411</v>
      </c>
      <c r="AC80" s="287">
        <v>283860</v>
      </c>
    </row>
    <row r="81" spans="1:29">
      <c r="A81" s="907"/>
      <c r="B81" s="314" t="s">
        <v>299</v>
      </c>
      <c r="C81" s="96">
        <v>906</v>
      </c>
      <c r="D81" s="96">
        <v>794</v>
      </c>
      <c r="E81" s="96">
        <v>1700</v>
      </c>
      <c r="F81" s="96">
        <v>92</v>
      </c>
      <c r="G81" s="96">
        <v>167</v>
      </c>
      <c r="H81" s="96">
        <v>259</v>
      </c>
      <c r="I81" s="96">
        <v>15003</v>
      </c>
      <c r="J81" s="96">
        <v>17158</v>
      </c>
      <c r="K81" s="96">
        <v>32161</v>
      </c>
      <c r="L81" s="97">
        <v>102122</v>
      </c>
      <c r="M81" s="96">
        <v>118598</v>
      </c>
      <c r="N81" s="96">
        <v>220720</v>
      </c>
      <c r="O81" s="96">
        <v>930</v>
      </c>
      <c r="P81" s="96">
        <v>1180</v>
      </c>
      <c r="Q81" s="96">
        <v>2110</v>
      </c>
      <c r="R81" s="96">
        <v>7949</v>
      </c>
      <c r="S81" s="96">
        <v>8227</v>
      </c>
      <c r="T81" s="96">
        <v>16176</v>
      </c>
      <c r="U81" s="97">
        <v>572</v>
      </c>
      <c r="V81" s="96">
        <v>851</v>
      </c>
      <c r="W81" s="96">
        <v>1423</v>
      </c>
      <c r="X81" s="96">
        <v>762</v>
      </c>
      <c r="Y81" s="96">
        <v>397</v>
      </c>
      <c r="Z81" s="96">
        <v>1159</v>
      </c>
      <c r="AA81" s="98">
        <f t="shared" ref="AA81:AC81" si="39">C81+F81+I81+L81+O81+R81+U81+X81</f>
        <v>128336</v>
      </c>
      <c r="AB81" s="98">
        <f t="shared" si="39"/>
        <v>147372</v>
      </c>
      <c r="AC81" s="98">
        <f t="shared" si="39"/>
        <v>275708</v>
      </c>
    </row>
    <row r="82" spans="1:29">
      <c r="A82" s="907"/>
      <c r="B82" s="314" t="s">
        <v>298</v>
      </c>
      <c r="C82" s="100">
        <v>721</v>
      </c>
      <c r="D82" s="100">
        <v>608</v>
      </c>
      <c r="E82" s="101">
        <v>1329</v>
      </c>
      <c r="F82" s="100">
        <v>104</v>
      </c>
      <c r="G82" s="100">
        <v>163</v>
      </c>
      <c r="H82" s="101">
        <v>267</v>
      </c>
      <c r="I82" s="100">
        <v>12979</v>
      </c>
      <c r="J82" s="100">
        <v>16985</v>
      </c>
      <c r="K82" s="101">
        <v>29964</v>
      </c>
      <c r="L82" s="102">
        <v>102424</v>
      </c>
      <c r="M82" s="100">
        <v>117523</v>
      </c>
      <c r="N82" s="101">
        <v>219947</v>
      </c>
      <c r="O82" s="100">
        <v>623</v>
      </c>
      <c r="P82" s="100">
        <v>757</v>
      </c>
      <c r="Q82" s="101">
        <v>1380</v>
      </c>
      <c r="R82" s="100">
        <v>7929</v>
      </c>
      <c r="S82" s="100">
        <v>7536</v>
      </c>
      <c r="T82" s="101">
        <v>15465</v>
      </c>
      <c r="U82" s="102">
        <v>425</v>
      </c>
      <c r="V82" s="100">
        <v>517</v>
      </c>
      <c r="W82" s="101">
        <v>942</v>
      </c>
      <c r="X82" s="100">
        <v>647</v>
      </c>
      <c r="Y82" s="100">
        <v>269</v>
      </c>
      <c r="Z82" s="101">
        <v>916</v>
      </c>
      <c r="AA82" s="101">
        <v>125852</v>
      </c>
      <c r="AB82" s="101">
        <v>144358</v>
      </c>
      <c r="AC82" s="101">
        <f t="shared" ref="AC82" si="40">SUM(AA82+AB82)</f>
        <v>270210</v>
      </c>
    </row>
    <row r="83" spans="1:29">
      <c r="A83" s="907">
        <v>13</v>
      </c>
      <c r="B83" s="309" t="s">
        <v>57</v>
      </c>
      <c r="C83" s="310"/>
      <c r="D83" s="310"/>
      <c r="E83" s="310"/>
      <c r="F83" s="310"/>
      <c r="G83" s="310"/>
      <c r="H83" s="310"/>
      <c r="I83" s="310"/>
      <c r="J83" s="310"/>
      <c r="K83" s="311"/>
      <c r="L83" s="310"/>
      <c r="M83" s="310"/>
      <c r="N83" s="310"/>
      <c r="O83" s="310"/>
      <c r="P83" s="310"/>
      <c r="Q83" s="310"/>
      <c r="R83" s="310"/>
      <c r="S83" s="310"/>
      <c r="T83" s="311"/>
      <c r="U83" s="310"/>
      <c r="V83" s="310"/>
      <c r="W83" s="310"/>
      <c r="X83" s="310"/>
      <c r="Y83" s="310"/>
      <c r="Z83" s="310"/>
      <c r="AA83" s="310"/>
      <c r="AB83" s="310"/>
      <c r="AC83" s="311"/>
    </row>
    <row r="84" spans="1:29">
      <c r="A84" s="907"/>
      <c r="B84" s="312" t="s">
        <v>997</v>
      </c>
      <c r="C84" s="313">
        <v>2412</v>
      </c>
      <c r="D84" s="313">
        <v>2033</v>
      </c>
      <c r="E84" s="313">
        <v>4445</v>
      </c>
      <c r="F84" s="313">
        <v>117</v>
      </c>
      <c r="G84" s="313">
        <v>180</v>
      </c>
      <c r="H84" s="313">
        <v>297</v>
      </c>
      <c r="I84" s="313">
        <v>29946</v>
      </c>
      <c r="J84" s="313">
        <v>36342</v>
      </c>
      <c r="K84" s="313">
        <v>66288</v>
      </c>
      <c r="L84" s="313">
        <v>141590</v>
      </c>
      <c r="M84" s="313">
        <v>147415</v>
      </c>
      <c r="N84" s="313">
        <v>289005</v>
      </c>
      <c r="O84" s="313">
        <v>1183</v>
      </c>
      <c r="P84" s="313">
        <v>646</v>
      </c>
      <c r="Q84" s="313">
        <v>1829</v>
      </c>
      <c r="R84" s="313">
        <v>12879</v>
      </c>
      <c r="S84" s="313">
        <v>12592</v>
      </c>
      <c r="T84" s="313">
        <v>25471</v>
      </c>
      <c r="U84" s="313">
        <v>840</v>
      </c>
      <c r="V84" s="313">
        <v>769</v>
      </c>
      <c r="W84" s="313">
        <v>1609</v>
      </c>
      <c r="X84" s="313">
        <v>4509</v>
      </c>
      <c r="Y84" s="313">
        <v>5401</v>
      </c>
      <c r="Z84" s="313">
        <v>9910</v>
      </c>
      <c r="AA84" s="313">
        <v>193476</v>
      </c>
      <c r="AB84" s="313">
        <v>205378</v>
      </c>
      <c r="AC84" s="313">
        <v>398854</v>
      </c>
    </row>
    <row r="85" spans="1:29">
      <c r="A85" s="907"/>
      <c r="B85" s="314" t="s">
        <v>301</v>
      </c>
      <c r="C85" s="259">
        <f ca="1">SUMIF('[2]7UnivActwithConsUnit'!$B:$B,$C85,'[2]7UnivActwithConsUnit'!D:D)+SUMIF('[2]8CollegeAct'!$B:$B,$C85,'[2]8CollegeAct'!D:D)+SUMIF(#REF!,$C85,#REF!)</f>
        <v>2080</v>
      </c>
      <c r="D85" s="259">
        <f ca="1">SUMIF('[2]7UnivActwithConsUnit'!$B:$B,$C85,'[2]7UnivActwithConsUnit'!E:E)+SUMIF('[2]8CollegeAct'!$B:$B,$C85,'[2]8CollegeAct'!E:E)+SUMIF(#REF!,$C85,#REF!)</f>
        <v>1909</v>
      </c>
      <c r="E85" s="259">
        <f ca="1">SUMIF('[2]7UnivActwithConsUnit'!$B:$B,$C85,'[2]7UnivActwithConsUnit'!F:F)+SUMIF('[2]8CollegeAct'!$B:$B,$C85,'[2]8CollegeAct'!F:F)+SUMIF(#REF!,$C85,#REF!)</f>
        <v>3989</v>
      </c>
      <c r="F85" s="259">
        <f ca="1">SUMIF('[2]7UnivActwithConsUnit'!$B:$B,$C85,'[2]7UnivActwithConsUnit'!G:G)+SUMIF('[2]8CollegeAct'!$B:$B,$C85,'[2]8CollegeAct'!G:G)+SUMIF(#REF!,$C85,#REF!)</f>
        <v>94</v>
      </c>
      <c r="G85" s="259">
        <f ca="1">SUMIF('[2]7UnivActwithConsUnit'!$B:$B,$C85,'[2]7UnivActwithConsUnit'!H:H)+SUMIF('[2]8CollegeAct'!$B:$B,$C85,'[2]8CollegeAct'!H:H)+SUMIF(#REF!,$C85,#REF!)</f>
        <v>156</v>
      </c>
      <c r="H85" s="259">
        <f ca="1">SUMIF('[2]7UnivActwithConsUnit'!$B:$B,$C85,'[2]7UnivActwithConsUnit'!I:I)+SUMIF('[2]8CollegeAct'!$B:$B,$C85,'[2]8CollegeAct'!I:I)+SUMIF(#REF!,$C85,#REF!)</f>
        <v>250</v>
      </c>
      <c r="I85" s="259">
        <f ca="1">SUMIF('[2]7UnivActwithConsUnit'!$B:$B,$C85,'[2]7UnivActwithConsUnit'!J:J)+SUMIF('[2]10CollegeEst'!$B:$B,$C85,'[2]10CollegeEst'!B:B)+SUMIF(#REF!,$C85,#REF!)</f>
        <v>28673</v>
      </c>
      <c r="J85" s="259">
        <f ca="1">SUMIF('[2]7UnivActwithConsUnit'!$B:$B,$C85,'[2]7UnivActwithConsUnit'!K:K)+SUMIF('[2]10CollegeEst'!$B:$B,$C85,'[2]10CollegeEst'!C:C)+SUMIF(#REF!,$C85,#REF!)</f>
        <v>34950</v>
      </c>
      <c r="K85" s="259">
        <f ca="1">SUMIF('[2]7UnivActwithConsUnit'!$B:$B,$C85,'[2]7UnivActwithConsUnit'!L:L)+SUMIF('[2]10CollegeEst'!$B:$B,$C85,'[2]10CollegeEst'!D:D)+SUMIF(#REF!,$C85,#REF!)</f>
        <v>63623</v>
      </c>
      <c r="L85" s="260">
        <f ca="1">SUMIF('[2]7UnivActwithConsUnit'!$B:$B,$C85,'[2]7UnivActwithConsUnit'!M:M)+SUMIF('[2]10CollegeEst'!$B:$B,$C85,'[2]10CollegeEst'!E:E)+SUMIF(#REF!,$C85,#REF!)</f>
        <v>154680</v>
      </c>
      <c r="M85" s="259">
        <f ca="1">SUMIF('[2]7UnivActwithConsUnit'!$B:$B,$C85,'[2]7UnivActwithConsUnit'!N:N)+SUMIF('[2]10CollegeEst'!$B:$B,$C85,'[2]10CollegeEst'!F:F)+SUMIF(#REF!,$C85,#REF!)</f>
        <v>147209</v>
      </c>
      <c r="N85" s="259">
        <f ca="1">SUMIF('[2]7UnivActwithConsUnit'!$B:$B,$C85,'[2]7UnivActwithConsUnit'!O:O)+SUMIF('[2]10CollegeEst'!$B:$B,$C85,'[2]10CollegeEst'!G:G)+SUMIF(#REF!,$C85,#REF!)</f>
        <v>301889</v>
      </c>
      <c r="O85" s="259">
        <f ca="1">SUMIF('[2]7UnivActwithConsUnit'!$B:$B,$C85,'[2]7UnivActwithConsUnit'!P:P)+SUMIF('[2]8CollegeAct'!$B:$B,$C85,'[2]8CollegeAct'!P:P)+SUMIF(#REF!,$C85,#REF!)</f>
        <v>931</v>
      </c>
      <c r="P85" s="259">
        <f ca="1">SUMIF('[2]7UnivActwithConsUnit'!$B:$B,$C85,'[2]7UnivActwithConsUnit'!Q:Q)+SUMIF('[2]8CollegeAct'!$B:$B,$C85,'[2]8CollegeAct'!Q:Q)+SUMIF(#REF!,$C85,#REF!)</f>
        <v>620</v>
      </c>
      <c r="Q85" s="259">
        <f ca="1">SUMIF('[2]7UnivActwithConsUnit'!$B:$B,$C85,'[2]7UnivActwithConsUnit'!R:R)+SUMIF('[2]8CollegeAct'!$B:$B,$C85,'[2]8CollegeAct'!R:R)+SUMIF(#REF!,$C85,#REF!)</f>
        <v>1551</v>
      </c>
      <c r="R85" s="259">
        <f ca="1">SUMIF('[2]7UnivActwithConsUnit'!$B:$B,$C85,'[2]7UnivActwithConsUnit'!S:S)+SUMIF('[2]8CollegeAct'!$B:$B,$C85,'[2]8CollegeAct'!S:S)+SUMIF(#REF!,$C85,#REF!)</f>
        <v>8951</v>
      </c>
      <c r="S85" s="259">
        <f ca="1">SUMIF('[2]7UnivActwithConsUnit'!$B:$B,$C85,'[2]7UnivActwithConsUnit'!T:T)+SUMIF('[2]8CollegeAct'!$B:$B,$C85,'[2]8CollegeAct'!T:T)+SUMIF(#REF!,$C85,#REF!)</f>
        <v>6660</v>
      </c>
      <c r="T85" s="259">
        <f ca="1">SUMIF('[2]7UnivActwithConsUnit'!$B:$B,$C85,'[2]7UnivActwithConsUnit'!U:U)+SUMIF('[2]8CollegeAct'!$B:$B,$C85,'[2]8CollegeAct'!U:U)+SUMIF(#REF!,$C85,#REF!)</f>
        <v>15611</v>
      </c>
      <c r="U85" s="260">
        <f ca="1">SUMIF('[2]7UnivActwithConsUnit'!$B:$B,$C85,'[2]7UnivActwithConsUnit'!V:V)+SUMIF('[2]8CollegeAct'!$B:$B,$C85,'[2]8CollegeAct'!V:V)+SUMIF(#REF!,$C85,#REF!)</f>
        <v>994</v>
      </c>
      <c r="V85" s="259">
        <f ca="1">SUMIF('[2]7UnivActwithConsUnit'!$B:$B,$C85,'[2]7UnivActwithConsUnit'!W:W)+SUMIF('[2]8CollegeAct'!$B:$B,$C85,'[2]8CollegeAct'!W:W)+SUMIF(#REF!,$C85,#REF!)</f>
        <v>1123</v>
      </c>
      <c r="W85" s="259">
        <f ca="1">SUMIF('[2]7UnivActwithConsUnit'!$B:$B,$C85,'[2]7UnivActwithConsUnit'!X:X)+SUMIF('[2]8CollegeAct'!$B:$B,$C85,'[2]8CollegeAct'!X:X)+SUMIF(#REF!,$C85,#REF!)</f>
        <v>2117</v>
      </c>
      <c r="X85" s="259">
        <f ca="1">SUMIF('[2]7UnivActwithConsUnit'!$B:$B,$C85,'[2]7UnivActwithConsUnit'!Y:Y)+SUMIF('[2]8CollegeAct'!$B:$B,$C85,'[2]8CollegeAct'!Y:Y)+SUMIF(#REF!,$C85,#REF!)</f>
        <v>2846</v>
      </c>
      <c r="Y85" s="259">
        <f ca="1">SUMIF('[2]7UnivActwithConsUnit'!$B:$B,$C85,'[2]7UnivActwithConsUnit'!Z:Z)+SUMIF('[2]8CollegeAct'!$B:$B,$C85,'[2]8CollegeAct'!Z:Z)+SUMIF(#REF!,$C85,#REF!)</f>
        <v>3540</v>
      </c>
      <c r="Z85" s="259">
        <f ca="1">SUMIF('[2]7UnivActwithConsUnit'!$B:$B,$C85,'[2]7UnivActwithConsUnit'!AA:AA)+SUMIF('[2]8CollegeAct'!$B:$B,$C85,'[2]8CollegeAct'!AA:AA)+SUMIF(#REF!,$C85,#REF!)</f>
        <v>6386</v>
      </c>
      <c r="AA85" s="261">
        <f t="shared" ref="AA85:AB85" ca="1" si="41">C85+F85+I85+L85+O85+R85+U85+X85</f>
        <v>199249</v>
      </c>
      <c r="AB85" s="261">
        <f t="shared" ca="1" si="41"/>
        <v>196167</v>
      </c>
      <c r="AC85" s="261">
        <f t="shared" ref="AC85" ca="1" si="42">AA85+AB85</f>
        <v>395416</v>
      </c>
    </row>
    <row r="86" spans="1:29">
      <c r="A86" s="907"/>
      <c r="B86" s="314" t="s">
        <v>300</v>
      </c>
      <c r="C86" s="287">
        <v>1392</v>
      </c>
      <c r="D86" s="287">
        <v>1291</v>
      </c>
      <c r="E86" s="287">
        <v>2683</v>
      </c>
      <c r="F86" s="287">
        <v>143</v>
      </c>
      <c r="G86" s="287">
        <v>174</v>
      </c>
      <c r="H86" s="287">
        <v>317</v>
      </c>
      <c r="I86" s="287">
        <v>29721</v>
      </c>
      <c r="J86" s="287">
        <v>36407</v>
      </c>
      <c r="K86" s="287">
        <v>66128</v>
      </c>
      <c r="L86" s="315">
        <v>151657</v>
      </c>
      <c r="M86" s="287">
        <v>152874</v>
      </c>
      <c r="N86" s="287">
        <v>304531</v>
      </c>
      <c r="O86" s="287">
        <v>1031</v>
      </c>
      <c r="P86" s="287">
        <v>719</v>
      </c>
      <c r="Q86" s="287">
        <v>1750</v>
      </c>
      <c r="R86" s="287">
        <v>8584</v>
      </c>
      <c r="S86" s="287">
        <v>4354</v>
      </c>
      <c r="T86" s="287">
        <v>12938</v>
      </c>
      <c r="U86" s="315">
        <v>124</v>
      </c>
      <c r="V86" s="287">
        <v>116</v>
      </c>
      <c r="W86" s="287">
        <v>240</v>
      </c>
      <c r="X86" s="287">
        <v>2618</v>
      </c>
      <c r="Y86" s="287">
        <v>2894</v>
      </c>
      <c r="Z86" s="287">
        <v>5512</v>
      </c>
      <c r="AA86" s="287">
        <v>195270</v>
      </c>
      <c r="AB86" s="287">
        <v>198829</v>
      </c>
      <c r="AC86" s="287">
        <v>394099</v>
      </c>
    </row>
    <row r="87" spans="1:29">
      <c r="A87" s="907"/>
      <c r="B87" s="314" t="s">
        <v>299</v>
      </c>
      <c r="C87" s="96">
        <v>1235</v>
      </c>
      <c r="D87" s="96">
        <v>1261</v>
      </c>
      <c r="E87" s="96">
        <v>2496</v>
      </c>
      <c r="F87" s="96">
        <v>119</v>
      </c>
      <c r="G87" s="96">
        <v>123</v>
      </c>
      <c r="H87" s="96">
        <v>242</v>
      </c>
      <c r="I87" s="96">
        <v>37273.65227753076</v>
      </c>
      <c r="J87" s="96">
        <v>34486.068873210868</v>
      </c>
      <c r="K87" s="96">
        <v>71759.721150741621</v>
      </c>
      <c r="L87" s="97">
        <v>127724.85163934874</v>
      </c>
      <c r="M87" s="96">
        <v>139845.2367343462</v>
      </c>
      <c r="N87" s="96">
        <v>267570.08837369492</v>
      </c>
      <c r="O87" s="96">
        <v>1254</v>
      </c>
      <c r="P87" s="96">
        <v>899</v>
      </c>
      <c r="Q87" s="96">
        <v>2153</v>
      </c>
      <c r="R87" s="96">
        <v>7875</v>
      </c>
      <c r="S87" s="96">
        <v>3716</v>
      </c>
      <c r="T87" s="96">
        <v>11591</v>
      </c>
      <c r="U87" s="97">
        <v>8</v>
      </c>
      <c r="V87" s="96">
        <v>3</v>
      </c>
      <c r="W87" s="96">
        <v>11</v>
      </c>
      <c r="X87" s="96">
        <v>1532</v>
      </c>
      <c r="Y87" s="96">
        <v>1875</v>
      </c>
      <c r="Z87" s="96">
        <v>3407</v>
      </c>
      <c r="AA87" s="98">
        <f t="shared" ref="AA87:AC87" si="43">C87+F87+I87+L87+O87+R87+U87+X87</f>
        <v>177021.5039168795</v>
      </c>
      <c r="AB87" s="98">
        <f t="shared" si="43"/>
        <v>182208.30560755706</v>
      </c>
      <c r="AC87" s="98">
        <f t="shared" si="43"/>
        <v>359229.80952443654</v>
      </c>
    </row>
    <row r="88" spans="1:29">
      <c r="A88" s="907"/>
      <c r="B88" s="314" t="s">
        <v>298</v>
      </c>
      <c r="C88" s="100">
        <v>991</v>
      </c>
      <c r="D88" s="100">
        <v>977</v>
      </c>
      <c r="E88" s="101">
        <v>1968</v>
      </c>
      <c r="F88" s="100">
        <v>109</v>
      </c>
      <c r="G88" s="100">
        <v>143</v>
      </c>
      <c r="H88" s="101">
        <v>252</v>
      </c>
      <c r="I88" s="100">
        <v>30510</v>
      </c>
      <c r="J88" s="100">
        <v>40482</v>
      </c>
      <c r="K88" s="101">
        <v>70992</v>
      </c>
      <c r="L88" s="102">
        <v>119862</v>
      </c>
      <c r="M88" s="100">
        <v>129782</v>
      </c>
      <c r="N88" s="101">
        <v>249644</v>
      </c>
      <c r="O88" s="100">
        <v>1239</v>
      </c>
      <c r="P88" s="100">
        <v>836</v>
      </c>
      <c r="Q88" s="101">
        <v>2075</v>
      </c>
      <c r="R88" s="100">
        <v>7379</v>
      </c>
      <c r="S88" s="100">
        <v>3027</v>
      </c>
      <c r="T88" s="101">
        <v>10406</v>
      </c>
      <c r="U88" s="102">
        <v>23</v>
      </c>
      <c r="V88" s="100">
        <v>4</v>
      </c>
      <c r="W88" s="101">
        <v>27</v>
      </c>
      <c r="X88" s="100">
        <v>1021</v>
      </c>
      <c r="Y88" s="100">
        <v>1465</v>
      </c>
      <c r="Z88" s="101">
        <v>2486</v>
      </c>
      <c r="AA88" s="101">
        <v>161134</v>
      </c>
      <c r="AB88" s="101">
        <v>176716</v>
      </c>
      <c r="AC88" s="101">
        <f t="shared" ref="AC88" si="44">SUM(AA88+AB88)</f>
        <v>337850</v>
      </c>
    </row>
    <row r="89" spans="1:29">
      <c r="A89" s="907">
        <v>14</v>
      </c>
      <c r="B89" s="309" t="s">
        <v>29</v>
      </c>
      <c r="C89" s="310"/>
      <c r="D89" s="310"/>
      <c r="E89" s="310"/>
      <c r="F89" s="310"/>
      <c r="G89" s="310"/>
      <c r="H89" s="310"/>
      <c r="I89" s="310"/>
      <c r="J89" s="310"/>
      <c r="K89" s="311"/>
      <c r="L89" s="310"/>
      <c r="M89" s="310"/>
      <c r="N89" s="310"/>
      <c r="O89" s="310"/>
      <c r="P89" s="310"/>
      <c r="Q89" s="310"/>
      <c r="R89" s="310"/>
      <c r="S89" s="310"/>
      <c r="T89" s="311"/>
      <c r="U89" s="310"/>
      <c r="V89" s="310"/>
      <c r="W89" s="310"/>
      <c r="X89" s="310"/>
      <c r="Y89" s="310"/>
      <c r="Z89" s="310"/>
      <c r="AA89" s="310"/>
      <c r="AB89" s="310"/>
      <c r="AC89" s="311"/>
    </row>
    <row r="90" spans="1:29">
      <c r="A90" s="907"/>
      <c r="B90" s="312" t="s">
        <v>997</v>
      </c>
      <c r="C90" s="313">
        <v>1738</v>
      </c>
      <c r="D90" s="313">
        <v>919</v>
      </c>
      <c r="E90" s="313">
        <v>2657</v>
      </c>
      <c r="F90" s="313">
        <v>18</v>
      </c>
      <c r="G90" s="313">
        <v>63</v>
      </c>
      <c r="H90" s="313">
        <v>81</v>
      </c>
      <c r="I90" s="313">
        <v>42929</v>
      </c>
      <c r="J90" s="313">
        <v>62500</v>
      </c>
      <c r="K90" s="313">
        <v>105429</v>
      </c>
      <c r="L90" s="313">
        <v>314684</v>
      </c>
      <c r="M90" s="313">
        <v>312130</v>
      </c>
      <c r="N90" s="313">
        <v>626814</v>
      </c>
      <c r="O90" s="313">
        <v>2901</v>
      </c>
      <c r="P90" s="313">
        <v>1184</v>
      </c>
      <c r="Q90" s="313">
        <v>4085</v>
      </c>
      <c r="R90" s="313">
        <v>28104</v>
      </c>
      <c r="S90" s="313">
        <v>14712</v>
      </c>
      <c r="T90" s="313">
        <v>42816</v>
      </c>
      <c r="U90" s="313">
        <v>1160</v>
      </c>
      <c r="V90" s="313">
        <v>800</v>
      </c>
      <c r="W90" s="313">
        <v>1960</v>
      </c>
      <c r="X90" s="313">
        <v>1815</v>
      </c>
      <c r="Y90" s="313">
        <v>1030</v>
      </c>
      <c r="Z90" s="313">
        <v>2845</v>
      </c>
      <c r="AA90" s="313">
        <v>393349</v>
      </c>
      <c r="AB90" s="313">
        <v>393338</v>
      </c>
      <c r="AC90" s="313">
        <v>786687</v>
      </c>
    </row>
    <row r="91" spans="1:29">
      <c r="A91" s="907"/>
      <c r="B91" s="314" t="s">
        <v>301</v>
      </c>
      <c r="C91" s="259">
        <f ca="1">SUMIF('[2]7UnivActwithConsUnit'!$B:$B,$C91,'[2]7UnivActwithConsUnit'!D:D)+SUMIF('[2]8CollegeAct'!$B:$B,$C91,'[2]8CollegeAct'!D:D)+SUMIF(#REF!,$C91,#REF!)</f>
        <v>2469</v>
      </c>
      <c r="D91" s="259">
        <f ca="1">SUMIF('[2]7UnivActwithConsUnit'!$B:$B,$C91,'[2]7UnivActwithConsUnit'!E:E)+SUMIF('[2]8CollegeAct'!$B:$B,$C91,'[2]8CollegeAct'!E:E)+SUMIF(#REF!,$C91,#REF!)</f>
        <v>1020</v>
      </c>
      <c r="E91" s="259">
        <f ca="1">SUMIF('[2]7UnivActwithConsUnit'!$B:$B,$C91,'[2]7UnivActwithConsUnit'!F:F)+SUMIF('[2]8CollegeAct'!$B:$B,$C91,'[2]8CollegeAct'!F:F)+SUMIF(#REF!,$C91,#REF!)</f>
        <v>3489</v>
      </c>
      <c r="F91" s="259">
        <f ca="1">SUMIF('[2]7UnivActwithConsUnit'!$B:$B,$C91,'[2]7UnivActwithConsUnit'!G:G)+SUMIF('[2]8CollegeAct'!$B:$B,$C91,'[2]8CollegeAct'!G:G)+SUMIF(#REF!,$C91,#REF!)</f>
        <v>33</v>
      </c>
      <c r="G91" s="259">
        <f ca="1">SUMIF('[2]7UnivActwithConsUnit'!$B:$B,$C91,'[2]7UnivActwithConsUnit'!H:H)+SUMIF('[2]8CollegeAct'!$B:$B,$C91,'[2]8CollegeAct'!H:H)+SUMIF(#REF!,$C91,#REF!)</f>
        <v>74</v>
      </c>
      <c r="H91" s="259">
        <f ca="1">SUMIF('[2]7UnivActwithConsUnit'!$B:$B,$C91,'[2]7UnivActwithConsUnit'!I:I)+SUMIF('[2]8CollegeAct'!$B:$B,$C91,'[2]8CollegeAct'!I:I)+SUMIF(#REF!,$C91,#REF!)</f>
        <v>107</v>
      </c>
      <c r="I91" s="259">
        <f ca="1">SUMIF('[2]7UnivActwithConsUnit'!$B:$B,$C91,'[2]7UnivActwithConsUnit'!J:J)+SUMIF('[2]10CollegeEst'!$B:$B,$C91,'[2]10CollegeEst'!B:B)+SUMIF(#REF!,$C91,#REF!)</f>
        <v>42783</v>
      </c>
      <c r="J91" s="259">
        <f ca="1">SUMIF('[2]7UnivActwithConsUnit'!$B:$B,$C91,'[2]7UnivActwithConsUnit'!K:K)+SUMIF('[2]10CollegeEst'!$B:$B,$C91,'[2]10CollegeEst'!C:C)+SUMIF(#REF!,$C91,#REF!)</f>
        <v>63051</v>
      </c>
      <c r="K91" s="259">
        <f ca="1">SUMIF('[2]7UnivActwithConsUnit'!$B:$B,$C91,'[2]7UnivActwithConsUnit'!L:L)+SUMIF('[2]10CollegeEst'!$B:$B,$C91,'[2]10CollegeEst'!D:D)+SUMIF(#REF!,$C91,#REF!)</f>
        <v>105834</v>
      </c>
      <c r="L91" s="260">
        <f ca="1">SUMIF('[2]7UnivActwithConsUnit'!$B:$B,$C91,'[2]7UnivActwithConsUnit'!M:M)+SUMIF('[2]10CollegeEst'!$B:$B,$C91,'[2]10CollegeEst'!E:E)+SUMIF(#REF!,$C91,#REF!)</f>
        <v>330828</v>
      </c>
      <c r="M91" s="259">
        <f ca="1">SUMIF('[2]7UnivActwithConsUnit'!$B:$B,$C91,'[2]7UnivActwithConsUnit'!N:N)+SUMIF('[2]10CollegeEst'!$B:$B,$C91,'[2]10CollegeEst'!F:F)+SUMIF(#REF!,$C91,#REF!)</f>
        <v>329263</v>
      </c>
      <c r="N91" s="259">
        <f ca="1">SUMIF('[2]7UnivActwithConsUnit'!$B:$B,$C91,'[2]7UnivActwithConsUnit'!O:O)+SUMIF('[2]10CollegeEst'!$B:$B,$C91,'[2]10CollegeEst'!G:G)+SUMIF(#REF!,$C91,#REF!)</f>
        <v>660091</v>
      </c>
      <c r="O91" s="259">
        <f ca="1">SUMIF('[2]7UnivActwithConsUnit'!$B:$B,$C91,'[2]7UnivActwithConsUnit'!P:P)+SUMIF('[2]8CollegeAct'!$B:$B,$C91,'[2]8CollegeAct'!P:P)+SUMIF(#REF!,$C91,#REF!)</f>
        <v>3061</v>
      </c>
      <c r="P91" s="259">
        <f ca="1">SUMIF('[2]7UnivActwithConsUnit'!$B:$B,$C91,'[2]7UnivActwithConsUnit'!Q:Q)+SUMIF('[2]8CollegeAct'!$B:$B,$C91,'[2]8CollegeAct'!Q:Q)+SUMIF(#REF!,$C91,#REF!)</f>
        <v>1602</v>
      </c>
      <c r="Q91" s="259">
        <f ca="1">SUMIF('[2]7UnivActwithConsUnit'!$B:$B,$C91,'[2]7UnivActwithConsUnit'!R:R)+SUMIF('[2]8CollegeAct'!$B:$B,$C91,'[2]8CollegeAct'!R:R)+SUMIF(#REF!,$C91,#REF!)</f>
        <v>4663</v>
      </c>
      <c r="R91" s="259">
        <f ca="1">SUMIF('[2]7UnivActwithConsUnit'!$B:$B,$C91,'[2]7UnivActwithConsUnit'!S:S)+SUMIF('[2]8CollegeAct'!$B:$B,$C91,'[2]8CollegeAct'!S:S)+SUMIF(#REF!,$C91,#REF!)</f>
        <v>26918</v>
      </c>
      <c r="S91" s="259">
        <f ca="1">SUMIF('[2]7UnivActwithConsUnit'!$B:$B,$C91,'[2]7UnivActwithConsUnit'!T:T)+SUMIF('[2]8CollegeAct'!$B:$B,$C91,'[2]8CollegeAct'!T:T)+SUMIF(#REF!,$C91,#REF!)</f>
        <v>11213</v>
      </c>
      <c r="T91" s="259">
        <f ca="1">SUMIF('[2]7UnivActwithConsUnit'!$B:$B,$C91,'[2]7UnivActwithConsUnit'!U:U)+SUMIF('[2]8CollegeAct'!$B:$B,$C91,'[2]8CollegeAct'!U:U)+SUMIF(#REF!,$C91,#REF!)</f>
        <v>38131</v>
      </c>
      <c r="U91" s="260">
        <f ca="1">SUMIF('[2]7UnivActwithConsUnit'!$B:$B,$C91,'[2]7UnivActwithConsUnit'!V:V)+SUMIF('[2]8CollegeAct'!$B:$B,$C91,'[2]8CollegeAct'!V:V)+SUMIF(#REF!,$C91,#REF!)</f>
        <v>672</v>
      </c>
      <c r="V91" s="259">
        <f ca="1">SUMIF('[2]7UnivActwithConsUnit'!$B:$B,$C91,'[2]7UnivActwithConsUnit'!W:W)+SUMIF('[2]8CollegeAct'!$B:$B,$C91,'[2]8CollegeAct'!W:W)+SUMIF(#REF!,$C91,#REF!)</f>
        <v>1256</v>
      </c>
      <c r="W91" s="259">
        <f ca="1">SUMIF('[2]7UnivActwithConsUnit'!$B:$B,$C91,'[2]7UnivActwithConsUnit'!X:X)+SUMIF('[2]8CollegeAct'!$B:$B,$C91,'[2]8CollegeAct'!X:X)+SUMIF(#REF!,$C91,#REF!)</f>
        <v>1928</v>
      </c>
      <c r="X91" s="259">
        <f ca="1">SUMIF('[2]7UnivActwithConsUnit'!$B:$B,$C91,'[2]7UnivActwithConsUnit'!Y:Y)+SUMIF('[2]8CollegeAct'!$B:$B,$C91,'[2]8CollegeAct'!Y:Y)+SUMIF(#REF!,$C91,#REF!)</f>
        <v>2095</v>
      </c>
      <c r="Y91" s="259">
        <f ca="1">SUMIF('[2]7UnivActwithConsUnit'!$B:$B,$C91,'[2]7UnivActwithConsUnit'!Z:Z)+SUMIF('[2]8CollegeAct'!$B:$B,$C91,'[2]8CollegeAct'!Z:Z)+SUMIF(#REF!,$C91,#REF!)</f>
        <v>1222</v>
      </c>
      <c r="Z91" s="259">
        <f ca="1">SUMIF('[2]7UnivActwithConsUnit'!$B:$B,$C91,'[2]7UnivActwithConsUnit'!AA:AA)+SUMIF('[2]8CollegeAct'!$B:$B,$C91,'[2]8CollegeAct'!AA:AA)+SUMIF(#REF!,$C91,#REF!)</f>
        <v>3317</v>
      </c>
      <c r="AA91" s="261">
        <f t="shared" ref="AA91:AB91" ca="1" si="45">C91+F91+I91+L91+O91+R91+U91+X91</f>
        <v>408859</v>
      </c>
      <c r="AB91" s="261">
        <f t="shared" ca="1" si="45"/>
        <v>408701</v>
      </c>
      <c r="AC91" s="261">
        <f t="shared" ref="AC91" ca="1" si="46">AA91+AB91</f>
        <v>817560</v>
      </c>
    </row>
    <row r="92" spans="1:29">
      <c r="A92" s="907"/>
      <c r="B92" s="314" t="s">
        <v>300</v>
      </c>
      <c r="C92" s="287">
        <v>2108</v>
      </c>
      <c r="D92" s="287">
        <v>795</v>
      </c>
      <c r="E92" s="287">
        <v>2903</v>
      </c>
      <c r="F92" s="287">
        <v>46</v>
      </c>
      <c r="G92" s="287">
        <v>110</v>
      </c>
      <c r="H92" s="287">
        <v>156</v>
      </c>
      <c r="I92" s="287">
        <v>33887</v>
      </c>
      <c r="J92" s="287">
        <v>47852</v>
      </c>
      <c r="K92" s="287">
        <v>81739</v>
      </c>
      <c r="L92" s="315">
        <v>311311</v>
      </c>
      <c r="M92" s="287">
        <v>299576</v>
      </c>
      <c r="N92" s="287">
        <v>610887</v>
      </c>
      <c r="O92" s="287">
        <v>3541</v>
      </c>
      <c r="P92" s="287">
        <v>1525</v>
      </c>
      <c r="Q92" s="287">
        <v>5066</v>
      </c>
      <c r="R92" s="287">
        <v>23940</v>
      </c>
      <c r="S92" s="287">
        <v>9279</v>
      </c>
      <c r="T92" s="287">
        <v>33219</v>
      </c>
      <c r="U92" s="315">
        <v>656</v>
      </c>
      <c r="V92" s="287">
        <v>1280</v>
      </c>
      <c r="W92" s="287">
        <v>1936</v>
      </c>
      <c r="X92" s="287">
        <v>2252</v>
      </c>
      <c r="Y92" s="287">
        <v>1326</v>
      </c>
      <c r="Z92" s="287">
        <v>3578</v>
      </c>
      <c r="AA92" s="287">
        <v>377741</v>
      </c>
      <c r="AB92" s="287">
        <v>361743</v>
      </c>
      <c r="AC92" s="287">
        <v>739484</v>
      </c>
    </row>
    <row r="93" spans="1:29">
      <c r="A93" s="907"/>
      <c r="B93" s="314" t="s">
        <v>299</v>
      </c>
      <c r="C93" s="96">
        <v>1158</v>
      </c>
      <c r="D93" s="96">
        <v>640</v>
      </c>
      <c r="E93" s="96">
        <v>1798</v>
      </c>
      <c r="F93" s="96">
        <v>79</v>
      </c>
      <c r="G93" s="96">
        <v>125</v>
      </c>
      <c r="H93" s="96">
        <v>204</v>
      </c>
      <c r="I93" s="96">
        <v>31720.148833576164</v>
      </c>
      <c r="J93" s="96">
        <v>37447.953000056877</v>
      </c>
      <c r="K93" s="96">
        <v>69168.101833633045</v>
      </c>
      <c r="L93" s="97">
        <v>294357.73487179331</v>
      </c>
      <c r="M93" s="96">
        <v>284420.39991410426</v>
      </c>
      <c r="N93" s="96">
        <v>578778.13478589756</v>
      </c>
      <c r="O93" s="96">
        <v>2753</v>
      </c>
      <c r="P93" s="96">
        <v>1250</v>
      </c>
      <c r="Q93" s="96">
        <v>4003</v>
      </c>
      <c r="R93" s="96">
        <v>21240</v>
      </c>
      <c r="S93" s="96">
        <v>8345</v>
      </c>
      <c r="T93" s="96">
        <v>29585</v>
      </c>
      <c r="U93" s="97">
        <v>471</v>
      </c>
      <c r="V93" s="96">
        <v>1070</v>
      </c>
      <c r="W93" s="96">
        <v>1541</v>
      </c>
      <c r="X93" s="96">
        <v>2316</v>
      </c>
      <c r="Y93" s="96">
        <v>1329</v>
      </c>
      <c r="Z93" s="96">
        <v>3645</v>
      </c>
      <c r="AA93" s="98">
        <f t="shared" ref="AA93:AC93" si="47">C93+F93+I93+L93+O93+R93+U93+X93</f>
        <v>354094.88370536949</v>
      </c>
      <c r="AB93" s="98">
        <f t="shared" si="47"/>
        <v>334627.35291416117</v>
      </c>
      <c r="AC93" s="98">
        <f t="shared" si="47"/>
        <v>688722.23661953059</v>
      </c>
    </row>
    <row r="94" spans="1:29">
      <c r="A94" s="907"/>
      <c r="B94" s="314" t="s">
        <v>298</v>
      </c>
      <c r="C94" s="100">
        <v>1157</v>
      </c>
      <c r="D94" s="100">
        <v>648</v>
      </c>
      <c r="E94" s="101">
        <v>1805</v>
      </c>
      <c r="F94" s="100">
        <v>209</v>
      </c>
      <c r="G94" s="100">
        <v>368</v>
      </c>
      <c r="H94" s="101">
        <v>577</v>
      </c>
      <c r="I94" s="100">
        <v>28779</v>
      </c>
      <c r="J94" s="100">
        <v>36887</v>
      </c>
      <c r="K94" s="101">
        <v>65666</v>
      </c>
      <c r="L94" s="102">
        <v>297014</v>
      </c>
      <c r="M94" s="100">
        <v>272674</v>
      </c>
      <c r="N94" s="101">
        <v>569688</v>
      </c>
      <c r="O94" s="100">
        <v>2965</v>
      </c>
      <c r="P94" s="100">
        <v>1187</v>
      </c>
      <c r="Q94" s="101">
        <v>4152</v>
      </c>
      <c r="R94" s="100">
        <v>18710</v>
      </c>
      <c r="S94" s="100">
        <v>5471</v>
      </c>
      <c r="T94" s="101">
        <v>24181</v>
      </c>
      <c r="U94" s="102">
        <v>273</v>
      </c>
      <c r="V94" s="100">
        <v>832</v>
      </c>
      <c r="W94" s="101">
        <v>1105</v>
      </c>
      <c r="X94" s="100">
        <v>2378</v>
      </c>
      <c r="Y94" s="100">
        <v>1485</v>
      </c>
      <c r="Z94" s="101">
        <v>3863</v>
      </c>
      <c r="AA94" s="101">
        <v>351485</v>
      </c>
      <c r="AB94" s="101">
        <v>319552</v>
      </c>
      <c r="AC94" s="101">
        <f t="shared" ref="AC94" si="48">SUM(AA94+AB94)</f>
        <v>671037</v>
      </c>
    </row>
    <row r="95" spans="1:29">
      <c r="A95" s="907">
        <v>15</v>
      </c>
      <c r="B95" s="309" t="s">
        <v>30</v>
      </c>
      <c r="C95" s="310"/>
      <c r="D95" s="310"/>
      <c r="E95" s="310"/>
      <c r="F95" s="310"/>
      <c r="G95" s="310"/>
      <c r="H95" s="310"/>
      <c r="I95" s="310"/>
      <c r="J95" s="310"/>
      <c r="K95" s="311"/>
      <c r="L95" s="310"/>
      <c r="M95" s="310"/>
      <c r="N95" s="310"/>
      <c r="O95" s="310"/>
      <c r="P95" s="310"/>
      <c r="Q95" s="310"/>
      <c r="R95" s="310"/>
      <c r="S95" s="310"/>
      <c r="T95" s="311"/>
      <c r="U95" s="310"/>
      <c r="V95" s="310"/>
      <c r="W95" s="310"/>
      <c r="X95" s="310"/>
      <c r="Y95" s="310"/>
      <c r="Z95" s="310"/>
      <c r="AA95" s="310"/>
      <c r="AB95" s="310"/>
      <c r="AC95" s="311"/>
    </row>
    <row r="96" spans="1:29">
      <c r="A96" s="907"/>
      <c r="B96" s="312" t="s">
        <v>997</v>
      </c>
      <c r="C96" s="313">
        <v>5752</v>
      </c>
      <c r="D96" s="313">
        <v>5276</v>
      </c>
      <c r="E96" s="313">
        <v>11028</v>
      </c>
      <c r="F96" s="313">
        <v>60</v>
      </c>
      <c r="G96" s="313">
        <v>189</v>
      </c>
      <c r="H96" s="313">
        <v>249</v>
      </c>
      <c r="I96" s="313">
        <v>120083</v>
      </c>
      <c r="J96" s="313">
        <v>159105</v>
      </c>
      <c r="K96" s="313">
        <v>279188</v>
      </c>
      <c r="L96" s="313">
        <v>944677</v>
      </c>
      <c r="M96" s="313">
        <v>924391</v>
      </c>
      <c r="N96" s="313">
        <v>1869068</v>
      </c>
      <c r="O96" s="313">
        <v>4112</v>
      </c>
      <c r="P96" s="313">
        <v>3219</v>
      </c>
      <c r="Q96" s="313">
        <v>7331</v>
      </c>
      <c r="R96" s="313">
        <v>138523</v>
      </c>
      <c r="S96" s="313">
        <v>115311</v>
      </c>
      <c r="T96" s="313">
        <v>253834</v>
      </c>
      <c r="U96" s="313">
        <v>3120</v>
      </c>
      <c r="V96" s="313">
        <v>2664</v>
      </c>
      <c r="W96" s="313">
        <v>5784</v>
      </c>
      <c r="X96" s="313">
        <v>7274</v>
      </c>
      <c r="Y96" s="313">
        <v>6681</v>
      </c>
      <c r="Z96" s="313">
        <v>13955</v>
      </c>
      <c r="AA96" s="313">
        <v>1223601</v>
      </c>
      <c r="AB96" s="313">
        <v>1216836</v>
      </c>
      <c r="AC96" s="313">
        <v>2440437</v>
      </c>
    </row>
    <row r="97" spans="1:29">
      <c r="A97" s="907"/>
      <c r="B97" s="314" t="s">
        <v>301</v>
      </c>
      <c r="C97" s="259">
        <f ca="1">SUMIF('[2]7UnivActwithConsUnit'!$B:$B,$C97,'[2]7UnivActwithConsUnit'!D:D)+SUMIF('[2]8CollegeAct'!$B:$B,$C97,'[2]8CollegeAct'!D:D)+SUMIF(#REF!,$C97,#REF!)</f>
        <v>8422</v>
      </c>
      <c r="D97" s="259">
        <f ca="1">SUMIF('[2]7UnivActwithConsUnit'!$B:$B,$C97,'[2]7UnivActwithConsUnit'!E:E)+SUMIF('[2]8CollegeAct'!$B:$B,$C97,'[2]8CollegeAct'!E:E)+SUMIF(#REF!,$C97,#REF!)</f>
        <v>6566</v>
      </c>
      <c r="E97" s="259">
        <f ca="1">SUMIF('[2]7UnivActwithConsUnit'!$B:$B,$C97,'[2]7UnivActwithConsUnit'!F:F)+SUMIF('[2]8CollegeAct'!$B:$B,$C97,'[2]8CollegeAct'!F:F)+SUMIF(#REF!,$C97,#REF!)</f>
        <v>14988</v>
      </c>
      <c r="F97" s="259">
        <f ca="1">SUMIF('[2]7UnivActwithConsUnit'!$B:$B,$C97,'[2]7UnivActwithConsUnit'!G:G)+SUMIF('[2]8CollegeAct'!$B:$B,$C97,'[2]8CollegeAct'!G:G)+SUMIF(#REF!,$C97,#REF!)</f>
        <v>160</v>
      </c>
      <c r="G97" s="259">
        <f ca="1">SUMIF('[2]7UnivActwithConsUnit'!$B:$B,$C97,'[2]7UnivActwithConsUnit'!H:H)+SUMIF('[2]8CollegeAct'!$B:$B,$C97,'[2]8CollegeAct'!H:H)+SUMIF(#REF!,$C97,#REF!)</f>
        <v>368</v>
      </c>
      <c r="H97" s="259">
        <f ca="1">SUMIF('[2]7UnivActwithConsUnit'!$B:$B,$C97,'[2]7UnivActwithConsUnit'!I:I)+SUMIF('[2]8CollegeAct'!$B:$B,$C97,'[2]8CollegeAct'!I:I)+SUMIF(#REF!,$C97,#REF!)</f>
        <v>528</v>
      </c>
      <c r="I97" s="259">
        <f ca="1">SUMIF('[2]7UnivActwithConsUnit'!$B:$B,$C97,'[2]7UnivActwithConsUnit'!J:J)+SUMIF('[2]10CollegeEst'!$B:$B,$C97,'[2]10CollegeEst'!B:B)+SUMIF(#REF!,$C97,#REF!)</f>
        <v>104832</v>
      </c>
      <c r="J97" s="259">
        <f ca="1">SUMIF('[2]7UnivActwithConsUnit'!$B:$B,$C97,'[2]7UnivActwithConsUnit'!K:K)+SUMIF('[2]10CollegeEst'!$B:$B,$C97,'[2]10CollegeEst'!C:C)+SUMIF(#REF!,$C97,#REF!)</f>
        <v>134324</v>
      </c>
      <c r="K97" s="259">
        <f ca="1">SUMIF('[2]7UnivActwithConsUnit'!$B:$B,$C97,'[2]7UnivActwithConsUnit'!L:L)+SUMIF('[2]10CollegeEst'!$B:$B,$C97,'[2]10CollegeEst'!D:D)+SUMIF(#REF!,$C97,#REF!)</f>
        <v>239156</v>
      </c>
      <c r="L97" s="260">
        <f ca="1">SUMIF('[2]7UnivActwithConsUnit'!$B:$B,$C97,'[2]7UnivActwithConsUnit'!M:M)+SUMIF('[2]10CollegeEst'!$B:$B,$C97,'[2]10CollegeEst'!E:E)+SUMIF(#REF!,$C97,#REF!)</f>
        <v>848754</v>
      </c>
      <c r="M97" s="259">
        <f ca="1">SUMIF('[2]7UnivActwithConsUnit'!$B:$B,$C97,'[2]7UnivActwithConsUnit'!N:N)+SUMIF('[2]10CollegeEst'!$B:$B,$C97,'[2]10CollegeEst'!F:F)+SUMIF(#REF!,$C97,#REF!)</f>
        <v>865942</v>
      </c>
      <c r="N97" s="259">
        <f ca="1">SUMIF('[2]7UnivActwithConsUnit'!$B:$B,$C97,'[2]7UnivActwithConsUnit'!O:O)+SUMIF('[2]10CollegeEst'!$B:$B,$C97,'[2]10CollegeEst'!G:G)+SUMIF(#REF!,$C97,#REF!)</f>
        <v>1714696</v>
      </c>
      <c r="O97" s="259">
        <f ca="1">SUMIF('[2]7UnivActwithConsUnit'!$B:$B,$C97,'[2]7UnivActwithConsUnit'!P:P)+SUMIF('[2]8CollegeAct'!$B:$B,$C97,'[2]8CollegeAct'!P:P)+SUMIF(#REF!,$C97,#REF!)</f>
        <v>5429</v>
      </c>
      <c r="P97" s="259">
        <f ca="1">SUMIF('[2]7UnivActwithConsUnit'!$B:$B,$C97,'[2]7UnivActwithConsUnit'!Q:Q)+SUMIF('[2]8CollegeAct'!$B:$B,$C97,'[2]8CollegeAct'!Q:Q)+SUMIF(#REF!,$C97,#REF!)</f>
        <v>4444</v>
      </c>
      <c r="Q97" s="259">
        <f ca="1">SUMIF('[2]7UnivActwithConsUnit'!$B:$B,$C97,'[2]7UnivActwithConsUnit'!R:R)+SUMIF('[2]8CollegeAct'!$B:$B,$C97,'[2]8CollegeAct'!R:R)+SUMIF(#REF!,$C97,#REF!)</f>
        <v>9873</v>
      </c>
      <c r="R97" s="259">
        <f ca="1">SUMIF('[2]7UnivActwithConsUnit'!$B:$B,$C97,'[2]7UnivActwithConsUnit'!S:S)+SUMIF('[2]8CollegeAct'!$B:$B,$C97,'[2]8CollegeAct'!S:S)+SUMIF(#REF!,$C97,#REF!)</f>
        <v>113722</v>
      </c>
      <c r="S97" s="259">
        <f ca="1">SUMIF('[2]7UnivActwithConsUnit'!$B:$B,$C97,'[2]7UnivActwithConsUnit'!T:T)+SUMIF('[2]8CollegeAct'!$B:$B,$C97,'[2]8CollegeAct'!T:T)+SUMIF(#REF!,$C97,#REF!)</f>
        <v>80771</v>
      </c>
      <c r="T97" s="259">
        <f ca="1">SUMIF('[2]7UnivActwithConsUnit'!$B:$B,$C97,'[2]7UnivActwithConsUnit'!U:U)+SUMIF('[2]8CollegeAct'!$B:$B,$C97,'[2]8CollegeAct'!U:U)+SUMIF(#REF!,$C97,#REF!)</f>
        <v>194493</v>
      </c>
      <c r="U97" s="260">
        <f ca="1">SUMIF('[2]7UnivActwithConsUnit'!$B:$B,$C97,'[2]7UnivActwithConsUnit'!V:V)+SUMIF('[2]8CollegeAct'!$B:$B,$C97,'[2]8CollegeAct'!V:V)+SUMIF(#REF!,$C97,#REF!)</f>
        <v>1182</v>
      </c>
      <c r="V97" s="259">
        <f ca="1">SUMIF('[2]7UnivActwithConsUnit'!$B:$B,$C97,'[2]7UnivActwithConsUnit'!W:W)+SUMIF('[2]8CollegeAct'!$B:$B,$C97,'[2]8CollegeAct'!W:W)+SUMIF(#REF!,$C97,#REF!)</f>
        <v>1520</v>
      </c>
      <c r="W97" s="259">
        <f ca="1">SUMIF('[2]7UnivActwithConsUnit'!$B:$B,$C97,'[2]7UnivActwithConsUnit'!X:X)+SUMIF('[2]8CollegeAct'!$B:$B,$C97,'[2]8CollegeAct'!X:X)+SUMIF(#REF!,$C97,#REF!)</f>
        <v>2702</v>
      </c>
      <c r="X97" s="259">
        <f ca="1">SUMIF('[2]7UnivActwithConsUnit'!$B:$B,$C97,'[2]7UnivActwithConsUnit'!Y:Y)+SUMIF('[2]8CollegeAct'!$B:$B,$C97,'[2]8CollegeAct'!Y:Y)+SUMIF(#REF!,$C97,#REF!)</f>
        <v>6382</v>
      </c>
      <c r="Y97" s="259">
        <f ca="1">SUMIF('[2]7UnivActwithConsUnit'!$B:$B,$C97,'[2]7UnivActwithConsUnit'!Z:Z)+SUMIF('[2]8CollegeAct'!$B:$B,$C97,'[2]8CollegeAct'!Z:Z)+SUMIF(#REF!,$C97,#REF!)</f>
        <v>5074</v>
      </c>
      <c r="Z97" s="259">
        <f ca="1">SUMIF('[2]7UnivActwithConsUnit'!$B:$B,$C97,'[2]7UnivActwithConsUnit'!AA:AA)+SUMIF('[2]8CollegeAct'!$B:$B,$C97,'[2]8CollegeAct'!AA:AA)+SUMIF(#REF!,$C97,#REF!)</f>
        <v>11456</v>
      </c>
      <c r="AA97" s="261">
        <f t="shared" ref="AA97:AB97" ca="1" si="49">C97+F97+I97+L97+O97+R97+U97+X97</f>
        <v>1088883</v>
      </c>
      <c r="AB97" s="261">
        <f t="shared" ca="1" si="49"/>
        <v>1099009</v>
      </c>
      <c r="AC97" s="261">
        <f t="shared" ref="AC97" ca="1" si="50">AA97+AB97</f>
        <v>2187892</v>
      </c>
    </row>
    <row r="98" spans="1:29">
      <c r="A98" s="907"/>
      <c r="B98" s="314" t="s">
        <v>300</v>
      </c>
      <c r="C98" s="287">
        <v>8070</v>
      </c>
      <c r="D98" s="287">
        <v>5230</v>
      </c>
      <c r="E98" s="287">
        <v>13300</v>
      </c>
      <c r="F98" s="287">
        <v>152</v>
      </c>
      <c r="G98" s="287">
        <v>316</v>
      </c>
      <c r="H98" s="287">
        <v>468</v>
      </c>
      <c r="I98" s="287">
        <v>93614</v>
      </c>
      <c r="J98" s="287">
        <v>118327</v>
      </c>
      <c r="K98" s="287">
        <v>211941</v>
      </c>
      <c r="L98" s="315">
        <v>768616</v>
      </c>
      <c r="M98" s="287">
        <v>789369</v>
      </c>
      <c r="N98" s="287">
        <v>1557985</v>
      </c>
      <c r="O98" s="287">
        <v>3391</v>
      </c>
      <c r="P98" s="287">
        <v>3055</v>
      </c>
      <c r="Q98" s="287">
        <v>6446</v>
      </c>
      <c r="R98" s="287">
        <v>113795</v>
      </c>
      <c r="S98" s="287">
        <v>73333</v>
      </c>
      <c r="T98" s="287">
        <v>187128</v>
      </c>
      <c r="U98" s="315">
        <v>1284</v>
      </c>
      <c r="V98" s="287">
        <v>1795</v>
      </c>
      <c r="W98" s="287">
        <v>3079</v>
      </c>
      <c r="X98" s="287">
        <v>4495</v>
      </c>
      <c r="Y98" s="287">
        <v>3652</v>
      </c>
      <c r="Z98" s="287">
        <v>8147</v>
      </c>
      <c r="AA98" s="287">
        <v>993417</v>
      </c>
      <c r="AB98" s="287">
        <v>995077</v>
      </c>
      <c r="AC98" s="287">
        <v>1988494</v>
      </c>
    </row>
    <row r="99" spans="1:29">
      <c r="A99" s="907"/>
      <c r="B99" s="314" t="s">
        <v>299</v>
      </c>
      <c r="C99" s="96">
        <v>9103</v>
      </c>
      <c r="D99" s="96">
        <v>5087</v>
      </c>
      <c r="E99" s="96">
        <v>14190</v>
      </c>
      <c r="F99" s="96">
        <v>189</v>
      </c>
      <c r="G99" s="96">
        <v>338</v>
      </c>
      <c r="H99" s="96">
        <v>527</v>
      </c>
      <c r="I99" s="96">
        <v>96826.749361816663</v>
      </c>
      <c r="J99" s="96">
        <v>112435.30950486017</v>
      </c>
      <c r="K99" s="96">
        <v>209262.05886667682</v>
      </c>
      <c r="L99" s="97">
        <v>733767.31147513888</v>
      </c>
      <c r="M99" s="96">
        <v>769158.26757246209</v>
      </c>
      <c r="N99" s="96">
        <v>1502925.579047601</v>
      </c>
      <c r="O99" s="96">
        <v>3283</v>
      </c>
      <c r="P99" s="96">
        <v>2929</v>
      </c>
      <c r="Q99" s="96">
        <v>6212</v>
      </c>
      <c r="R99" s="96">
        <v>122296</v>
      </c>
      <c r="S99" s="96">
        <v>77766</v>
      </c>
      <c r="T99" s="96">
        <v>200062</v>
      </c>
      <c r="U99" s="97">
        <v>2049</v>
      </c>
      <c r="V99" s="96">
        <v>1637</v>
      </c>
      <c r="W99" s="96">
        <v>3686</v>
      </c>
      <c r="X99" s="96">
        <v>3879</v>
      </c>
      <c r="Y99" s="96">
        <v>3112</v>
      </c>
      <c r="Z99" s="96">
        <v>6991</v>
      </c>
      <c r="AA99" s="98">
        <f t="shared" ref="AA99:AC99" si="51">C99+F99+I99+L99+O99+R99+U99+X99</f>
        <v>971393.06083695556</v>
      </c>
      <c r="AB99" s="98">
        <f t="shared" si="51"/>
        <v>972462.57707732229</v>
      </c>
      <c r="AC99" s="98">
        <f t="shared" si="51"/>
        <v>1943855.6379142778</v>
      </c>
    </row>
    <row r="100" spans="1:29">
      <c r="A100" s="907"/>
      <c r="B100" s="314" t="s">
        <v>298</v>
      </c>
      <c r="C100" s="100">
        <v>6630</v>
      </c>
      <c r="D100" s="100">
        <v>4211</v>
      </c>
      <c r="E100" s="101">
        <v>10841</v>
      </c>
      <c r="F100" s="100">
        <v>198</v>
      </c>
      <c r="G100" s="100">
        <v>329</v>
      </c>
      <c r="H100" s="101">
        <v>527</v>
      </c>
      <c r="I100" s="100">
        <v>96634</v>
      </c>
      <c r="J100" s="100">
        <v>107255</v>
      </c>
      <c r="K100" s="101">
        <v>203889</v>
      </c>
      <c r="L100" s="102">
        <v>711021</v>
      </c>
      <c r="M100" s="100">
        <v>721734</v>
      </c>
      <c r="N100" s="101">
        <v>1432755</v>
      </c>
      <c r="O100" s="100">
        <v>2971</v>
      </c>
      <c r="P100" s="100">
        <v>2684</v>
      </c>
      <c r="Q100" s="101">
        <v>5655</v>
      </c>
      <c r="R100" s="100">
        <v>130262</v>
      </c>
      <c r="S100" s="100">
        <v>75610</v>
      </c>
      <c r="T100" s="101">
        <v>205872</v>
      </c>
      <c r="U100" s="102">
        <v>1954</v>
      </c>
      <c r="V100" s="100">
        <v>1759</v>
      </c>
      <c r="W100" s="101">
        <v>3713</v>
      </c>
      <c r="X100" s="100">
        <v>4406</v>
      </c>
      <c r="Y100" s="100">
        <v>3636</v>
      </c>
      <c r="Z100" s="101">
        <v>8042</v>
      </c>
      <c r="AA100" s="101">
        <v>954076</v>
      </c>
      <c r="AB100" s="101">
        <v>917218</v>
      </c>
      <c r="AC100" s="101">
        <f t="shared" ref="AC100" si="52">SUM(AA100+AB100)</f>
        <v>1871294</v>
      </c>
    </row>
    <row r="101" spans="1:29">
      <c r="A101" s="907">
        <v>16</v>
      </c>
      <c r="B101" s="309" t="s">
        <v>31</v>
      </c>
      <c r="C101" s="310"/>
      <c r="D101" s="310"/>
      <c r="E101" s="310"/>
      <c r="F101" s="310"/>
      <c r="G101" s="310"/>
      <c r="H101" s="310"/>
      <c r="I101" s="310"/>
      <c r="J101" s="310"/>
      <c r="K101" s="311"/>
      <c r="L101" s="310"/>
      <c r="M101" s="310"/>
      <c r="N101" s="310"/>
      <c r="O101" s="310"/>
      <c r="P101" s="310"/>
      <c r="Q101" s="310"/>
      <c r="R101" s="310"/>
      <c r="S101" s="310"/>
      <c r="T101" s="311"/>
      <c r="U101" s="310"/>
      <c r="V101" s="310"/>
      <c r="W101" s="310"/>
      <c r="X101" s="310"/>
      <c r="Y101" s="310"/>
      <c r="Z101" s="310"/>
      <c r="AA101" s="310"/>
      <c r="AB101" s="310"/>
      <c r="AC101" s="311"/>
    </row>
    <row r="102" spans="1:29">
      <c r="A102" s="907"/>
      <c r="B102" s="312" t="s">
        <v>997</v>
      </c>
      <c r="C102" s="313">
        <v>3184</v>
      </c>
      <c r="D102" s="313">
        <v>5554</v>
      </c>
      <c r="E102" s="313">
        <v>8738</v>
      </c>
      <c r="F102" s="313">
        <v>207</v>
      </c>
      <c r="G102" s="313">
        <v>745</v>
      </c>
      <c r="H102" s="313">
        <v>952</v>
      </c>
      <c r="I102" s="313">
        <v>45876</v>
      </c>
      <c r="J102" s="313">
        <v>120643</v>
      </c>
      <c r="K102" s="313">
        <v>166519</v>
      </c>
      <c r="L102" s="313">
        <v>454250</v>
      </c>
      <c r="M102" s="313">
        <v>633728</v>
      </c>
      <c r="N102" s="313">
        <v>1087978</v>
      </c>
      <c r="O102" s="313">
        <v>1498</v>
      </c>
      <c r="P102" s="313">
        <v>1621</v>
      </c>
      <c r="Q102" s="313">
        <v>3119</v>
      </c>
      <c r="R102" s="313">
        <v>49106</v>
      </c>
      <c r="S102" s="313">
        <v>33686</v>
      </c>
      <c r="T102" s="313">
        <v>82792</v>
      </c>
      <c r="U102" s="313">
        <v>1278</v>
      </c>
      <c r="V102" s="313">
        <v>3429</v>
      </c>
      <c r="W102" s="313">
        <v>4707</v>
      </c>
      <c r="X102" s="313">
        <v>4226</v>
      </c>
      <c r="Y102" s="313">
        <v>5505</v>
      </c>
      <c r="Z102" s="313">
        <v>9731</v>
      </c>
      <c r="AA102" s="313">
        <v>559625</v>
      </c>
      <c r="AB102" s="313">
        <v>804911</v>
      </c>
      <c r="AC102" s="313">
        <v>1364536</v>
      </c>
    </row>
    <row r="103" spans="1:29">
      <c r="A103" s="907"/>
      <c r="B103" s="314" t="s">
        <v>301</v>
      </c>
      <c r="C103" s="259">
        <f ca="1">SUMIF('[2]7UnivActwithConsUnit'!$B:$B,$C103,'[2]7UnivActwithConsUnit'!D:D)+SUMIF('[2]8CollegeAct'!$B:$B,$C103,'[2]8CollegeAct'!D:D)+SUMIF(#REF!,$C103,#REF!)</f>
        <v>2817</v>
      </c>
      <c r="D103" s="259">
        <f ca="1">SUMIF('[2]7UnivActwithConsUnit'!$B:$B,$C103,'[2]7UnivActwithConsUnit'!E:E)+SUMIF('[2]8CollegeAct'!$B:$B,$C103,'[2]8CollegeAct'!E:E)+SUMIF(#REF!,$C103,#REF!)</f>
        <v>4687</v>
      </c>
      <c r="E103" s="259">
        <f ca="1">SUMIF('[2]7UnivActwithConsUnit'!$B:$B,$C103,'[2]7UnivActwithConsUnit'!F:F)+SUMIF('[2]8CollegeAct'!$B:$B,$C103,'[2]8CollegeAct'!F:F)+SUMIF(#REF!,$C103,#REF!)</f>
        <v>7504</v>
      </c>
      <c r="F103" s="259">
        <f ca="1">SUMIF('[2]7UnivActwithConsUnit'!$B:$B,$C103,'[2]7UnivActwithConsUnit'!G:G)+SUMIF('[2]8CollegeAct'!$B:$B,$C103,'[2]8CollegeAct'!G:G)+SUMIF(#REF!,$C103,#REF!)</f>
        <v>197</v>
      </c>
      <c r="G103" s="259">
        <f ca="1">SUMIF('[2]7UnivActwithConsUnit'!$B:$B,$C103,'[2]7UnivActwithConsUnit'!H:H)+SUMIF('[2]8CollegeAct'!$B:$B,$C103,'[2]8CollegeAct'!H:H)+SUMIF(#REF!,$C103,#REF!)</f>
        <v>676</v>
      </c>
      <c r="H103" s="259">
        <f ca="1">SUMIF('[2]7UnivActwithConsUnit'!$B:$B,$C103,'[2]7UnivActwithConsUnit'!I:I)+SUMIF('[2]8CollegeAct'!$B:$B,$C103,'[2]8CollegeAct'!I:I)+SUMIF(#REF!,$C103,#REF!)</f>
        <v>873</v>
      </c>
      <c r="I103" s="259">
        <f ca="1">SUMIF('[2]7UnivActwithConsUnit'!$B:$B,$C103,'[2]7UnivActwithConsUnit'!J:J)+SUMIF('[2]10CollegeEst'!$B:$B,$C103,'[2]10CollegeEst'!B:B)+SUMIF(#REF!,$C103,#REF!)</f>
        <v>40871</v>
      </c>
      <c r="J103" s="259">
        <f ca="1">SUMIF('[2]7UnivActwithConsUnit'!$B:$B,$C103,'[2]7UnivActwithConsUnit'!K:K)+SUMIF('[2]10CollegeEst'!$B:$B,$C103,'[2]10CollegeEst'!C:C)+SUMIF(#REF!,$C103,#REF!)</f>
        <v>97643</v>
      </c>
      <c r="K103" s="259">
        <f ca="1">SUMIF('[2]7UnivActwithConsUnit'!$B:$B,$C103,'[2]7UnivActwithConsUnit'!L:L)+SUMIF('[2]10CollegeEst'!$B:$B,$C103,'[2]10CollegeEst'!D:D)+SUMIF(#REF!,$C103,#REF!)</f>
        <v>138514</v>
      </c>
      <c r="L103" s="260">
        <f ca="1">SUMIF('[2]7UnivActwithConsUnit'!$B:$B,$C103,'[2]7UnivActwithConsUnit'!M:M)+SUMIF('[2]10CollegeEst'!$B:$B,$C103,'[2]10CollegeEst'!E:E)+SUMIF(#REF!,$C103,#REF!)</f>
        <v>393073</v>
      </c>
      <c r="M103" s="259">
        <f ca="1">SUMIF('[2]7UnivActwithConsUnit'!$B:$B,$C103,'[2]7UnivActwithConsUnit'!N:N)+SUMIF('[2]10CollegeEst'!$B:$B,$C103,'[2]10CollegeEst'!F:F)+SUMIF(#REF!,$C103,#REF!)</f>
        <v>509484</v>
      </c>
      <c r="N103" s="259">
        <f ca="1">SUMIF('[2]7UnivActwithConsUnit'!$B:$B,$C103,'[2]7UnivActwithConsUnit'!O:O)+SUMIF('[2]10CollegeEst'!$B:$B,$C103,'[2]10CollegeEst'!G:G)+SUMIF(#REF!,$C103,#REF!)</f>
        <v>902557</v>
      </c>
      <c r="O103" s="259">
        <f ca="1">SUMIF('[2]7UnivActwithConsUnit'!$B:$B,$C103,'[2]7UnivActwithConsUnit'!P:P)+SUMIF('[2]8CollegeAct'!$B:$B,$C103,'[2]8CollegeAct'!P:P)+SUMIF(#REF!,$C103,#REF!)</f>
        <v>1269</v>
      </c>
      <c r="P103" s="259">
        <f ca="1">SUMIF('[2]7UnivActwithConsUnit'!$B:$B,$C103,'[2]7UnivActwithConsUnit'!Q:Q)+SUMIF('[2]8CollegeAct'!$B:$B,$C103,'[2]8CollegeAct'!Q:Q)+SUMIF(#REF!,$C103,#REF!)</f>
        <v>1221</v>
      </c>
      <c r="Q103" s="259">
        <f ca="1">SUMIF('[2]7UnivActwithConsUnit'!$B:$B,$C103,'[2]7UnivActwithConsUnit'!R:R)+SUMIF('[2]8CollegeAct'!$B:$B,$C103,'[2]8CollegeAct'!R:R)+SUMIF(#REF!,$C103,#REF!)</f>
        <v>2490</v>
      </c>
      <c r="R103" s="259">
        <f ca="1">SUMIF('[2]7UnivActwithConsUnit'!$B:$B,$C103,'[2]7UnivActwithConsUnit'!S:S)+SUMIF('[2]8CollegeAct'!$B:$B,$C103,'[2]8CollegeAct'!S:S)+SUMIF(#REF!,$C103,#REF!)</f>
        <v>41613</v>
      </c>
      <c r="S103" s="259">
        <f ca="1">SUMIF('[2]7UnivActwithConsUnit'!$B:$B,$C103,'[2]7UnivActwithConsUnit'!T:T)+SUMIF('[2]8CollegeAct'!$B:$B,$C103,'[2]8CollegeAct'!T:T)+SUMIF(#REF!,$C103,#REF!)</f>
        <v>30834</v>
      </c>
      <c r="T103" s="259">
        <f ca="1">SUMIF('[2]7UnivActwithConsUnit'!$B:$B,$C103,'[2]7UnivActwithConsUnit'!U:U)+SUMIF('[2]8CollegeAct'!$B:$B,$C103,'[2]8CollegeAct'!U:U)+SUMIF(#REF!,$C103,#REF!)</f>
        <v>72447</v>
      </c>
      <c r="U103" s="260">
        <f ca="1">SUMIF('[2]7UnivActwithConsUnit'!$B:$B,$C103,'[2]7UnivActwithConsUnit'!V:V)+SUMIF('[2]8CollegeAct'!$B:$B,$C103,'[2]8CollegeAct'!V:V)+SUMIF(#REF!,$C103,#REF!)</f>
        <v>1308</v>
      </c>
      <c r="V103" s="259">
        <f ca="1">SUMIF('[2]7UnivActwithConsUnit'!$B:$B,$C103,'[2]7UnivActwithConsUnit'!W:W)+SUMIF('[2]8CollegeAct'!$B:$B,$C103,'[2]8CollegeAct'!W:W)+SUMIF(#REF!,$C103,#REF!)</f>
        <v>4365</v>
      </c>
      <c r="W103" s="259">
        <f ca="1">SUMIF('[2]7UnivActwithConsUnit'!$B:$B,$C103,'[2]7UnivActwithConsUnit'!X:X)+SUMIF('[2]8CollegeAct'!$B:$B,$C103,'[2]8CollegeAct'!X:X)+SUMIF(#REF!,$C103,#REF!)</f>
        <v>5673</v>
      </c>
      <c r="X103" s="259">
        <f ca="1">SUMIF('[2]7UnivActwithConsUnit'!$B:$B,$C103,'[2]7UnivActwithConsUnit'!Y:Y)+SUMIF('[2]8CollegeAct'!$B:$B,$C103,'[2]8CollegeAct'!Y:Y)+SUMIF(#REF!,$C103,#REF!)</f>
        <v>3701</v>
      </c>
      <c r="Y103" s="259">
        <f ca="1">SUMIF('[2]7UnivActwithConsUnit'!$B:$B,$C103,'[2]7UnivActwithConsUnit'!Z:Z)+SUMIF('[2]8CollegeAct'!$B:$B,$C103,'[2]8CollegeAct'!Z:Z)+SUMIF(#REF!,$C103,#REF!)</f>
        <v>4094</v>
      </c>
      <c r="Z103" s="259">
        <f ca="1">SUMIF('[2]7UnivActwithConsUnit'!$B:$B,$C103,'[2]7UnivActwithConsUnit'!AA:AA)+SUMIF('[2]8CollegeAct'!$B:$B,$C103,'[2]8CollegeAct'!AA:AA)+SUMIF(#REF!,$C103,#REF!)</f>
        <v>7795</v>
      </c>
      <c r="AA103" s="261">
        <f t="shared" ref="AA103:AB103" ca="1" si="53">C103+F103+I103+L103+O103+R103+U103+X103</f>
        <v>484849</v>
      </c>
      <c r="AB103" s="261">
        <f t="shared" ca="1" si="53"/>
        <v>653004</v>
      </c>
      <c r="AC103" s="261">
        <f t="shared" ref="AC103" ca="1" si="54">AA103+AB103</f>
        <v>1137853</v>
      </c>
    </row>
    <row r="104" spans="1:29">
      <c r="A104" s="907"/>
      <c r="B104" s="314" t="s">
        <v>300</v>
      </c>
      <c r="C104" s="287">
        <v>2503</v>
      </c>
      <c r="D104" s="287">
        <v>4183</v>
      </c>
      <c r="E104" s="287">
        <v>6686</v>
      </c>
      <c r="F104" s="287">
        <v>204</v>
      </c>
      <c r="G104" s="287">
        <v>685</v>
      </c>
      <c r="H104" s="287">
        <v>889</v>
      </c>
      <c r="I104" s="287">
        <v>37756</v>
      </c>
      <c r="J104" s="287">
        <v>88754</v>
      </c>
      <c r="K104" s="287">
        <v>126510</v>
      </c>
      <c r="L104" s="315">
        <v>375536</v>
      </c>
      <c r="M104" s="287">
        <v>505771</v>
      </c>
      <c r="N104" s="287">
        <v>881307</v>
      </c>
      <c r="O104" s="287">
        <v>1078</v>
      </c>
      <c r="P104" s="287">
        <v>967</v>
      </c>
      <c r="Q104" s="287">
        <v>2045</v>
      </c>
      <c r="R104" s="287">
        <v>37153</v>
      </c>
      <c r="S104" s="287">
        <v>29567</v>
      </c>
      <c r="T104" s="287">
        <v>66720</v>
      </c>
      <c r="U104" s="315">
        <v>1142</v>
      </c>
      <c r="V104" s="287">
        <v>4851</v>
      </c>
      <c r="W104" s="287">
        <v>5993</v>
      </c>
      <c r="X104" s="287">
        <v>2828</v>
      </c>
      <c r="Y104" s="287">
        <v>2864</v>
      </c>
      <c r="Z104" s="287">
        <v>5692</v>
      </c>
      <c r="AA104" s="287">
        <v>458200</v>
      </c>
      <c r="AB104" s="287">
        <v>637642</v>
      </c>
      <c r="AC104" s="287">
        <v>1095842</v>
      </c>
    </row>
    <row r="105" spans="1:29">
      <c r="A105" s="907"/>
      <c r="B105" s="314" t="s">
        <v>299</v>
      </c>
      <c r="C105" s="96">
        <v>2256</v>
      </c>
      <c r="D105" s="96">
        <v>3655</v>
      </c>
      <c r="E105" s="96">
        <v>5911</v>
      </c>
      <c r="F105" s="96">
        <v>280</v>
      </c>
      <c r="G105" s="96">
        <v>630</v>
      </c>
      <c r="H105" s="96">
        <v>910</v>
      </c>
      <c r="I105" s="96">
        <v>39873.435627667954</v>
      </c>
      <c r="J105" s="96">
        <v>80105.771676272299</v>
      </c>
      <c r="K105" s="96">
        <v>119979.20730394025</v>
      </c>
      <c r="L105" s="97">
        <v>397008.30778716237</v>
      </c>
      <c r="M105" s="96">
        <v>479224.28400024667</v>
      </c>
      <c r="N105" s="96">
        <v>876232.59178740904</v>
      </c>
      <c r="O105" s="96">
        <v>1283</v>
      </c>
      <c r="P105" s="96">
        <v>905</v>
      </c>
      <c r="Q105" s="96">
        <v>2188</v>
      </c>
      <c r="R105" s="96">
        <v>36299</v>
      </c>
      <c r="S105" s="96">
        <v>30897</v>
      </c>
      <c r="T105" s="96">
        <v>67196</v>
      </c>
      <c r="U105" s="97">
        <v>926</v>
      </c>
      <c r="V105" s="96">
        <v>5163</v>
      </c>
      <c r="W105" s="96">
        <v>6089</v>
      </c>
      <c r="X105" s="96">
        <v>2252</v>
      </c>
      <c r="Y105" s="96">
        <v>2159</v>
      </c>
      <c r="Z105" s="96">
        <v>4411</v>
      </c>
      <c r="AA105" s="98">
        <f t="shared" ref="AA105:AC105" si="55">C105+F105+I105+L105+O105+R105+U105+X105</f>
        <v>480177.7434148303</v>
      </c>
      <c r="AB105" s="98">
        <f t="shared" si="55"/>
        <v>602739.05567651894</v>
      </c>
      <c r="AC105" s="98">
        <f t="shared" si="55"/>
        <v>1082916.7990913494</v>
      </c>
    </row>
    <row r="106" spans="1:29">
      <c r="A106" s="907"/>
      <c r="B106" s="314" t="s">
        <v>298</v>
      </c>
      <c r="C106" s="100">
        <v>2185</v>
      </c>
      <c r="D106" s="100">
        <v>3121</v>
      </c>
      <c r="E106" s="101">
        <v>5306</v>
      </c>
      <c r="F106" s="100">
        <v>165</v>
      </c>
      <c r="G106" s="100">
        <v>569</v>
      </c>
      <c r="H106" s="101">
        <v>734</v>
      </c>
      <c r="I106" s="100">
        <v>33141</v>
      </c>
      <c r="J106" s="100">
        <v>74233</v>
      </c>
      <c r="K106" s="101">
        <v>107374</v>
      </c>
      <c r="L106" s="102">
        <v>353262</v>
      </c>
      <c r="M106" s="100">
        <v>492327</v>
      </c>
      <c r="N106" s="101">
        <v>845589</v>
      </c>
      <c r="O106" s="100">
        <v>1498</v>
      </c>
      <c r="P106" s="100">
        <v>1046</v>
      </c>
      <c r="Q106" s="101">
        <v>2544</v>
      </c>
      <c r="R106" s="100">
        <v>35051</v>
      </c>
      <c r="S106" s="100">
        <v>28732</v>
      </c>
      <c r="T106" s="101">
        <v>63783</v>
      </c>
      <c r="U106" s="102">
        <v>730</v>
      </c>
      <c r="V106" s="100">
        <v>2206</v>
      </c>
      <c r="W106" s="101">
        <v>2936</v>
      </c>
      <c r="X106" s="100">
        <v>2488</v>
      </c>
      <c r="Y106" s="100">
        <v>2389</v>
      </c>
      <c r="Z106" s="101">
        <v>4877</v>
      </c>
      <c r="AA106" s="101">
        <v>428520</v>
      </c>
      <c r="AB106" s="101">
        <v>604623</v>
      </c>
      <c r="AC106" s="101">
        <f t="shared" ref="AC106" si="56">SUM(AA106+AB106)</f>
        <v>1033143</v>
      </c>
    </row>
    <row r="107" spans="1:29">
      <c r="A107" s="1156">
        <v>17</v>
      </c>
      <c r="B107" s="309" t="s">
        <v>172</v>
      </c>
      <c r="C107" s="310"/>
      <c r="D107" s="310"/>
      <c r="E107" s="310"/>
      <c r="F107" s="310"/>
      <c r="G107" s="310"/>
      <c r="H107" s="310"/>
      <c r="I107" s="310"/>
      <c r="J107" s="310"/>
      <c r="K107" s="311"/>
      <c r="L107" s="310"/>
      <c r="M107" s="310"/>
      <c r="N107" s="310"/>
      <c r="O107" s="310"/>
      <c r="P107" s="310"/>
      <c r="Q107" s="310"/>
      <c r="R107" s="310"/>
      <c r="S107" s="310"/>
      <c r="T107" s="311"/>
      <c r="U107" s="310"/>
      <c r="V107" s="310"/>
      <c r="W107" s="310"/>
      <c r="X107" s="310"/>
      <c r="Y107" s="310"/>
      <c r="Z107" s="310"/>
      <c r="AA107" s="310"/>
      <c r="AB107" s="310"/>
      <c r="AC107" s="311"/>
    </row>
    <row r="108" spans="1:29">
      <c r="A108" s="1157"/>
      <c r="B108" s="312" t="s">
        <v>997</v>
      </c>
      <c r="C108" s="313">
        <v>6</v>
      </c>
      <c r="D108" s="313">
        <v>2</v>
      </c>
      <c r="E108" s="313">
        <v>8</v>
      </c>
      <c r="F108" s="313">
        <v>0</v>
      </c>
      <c r="G108" s="313">
        <v>0</v>
      </c>
      <c r="H108" s="313">
        <v>0</v>
      </c>
      <c r="I108" s="313">
        <v>70</v>
      </c>
      <c r="J108" s="313">
        <v>23</v>
      </c>
      <c r="K108" s="313">
        <v>93</v>
      </c>
      <c r="L108" s="313">
        <v>740</v>
      </c>
      <c r="M108" s="313">
        <v>1738</v>
      </c>
      <c r="N108" s="313">
        <v>2478</v>
      </c>
      <c r="O108" s="313">
        <v>0</v>
      </c>
      <c r="P108" s="313">
        <v>0</v>
      </c>
      <c r="Q108" s="313">
        <v>0</v>
      </c>
      <c r="R108" s="313">
        <v>245</v>
      </c>
      <c r="S108" s="313">
        <v>185</v>
      </c>
      <c r="T108" s="313">
        <v>430</v>
      </c>
      <c r="U108" s="313">
        <v>0</v>
      </c>
      <c r="V108" s="313">
        <v>0</v>
      </c>
      <c r="W108" s="313">
        <v>0</v>
      </c>
      <c r="X108" s="313">
        <v>47</v>
      </c>
      <c r="Y108" s="313">
        <v>91</v>
      </c>
      <c r="Z108" s="313">
        <v>138</v>
      </c>
      <c r="AA108" s="313">
        <v>1108</v>
      </c>
      <c r="AB108" s="313">
        <v>2039</v>
      </c>
      <c r="AC108" s="313">
        <v>3147</v>
      </c>
    </row>
    <row r="109" spans="1:29">
      <c r="A109" s="1158"/>
      <c r="B109" s="314" t="s">
        <v>301</v>
      </c>
      <c r="C109" s="259">
        <f ca="1">SUMIF('[2]7UnivActwithConsUnit'!$B:$B,$C109,'[2]7UnivActwithConsUnit'!D:D)+SUMIF('[2]8CollegeAct'!$B:$B,$C109,'[2]8CollegeAct'!D:D)+SUMIF(#REF!,$C109,#REF!)</f>
        <v>6</v>
      </c>
      <c r="D109" s="259">
        <f ca="1">SUMIF('[2]7UnivActwithConsUnit'!$B:$B,$C109,'[2]7UnivActwithConsUnit'!E:E)+SUMIF('[2]8CollegeAct'!$B:$B,$C109,'[2]8CollegeAct'!E:E)+SUMIF(#REF!,$C109,#REF!)</f>
        <v>2</v>
      </c>
      <c r="E109" s="259">
        <f ca="1">SUMIF('[2]7UnivActwithConsUnit'!$B:$B,$C109,'[2]7UnivActwithConsUnit'!F:F)+SUMIF('[2]8CollegeAct'!$B:$B,$C109,'[2]8CollegeAct'!F:F)+SUMIF(#REF!,$C109,#REF!)</f>
        <v>8</v>
      </c>
      <c r="F109" s="259">
        <f ca="1">SUMIF('[2]7UnivActwithConsUnit'!$B:$B,$C109,'[2]7UnivActwithConsUnit'!G:G)+SUMIF('[2]8CollegeAct'!$B:$B,$C109,'[2]8CollegeAct'!G:G)+SUMIF(#REF!,$C109,#REF!)</f>
        <v>0</v>
      </c>
      <c r="G109" s="259">
        <f ca="1">SUMIF('[2]7UnivActwithConsUnit'!$B:$B,$C109,'[2]7UnivActwithConsUnit'!H:H)+SUMIF('[2]8CollegeAct'!$B:$B,$C109,'[2]8CollegeAct'!H:H)+SUMIF(#REF!,$C109,#REF!)</f>
        <v>0</v>
      </c>
      <c r="H109" s="259">
        <f ca="1">SUMIF('[2]7UnivActwithConsUnit'!$B:$B,$C109,'[2]7UnivActwithConsUnit'!I:I)+SUMIF('[2]8CollegeAct'!$B:$B,$C109,'[2]8CollegeAct'!I:I)+SUMIF(#REF!,$C109,#REF!)</f>
        <v>0</v>
      </c>
      <c r="I109" s="259">
        <f ca="1">SUMIF('[2]7UnivActwithConsUnit'!$B:$B,$C109,'[2]7UnivActwithConsUnit'!J:J)+SUMIF('[2]10CollegeEst'!$B:$B,$C109,'[2]10CollegeEst'!B:B)+SUMIF(#REF!,$C109,#REF!)</f>
        <v>26</v>
      </c>
      <c r="J109" s="259">
        <f ca="1">SUMIF('[2]7UnivActwithConsUnit'!$B:$B,$C109,'[2]7UnivActwithConsUnit'!K:K)+SUMIF('[2]10CollegeEst'!$B:$B,$C109,'[2]10CollegeEst'!C:C)+SUMIF(#REF!,$C109,#REF!)</f>
        <v>28</v>
      </c>
      <c r="K109" s="259">
        <f ca="1">SUMIF('[2]7UnivActwithConsUnit'!$B:$B,$C109,'[2]7UnivActwithConsUnit'!L:L)+SUMIF('[2]10CollegeEst'!$B:$B,$C109,'[2]10CollegeEst'!D:D)+SUMIF(#REF!,$C109,#REF!)</f>
        <v>54</v>
      </c>
      <c r="L109" s="260">
        <f ca="1">SUMIF('[2]7UnivActwithConsUnit'!$B:$B,$C109,'[2]7UnivActwithConsUnit'!M:M)+SUMIF('[2]10CollegeEst'!$B:$B,$C109,'[2]10CollegeEst'!E:E)+SUMIF(#REF!,$C109,#REF!)</f>
        <v>798</v>
      </c>
      <c r="M109" s="259">
        <f ca="1">SUMIF('[2]7UnivActwithConsUnit'!$B:$B,$C109,'[2]7UnivActwithConsUnit'!N:N)+SUMIF('[2]10CollegeEst'!$B:$B,$C109,'[2]10CollegeEst'!F:F)+SUMIF(#REF!,$C109,#REF!)</f>
        <v>1746</v>
      </c>
      <c r="N109" s="259">
        <f ca="1">SUMIF('[2]7UnivActwithConsUnit'!$B:$B,$C109,'[2]7UnivActwithConsUnit'!O:O)+SUMIF('[2]10CollegeEst'!$B:$B,$C109,'[2]10CollegeEst'!G:G)+SUMIF(#REF!,$C109,#REF!)</f>
        <v>2544</v>
      </c>
      <c r="O109" s="259">
        <f ca="1">SUMIF('[2]7UnivActwithConsUnit'!$B:$B,$C109,'[2]7UnivActwithConsUnit'!P:P)+SUMIF('[2]8CollegeAct'!$B:$B,$C109,'[2]8CollegeAct'!P:P)+SUMIF(#REF!,$C109,#REF!)</f>
        <v>0</v>
      </c>
      <c r="P109" s="259">
        <f ca="1">SUMIF('[2]7UnivActwithConsUnit'!$B:$B,$C109,'[2]7UnivActwithConsUnit'!Q:Q)+SUMIF('[2]8CollegeAct'!$B:$B,$C109,'[2]8CollegeAct'!Q:Q)+SUMIF(#REF!,$C109,#REF!)</f>
        <v>0</v>
      </c>
      <c r="Q109" s="259">
        <f ca="1">SUMIF('[2]7UnivActwithConsUnit'!$B:$B,$C109,'[2]7UnivActwithConsUnit'!R:R)+SUMIF('[2]8CollegeAct'!$B:$B,$C109,'[2]8CollegeAct'!R:R)+SUMIF(#REF!,$C109,#REF!)</f>
        <v>0</v>
      </c>
      <c r="R109" s="259">
        <f ca="1">SUMIF('[2]7UnivActwithConsUnit'!$B:$B,$C109,'[2]7UnivActwithConsUnit'!S:S)+SUMIF('[2]8CollegeAct'!$B:$B,$C109,'[2]8CollegeAct'!S:S)+SUMIF(#REF!,$C109,#REF!)</f>
        <v>112</v>
      </c>
      <c r="S109" s="259">
        <f ca="1">SUMIF('[2]7UnivActwithConsUnit'!$B:$B,$C109,'[2]7UnivActwithConsUnit'!T:T)+SUMIF('[2]8CollegeAct'!$B:$B,$C109,'[2]8CollegeAct'!T:T)+SUMIF(#REF!,$C109,#REF!)</f>
        <v>24</v>
      </c>
      <c r="T109" s="259">
        <f ca="1">SUMIF('[2]7UnivActwithConsUnit'!$B:$B,$C109,'[2]7UnivActwithConsUnit'!U:U)+SUMIF('[2]8CollegeAct'!$B:$B,$C109,'[2]8CollegeAct'!U:U)+SUMIF(#REF!,$C109,#REF!)</f>
        <v>136</v>
      </c>
      <c r="U109" s="260">
        <f ca="1">SUMIF('[2]7UnivActwithConsUnit'!$B:$B,$C109,'[2]7UnivActwithConsUnit'!V:V)+SUMIF('[2]8CollegeAct'!$B:$B,$C109,'[2]8CollegeAct'!V:V)+SUMIF(#REF!,$C109,#REF!)</f>
        <v>0</v>
      </c>
      <c r="V109" s="259">
        <f ca="1">SUMIF('[2]7UnivActwithConsUnit'!$B:$B,$C109,'[2]7UnivActwithConsUnit'!W:W)+SUMIF('[2]8CollegeAct'!$B:$B,$C109,'[2]8CollegeAct'!W:W)+SUMIF(#REF!,$C109,#REF!)</f>
        <v>0</v>
      </c>
      <c r="W109" s="259">
        <f ca="1">SUMIF('[2]7UnivActwithConsUnit'!$B:$B,$C109,'[2]7UnivActwithConsUnit'!X:X)+SUMIF('[2]8CollegeAct'!$B:$B,$C109,'[2]8CollegeAct'!X:X)+SUMIF(#REF!,$C109,#REF!)</f>
        <v>0</v>
      </c>
      <c r="X109" s="259">
        <f ca="1">SUMIF('[2]7UnivActwithConsUnit'!$B:$B,$C109,'[2]7UnivActwithConsUnit'!Y:Y)+SUMIF('[2]8CollegeAct'!$B:$B,$C109,'[2]8CollegeAct'!Y:Y)+SUMIF(#REF!,$C109,#REF!)</f>
        <v>57</v>
      </c>
      <c r="Y109" s="259">
        <f ca="1">SUMIF('[2]7UnivActwithConsUnit'!$B:$B,$C109,'[2]7UnivActwithConsUnit'!Z:Z)+SUMIF('[2]8CollegeAct'!$B:$B,$C109,'[2]8CollegeAct'!Z:Z)+SUMIF(#REF!,$C109,#REF!)</f>
        <v>98</v>
      </c>
      <c r="Z109" s="259">
        <f ca="1">SUMIF('[2]7UnivActwithConsUnit'!$B:$B,$C109,'[2]7UnivActwithConsUnit'!AA:AA)+SUMIF('[2]8CollegeAct'!$B:$B,$C109,'[2]8CollegeAct'!AA:AA)+SUMIF(#REF!,$C109,#REF!)</f>
        <v>155</v>
      </c>
      <c r="AA109" s="261">
        <f t="shared" ref="AA109:AB109" ca="1" si="57">C109+F109+I109+L109+O109+R109+U109+X109</f>
        <v>999</v>
      </c>
      <c r="AB109" s="261">
        <f t="shared" ca="1" si="57"/>
        <v>1898</v>
      </c>
      <c r="AC109" s="261">
        <f t="shared" ref="AC109" ca="1" si="58">AA109+AB109</f>
        <v>2897</v>
      </c>
    </row>
    <row r="110" spans="1:29">
      <c r="A110" s="907">
        <v>18</v>
      </c>
      <c r="B110" s="309" t="s">
        <v>32</v>
      </c>
      <c r="C110" s="310"/>
      <c r="D110" s="310"/>
      <c r="E110" s="310"/>
      <c r="F110" s="310"/>
      <c r="G110" s="310"/>
      <c r="H110" s="310"/>
      <c r="I110" s="310"/>
      <c r="J110" s="310"/>
      <c r="K110" s="311"/>
      <c r="L110" s="310"/>
      <c r="M110" s="310"/>
      <c r="N110" s="310"/>
      <c r="O110" s="310"/>
      <c r="P110" s="310"/>
      <c r="Q110" s="310"/>
      <c r="R110" s="310"/>
      <c r="S110" s="310"/>
      <c r="T110" s="311"/>
      <c r="U110" s="310"/>
      <c r="V110" s="310"/>
      <c r="W110" s="310"/>
      <c r="X110" s="310"/>
      <c r="Y110" s="310"/>
      <c r="Z110" s="310"/>
      <c r="AA110" s="310"/>
      <c r="AB110" s="310"/>
      <c r="AC110" s="311"/>
    </row>
    <row r="111" spans="1:29">
      <c r="A111" s="907"/>
      <c r="B111" s="312" t="s">
        <v>997</v>
      </c>
      <c r="C111" s="313">
        <v>0</v>
      </c>
      <c r="D111" s="313">
        <v>0</v>
      </c>
      <c r="E111" s="313">
        <v>0</v>
      </c>
      <c r="F111" s="313">
        <v>0</v>
      </c>
      <c r="G111" s="313">
        <v>0</v>
      </c>
      <c r="H111" s="313">
        <v>0</v>
      </c>
      <c r="I111" s="313">
        <v>0</v>
      </c>
      <c r="J111" s="313">
        <v>26</v>
      </c>
      <c r="K111" s="313">
        <v>26</v>
      </c>
      <c r="L111" s="313">
        <v>133</v>
      </c>
      <c r="M111" s="313">
        <v>401</v>
      </c>
      <c r="N111" s="313">
        <v>534</v>
      </c>
      <c r="O111" s="313">
        <v>0</v>
      </c>
      <c r="P111" s="313">
        <v>0</v>
      </c>
      <c r="Q111" s="313">
        <v>0</v>
      </c>
      <c r="R111" s="313">
        <v>0</v>
      </c>
      <c r="S111" s="313">
        <v>0</v>
      </c>
      <c r="T111" s="313">
        <v>0</v>
      </c>
      <c r="U111" s="313">
        <v>0</v>
      </c>
      <c r="V111" s="313">
        <v>0</v>
      </c>
      <c r="W111" s="313">
        <v>0</v>
      </c>
      <c r="X111" s="313">
        <v>0</v>
      </c>
      <c r="Y111" s="313">
        <v>0</v>
      </c>
      <c r="Z111" s="313">
        <v>0</v>
      </c>
      <c r="AA111" s="313">
        <v>133</v>
      </c>
      <c r="AB111" s="313">
        <v>427</v>
      </c>
      <c r="AC111" s="313">
        <v>560</v>
      </c>
    </row>
    <row r="112" spans="1:29">
      <c r="A112" s="907"/>
      <c r="B112" s="314" t="s">
        <v>301</v>
      </c>
      <c r="C112" s="259">
        <f ca="1">SUMIF('[2]7UnivActwithConsUnit'!$B:$B,$C112,'[2]7UnivActwithConsUnit'!D:D)+SUMIF('[2]8CollegeAct'!$B:$B,$C112,'[2]8CollegeAct'!D:D)+SUMIF(#REF!,$C112,#REF!)</f>
        <v>0</v>
      </c>
      <c r="D112" s="259">
        <f ca="1">SUMIF('[2]7UnivActwithConsUnit'!$B:$B,$C112,'[2]7UnivActwithConsUnit'!E:E)+SUMIF('[2]8CollegeAct'!$B:$B,$C112,'[2]8CollegeAct'!E:E)+SUMIF(#REF!,$C112,#REF!)</f>
        <v>0</v>
      </c>
      <c r="E112" s="259">
        <f ca="1">SUMIF('[2]7UnivActwithConsUnit'!$B:$B,$C112,'[2]7UnivActwithConsUnit'!F:F)+SUMIF('[2]8CollegeAct'!$B:$B,$C112,'[2]8CollegeAct'!F:F)+SUMIF(#REF!,$C112,#REF!)</f>
        <v>0</v>
      </c>
      <c r="F112" s="259">
        <f ca="1">SUMIF('[2]7UnivActwithConsUnit'!$B:$B,$C112,'[2]7UnivActwithConsUnit'!G:G)+SUMIF('[2]8CollegeAct'!$B:$B,$C112,'[2]8CollegeAct'!G:G)+SUMIF(#REF!,$C112,#REF!)</f>
        <v>0</v>
      </c>
      <c r="G112" s="259">
        <f ca="1">SUMIF('[2]7UnivActwithConsUnit'!$B:$B,$C112,'[2]7UnivActwithConsUnit'!H:H)+SUMIF('[2]8CollegeAct'!$B:$B,$C112,'[2]8CollegeAct'!H:H)+SUMIF(#REF!,$C112,#REF!)</f>
        <v>0</v>
      </c>
      <c r="H112" s="259">
        <f ca="1">SUMIF('[2]7UnivActwithConsUnit'!$B:$B,$C112,'[2]7UnivActwithConsUnit'!I:I)+SUMIF('[2]8CollegeAct'!$B:$B,$C112,'[2]8CollegeAct'!I:I)+SUMIF(#REF!,$C112,#REF!)</f>
        <v>0</v>
      </c>
      <c r="I112" s="259">
        <f ca="1">SUMIF('[2]7UnivActwithConsUnit'!$B:$B,$C112,'[2]7UnivActwithConsUnit'!J:J)+SUMIF('[2]10CollegeEst'!$B:$B,$C112,'[2]10CollegeEst'!B:B)+SUMIF(#REF!,$C112,#REF!)</f>
        <v>0</v>
      </c>
      <c r="J112" s="259">
        <f ca="1">SUMIF('[2]7UnivActwithConsUnit'!$B:$B,$C112,'[2]7UnivActwithConsUnit'!K:K)+SUMIF('[2]10CollegeEst'!$B:$B,$C112,'[2]10CollegeEst'!C:C)+SUMIF(#REF!,$C112,#REF!)</f>
        <v>26</v>
      </c>
      <c r="K112" s="259">
        <f ca="1">SUMIF('[2]7UnivActwithConsUnit'!$B:$B,$C112,'[2]7UnivActwithConsUnit'!L:L)+SUMIF('[2]10CollegeEst'!$B:$B,$C112,'[2]10CollegeEst'!D:D)+SUMIF(#REF!,$C112,#REF!)</f>
        <v>26</v>
      </c>
      <c r="L112" s="260">
        <f ca="1">SUMIF('[2]7UnivActwithConsUnit'!$B:$B,$C112,'[2]7UnivActwithConsUnit'!M:M)+SUMIF('[2]10CollegeEst'!$B:$B,$C112,'[2]10CollegeEst'!E:E)+SUMIF(#REF!,$C112,#REF!)</f>
        <v>133</v>
      </c>
      <c r="M112" s="259">
        <f ca="1">SUMIF('[2]7UnivActwithConsUnit'!$B:$B,$C112,'[2]7UnivActwithConsUnit'!N:N)+SUMIF('[2]10CollegeEst'!$B:$B,$C112,'[2]10CollegeEst'!F:F)+SUMIF(#REF!,$C112,#REF!)</f>
        <v>401</v>
      </c>
      <c r="N112" s="259">
        <f ca="1">SUMIF('[2]7UnivActwithConsUnit'!$B:$B,$C112,'[2]7UnivActwithConsUnit'!O:O)+SUMIF('[2]10CollegeEst'!$B:$B,$C112,'[2]10CollegeEst'!G:G)+SUMIF(#REF!,$C112,#REF!)</f>
        <v>534</v>
      </c>
      <c r="O112" s="259">
        <f ca="1">SUMIF('[2]7UnivActwithConsUnit'!$B:$B,$C112,'[2]7UnivActwithConsUnit'!P:P)+SUMIF('[2]8CollegeAct'!$B:$B,$C112,'[2]8CollegeAct'!P:P)+SUMIF(#REF!,$C112,#REF!)</f>
        <v>0</v>
      </c>
      <c r="P112" s="259">
        <f ca="1">SUMIF('[2]7UnivActwithConsUnit'!$B:$B,$C112,'[2]7UnivActwithConsUnit'!Q:Q)+SUMIF('[2]8CollegeAct'!$B:$B,$C112,'[2]8CollegeAct'!Q:Q)+SUMIF(#REF!,$C112,#REF!)</f>
        <v>0</v>
      </c>
      <c r="Q112" s="259">
        <f ca="1">SUMIF('[2]7UnivActwithConsUnit'!$B:$B,$C112,'[2]7UnivActwithConsUnit'!R:R)+SUMIF('[2]8CollegeAct'!$B:$B,$C112,'[2]8CollegeAct'!R:R)+SUMIF(#REF!,$C112,#REF!)</f>
        <v>0</v>
      </c>
      <c r="R112" s="259">
        <f ca="1">SUMIF('[2]7UnivActwithConsUnit'!$B:$B,$C112,'[2]7UnivActwithConsUnit'!S:S)+SUMIF('[2]8CollegeAct'!$B:$B,$C112,'[2]8CollegeAct'!S:S)+SUMIF(#REF!,$C112,#REF!)</f>
        <v>0</v>
      </c>
      <c r="S112" s="259">
        <f ca="1">SUMIF('[2]7UnivActwithConsUnit'!$B:$B,$C112,'[2]7UnivActwithConsUnit'!T:T)+SUMIF('[2]8CollegeAct'!$B:$B,$C112,'[2]8CollegeAct'!T:T)+SUMIF(#REF!,$C112,#REF!)</f>
        <v>0</v>
      </c>
      <c r="T112" s="259">
        <f ca="1">SUMIF('[2]7UnivActwithConsUnit'!$B:$B,$C112,'[2]7UnivActwithConsUnit'!U:U)+SUMIF('[2]8CollegeAct'!$B:$B,$C112,'[2]8CollegeAct'!U:U)+SUMIF(#REF!,$C112,#REF!)</f>
        <v>0</v>
      </c>
      <c r="U112" s="260">
        <f ca="1">SUMIF('[2]7UnivActwithConsUnit'!$B:$B,$C112,'[2]7UnivActwithConsUnit'!V:V)+SUMIF('[2]8CollegeAct'!$B:$B,$C112,'[2]8CollegeAct'!V:V)+SUMIF(#REF!,$C112,#REF!)</f>
        <v>0</v>
      </c>
      <c r="V112" s="259">
        <f ca="1">SUMIF('[2]7UnivActwithConsUnit'!$B:$B,$C112,'[2]7UnivActwithConsUnit'!W:W)+SUMIF('[2]8CollegeAct'!$B:$B,$C112,'[2]8CollegeAct'!W:W)+SUMIF(#REF!,$C112,#REF!)</f>
        <v>0</v>
      </c>
      <c r="W112" s="259">
        <f ca="1">SUMIF('[2]7UnivActwithConsUnit'!$B:$B,$C112,'[2]7UnivActwithConsUnit'!X:X)+SUMIF('[2]8CollegeAct'!$B:$B,$C112,'[2]8CollegeAct'!X:X)+SUMIF(#REF!,$C112,#REF!)</f>
        <v>0</v>
      </c>
      <c r="X112" s="259">
        <f ca="1">SUMIF('[2]7UnivActwithConsUnit'!$B:$B,$C112,'[2]7UnivActwithConsUnit'!Y:Y)+SUMIF('[2]8CollegeAct'!$B:$B,$C112,'[2]8CollegeAct'!Y:Y)+SUMIF(#REF!,$C112,#REF!)</f>
        <v>0</v>
      </c>
      <c r="Y112" s="259">
        <f ca="1">SUMIF('[2]7UnivActwithConsUnit'!$B:$B,$C112,'[2]7UnivActwithConsUnit'!Z:Z)+SUMIF('[2]8CollegeAct'!$B:$B,$C112,'[2]8CollegeAct'!Z:Z)+SUMIF(#REF!,$C112,#REF!)</f>
        <v>0</v>
      </c>
      <c r="Z112" s="259">
        <f ca="1">SUMIF('[2]7UnivActwithConsUnit'!$B:$B,$C112,'[2]7UnivActwithConsUnit'!AA:AA)+SUMIF('[2]8CollegeAct'!$B:$B,$C112,'[2]8CollegeAct'!AA:AA)+SUMIF(#REF!,$C112,#REF!)</f>
        <v>0</v>
      </c>
      <c r="AA112" s="261">
        <f t="shared" ref="AA112:AB112" ca="1" si="59">C112+F112+I112+L112+O112+R112+U112+X112</f>
        <v>133</v>
      </c>
      <c r="AB112" s="261">
        <f t="shared" ca="1" si="59"/>
        <v>427</v>
      </c>
      <c r="AC112" s="261">
        <f t="shared" ref="AC112" ca="1" si="60">AA112+AB112</f>
        <v>560</v>
      </c>
    </row>
    <row r="113" spans="1:29">
      <c r="A113" s="907"/>
      <c r="B113" s="314" t="s">
        <v>300</v>
      </c>
      <c r="C113" s="287">
        <v>0</v>
      </c>
      <c r="D113" s="287">
        <v>0</v>
      </c>
      <c r="E113" s="287">
        <v>0</v>
      </c>
      <c r="F113" s="287">
        <v>0</v>
      </c>
      <c r="G113" s="287">
        <v>0</v>
      </c>
      <c r="H113" s="287">
        <v>0</v>
      </c>
      <c r="I113" s="287">
        <v>0</v>
      </c>
      <c r="J113" s="287">
        <v>26</v>
      </c>
      <c r="K113" s="287">
        <v>26</v>
      </c>
      <c r="L113" s="315">
        <v>127</v>
      </c>
      <c r="M113" s="287">
        <v>392</v>
      </c>
      <c r="N113" s="287">
        <v>519</v>
      </c>
      <c r="O113" s="287">
        <v>0</v>
      </c>
      <c r="P113" s="287">
        <v>0</v>
      </c>
      <c r="Q113" s="287">
        <v>0</v>
      </c>
      <c r="R113" s="287">
        <v>0</v>
      </c>
      <c r="S113" s="287">
        <v>0</v>
      </c>
      <c r="T113" s="287">
        <v>0</v>
      </c>
      <c r="U113" s="315">
        <v>0</v>
      </c>
      <c r="V113" s="287">
        <v>0</v>
      </c>
      <c r="W113" s="287">
        <v>0</v>
      </c>
      <c r="X113" s="287">
        <v>0</v>
      </c>
      <c r="Y113" s="287">
        <v>0</v>
      </c>
      <c r="Z113" s="287">
        <v>0</v>
      </c>
      <c r="AA113" s="287">
        <v>127</v>
      </c>
      <c r="AB113" s="287">
        <v>418</v>
      </c>
      <c r="AC113" s="287">
        <v>545</v>
      </c>
    </row>
    <row r="114" spans="1:29">
      <c r="A114" s="907"/>
      <c r="B114" s="314" t="s">
        <v>299</v>
      </c>
      <c r="C114" s="96">
        <v>0</v>
      </c>
      <c r="D114" s="96">
        <v>0</v>
      </c>
      <c r="E114" s="96">
        <v>0</v>
      </c>
      <c r="F114" s="96">
        <v>0</v>
      </c>
      <c r="G114" s="96">
        <v>0</v>
      </c>
      <c r="H114" s="96">
        <v>0</v>
      </c>
      <c r="I114" s="96">
        <v>4</v>
      </c>
      <c r="J114" s="96">
        <v>33</v>
      </c>
      <c r="K114" s="96">
        <v>37</v>
      </c>
      <c r="L114" s="97">
        <v>112</v>
      </c>
      <c r="M114" s="96">
        <v>403</v>
      </c>
      <c r="N114" s="96">
        <v>515</v>
      </c>
      <c r="O114" s="96">
        <v>0</v>
      </c>
      <c r="P114" s="96">
        <v>0</v>
      </c>
      <c r="Q114" s="96">
        <v>0</v>
      </c>
      <c r="R114" s="96">
        <v>0</v>
      </c>
      <c r="S114" s="96">
        <v>0</v>
      </c>
      <c r="T114" s="96">
        <v>0</v>
      </c>
      <c r="U114" s="97">
        <v>0</v>
      </c>
      <c r="V114" s="96">
        <v>0</v>
      </c>
      <c r="W114" s="96">
        <v>0</v>
      </c>
      <c r="X114" s="96">
        <v>0</v>
      </c>
      <c r="Y114" s="96">
        <v>0</v>
      </c>
      <c r="Z114" s="96">
        <v>0</v>
      </c>
      <c r="AA114" s="98">
        <f t="shared" ref="AA114:AC114" si="61">C114+F114+I114+L114+O114+R114+U114+X114</f>
        <v>116</v>
      </c>
      <c r="AB114" s="98">
        <f t="shared" si="61"/>
        <v>436</v>
      </c>
      <c r="AC114" s="98">
        <f t="shared" si="61"/>
        <v>552</v>
      </c>
    </row>
    <row r="115" spans="1:29">
      <c r="A115" s="907"/>
      <c r="B115" s="314" t="s">
        <v>298</v>
      </c>
      <c r="C115" s="100">
        <v>0</v>
      </c>
      <c r="D115" s="100">
        <v>0</v>
      </c>
      <c r="E115" s="101">
        <v>0</v>
      </c>
      <c r="F115" s="100">
        <v>0</v>
      </c>
      <c r="G115" s="100">
        <v>0</v>
      </c>
      <c r="H115" s="101">
        <v>0</v>
      </c>
      <c r="I115" s="103">
        <v>4</v>
      </c>
      <c r="J115" s="103">
        <v>33</v>
      </c>
      <c r="K115" s="95">
        <v>37</v>
      </c>
      <c r="L115" s="104">
        <v>112</v>
      </c>
      <c r="M115" s="103">
        <v>403</v>
      </c>
      <c r="N115" s="95">
        <v>515</v>
      </c>
      <c r="O115" s="100">
        <v>0</v>
      </c>
      <c r="P115" s="100">
        <v>0</v>
      </c>
      <c r="Q115" s="101">
        <v>0</v>
      </c>
      <c r="R115" s="100">
        <v>0</v>
      </c>
      <c r="S115" s="100">
        <v>0</v>
      </c>
      <c r="T115" s="101">
        <v>0</v>
      </c>
      <c r="U115" s="102">
        <v>0</v>
      </c>
      <c r="V115" s="100">
        <v>0</v>
      </c>
      <c r="W115" s="101">
        <v>0</v>
      </c>
      <c r="X115" s="100">
        <v>0</v>
      </c>
      <c r="Y115" s="100">
        <v>0</v>
      </c>
      <c r="Z115" s="101">
        <v>0</v>
      </c>
      <c r="AA115" s="95">
        <v>116</v>
      </c>
      <c r="AB115" s="95">
        <v>436</v>
      </c>
      <c r="AC115" s="95">
        <v>552</v>
      </c>
    </row>
    <row r="116" spans="1:29">
      <c r="A116" s="907">
        <v>19</v>
      </c>
      <c r="B116" s="309" t="s">
        <v>33</v>
      </c>
      <c r="C116" s="310"/>
      <c r="D116" s="310"/>
      <c r="E116" s="310"/>
      <c r="F116" s="310"/>
      <c r="G116" s="310"/>
      <c r="H116" s="310"/>
      <c r="I116" s="310"/>
      <c r="J116" s="310"/>
      <c r="K116" s="311"/>
      <c r="L116" s="310"/>
      <c r="M116" s="310"/>
      <c r="N116" s="310"/>
      <c r="O116" s="310"/>
      <c r="P116" s="310"/>
      <c r="Q116" s="310"/>
      <c r="R116" s="310"/>
      <c r="S116" s="310"/>
      <c r="T116" s="311"/>
      <c r="U116" s="310"/>
      <c r="V116" s="310"/>
      <c r="W116" s="310"/>
      <c r="X116" s="310"/>
      <c r="Y116" s="310"/>
      <c r="Z116" s="310"/>
      <c r="AA116" s="310"/>
      <c r="AB116" s="310"/>
      <c r="AC116" s="311"/>
    </row>
    <row r="117" spans="1:29">
      <c r="A117" s="907"/>
      <c r="B117" s="312" t="s">
        <v>997</v>
      </c>
      <c r="C117" s="313">
        <v>3676</v>
      </c>
      <c r="D117" s="313">
        <v>2477</v>
      </c>
      <c r="E117" s="313">
        <v>6153</v>
      </c>
      <c r="F117" s="313">
        <v>91</v>
      </c>
      <c r="G117" s="313">
        <v>58</v>
      </c>
      <c r="H117" s="313">
        <v>149</v>
      </c>
      <c r="I117" s="313">
        <v>159236</v>
      </c>
      <c r="J117" s="313">
        <v>184377</v>
      </c>
      <c r="K117" s="313">
        <v>343613</v>
      </c>
      <c r="L117" s="313">
        <v>1067537</v>
      </c>
      <c r="M117" s="313">
        <v>947070</v>
      </c>
      <c r="N117" s="313">
        <v>2014607</v>
      </c>
      <c r="O117" s="313">
        <v>21531</v>
      </c>
      <c r="P117" s="313">
        <v>19739</v>
      </c>
      <c r="Q117" s="313">
        <v>41270</v>
      </c>
      <c r="R117" s="313">
        <v>103265</v>
      </c>
      <c r="S117" s="313">
        <v>56449</v>
      </c>
      <c r="T117" s="313">
        <v>159714</v>
      </c>
      <c r="U117" s="313">
        <v>2298</v>
      </c>
      <c r="V117" s="313">
        <v>1272</v>
      </c>
      <c r="W117" s="313">
        <v>3570</v>
      </c>
      <c r="X117" s="313">
        <v>16402</v>
      </c>
      <c r="Y117" s="313">
        <v>13083</v>
      </c>
      <c r="Z117" s="313">
        <v>29485</v>
      </c>
      <c r="AA117" s="313">
        <v>1374036</v>
      </c>
      <c r="AB117" s="313">
        <v>1224525</v>
      </c>
      <c r="AC117" s="313">
        <v>2598561</v>
      </c>
    </row>
    <row r="118" spans="1:29">
      <c r="A118" s="907"/>
      <c r="B118" s="314" t="s">
        <v>301</v>
      </c>
      <c r="C118" s="259">
        <f ca="1">SUMIF('[2]7UnivActwithConsUnit'!$B:$B,$C118,'[2]7UnivActwithConsUnit'!D:D)+SUMIF('[2]8CollegeAct'!$B:$B,$C118,'[2]8CollegeAct'!D:D)+SUMIF(#REF!,$C118,#REF!)</f>
        <v>3006</v>
      </c>
      <c r="D118" s="259">
        <f ca="1">SUMIF('[2]7UnivActwithConsUnit'!$B:$B,$C118,'[2]7UnivActwithConsUnit'!E:E)+SUMIF('[2]8CollegeAct'!$B:$B,$C118,'[2]8CollegeAct'!E:E)+SUMIF(#REF!,$C118,#REF!)</f>
        <v>2441</v>
      </c>
      <c r="E118" s="259">
        <f ca="1">SUMIF('[2]7UnivActwithConsUnit'!$B:$B,$C118,'[2]7UnivActwithConsUnit'!F:F)+SUMIF('[2]8CollegeAct'!$B:$B,$C118,'[2]8CollegeAct'!F:F)+SUMIF(#REF!,$C118,#REF!)</f>
        <v>5447</v>
      </c>
      <c r="F118" s="259">
        <f ca="1">SUMIF('[2]7UnivActwithConsUnit'!$B:$B,$C118,'[2]7UnivActwithConsUnit'!G:G)+SUMIF('[2]8CollegeAct'!$B:$B,$C118,'[2]8CollegeAct'!G:G)+SUMIF(#REF!,$C118,#REF!)</f>
        <v>427</v>
      </c>
      <c r="G118" s="259">
        <f ca="1">SUMIF('[2]7UnivActwithConsUnit'!$B:$B,$C118,'[2]7UnivActwithConsUnit'!H:H)+SUMIF('[2]8CollegeAct'!$B:$B,$C118,'[2]8CollegeAct'!H:H)+SUMIF(#REF!,$C118,#REF!)</f>
        <v>449</v>
      </c>
      <c r="H118" s="259">
        <f ca="1">SUMIF('[2]7UnivActwithConsUnit'!$B:$B,$C118,'[2]7UnivActwithConsUnit'!I:I)+SUMIF('[2]8CollegeAct'!$B:$B,$C118,'[2]8CollegeAct'!I:I)+SUMIF(#REF!,$C118,#REF!)</f>
        <v>876</v>
      </c>
      <c r="I118" s="259">
        <f ca="1">SUMIF('[2]7UnivActwithConsUnit'!$B:$B,$C118,'[2]7UnivActwithConsUnit'!J:J)+SUMIF('[2]10CollegeEst'!$B:$B,$C118,'[2]10CollegeEst'!B:B)+SUMIF(#REF!,$C118,#REF!)</f>
        <v>125638</v>
      </c>
      <c r="J118" s="259">
        <f ca="1">SUMIF('[2]7UnivActwithConsUnit'!$B:$B,$C118,'[2]7UnivActwithConsUnit'!K:K)+SUMIF('[2]10CollegeEst'!$B:$B,$C118,'[2]10CollegeEst'!C:C)+SUMIF(#REF!,$C118,#REF!)</f>
        <v>159465</v>
      </c>
      <c r="K118" s="259">
        <f ca="1">SUMIF('[2]7UnivActwithConsUnit'!$B:$B,$C118,'[2]7UnivActwithConsUnit'!L:L)+SUMIF('[2]10CollegeEst'!$B:$B,$C118,'[2]10CollegeEst'!D:D)+SUMIF(#REF!,$C118,#REF!)</f>
        <v>285103</v>
      </c>
      <c r="L118" s="260">
        <f ca="1">SUMIF('[2]7UnivActwithConsUnit'!$B:$B,$C118,'[2]7UnivActwithConsUnit'!M:M)+SUMIF('[2]10CollegeEst'!$B:$B,$C118,'[2]10CollegeEst'!E:E)+SUMIF(#REF!,$C118,#REF!)</f>
        <v>908857</v>
      </c>
      <c r="M118" s="259">
        <f ca="1">SUMIF('[2]7UnivActwithConsUnit'!$B:$B,$C118,'[2]7UnivActwithConsUnit'!N:N)+SUMIF('[2]10CollegeEst'!$B:$B,$C118,'[2]10CollegeEst'!F:F)+SUMIF(#REF!,$C118,#REF!)</f>
        <v>802319</v>
      </c>
      <c r="N118" s="259">
        <f ca="1">SUMIF('[2]7UnivActwithConsUnit'!$B:$B,$C118,'[2]7UnivActwithConsUnit'!O:O)+SUMIF('[2]10CollegeEst'!$B:$B,$C118,'[2]10CollegeEst'!G:G)+SUMIF(#REF!,$C118,#REF!)</f>
        <v>1711176</v>
      </c>
      <c r="O118" s="259">
        <f ca="1">SUMIF('[2]7UnivActwithConsUnit'!$B:$B,$C118,'[2]7UnivActwithConsUnit'!P:P)+SUMIF('[2]8CollegeAct'!$B:$B,$C118,'[2]8CollegeAct'!P:P)+SUMIF(#REF!,$C118,#REF!)</f>
        <v>18338</v>
      </c>
      <c r="P118" s="259">
        <f ca="1">SUMIF('[2]7UnivActwithConsUnit'!$B:$B,$C118,'[2]7UnivActwithConsUnit'!Q:Q)+SUMIF('[2]8CollegeAct'!$B:$B,$C118,'[2]8CollegeAct'!Q:Q)+SUMIF(#REF!,$C118,#REF!)</f>
        <v>20012</v>
      </c>
      <c r="Q118" s="259">
        <f ca="1">SUMIF('[2]7UnivActwithConsUnit'!$B:$B,$C118,'[2]7UnivActwithConsUnit'!R:R)+SUMIF('[2]8CollegeAct'!$B:$B,$C118,'[2]8CollegeAct'!R:R)+SUMIF(#REF!,$C118,#REF!)</f>
        <v>38350</v>
      </c>
      <c r="R118" s="259">
        <f ca="1">SUMIF('[2]7UnivActwithConsUnit'!$B:$B,$C118,'[2]7UnivActwithConsUnit'!S:S)+SUMIF('[2]8CollegeAct'!$B:$B,$C118,'[2]8CollegeAct'!S:S)+SUMIF(#REF!,$C118,#REF!)</f>
        <v>75946</v>
      </c>
      <c r="S118" s="259">
        <f ca="1">SUMIF('[2]7UnivActwithConsUnit'!$B:$B,$C118,'[2]7UnivActwithConsUnit'!T:T)+SUMIF('[2]8CollegeAct'!$B:$B,$C118,'[2]8CollegeAct'!T:T)+SUMIF(#REF!,$C118,#REF!)</f>
        <v>43555</v>
      </c>
      <c r="T118" s="259">
        <f ca="1">SUMIF('[2]7UnivActwithConsUnit'!$B:$B,$C118,'[2]7UnivActwithConsUnit'!U:U)+SUMIF('[2]8CollegeAct'!$B:$B,$C118,'[2]8CollegeAct'!U:U)+SUMIF(#REF!,$C118,#REF!)</f>
        <v>119501</v>
      </c>
      <c r="U118" s="260">
        <f ca="1">SUMIF('[2]7UnivActwithConsUnit'!$B:$B,$C118,'[2]7UnivActwithConsUnit'!V:V)+SUMIF('[2]8CollegeAct'!$B:$B,$C118,'[2]8CollegeAct'!V:V)+SUMIF(#REF!,$C118,#REF!)</f>
        <v>1866</v>
      </c>
      <c r="V118" s="259">
        <f ca="1">SUMIF('[2]7UnivActwithConsUnit'!$B:$B,$C118,'[2]7UnivActwithConsUnit'!W:W)+SUMIF('[2]8CollegeAct'!$B:$B,$C118,'[2]8CollegeAct'!W:W)+SUMIF(#REF!,$C118,#REF!)</f>
        <v>1011</v>
      </c>
      <c r="W118" s="259">
        <f ca="1">SUMIF('[2]7UnivActwithConsUnit'!$B:$B,$C118,'[2]7UnivActwithConsUnit'!X:X)+SUMIF('[2]8CollegeAct'!$B:$B,$C118,'[2]8CollegeAct'!X:X)+SUMIF(#REF!,$C118,#REF!)</f>
        <v>2877</v>
      </c>
      <c r="X118" s="259">
        <f ca="1">SUMIF('[2]7UnivActwithConsUnit'!$B:$B,$C118,'[2]7UnivActwithConsUnit'!Y:Y)+SUMIF('[2]8CollegeAct'!$B:$B,$C118,'[2]8CollegeAct'!Y:Y)+SUMIF(#REF!,$C118,#REF!)</f>
        <v>10498</v>
      </c>
      <c r="Y118" s="259">
        <f ca="1">SUMIF('[2]7UnivActwithConsUnit'!$B:$B,$C118,'[2]7UnivActwithConsUnit'!Z:Z)+SUMIF('[2]8CollegeAct'!$B:$B,$C118,'[2]8CollegeAct'!Z:Z)+SUMIF(#REF!,$C118,#REF!)</f>
        <v>8326</v>
      </c>
      <c r="Z118" s="259">
        <f ca="1">SUMIF('[2]7UnivActwithConsUnit'!$B:$B,$C118,'[2]7UnivActwithConsUnit'!AA:AA)+SUMIF('[2]8CollegeAct'!$B:$B,$C118,'[2]8CollegeAct'!AA:AA)+SUMIF(#REF!,$C118,#REF!)</f>
        <v>18824</v>
      </c>
      <c r="AA118" s="261">
        <f t="shared" ref="AA118:AB118" ca="1" si="62">C118+F118+I118+L118+O118+R118+U118+X118</f>
        <v>1144576</v>
      </c>
      <c r="AB118" s="261">
        <f t="shared" ca="1" si="62"/>
        <v>1037578</v>
      </c>
      <c r="AC118" s="261">
        <f t="shared" ref="AC118" ca="1" si="63">AA118+AB118</f>
        <v>2182154</v>
      </c>
    </row>
    <row r="119" spans="1:29">
      <c r="A119" s="907"/>
      <c r="B119" s="314" t="s">
        <v>300</v>
      </c>
      <c r="C119" s="287">
        <v>2383</v>
      </c>
      <c r="D119" s="287">
        <v>1710</v>
      </c>
      <c r="E119" s="287">
        <v>4093</v>
      </c>
      <c r="F119" s="287">
        <v>264</v>
      </c>
      <c r="G119" s="287">
        <v>379</v>
      </c>
      <c r="H119" s="287">
        <v>643</v>
      </c>
      <c r="I119" s="287">
        <v>100896</v>
      </c>
      <c r="J119" s="287">
        <v>121265</v>
      </c>
      <c r="K119" s="287">
        <v>222161</v>
      </c>
      <c r="L119" s="315">
        <v>817593</v>
      </c>
      <c r="M119" s="287">
        <v>703775</v>
      </c>
      <c r="N119" s="287">
        <v>1521368</v>
      </c>
      <c r="O119" s="287">
        <v>20714</v>
      </c>
      <c r="P119" s="287">
        <v>21793</v>
      </c>
      <c r="Q119" s="287">
        <v>42507</v>
      </c>
      <c r="R119" s="287">
        <v>76043</v>
      </c>
      <c r="S119" s="287">
        <v>45751</v>
      </c>
      <c r="T119" s="287">
        <v>121794</v>
      </c>
      <c r="U119" s="315">
        <v>1545</v>
      </c>
      <c r="V119" s="287">
        <v>847</v>
      </c>
      <c r="W119" s="287">
        <v>2392</v>
      </c>
      <c r="X119" s="287">
        <v>8300</v>
      </c>
      <c r="Y119" s="287">
        <v>6086</v>
      </c>
      <c r="Z119" s="287">
        <v>14386</v>
      </c>
      <c r="AA119" s="287">
        <v>1027738</v>
      </c>
      <c r="AB119" s="287">
        <v>901606</v>
      </c>
      <c r="AC119" s="287">
        <v>1929344</v>
      </c>
    </row>
    <row r="120" spans="1:29">
      <c r="A120" s="907"/>
      <c r="B120" s="314" t="s">
        <v>299</v>
      </c>
      <c r="C120" s="96">
        <v>2427</v>
      </c>
      <c r="D120" s="96">
        <v>1558</v>
      </c>
      <c r="E120" s="96">
        <v>3985</v>
      </c>
      <c r="F120" s="96">
        <v>299</v>
      </c>
      <c r="G120" s="96">
        <v>466</v>
      </c>
      <c r="H120" s="96">
        <v>765</v>
      </c>
      <c r="I120" s="96">
        <v>95922.90634232352</v>
      </c>
      <c r="J120" s="96">
        <v>110113.11616381344</v>
      </c>
      <c r="K120" s="96">
        <v>206036.02250613697</v>
      </c>
      <c r="L120" s="97">
        <v>790446.54182277003</v>
      </c>
      <c r="M120" s="96">
        <v>656610.29455067066</v>
      </c>
      <c r="N120" s="96">
        <v>1447056.8363734407</v>
      </c>
      <c r="O120" s="96">
        <v>27998</v>
      </c>
      <c r="P120" s="96">
        <v>31271</v>
      </c>
      <c r="Q120" s="96">
        <v>59269</v>
      </c>
      <c r="R120" s="96">
        <v>98060</v>
      </c>
      <c r="S120" s="96">
        <v>55851</v>
      </c>
      <c r="T120" s="96">
        <v>153911</v>
      </c>
      <c r="U120" s="97">
        <v>2147</v>
      </c>
      <c r="V120" s="96">
        <v>2332</v>
      </c>
      <c r="W120" s="96">
        <v>4479</v>
      </c>
      <c r="X120" s="96">
        <v>6118</v>
      </c>
      <c r="Y120" s="96">
        <v>3859</v>
      </c>
      <c r="Z120" s="96">
        <v>9977</v>
      </c>
      <c r="AA120" s="98">
        <f t="shared" ref="AA120:AC120" si="64">C120+F120+I120+L120+O120+R120+U120+X120</f>
        <v>1023418.4481650935</v>
      </c>
      <c r="AB120" s="98">
        <f t="shared" si="64"/>
        <v>862060.41071448405</v>
      </c>
      <c r="AC120" s="98">
        <f t="shared" si="64"/>
        <v>1885478.8588795776</v>
      </c>
    </row>
    <row r="121" spans="1:29">
      <c r="A121" s="907"/>
      <c r="B121" s="314" t="s">
        <v>298</v>
      </c>
      <c r="C121" s="100">
        <v>1988</v>
      </c>
      <c r="D121" s="100">
        <v>1284</v>
      </c>
      <c r="E121" s="101">
        <v>3272</v>
      </c>
      <c r="F121" s="100">
        <v>336</v>
      </c>
      <c r="G121" s="100">
        <v>547</v>
      </c>
      <c r="H121" s="101">
        <v>883</v>
      </c>
      <c r="I121" s="100">
        <v>89227</v>
      </c>
      <c r="J121" s="100">
        <v>100343</v>
      </c>
      <c r="K121" s="101">
        <v>189570</v>
      </c>
      <c r="L121" s="102">
        <v>764823</v>
      </c>
      <c r="M121" s="100">
        <v>612641</v>
      </c>
      <c r="N121" s="101">
        <v>1377464</v>
      </c>
      <c r="O121" s="100">
        <v>24900</v>
      </c>
      <c r="P121" s="100">
        <v>26964</v>
      </c>
      <c r="Q121" s="101">
        <v>51864</v>
      </c>
      <c r="R121" s="100">
        <v>90798</v>
      </c>
      <c r="S121" s="100">
        <v>49312</v>
      </c>
      <c r="T121" s="101">
        <v>140110</v>
      </c>
      <c r="U121" s="102">
        <v>1306</v>
      </c>
      <c r="V121" s="100">
        <v>889</v>
      </c>
      <c r="W121" s="101">
        <v>2195</v>
      </c>
      <c r="X121" s="100">
        <v>4732</v>
      </c>
      <c r="Y121" s="100">
        <v>3163</v>
      </c>
      <c r="Z121" s="101">
        <v>7895</v>
      </c>
      <c r="AA121" s="101">
        <v>978110</v>
      </c>
      <c r="AB121" s="101">
        <v>795143</v>
      </c>
      <c r="AC121" s="101">
        <f t="shared" ref="AC121" si="65">SUM(AA121+AB121)</f>
        <v>1773253</v>
      </c>
    </row>
    <row r="122" spans="1:29">
      <c r="A122" s="907">
        <v>20</v>
      </c>
      <c r="B122" s="309" t="s">
        <v>34</v>
      </c>
      <c r="C122" s="310"/>
      <c r="D122" s="310"/>
      <c r="E122" s="310"/>
      <c r="F122" s="310"/>
      <c r="G122" s="310"/>
      <c r="H122" s="310"/>
      <c r="I122" s="310"/>
      <c r="J122" s="310"/>
      <c r="K122" s="311"/>
      <c r="L122" s="310"/>
      <c r="M122" s="310"/>
      <c r="N122" s="310"/>
      <c r="O122" s="310"/>
      <c r="P122" s="310"/>
      <c r="Q122" s="310"/>
      <c r="R122" s="310"/>
      <c r="S122" s="310"/>
      <c r="T122" s="311"/>
      <c r="U122" s="310"/>
      <c r="V122" s="310"/>
      <c r="W122" s="310"/>
      <c r="X122" s="310"/>
      <c r="Y122" s="310"/>
      <c r="Z122" s="310"/>
      <c r="AA122" s="310"/>
      <c r="AB122" s="310"/>
      <c r="AC122" s="311"/>
    </row>
    <row r="123" spans="1:29">
      <c r="A123" s="907"/>
      <c r="B123" s="312" t="s">
        <v>997</v>
      </c>
      <c r="C123" s="313">
        <v>9358</v>
      </c>
      <c r="D123" s="313">
        <v>6393</v>
      </c>
      <c r="E123" s="313">
        <v>15751</v>
      </c>
      <c r="F123" s="313">
        <v>385</v>
      </c>
      <c r="G123" s="313">
        <v>349</v>
      </c>
      <c r="H123" s="313">
        <v>734</v>
      </c>
      <c r="I123" s="313">
        <v>244931</v>
      </c>
      <c r="J123" s="313">
        <v>319628</v>
      </c>
      <c r="K123" s="313">
        <v>564559</v>
      </c>
      <c r="L123" s="313">
        <v>1955828</v>
      </c>
      <c r="M123" s="313">
        <v>1538148</v>
      </c>
      <c r="N123" s="313">
        <v>3493976</v>
      </c>
      <c r="O123" s="313">
        <v>14155</v>
      </c>
      <c r="P123" s="313">
        <v>10540</v>
      </c>
      <c r="Q123" s="313">
        <v>24695</v>
      </c>
      <c r="R123" s="313">
        <v>236423</v>
      </c>
      <c r="S123" s="313">
        <v>157788</v>
      </c>
      <c r="T123" s="313">
        <v>394211</v>
      </c>
      <c r="U123" s="313">
        <v>22503</v>
      </c>
      <c r="V123" s="313">
        <v>13879</v>
      </c>
      <c r="W123" s="313">
        <v>36382</v>
      </c>
      <c r="X123" s="313">
        <v>8314</v>
      </c>
      <c r="Y123" s="313">
        <v>7527</v>
      </c>
      <c r="Z123" s="313">
        <v>15841</v>
      </c>
      <c r="AA123" s="313">
        <v>2491897</v>
      </c>
      <c r="AB123" s="313">
        <v>2054252</v>
      </c>
      <c r="AC123" s="313">
        <v>4546149</v>
      </c>
    </row>
    <row r="124" spans="1:29">
      <c r="A124" s="907"/>
      <c r="B124" s="314" t="s">
        <v>301</v>
      </c>
      <c r="C124" s="259">
        <f ca="1">SUMIF('[2]7UnivActwithConsUnit'!$B:$B,$C124,'[2]7UnivActwithConsUnit'!D:D)+SUMIF('[2]8CollegeAct'!$B:$B,$C124,'[2]8CollegeAct'!D:D)+SUMIF(#REF!,$C124,#REF!)</f>
        <v>7122</v>
      </c>
      <c r="D124" s="259">
        <f ca="1">SUMIF('[2]7UnivActwithConsUnit'!$B:$B,$C124,'[2]7UnivActwithConsUnit'!E:E)+SUMIF('[2]8CollegeAct'!$B:$B,$C124,'[2]8CollegeAct'!E:E)+SUMIF(#REF!,$C124,#REF!)</f>
        <v>4861</v>
      </c>
      <c r="E124" s="259">
        <f ca="1">SUMIF('[2]7UnivActwithConsUnit'!$B:$B,$C124,'[2]7UnivActwithConsUnit'!F:F)+SUMIF('[2]8CollegeAct'!$B:$B,$C124,'[2]8CollegeAct'!F:F)+SUMIF(#REF!,$C124,#REF!)</f>
        <v>11983</v>
      </c>
      <c r="F124" s="259">
        <f ca="1">SUMIF('[2]7UnivActwithConsUnit'!$B:$B,$C124,'[2]7UnivActwithConsUnit'!G:G)+SUMIF('[2]8CollegeAct'!$B:$B,$C124,'[2]8CollegeAct'!G:G)+SUMIF(#REF!,$C124,#REF!)</f>
        <v>760</v>
      </c>
      <c r="G124" s="259">
        <f ca="1">SUMIF('[2]7UnivActwithConsUnit'!$B:$B,$C124,'[2]7UnivActwithConsUnit'!H:H)+SUMIF('[2]8CollegeAct'!$B:$B,$C124,'[2]8CollegeAct'!H:H)+SUMIF(#REF!,$C124,#REF!)</f>
        <v>716</v>
      </c>
      <c r="H124" s="259">
        <f ca="1">SUMIF('[2]7UnivActwithConsUnit'!$B:$B,$C124,'[2]7UnivActwithConsUnit'!I:I)+SUMIF('[2]8CollegeAct'!$B:$B,$C124,'[2]8CollegeAct'!I:I)+SUMIF(#REF!,$C124,#REF!)</f>
        <v>1476</v>
      </c>
      <c r="I124" s="259">
        <f ca="1">SUMIF('[2]7UnivActwithConsUnit'!$B:$B,$C124,'[2]7UnivActwithConsUnit'!J:J)+SUMIF('[2]10CollegeEst'!$B:$B,$C124,'[2]10CollegeEst'!B:B)+SUMIF(#REF!,$C124,#REF!)</f>
        <v>225266</v>
      </c>
      <c r="J124" s="259">
        <f ca="1">SUMIF('[2]7UnivActwithConsUnit'!$B:$B,$C124,'[2]7UnivActwithConsUnit'!K:K)+SUMIF('[2]10CollegeEst'!$B:$B,$C124,'[2]10CollegeEst'!C:C)+SUMIF(#REF!,$C124,#REF!)</f>
        <v>253236</v>
      </c>
      <c r="K124" s="259">
        <f ca="1">SUMIF('[2]7UnivActwithConsUnit'!$B:$B,$C124,'[2]7UnivActwithConsUnit'!L:L)+SUMIF('[2]10CollegeEst'!$B:$B,$C124,'[2]10CollegeEst'!D:D)+SUMIF(#REF!,$C124,#REF!)</f>
        <v>478502</v>
      </c>
      <c r="L124" s="260">
        <f ca="1">SUMIF('[2]7UnivActwithConsUnit'!$B:$B,$C124,'[2]7UnivActwithConsUnit'!M:M)+SUMIF('[2]10CollegeEst'!$B:$B,$C124,'[2]10CollegeEst'!E:E)+SUMIF(#REF!,$C124,#REF!)</f>
        <v>1866422</v>
      </c>
      <c r="M124" s="259">
        <f ca="1">SUMIF('[2]7UnivActwithConsUnit'!$B:$B,$C124,'[2]7UnivActwithConsUnit'!N:N)+SUMIF('[2]10CollegeEst'!$B:$B,$C124,'[2]10CollegeEst'!F:F)+SUMIF(#REF!,$C124,#REF!)</f>
        <v>1526553</v>
      </c>
      <c r="N124" s="259">
        <f ca="1">SUMIF('[2]7UnivActwithConsUnit'!$B:$B,$C124,'[2]7UnivActwithConsUnit'!O:O)+SUMIF('[2]10CollegeEst'!$B:$B,$C124,'[2]10CollegeEst'!G:G)+SUMIF(#REF!,$C124,#REF!)</f>
        <v>3392975</v>
      </c>
      <c r="O124" s="259">
        <f ca="1">SUMIF('[2]7UnivActwithConsUnit'!$B:$B,$C124,'[2]7UnivActwithConsUnit'!P:P)+SUMIF('[2]8CollegeAct'!$B:$B,$C124,'[2]8CollegeAct'!P:P)+SUMIF(#REF!,$C124,#REF!)</f>
        <v>13295</v>
      </c>
      <c r="P124" s="259">
        <f ca="1">SUMIF('[2]7UnivActwithConsUnit'!$B:$B,$C124,'[2]7UnivActwithConsUnit'!Q:Q)+SUMIF('[2]8CollegeAct'!$B:$B,$C124,'[2]8CollegeAct'!Q:Q)+SUMIF(#REF!,$C124,#REF!)</f>
        <v>10337</v>
      </c>
      <c r="Q124" s="259">
        <f ca="1">SUMIF('[2]7UnivActwithConsUnit'!$B:$B,$C124,'[2]7UnivActwithConsUnit'!R:R)+SUMIF('[2]8CollegeAct'!$B:$B,$C124,'[2]8CollegeAct'!R:R)+SUMIF(#REF!,$C124,#REF!)</f>
        <v>23632</v>
      </c>
      <c r="R124" s="259">
        <f ca="1">SUMIF('[2]7UnivActwithConsUnit'!$B:$B,$C124,'[2]7UnivActwithConsUnit'!S:S)+SUMIF('[2]8CollegeAct'!$B:$B,$C124,'[2]8CollegeAct'!S:S)+SUMIF(#REF!,$C124,#REF!)</f>
        <v>183077</v>
      </c>
      <c r="S124" s="259">
        <f ca="1">SUMIF('[2]7UnivActwithConsUnit'!$B:$B,$C124,'[2]7UnivActwithConsUnit'!T:T)+SUMIF('[2]8CollegeAct'!$B:$B,$C124,'[2]8CollegeAct'!T:T)+SUMIF(#REF!,$C124,#REF!)</f>
        <v>140057</v>
      </c>
      <c r="T124" s="259">
        <f ca="1">SUMIF('[2]7UnivActwithConsUnit'!$B:$B,$C124,'[2]7UnivActwithConsUnit'!U:U)+SUMIF('[2]8CollegeAct'!$B:$B,$C124,'[2]8CollegeAct'!U:U)+SUMIF(#REF!,$C124,#REF!)</f>
        <v>323134</v>
      </c>
      <c r="U124" s="260">
        <f ca="1">SUMIF('[2]7UnivActwithConsUnit'!$B:$B,$C124,'[2]7UnivActwithConsUnit'!V:V)+SUMIF('[2]8CollegeAct'!$B:$B,$C124,'[2]8CollegeAct'!V:V)+SUMIF(#REF!,$C124,#REF!)</f>
        <v>9835</v>
      </c>
      <c r="V124" s="259">
        <f ca="1">SUMIF('[2]7UnivActwithConsUnit'!$B:$B,$C124,'[2]7UnivActwithConsUnit'!W:W)+SUMIF('[2]8CollegeAct'!$B:$B,$C124,'[2]8CollegeAct'!W:W)+SUMIF(#REF!,$C124,#REF!)</f>
        <v>8013</v>
      </c>
      <c r="W124" s="259">
        <f ca="1">SUMIF('[2]7UnivActwithConsUnit'!$B:$B,$C124,'[2]7UnivActwithConsUnit'!X:X)+SUMIF('[2]8CollegeAct'!$B:$B,$C124,'[2]8CollegeAct'!X:X)+SUMIF(#REF!,$C124,#REF!)</f>
        <v>17848</v>
      </c>
      <c r="X124" s="259">
        <f ca="1">SUMIF('[2]7UnivActwithConsUnit'!$B:$B,$C124,'[2]7UnivActwithConsUnit'!Y:Y)+SUMIF('[2]8CollegeAct'!$B:$B,$C124,'[2]8CollegeAct'!Y:Y)+SUMIF(#REF!,$C124,#REF!)</f>
        <v>8085</v>
      </c>
      <c r="Y124" s="259">
        <f ca="1">SUMIF('[2]7UnivActwithConsUnit'!$B:$B,$C124,'[2]7UnivActwithConsUnit'!Z:Z)+SUMIF('[2]8CollegeAct'!$B:$B,$C124,'[2]8CollegeAct'!Z:Z)+SUMIF(#REF!,$C124,#REF!)</f>
        <v>7837</v>
      </c>
      <c r="Z124" s="259">
        <f ca="1">SUMIF('[2]7UnivActwithConsUnit'!$B:$B,$C124,'[2]7UnivActwithConsUnit'!AA:AA)+SUMIF('[2]8CollegeAct'!$B:$B,$C124,'[2]8CollegeAct'!AA:AA)+SUMIF(#REF!,$C124,#REF!)</f>
        <v>15922</v>
      </c>
      <c r="AA124" s="261">
        <f t="shared" ref="AA124:AB124" ca="1" si="66">C124+F124+I124+L124+O124+R124+U124+X124</f>
        <v>2313862</v>
      </c>
      <c r="AB124" s="261">
        <f t="shared" ca="1" si="66"/>
        <v>1951610</v>
      </c>
      <c r="AC124" s="261">
        <f t="shared" ref="AC124" ca="1" si="67">AA124+AB124</f>
        <v>4265472</v>
      </c>
    </row>
    <row r="125" spans="1:29">
      <c r="A125" s="907"/>
      <c r="B125" s="314" t="s">
        <v>300</v>
      </c>
      <c r="C125" s="287">
        <v>4923</v>
      </c>
      <c r="D125" s="287">
        <v>3873</v>
      </c>
      <c r="E125" s="287">
        <v>8796</v>
      </c>
      <c r="F125" s="287">
        <v>1007</v>
      </c>
      <c r="G125" s="287">
        <v>1165</v>
      </c>
      <c r="H125" s="287">
        <v>2172</v>
      </c>
      <c r="I125" s="287">
        <v>218561</v>
      </c>
      <c r="J125" s="287">
        <v>242682</v>
      </c>
      <c r="K125" s="287">
        <v>461243</v>
      </c>
      <c r="L125" s="315">
        <v>1855670</v>
      </c>
      <c r="M125" s="287">
        <v>1496019</v>
      </c>
      <c r="N125" s="287">
        <v>3351689</v>
      </c>
      <c r="O125" s="287">
        <v>11414</v>
      </c>
      <c r="P125" s="287">
        <v>8570</v>
      </c>
      <c r="Q125" s="287">
        <v>19984</v>
      </c>
      <c r="R125" s="287">
        <v>215778</v>
      </c>
      <c r="S125" s="287">
        <v>139431</v>
      </c>
      <c r="T125" s="287">
        <v>355209</v>
      </c>
      <c r="U125" s="315">
        <v>10018</v>
      </c>
      <c r="V125" s="287">
        <v>7692</v>
      </c>
      <c r="W125" s="287">
        <v>17710</v>
      </c>
      <c r="X125" s="287">
        <v>7053</v>
      </c>
      <c r="Y125" s="287">
        <v>6470</v>
      </c>
      <c r="Z125" s="287">
        <v>13523</v>
      </c>
      <c r="AA125" s="287">
        <v>2324424</v>
      </c>
      <c r="AB125" s="287">
        <v>1905902</v>
      </c>
      <c r="AC125" s="287">
        <v>4230326</v>
      </c>
    </row>
    <row r="126" spans="1:29">
      <c r="A126" s="907"/>
      <c r="B126" s="314" t="s">
        <v>299</v>
      </c>
      <c r="C126" s="96">
        <v>5365</v>
      </c>
      <c r="D126" s="96">
        <v>3841</v>
      </c>
      <c r="E126" s="96">
        <v>9206</v>
      </c>
      <c r="F126" s="96">
        <v>1176</v>
      </c>
      <c r="G126" s="96">
        <v>1245</v>
      </c>
      <c r="H126" s="96">
        <v>2421</v>
      </c>
      <c r="I126" s="96">
        <v>214429.55704424754</v>
      </c>
      <c r="J126" s="96">
        <v>231353.06880900724</v>
      </c>
      <c r="K126" s="96">
        <v>445782.62585325481</v>
      </c>
      <c r="L126" s="97">
        <v>1831960.386085392</v>
      </c>
      <c r="M126" s="96">
        <v>1482950.6642717505</v>
      </c>
      <c r="N126" s="96">
        <v>3314911.0503571425</v>
      </c>
      <c r="O126" s="96">
        <v>11566</v>
      </c>
      <c r="P126" s="96">
        <v>8164</v>
      </c>
      <c r="Q126" s="96">
        <v>19730</v>
      </c>
      <c r="R126" s="96">
        <v>194153</v>
      </c>
      <c r="S126" s="96">
        <v>121758</v>
      </c>
      <c r="T126" s="96">
        <v>315911</v>
      </c>
      <c r="U126" s="97">
        <v>6352</v>
      </c>
      <c r="V126" s="96">
        <v>5499</v>
      </c>
      <c r="W126" s="96">
        <v>11851</v>
      </c>
      <c r="X126" s="96">
        <v>6076</v>
      </c>
      <c r="Y126" s="96">
        <v>5868</v>
      </c>
      <c r="Z126" s="96">
        <v>11944</v>
      </c>
      <c r="AA126" s="98">
        <f t="shared" ref="AA126:AC126" si="68">C126+F126+I126+L126+O126+R126+U126+X126</f>
        <v>2271077.9431296396</v>
      </c>
      <c r="AB126" s="98">
        <f t="shared" si="68"/>
        <v>1860678.7330807578</v>
      </c>
      <c r="AC126" s="98">
        <f t="shared" si="68"/>
        <v>4131756.6762103974</v>
      </c>
    </row>
    <row r="127" spans="1:29">
      <c r="A127" s="907"/>
      <c r="B127" s="314" t="s">
        <v>298</v>
      </c>
      <c r="C127" s="100">
        <v>4382</v>
      </c>
      <c r="D127" s="100">
        <v>3146</v>
      </c>
      <c r="E127" s="101">
        <v>7528</v>
      </c>
      <c r="F127" s="100">
        <v>1300</v>
      </c>
      <c r="G127" s="100">
        <v>1360</v>
      </c>
      <c r="H127" s="101">
        <v>2660</v>
      </c>
      <c r="I127" s="100">
        <v>217511</v>
      </c>
      <c r="J127" s="100">
        <v>216114</v>
      </c>
      <c r="K127" s="101">
        <v>433625</v>
      </c>
      <c r="L127" s="102">
        <v>1773334</v>
      </c>
      <c r="M127" s="100">
        <v>1416728</v>
      </c>
      <c r="N127" s="101">
        <v>3190062</v>
      </c>
      <c r="O127" s="100">
        <v>14406</v>
      </c>
      <c r="P127" s="100">
        <v>9093</v>
      </c>
      <c r="Q127" s="101">
        <v>23499</v>
      </c>
      <c r="R127" s="100">
        <v>214775</v>
      </c>
      <c r="S127" s="100">
        <v>118586</v>
      </c>
      <c r="T127" s="101">
        <v>333361</v>
      </c>
      <c r="U127" s="102">
        <v>8501</v>
      </c>
      <c r="V127" s="100">
        <v>6151</v>
      </c>
      <c r="W127" s="101">
        <v>14652</v>
      </c>
      <c r="X127" s="100">
        <v>5555</v>
      </c>
      <c r="Y127" s="100">
        <v>5367</v>
      </c>
      <c r="Z127" s="101">
        <v>10922</v>
      </c>
      <c r="AA127" s="101">
        <v>2239764</v>
      </c>
      <c r="AB127" s="101">
        <v>1776545</v>
      </c>
      <c r="AC127" s="101">
        <f t="shared" ref="AC127" si="69">SUM(AA127+AB127)</f>
        <v>4016309</v>
      </c>
    </row>
    <row r="128" spans="1:29">
      <c r="A128" s="907">
        <v>21</v>
      </c>
      <c r="B128" s="309" t="s">
        <v>35</v>
      </c>
      <c r="C128" s="310"/>
      <c r="D128" s="310"/>
      <c r="E128" s="310"/>
      <c r="F128" s="310"/>
      <c r="G128" s="310"/>
      <c r="H128" s="310"/>
      <c r="I128" s="310"/>
      <c r="J128" s="310"/>
      <c r="K128" s="311"/>
      <c r="L128" s="310"/>
      <c r="M128" s="310"/>
      <c r="N128" s="310"/>
      <c r="O128" s="310"/>
      <c r="P128" s="310"/>
      <c r="Q128" s="310"/>
      <c r="R128" s="310"/>
      <c r="S128" s="310"/>
      <c r="T128" s="311"/>
      <c r="U128" s="310"/>
      <c r="V128" s="310"/>
      <c r="W128" s="310"/>
      <c r="X128" s="310"/>
      <c r="Y128" s="310"/>
      <c r="Z128" s="310"/>
      <c r="AA128" s="310"/>
      <c r="AB128" s="310"/>
      <c r="AC128" s="311"/>
    </row>
    <row r="129" spans="1:29">
      <c r="A129" s="907"/>
      <c r="B129" s="312" t="s">
        <v>997</v>
      </c>
      <c r="C129" s="313">
        <v>624</v>
      </c>
      <c r="D129" s="313">
        <v>569</v>
      </c>
      <c r="E129" s="313">
        <v>1193</v>
      </c>
      <c r="F129" s="313">
        <v>0</v>
      </c>
      <c r="G129" s="313">
        <v>12</v>
      </c>
      <c r="H129" s="313">
        <v>12</v>
      </c>
      <c r="I129" s="313">
        <v>4813</v>
      </c>
      <c r="J129" s="313">
        <v>5649</v>
      </c>
      <c r="K129" s="313">
        <v>10462</v>
      </c>
      <c r="L129" s="313">
        <v>61246</v>
      </c>
      <c r="M129" s="313">
        <v>60261</v>
      </c>
      <c r="N129" s="313">
        <v>121507</v>
      </c>
      <c r="O129" s="313">
        <v>396</v>
      </c>
      <c r="P129" s="313">
        <v>269</v>
      </c>
      <c r="Q129" s="313">
        <v>665</v>
      </c>
      <c r="R129" s="313">
        <v>1637</v>
      </c>
      <c r="S129" s="313">
        <v>2607</v>
      </c>
      <c r="T129" s="313">
        <v>4244</v>
      </c>
      <c r="U129" s="313">
        <v>200</v>
      </c>
      <c r="V129" s="313">
        <v>216</v>
      </c>
      <c r="W129" s="313">
        <v>416</v>
      </c>
      <c r="X129" s="313">
        <v>0</v>
      </c>
      <c r="Y129" s="313">
        <v>0</v>
      </c>
      <c r="Z129" s="313">
        <v>0</v>
      </c>
      <c r="AA129" s="313">
        <v>68916</v>
      </c>
      <c r="AB129" s="313">
        <v>69583</v>
      </c>
      <c r="AC129" s="313">
        <v>138499</v>
      </c>
    </row>
    <row r="130" spans="1:29">
      <c r="A130" s="907"/>
      <c r="B130" s="314" t="s">
        <v>301</v>
      </c>
      <c r="C130" s="259">
        <f ca="1">SUMIF('[2]7UnivActwithConsUnit'!$B:$B,$C130,'[2]7UnivActwithConsUnit'!D:D)+SUMIF('[2]8CollegeAct'!$B:$B,$C130,'[2]8CollegeAct'!D:D)+SUMIF(#REF!,$C130,#REF!)</f>
        <v>538</v>
      </c>
      <c r="D130" s="259">
        <f ca="1">SUMIF('[2]7UnivActwithConsUnit'!$B:$B,$C130,'[2]7UnivActwithConsUnit'!E:E)+SUMIF('[2]8CollegeAct'!$B:$B,$C130,'[2]8CollegeAct'!E:E)+SUMIF(#REF!,$C130,#REF!)</f>
        <v>507</v>
      </c>
      <c r="E130" s="259">
        <f ca="1">SUMIF('[2]7UnivActwithConsUnit'!$B:$B,$C130,'[2]7UnivActwithConsUnit'!F:F)+SUMIF('[2]8CollegeAct'!$B:$B,$C130,'[2]8CollegeAct'!F:F)+SUMIF(#REF!,$C130,#REF!)</f>
        <v>1045</v>
      </c>
      <c r="F130" s="259">
        <f ca="1">SUMIF('[2]7UnivActwithConsUnit'!$B:$B,$C130,'[2]7UnivActwithConsUnit'!G:G)+SUMIF('[2]8CollegeAct'!$B:$B,$C130,'[2]8CollegeAct'!G:G)+SUMIF(#REF!,$C130,#REF!)</f>
        <v>2</v>
      </c>
      <c r="G130" s="259">
        <f ca="1">SUMIF('[2]7UnivActwithConsUnit'!$B:$B,$C130,'[2]7UnivActwithConsUnit'!H:H)+SUMIF('[2]8CollegeAct'!$B:$B,$C130,'[2]8CollegeAct'!H:H)+SUMIF(#REF!,$C130,#REF!)</f>
        <v>10</v>
      </c>
      <c r="H130" s="259">
        <f ca="1">SUMIF('[2]7UnivActwithConsUnit'!$B:$B,$C130,'[2]7UnivActwithConsUnit'!I:I)+SUMIF('[2]8CollegeAct'!$B:$B,$C130,'[2]8CollegeAct'!I:I)+SUMIF(#REF!,$C130,#REF!)</f>
        <v>12</v>
      </c>
      <c r="I130" s="259">
        <f ca="1">SUMIF('[2]7UnivActwithConsUnit'!$B:$B,$C130,'[2]7UnivActwithConsUnit'!J:J)+SUMIF('[2]10CollegeEst'!$B:$B,$C130,'[2]10CollegeEst'!B:B)+SUMIF(#REF!,$C130,#REF!)</f>
        <v>4689</v>
      </c>
      <c r="J130" s="259">
        <f ca="1">SUMIF('[2]7UnivActwithConsUnit'!$B:$B,$C130,'[2]7UnivActwithConsUnit'!K:K)+SUMIF('[2]10CollegeEst'!$B:$B,$C130,'[2]10CollegeEst'!C:C)+SUMIF(#REF!,$C130,#REF!)</f>
        <v>5087</v>
      </c>
      <c r="K130" s="259">
        <f ca="1">SUMIF('[2]7UnivActwithConsUnit'!$B:$B,$C130,'[2]7UnivActwithConsUnit'!L:L)+SUMIF('[2]10CollegeEst'!$B:$B,$C130,'[2]10CollegeEst'!D:D)+SUMIF(#REF!,$C130,#REF!)</f>
        <v>9776</v>
      </c>
      <c r="L130" s="260">
        <f ca="1">SUMIF('[2]7UnivActwithConsUnit'!$B:$B,$C130,'[2]7UnivActwithConsUnit'!M:M)+SUMIF('[2]10CollegeEst'!$B:$B,$C130,'[2]10CollegeEst'!E:E)+SUMIF(#REF!,$C130,#REF!)</f>
        <v>54042</v>
      </c>
      <c r="M130" s="259">
        <f ca="1">SUMIF('[2]7UnivActwithConsUnit'!$B:$B,$C130,'[2]7UnivActwithConsUnit'!N:N)+SUMIF('[2]10CollegeEst'!$B:$B,$C130,'[2]10CollegeEst'!F:F)+SUMIF(#REF!,$C130,#REF!)</f>
        <v>55248</v>
      </c>
      <c r="N130" s="259">
        <f ca="1">SUMIF('[2]7UnivActwithConsUnit'!$B:$B,$C130,'[2]7UnivActwithConsUnit'!O:O)+SUMIF('[2]10CollegeEst'!$B:$B,$C130,'[2]10CollegeEst'!G:G)+SUMIF(#REF!,$C130,#REF!)</f>
        <v>109290</v>
      </c>
      <c r="O130" s="259">
        <f ca="1">SUMIF('[2]7UnivActwithConsUnit'!$B:$B,$C130,'[2]7UnivActwithConsUnit'!P:P)+SUMIF('[2]8CollegeAct'!$B:$B,$C130,'[2]8CollegeAct'!P:P)+SUMIF(#REF!,$C130,#REF!)</f>
        <v>187</v>
      </c>
      <c r="P130" s="259">
        <f ca="1">SUMIF('[2]7UnivActwithConsUnit'!$B:$B,$C130,'[2]7UnivActwithConsUnit'!Q:Q)+SUMIF('[2]8CollegeAct'!$B:$B,$C130,'[2]8CollegeAct'!Q:Q)+SUMIF(#REF!,$C130,#REF!)</f>
        <v>90</v>
      </c>
      <c r="Q130" s="259">
        <f ca="1">SUMIF('[2]7UnivActwithConsUnit'!$B:$B,$C130,'[2]7UnivActwithConsUnit'!R:R)+SUMIF('[2]8CollegeAct'!$B:$B,$C130,'[2]8CollegeAct'!R:R)+SUMIF(#REF!,$C130,#REF!)</f>
        <v>277</v>
      </c>
      <c r="R130" s="259">
        <f ca="1">SUMIF('[2]7UnivActwithConsUnit'!$B:$B,$C130,'[2]7UnivActwithConsUnit'!S:S)+SUMIF('[2]8CollegeAct'!$B:$B,$C130,'[2]8CollegeAct'!S:S)+SUMIF(#REF!,$C130,#REF!)</f>
        <v>1383</v>
      </c>
      <c r="S130" s="259">
        <f ca="1">SUMIF('[2]7UnivActwithConsUnit'!$B:$B,$C130,'[2]7UnivActwithConsUnit'!T:T)+SUMIF('[2]8CollegeAct'!$B:$B,$C130,'[2]8CollegeAct'!T:T)+SUMIF(#REF!,$C130,#REF!)</f>
        <v>2573</v>
      </c>
      <c r="T130" s="259">
        <f ca="1">SUMIF('[2]7UnivActwithConsUnit'!$B:$B,$C130,'[2]7UnivActwithConsUnit'!U:U)+SUMIF('[2]8CollegeAct'!$B:$B,$C130,'[2]8CollegeAct'!U:U)+SUMIF(#REF!,$C130,#REF!)</f>
        <v>3956</v>
      </c>
      <c r="U130" s="260">
        <f ca="1">SUMIF('[2]7UnivActwithConsUnit'!$B:$B,$C130,'[2]7UnivActwithConsUnit'!V:V)+SUMIF('[2]8CollegeAct'!$B:$B,$C130,'[2]8CollegeAct'!V:V)+SUMIF(#REF!,$C130,#REF!)</f>
        <v>77</v>
      </c>
      <c r="V130" s="259">
        <f ca="1">SUMIF('[2]7UnivActwithConsUnit'!$B:$B,$C130,'[2]7UnivActwithConsUnit'!W:W)+SUMIF('[2]8CollegeAct'!$B:$B,$C130,'[2]8CollegeAct'!W:W)+SUMIF(#REF!,$C130,#REF!)</f>
        <v>105</v>
      </c>
      <c r="W130" s="259">
        <f ca="1">SUMIF('[2]7UnivActwithConsUnit'!$B:$B,$C130,'[2]7UnivActwithConsUnit'!X:X)+SUMIF('[2]8CollegeAct'!$B:$B,$C130,'[2]8CollegeAct'!X:X)+SUMIF(#REF!,$C130,#REF!)</f>
        <v>182</v>
      </c>
      <c r="X130" s="259">
        <f ca="1">SUMIF('[2]7UnivActwithConsUnit'!$B:$B,$C130,'[2]7UnivActwithConsUnit'!Y:Y)+SUMIF('[2]8CollegeAct'!$B:$B,$C130,'[2]8CollegeAct'!Y:Y)+SUMIF(#REF!,$C130,#REF!)</f>
        <v>0</v>
      </c>
      <c r="Y130" s="259">
        <f ca="1">SUMIF('[2]7UnivActwithConsUnit'!$B:$B,$C130,'[2]7UnivActwithConsUnit'!Z:Z)+SUMIF('[2]8CollegeAct'!$B:$B,$C130,'[2]8CollegeAct'!Z:Z)+SUMIF(#REF!,$C130,#REF!)</f>
        <v>0</v>
      </c>
      <c r="Z130" s="259">
        <f ca="1">SUMIF('[2]7UnivActwithConsUnit'!$B:$B,$C130,'[2]7UnivActwithConsUnit'!AA:AA)+SUMIF('[2]8CollegeAct'!$B:$B,$C130,'[2]8CollegeAct'!AA:AA)+SUMIF(#REF!,$C130,#REF!)</f>
        <v>0</v>
      </c>
      <c r="AA130" s="261">
        <f t="shared" ref="AA130:AB130" ca="1" si="70">C130+F130+I130+L130+O130+R130+U130+X130</f>
        <v>60918</v>
      </c>
      <c r="AB130" s="261">
        <f t="shared" ca="1" si="70"/>
        <v>63620</v>
      </c>
      <c r="AC130" s="261">
        <f t="shared" ref="AC130" ca="1" si="71">AA130+AB130</f>
        <v>124538</v>
      </c>
    </row>
    <row r="131" spans="1:29">
      <c r="A131" s="907"/>
      <c r="B131" s="314" t="s">
        <v>300</v>
      </c>
      <c r="C131" s="287">
        <v>601</v>
      </c>
      <c r="D131" s="287">
        <v>487</v>
      </c>
      <c r="E131" s="287">
        <v>1088</v>
      </c>
      <c r="F131" s="287">
        <v>1</v>
      </c>
      <c r="G131" s="287">
        <v>10</v>
      </c>
      <c r="H131" s="287">
        <v>11</v>
      </c>
      <c r="I131" s="287">
        <v>4143</v>
      </c>
      <c r="J131" s="287">
        <v>4296</v>
      </c>
      <c r="K131" s="287">
        <v>8439</v>
      </c>
      <c r="L131" s="315">
        <v>48415</v>
      </c>
      <c r="M131" s="287">
        <v>48928</v>
      </c>
      <c r="N131" s="287">
        <v>97343</v>
      </c>
      <c r="O131" s="287">
        <v>137</v>
      </c>
      <c r="P131" s="287">
        <v>93</v>
      </c>
      <c r="Q131" s="287">
        <v>230</v>
      </c>
      <c r="R131" s="287">
        <v>1288</v>
      </c>
      <c r="S131" s="287">
        <v>1788</v>
      </c>
      <c r="T131" s="287">
        <v>3076</v>
      </c>
      <c r="U131" s="315">
        <v>94</v>
      </c>
      <c r="V131" s="287">
        <v>96</v>
      </c>
      <c r="W131" s="287">
        <v>190</v>
      </c>
      <c r="X131" s="287">
        <v>0</v>
      </c>
      <c r="Y131" s="287">
        <v>0</v>
      </c>
      <c r="Z131" s="287">
        <v>0</v>
      </c>
      <c r="AA131" s="287">
        <v>54679</v>
      </c>
      <c r="AB131" s="287">
        <v>55698</v>
      </c>
      <c r="AC131" s="287">
        <v>110377</v>
      </c>
    </row>
    <row r="132" spans="1:29">
      <c r="A132" s="907"/>
      <c r="B132" s="314" t="s">
        <v>299</v>
      </c>
      <c r="C132" s="96">
        <v>332</v>
      </c>
      <c r="D132" s="96">
        <v>314</v>
      </c>
      <c r="E132" s="96">
        <v>646</v>
      </c>
      <c r="F132" s="96">
        <v>0</v>
      </c>
      <c r="G132" s="96">
        <v>7</v>
      </c>
      <c r="H132" s="96">
        <v>7</v>
      </c>
      <c r="I132" s="96">
        <v>4467.0058442846948</v>
      </c>
      <c r="J132" s="96">
        <v>3667.6823511592738</v>
      </c>
      <c r="K132" s="96">
        <v>8134.6881954439687</v>
      </c>
      <c r="L132" s="97">
        <v>45380.869593728305</v>
      </c>
      <c r="M132" s="96">
        <v>48526.413332074699</v>
      </c>
      <c r="N132" s="96">
        <v>93907.282925803011</v>
      </c>
      <c r="O132" s="96">
        <v>127</v>
      </c>
      <c r="P132" s="96">
        <v>54</v>
      </c>
      <c r="Q132" s="96">
        <v>181</v>
      </c>
      <c r="R132" s="96">
        <v>964</v>
      </c>
      <c r="S132" s="96">
        <v>810</v>
      </c>
      <c r="T132" s="96">
        <v>1774</v>
      </c>
      <c r="U132" s="97">
        <v>0</v>
      </c>
      <c r="V132" s="96">
        <v>30</v>
      </c>
      <c r="W132" s="96">
        <v>30</v>
      </c>
      <c r="X132" s="96">
        <v>0</v>
      </c>
      <c r="Y132" s="96">
        <v>0</v>
      </c>
      <c r="Z132" s="96">
        <v>0</v>
      </c>
      <c r="AA132" s="98">
        <f t="shared" ref="AA132:AC132" si="72">C132+F132+I132+L132+O132+R132+U132+X132</f>
        <v>51270.875438012998</v>
      </c>
      <c r="AB132" s="98">
        <f t="shared" si="72"/>
        <v>53409.095683233973</v>
      </c>
      <c r="AC132" s="98">
        <f t="shared" si="72"/>
        <v>104679.97112124698</v>
      </c>
    </row>
    <row r="133" spans="1:29">
      <c r="A133" s="907"/>
      <c r="B133" s="314" t="s">
        <v>298</v>
      </c>
      <c r="C133" s="100">
        <v>392</v>
      </c>
      <c r="D133" s="100">
        <v>334</v>
      </c>
      <c r="E133" s="101">
        <v>726</v>
      </c>
      <c r="F133" s="100">
        <v>0</v>
      </c>
      <c r="G133" s="100">
        <v>3</v>
      </c>
      <c r="H133" s="101">
        <v>3</v>
      </c>
      <c r="I133" s="100">
        <v>4361</v>
      </c>
      <c r="J133" s="100">
        <v>4085</v>
      </c>
      <c r="K133" s="101">
        <v>8446</v>
      </c>
      <c r="L133" s="102">
        <v>44119</v>
      </c>
      <c r="M133" s="100">
        <v>45645</v>
      </c>
      <c r="N133" s="101">
        <v>89764</v>
      </c>
      <c r="O133" s="100">
        <v>163</v>
      </c>
      <c r="P133" s="100">
        <v>76</v>
      </c>
      <c r="Q133" s="101">
        <v>239</v>
      </c>
      <c r="R133" s="100">
        <v>1031</v>
      </c>
      <c r="S133" s="100">
        <v>783</v>
      </c>
      <c r="T133" s="101">
        <v>1814</v>
      </c>
      <c r="U133" s="102">
        <v>0</v>
      </c>
      <c r="V133" s="100">
        <v>70</v>
      </c>
      <c r="W133" s="101">
        <v>70</v>
      </c>
      <c r="X133" s="100">
        <v>0</v>
      </c>
      <c r="Y133" s="100">
        <v>0</v>
      </c>
      <c r="Z133" s="101">
        <v>0</v>
      </c>
      <c r="AA133" s="101">
        <v>50066</v>
      </c>
      <c r="AB133" s="101">
        <v>50996</v>
      </c>
      <c r="AC133" s="101">
        <f t="shared" ref="AC133" si="73">SUM(AA133+AB133)</f>
        <v>101062</v>
      </c>
    </row>
    <row r="134" spans="1:29">
      <c r="A134" s="907">
        <v>22</v>
      </c>
      <c r="B134" s="309" t="s">
        <v>36</v>
      </c>
      <c r="C134" s="310"/>
      <c r="D134" s="310"/>
      <c r="E134" s="310"/>
      <c r="F134" s="310"/>
      <c r="G134" s="310"/>
      <c r="H134" s="310"/>
      <c r="I134" s="310"/>
      <c r="J134" s="310"/>
      <c r="K134" s="311"/>
      <c r="L134" s="310"/>
      <c r="M134" s="310"/>
      <c r="N134" s="310"/>
      <c r="O134" s="310"/>
      <c r="P134" s="310"/>
      <c r="Q134" s="310"/>
      <c r="R134" s="310"/>
      <c r="S134" s="310"/>
      <c r="T134" s="311"/>
      <c r="U134" s="310"/>
      <c r="V134" s="310"/>
      <c r="W134" s="310"/>
      <c r="X134" s="310"/>
      <c r="Y134" s="310"/>
      <c r="Z134" s="310"/>
      <c r="AA134" s="310"/>
      <c r="AB134" s="310"/>
      <c r="AC134" s="311"/>
    </row>
    <row r="135" spans="1:29">
      <c r="A135" s="907"/>
      <c r="B135" s="312" t="s">
        <v>997</v>
      </c>
      <c r="C135" s="313">
        <v>469</v>
      </c>
      <c r="D135" s="313">
        <v>364</v>
      </c>
      <c r="E135" s="313">
        <v>833</v>
      </c>
      <c r="F135" s="313">
        <v>0</v>
      </c>
      <c r="G135" s="313">
        <v>0</v>
      </c>
      <c r="H135" s="313">
        <v>0</v>
      </c>
      <c r="I135" s="313">
        <v>4039</v>
      </c>
      <c r="J135" s="313">
        <v>6124</v>
      </c>
      <c r="K135" s="313">
        <v>10163</v>
      </c>
      <c r="L135" s="313">
        <v>36840</v>
      </c>
      <c r="M135" s="313">
        <v>45359</v>
      </c>
      <c r="N135" s="313">
        <v>82199</v>
      </c>
      <c r="O135" s="313">
        <v>177</v>
      </c>
      <c r="P135" s="313">
        <v>129</v>
      </c>
      <c r="Q135" s="313">
        <v>306</v>
      </c>
      <c r="R135" s="313">
        <v>1334</v>
      </c>
      <c r="S135" s="313">
        <v>2236</v>
      </c>
      <c r="T135" s="313">
        <v>3570</v>
      </c>
      <c r="U135" s="313">
        <v>172</v>
      </c>
      <c r="V135" s="313">
        <v>214</v>
      </c>
      <c r="W135" s="313">
        <v>386</v>
      </c>
      <c r="X135" s="313">
        <v>73</v>
      </c>
      <c r="Y135" s="313">
        <v>54</v>
      </c>
      <c r="Z135" s="313">
        <v>127</v>
      </c>
      <c r="AA135" s="313">
        <v>43104</v>
      </c>
      <c r="AB135" s="313">
        <v>54480</v>
      </c>
      <c r="AC135" s="313">
        <v>97584</v>
      </c>
    </row>
    <row r="136" spans="1:29">
      <c r="A136" s="907"/>
      <c r="B136" s="314" t="s">
        <v>301</v>
      </c>
      <c r="C136" s="259">
        <f ca="1">SUMIF('[2]7UnivActwithConsUnit'!$B:$B,$C136,'[2]7UnivActwithConsUnit'!D:D)+SUMIF('[2]8CollegeAct'!$B:$B,$C136,'[2]8CollegeAct'!D:D)+SUMIF(#REF!,$C136,#REF!)</f>
        <v>492</v>
      </c>
      <c r="D136" s="259">
        <f ca="1">SUMIF('[2]7UnivActwithConsUnit'!$B:$B,$C136,'[2]7UnivActwithConsUnit'!E:E)+SUMIF('[2]8CollegeAct'!$B:$B,$C136,'[2]8CollegeAct'!E:E)+SUMIF(#REF!,$C136,#REF!)</f>
        <v>378</v>
      </c>
      <c r="E136" s="259">
        <f ca="1">SUMIF('[2]7UnivActwithConsUnit'!$B:$B,$C136,'[2]7UnivActwithConsUnit'!F:F)+SUMIF('[2]8CollegeAct'!$B:$B,$C136,'[2]8CollegeAct'!F:F)+SUMIF(#REF!,$C136,#REF!)</f>
        <v>870</v>
      </c>
      <c r="F136" s="259">
        <f ca="1">SUMIF('[2]7UnivActwithConsUnit'!$B:$B,$C136,'[2]7UnivActwithConsUnit'!G:G)+SUMIF('[2]8CollegeAct'!$B:$B,$C136,'[2]8CollegeAct'!G:G)+SUMIF(#REF!,$C136,#REF!)</f>
        <v>10</v>
      </c>
      <c r="G136" s="259">
        <f ca="1">SUMIF('[2]7UnivActwithConsUnit'!$B:$B,$C136,'[2]7UnivActwithConsUnit'!H:H)+SUMIF('[2]8CollegeAct'!$B:$B,$C136,'[2]8CollegeAct'!H:H)+SUMIF(#REF!,$C136,#REF!)</f>
        <v>23</v>
      </c>
      <c r="H136" s="259">
        <f ca="1">SUMIF('[2]7UnivActwithConsUnit'!$B:$B,$C136,'[2]7UnivActwithConsUnit'!I:I)+SUMIF('[2]8CollegeAct'!$B:$B,$C136,'[2]8CollegeAct'!I:I)+SUMIF(#REF!,$C136,#REF!)</f>
        <v>33</v>
      </c>
      <c r="I136" s="259">
        <f ca="1">SUMIF('[2]7UnivActwithConsUnit'!$B:$B,$C136,'[2]7UnivActwithConsUnit'!J:J)+SUMIF('[2]10CollegeEst'!$B:$B,$C136,'[2]10CollegeEst'!B:B)+SUMIF(#REF!,$C136,#REF!)</f>
        <v>4146</v>
      </c>
      <c r="J136" s="259">
        <f ca="1">SUMIF('[2]7UnivActwithConsUnit'!$B:$B,$C136,'[2]7UnivActwithConsUnit'!K:K)+SUMIF('[2]10CollegeEst'!$B:$B,$C136,'[2]10CollegeEst'!C:C)+SUMIF(#REF!,$C136,#REF!)</f>
        <v>6139</v>
      </c>
      <c r="K136" s="259">
        <f ca="1">SUMIF('[2]7UnivActwithConsUnit'!$B:$B,$C136,'[2]7UnivActwithConsUnit'!L:L)+SUMIF('[2]10CollegeEst'!$B:$B,$C136,'[2]10CollegeEst'!D:D)+SUMIF(#REF!,$C136,#REF!)</f>
        <v>10285</v>
      </c>
      <c r="L136" s="260">
        <f ca="1">SUMIF('[2]7UnivActwithConsUnit'!$B:$B,$C136,'[2]7UnivActwithConsUnit'!M:M)+SUMIF('[2]10CollegeEst'!$B:$B,$C136,'[2]10CollegeEst'!E:E)+SUMIF(#REF!,$C136,#REF!)</f>
        <v>33881</v>
      </c>
      <c r="M136" s="259">
        <f ca="1">SUMIF('[2]7UnivActwithConsUnit'!$B:$B,$C136,'[2]7UnivActwithConsUnit'!N:N)+SUMIF('[2]10CollegeEst'!$B:$B,$C136,'[2]10CollegeEst'!F:F)+SUMIF(#REF!,$C136,#REF!)</f>
        <v>39321</v>
      </c>
      <c r="N136" s="259">
        <f ca="1">SUMIF('[2]7UnivActwithConsUnit'!$B:$B,$C136,'[2]7UnivActwithConsUnit'!O:O)+SUMIF('[2]10CollegeEst'!$B:$B,$C136,'[2]10CollegeEst'!G:G)+SUMIF(#REF!,$C136,#REF!)</f>
        <v>73202</v>
      </c>
      <c r="O136" s="259">
        <f ca="1">SUMIF('[2]7UnivActwithConsUnit'!$B:$B,$C136,'[2]7UnivActwithConsUnit'!P:P)+SUMIF('[2]8CollegeAct'!$B:$B,$C136,'[2]8CollegeAct'!P:P)+SUMIF(#REF!,$C136,#REF!)</f>
        <v>114</v>
      </c>
      <c r="P136" s="259">
        <f ca="1">SUMIF('[2]7UnivActwithConsUnit'!$B:$B,$C136,'[2]7UnivActwithConsUnit'!Q:Q)+SUMIF('[2]8CollegeAct'!$B:$B,$C136,'[2]8CollegeAct'!Q:Q)+SUMIF(#REF!,$C136,#REF!)</f>
        <v>70</v>
      </c>
      <c r="Q136" s="259">
        <f ca="1">SUMIF('[2]7UnivActwithConsUnit'!$B:$B,$C136,'[2]7UnivActwithConsUnit'!R:R)+SUMIF('[2]8CollegeAct'!$B:$B,$C136,'[2]8CollegeAct'!R:R)+SUMIF(#REF!,$C136,#REF!)</f>
        <v>184</v>
      </c>
      <c r="R136" s="259">
        <f ca="1">SUMIF('[2]7UnivActwithConsUnit'!$B:$B,$C136,'[2]7UnivActwithConsUnit'!S:S)+SUMIF('[2]8CollegeAct'!$B:$B,$C136,'[2]8CollegeAct'!S:S)+SUMIF(#REF!,$C136,#REF!)</f>
        <v>1083</v>
      </c>
      <c r="S136" s="259">
        <f ca="1">SUMIF('[2]7UnivActwithConsUnit'!$B:$B,$C136,'[2]7UnivActwithConsUnit'!T:T)+SUMIF('[2]8CollegeAct'!$B:$B,$C136,'[2]8CollegeAct'!T:T)+SUMIF(#REF!,$C136,#REF!)</f>
        <v>1666</v>
      </c>
      <c r="T136" s="259">
        <f ca="1">SUMIF('[2]7UnivActwithConsUnit'!$B:$B,$C136,'[2]7UnivActwithConsUnit'!U:U)+SUMIF('[2]8CollegeAct'!$B:$B,$C136,'[2]8CollegeAct'!U:U)+SUMIF(#REF!,$C136,#REF!)</f>
        <v>2749</v>
      </c>
      <c r="U136" s="260">
        <f ca="1">SUMIF('[2]7UnivActwithConsUnit'!$B:$B,$C136,'[2]7UnivActwithConsUnit'!V:V)+SUMIF('[2]8CollegeAct'!$B:$B,$C136,'[2]8CollegeAct'!V:V)+SUMIF(#REF!,$C136,#REF!)</f>
        <v>48</v>
      </c>
      <c r="V136" s="259">
        <f ca="1">SUMIF('[2]7UnivActwithConsUnit'!$B:$B,$C136,'[2]7UnivActwithConsUnit'!W:W)+SUMIF('[2]8CollegeAct'!$B:$B,$C136,'[2]8CollegeAct'!W:W)+SUMIF(#REF!,$C136,#REF!)</f>
        <v>48</v>
      </c>
      <c r="W136" s="259">
        <f ca="1">SUMIF('[2]7UnivActwithConsUnit'!$B:$B,$C136,'[2]7UnivActwithConsUnit'!X:X)+SUMIF('[2]8CollegeAct'!$B:$B,$C136,'[2]8CollegeAct'!X:X)+SUMIF(#REF!,$C136,#REF!)</f>
        <v>96</v>
      </c>
      <c r="X136" s="259">
        <f ca="1">SUMIF('[2]7UnivActwithConsUnit'!$B:$B,$C136,'[2]7UnivActwithConsUnit'!Y:Y)+SUMIF('[2]8CollegeAct'!$B:$B,$C136,'[2]8CollegeAct'!Y:Y)+SUMIF(#REF!,$C136,#REF!)</f>
        <v>70</v>
      </c>
      <c r="Y136" s="259">
        <f ca="1">SUMIF('[2]7UnivActwithConsUnit'!$B:$B,$C136,'[2]7UnivActwithConsUnit'!Z:Z)+SUMIF('[2]8CollegeAct'!$B:$B,$C136,'[2]8CollegeAct'!Z:Z)+SUMIF(#REF!,$C136,#REF!)</f>
        <v>52</v>
      </c>
      <c r="Z136" s="259">
        <f ca="1">SUMIF('[2]7UnivActwithConsUnit'!$B:$B,$C136,'[2]7UnivActwithConsUnit'!AA:AA)+SUMIF('[2]8CollegeAct'!$B:$B,$C136,'[2]8CollegeAct'!AA:AA)+SUMIF(#REF!,$C136,#REF!)</f>
        <v>122</v>
      </c>
      <c r="AA136" s="261">
        <f t="shared" ref="AA136:AB136" ca="1" si="74">C136+F136+I136+L136+O136+R136+U136+X136</f>
        <v>39844</v>
      </c>
      <c r="AB136" s="261">
        <f t="shared" ca="1" si="74"/>
        <v>47697</v>
      </c>
      <c r="AC136" s="261">
        <f t="shared" ref="AC136" ca="1" si="75">AA136+AB136</f>
        <v>87541</v>
      </c>
    </row>
    <row r="137" spans="1:29">
      <c r="A137" s="907"/>
      <c r="B137" s="314" t="s">
        <v>300</v>
      </c>
      <c r="C137" s="287">
        <v>475</v>
      </c>
      <c r="D137" s="287">
        <v>678</v>
      </c>
      <c r="E137" s="287">
        <v>1153</v>
      </c>
      <c r="F137" s="287">
        <v>29</v>
      </c>
      <c r="G137" s="287">
        <v>46</v>
      </c>
      <c r="H137" s="287">
        <v>75</v>
      </c>
      <c r="I137" s="287">
        <v>3760</v>
      </c>
      <c r="J137" s="287">
        <v>5817</v>
      </c>
      <c r="K137" s="287">
        <v>9577</v>
      </c>
      <c r="L137" s="315">
        <v>33868</v>
      </c>
      <c r="M137" s="287">
        <v>38949</v>
      </c>
      <c r="N137" s="287">
        <v>72817</v>
      </c>
      <c r="O137" s="287">
        <v>118</v>
      </c>
      <c r="P137" s="287">
        <v>85</v>
      </c>
      <c r="Q137" s="287">
        <v>203</v>
      </c>
      <c r="R137" s="287">
        <v>1159</v>
      </c>
      <c r="S137" s="287">
        <v>1853</v>
      </c>
      <c r="T137" s="287">
        <v>3012</v>
      </c>
      <c r="U137" s="315">
        <v>0</v>
      </c>
      <c r="V137" s="287">
        <v>0</v>
      </c>
      <c r="W137" s="287">
        <v>0</v>
      </c>
      <c r="X137" s="287">
        <v>52</v>
      </c>
      <c r="Y137" s="287">
        <v>42</v>
      </c>
      <c r="Z137" s="287">
        <v>94</v>
      </c>
      <c r="AA137" s="287">
        <v>39461</v>
      </c>
      <c r="AB137" s="287">
        <v>47470</v>
      </c>
      <c r="AC137" s="287">
        <v>86931</v>
      </c>
    </row>
    <row r="138" spans="1:29">
      <c r="A138" s="907"/>
      <c r="B138" s="314" t="s">
        <v>299</v>
      </c>
      <c r="C138" s="96">
        <v>466</v>
      </c>
      <c r="D138" s="96">
        <v>513</v>
      </c>
      <c r="E138" s="96">
        <v>979</v>
      </c>
      <c r="F138" s="96">
        <v>29</v>
      </c>
      <c r="G138" s="96">
        <v>57</v>
      </c>
      <c r="H138" s="96">
        <v>86</v>
      </c>
      <c r="I138" s="96">
        <v>4534.6169960883171</v>
      </c>
      <c r="J138" s="96">
        <v>4906.526674096649</v>
      </c>
      <c r="K138" s="96">
        <v>9441.143670184967</v>
      </c>
      <c r="L138" s="97">
        <v>34233.096490820324</v>
      </c>
      <c r="M138" s="96">
        <v>36155.56319698006</v>
      </c>
      <c r="N138" s="96">
        <v>70388.659687800377</v>
      </c>
      <c r="O138" s="96">
        <v>122</v>
      </c>
      <c r="P138" s="96">
        <v>112</v>
      </c>
      <c r="Q138" s="96">
        <v>234</v>
      </c>
      <c r="R138" s="96">
        <v>890</v>
      </c>
      <c r="S138" s="96">
        <v>1482</v>
      </c>
      <c r="T138" s="96">
        <v>2372</v>
      </c>
      <c r="U138" s="97">
        <v>113</v>
      </c>
      <c r="V138" s="96">
        <v>141</v>
      </c>
      <c r="W138" s="96">
        <v>254</v>
      </c>
      <c r="X138" s="96">
        <v>40</v>
      </c>
      <c r="Y138" s="96">
        <v>27</v>
      </c>
      <c r="Z138" s="96">
        <v>67</v>
      </c>
      <c r="AA138" s="98">
        <f t="shared" ref="AA138:AC138" si="76">C138+F138+I138+L138+O138+R138+U138+X138</f>
        <v>40427.713486908644</v>
      </c>
      <c r="AB138" s="98">
        <f t="shared" si="76"/>
        <v>43394.089871076707</v>
      </c>
      <c r="AC138" s="98">
        <f t="shared" si="76"/>
        <v>83821.803357985336</v>
      </c>
    </row>
    <row r="139" spans="1:29">
      <c r="A139" s="907"/>
      <c r="B139" s="314" t="s">
        <v>298</v>
      </c>
      <c r="C139" s="100">
        <v>471</v>
      </c>
      <c r="D139" s="100">
        <v>492</v>
      </c>
      <c r="E139" s="101">
        <v>963</v>
      </c>
      <c r="F139" s="100">
        <v>108</v>
      </c>
      <c r="G139" s="100">
        <v>137</v>
      </c>
      <c r="H139" s="101">
        <v>245</v>
      </c>
      <c r="I139" s="100">
        <v>3649</v>
      </c>
      <c r="J139" s="100">
        <v>5436</v>
      </c>
      <c r="K139" s="101">
        <v>9085</v>
      </c>
      <c r="L139" s="102">
        <v>33487</v>
      </c>
      <c r="M139" s="100">
        <v>33924</v>
      </c>
      <c r="N139" s="101">
        <v>67411</v>
      </c>
      <c r="O139" s="100">
        <v>119</v>
      </c>
      <c r="P139" s="100">
        <v>109</v>
      </c>
      <c r="Q139" s="101">
        <v>228</v>
      </c>
      <c r="R139" s="100">
        <v>833</v>
      </c>
      <c r="S139" s="100">
        <v>1215</v>
      </c>
      <c r="T139" s="101">
        <v>2048</v>
      </c>
      <c r="U139" s="102">
        <v>193</v>
      </c>
      <c r="V139" s="100">
        <v>81</v>
      </c>
      <c r="W139" s="101">
        <v>274</v>
      </c>
      <c r="X139" s="100">
        <v>21</v>
      </c>
      <c r="Y139" s="100">
        <v>17</v>
      </c>
      <c r="Z139" s="101">
        <v>38</v>
      </c>
      <c r="AA139" s="101">
        <v>38881</v>
      </c>
      <c r="AB139" s="101">
        <v>41411</v>
      </c>
      <c r="AC139" s="101">
        <f t="shared" ref="AC139" si="77">SUM(AA139+AB139)</f>
        <v>80292</v>
      </c>
    </row>
    <row r="140" spans="1:29">
      <c r="A140" s="907">
        <v>23</v>
      </c>
      <c r="B140" s="309" t="s">
        <v>37</v>
      </c>
      <c r="C140" s="310"/>
      <c r="D140" s="310"/>
      <c r="E140" s="310"/>
      <c r="F140" s="310"/>
      <c r="G140" s="310"/>
      <c r="H140" s="310"/>
      <c r="I140" s="310"/>
      <c r="J140" s="310"/>
      <c r="K140" s="311"/>
      <c r="L140" s="310"/>
      <c r="M140" s="310"/>
      <c r="N140" s="310"/>
      <c r="O140" s="310"/>
      <c r="P140" s="310"/>
      <c r="Q140" s="310"/>
      <c r="R140" s="310"/>
      <c r="S140" s="310"/>
      <c r="T140" s="311"/>
      <c r="U140" s="310"/>
      <c r="V140" s="310"/>
      <c r="W140" s="310"/>
      <c r="X140" s="310"/>
      <c r="Y140" s="310"/>
      <c r="Z140" s="310"/>
      <c r="AA140" s="310"/>
      <c r="AB140" s="310"/>
      <c r="AC140" s="311"/>
    </row>
    <row r="141" spans="1:29">
      <c r="A141" s="907"/>
      <c r="B141" s="312" t="s">
        <v>997</v>
      </c>
      <c r="C141" s="313">
        <v>551</v>
      </c>
      <c r="D141" s="313">
        <v>436</v>
      </c>
      <c r="E141" s="313">
        <v>987</v>
      </c>
      <c r="F141" s="313">
        <v>56</v>
      </c>
      <c r="G141" s="313">
        <v>59</v>
      </c>
      <c r="H141" s="313">
        <v>115</v>
      </c>
      <c r="I141" s="313">
        <v>1992</v>
      </c>
      <c r="J141" s="313">
        <v>2478</v>
      </c>
      <c r="K141" s="313">
        <v>4470</v>
      </c>
      <c r="L141" s="313">
        <v>15802</v>
      </c>
      <c r="M141" s="313">
        <v>14971</v>
      </c>
      <c r="N141" s="313">
        <v>30773</v>
      </c>
      <c r="O141" s="313">
        <v>61</v>
      </c>
      <c r="P141" s="313">
        <v>42</v>
      </c>
      <c r="Q141" s="313">
        <v>103</v>
      </c>
      <c r="R141" s="313">
        <v>710</v>
      </c>
      <c r="S141" s="313">
        <v>1480</v>
      </c>
      <c r="T141" s="313">
        <v>2190</v>
      </c>
      <c r="U141" s="313">
        <v>0</v>
      </c>
      <c r="V141" s="313">
        <v>20</v>
      </c>
      <c r="W141" s="313">
        <v>20</v>
      </c>
      <c r="X141" s="313">
        <v>29</v>
      </c>
      <c r="Y141" s="313">
        <v>23</v>
      </c>
      <c r="Z141" s="313">
        <v>52</v>
      </c>
      <c r="AA141" s="313">
        <v>19201</v>
      </c>
      <c r="AB141" s="313">
        <v>19509</v>
      </c>
      <c r="AC141" s="313">
        <v>38710</v>
      </c>
    </row>
    <row r="142" spans="1:29">
      <c r="A142" s="907"/>
      <c r="B142" s="314" t="s">
        <v>301</v>
      </c>
      <c r="C142" s="259">
        <f ca="1">SUMIF('[2]7UnivActwithConsUnit'!$B:$B,$C142,'[2]7UnivActwithConsUnit'!D:D)+SUMIF('[2]8CollegeAct'!$B:$B,$C142,'[2]8CollegeAct'!D:D)+SUMIF(#REF!,$C142,#REF!)</f>
        <v>479</v>
      </c>
      <c r="D142" s="259">
        <f ca="1">SUMIF('[2]7UnivActwithConsUnit'!$B:$B,$C142,'[2]7UnivActwithConsUnit'!E:E)+SUMIF('[2]8CollegeAct'!$B:$B,$C142,'[2]8CollegeAct'!E:E)+SUMIF(#REF!,$C142,#REF!)</f>
        <v>388</v>
      </c>
      <c r="E142" s="259">
        <f ca="1">SUMIF('[2]7UnivActwithConsUnit'!$B:$B,$C142,'[2]7UnivActwithConsUnit'!F:F)+SUMIF('[2]8CollegeAct'!$B:$B,$C142,'[2]8CollegeAct'!F:F)+SUMIF(#REF!,$C142,#REF!)</f>
        <v>867</v>
      </c>
      <c r="F142" s="259">
        <f ca="1">SUMIF('[2]7UnivActwithConsUnit'!$B:$B,$C142,'[2]7UnivActwithConsUnit'!G:G)+SUMIF('[2]8CollegeAct'!$B:$B,$C142,'[2]8CollegeAct'!G:G)+SUMIF(#REF!,$C142,#REF!)</f>
        <v>75</v>
      </c>
      <c r="G142" s="259">
        <f ca="1">SUMIF('[2]7UnivActwithConsUnit'!$B:$B,$C142,'[2]7UnivActwithConsUnit'!H:H)+SUMIF('[2]8CollegeAct'!$B:$B,$C142,'[2]8CollegeAct'!H:H)+SUMIF(#REF!,$C142,#REF!)</f>
        <v>77</v>
      </c>
      <c r="H142" s="259">
        <f ca="1">SUMIF('[2]7UnivActwithConsUnit'!$B:$B,$C142,'[2]7UnivActwithConsUnit'!I:I)+SUMIF('[2]8CollegeAct'!$B:$B,$C142,'[2]8CollegeAct'!I:I)+SUMIF(#REF!,$C142,#REF!)</f>
        <v>152</v>
      </c>
      <c r="I142" s="259">
        <f ca="1">SUMIF('[2]7UnivActwithConsUnit'!$B:$B,$C142,'[2]7UnivActwithConsUnit'!J:J)+SUMIF('[2]10CollegeEst'!$B:$B,$C142,'[2]10CollegeEst'!B:B)+SUMIF(#REF!,$C142,#REF!)</f>
        <v>1982</v>
      </c>
      <c r="J142" s="259">
        <f ca="1">SUMIF('[2]7UnivActwithConsUnit'!$B:$B,$C142,'[2]7UnivActwithConsUnit'!K:K)+SUMIF('[2]10CollegeEst'!$B:$B,$C142,'[2]10CollegeEst'!C:C)+SUMIF(#REF!,$C142,#REF!)</f>
        <v>2239</v>
      </c>
      <c r="K142" s="259">
        <f ca="1">SUMIF('[2]7UnivActwithConsUnit'!$B:$B,$C142,'[2]7UnivActwithConsUnit'!L:L)+SUMIF('[2]10CollegeEst'!$B:$B,$C142,'[2]10CollegeEst'!D:D)+SUMIF(#REF!,$C142,#REF!)</f>
        <v>4221</v>
      </c>
      <c r="L142" s="260">
        <f ca="1">SUMIF('[2]7UnivActwithConsUnit'!$B:$B,$C142,'[2]7UnivActwithConsUnit'!M:M)+SUMIF('[2]10CollegeEst'!$B:$B,$C142,'[2]10CollegeEst'!E:E)+SUMIF(#REF!,$C142,#REF!)</f>
        <v>13503</v>
      </c>
      <c r="M142" s="259">
        <f ca="1">SUMIF('[2]7UnivActwithConsUnit'!$B:$B,$C142,'[2]7UnivActwithConsUnit'!N:N)+SUMIF('[2]10CollegeEst'!$B:$B,$C142,'[2]10CollegeEst'!F:F)+SUMIF(#REF!,$C142,#REF!)</f>
        <v>11793</v>
      </c>
      <c r="N142" s="259">
        <f ca="1">SUMIF('[2]7UnivActwithConsUnit'!$B:$B,$C142,'[2]7UnivActwithConsUnit'!O:O)+SUMIF('[2]10CollegeEst'!$B:$B,$C142,'[2]10CollegeEst'!G:G)+SUMIF(#REF!,$C142,#REF!)</f>
        <v>25296</v>
      </c>
      <c r="O142" s="259">
        <f ca="1">SUMIF('[2]7UnivActwithConsUnit'!$B:$B,$C142,'[2]7UnivActwithConsUnit'!P:P)+SUMIF('[2]8CollegeAct'!$B:$B,$C142,'[2]8CollegeAct'!P:P)+SUMIF(#REF!,$C142,#REF!)</f>
        <v>90</v>
      </c>
      <c r="P142" s="259">
        <f ca="1">SUMIF('[2]7UnivActwithConsUnit'!$B:$B,$C142,'[2]7UnivActwithConsUnit'!Q:Q)+SUMIF('[2]8CollegeAct'!$B:$B,$C142,'[2]8CollegeAct'!Q:Q)+SUMIF(#REF!,$C142,#REF!)</f>
        <v>113</v>
      </c>
      <c r="Q142" s="259">
        <f ca="1">SUMIF('[2]7UnivActwithConsUnit'!$B:$B,$C142,'[2]7UnivActwithConsUnit'!R:R)+SUMIF('[2]8CollegeAct'!$B:$B,$C142,'[2]8CollegeAct'!R:R)+SUMIF(#REF!,$C142,#REF!)</f>
        <v>203</v>
      </c>
      <c r="R142" s="259">
        <f ca="1">SUMIF('[2]7UnivActwithConsUnit'!$B:$B,$C142,'[2]7UnivActwithConsUnit'!S:S)+SUMIF('[2]8CollegeAct'!$B:$B,$C142,'[2]8CollegeAct'!S:S)+SUMIF(#REF!,$C142,#REF!)</f>
        <v>676</v>
      </c>
      <c r="S142" s="259">
        <f ca="1">SUMIF('[2]7UnivActwithConsUnit'!$B:$B,$C142,'[2]7UnivActwithConsUnit'!T:T)+SUMIF('[2]8CollegeAct'!$B:$B,$C142,'[2]8CollegeAct'!T:T)+SUMIF(#REF!,$C142,#REF!)</f>
        <v>1285</v>
      </c>
      <c r="T142" s="259">
        <f ca="1">SUMIF('[2]7UnivActwithConsUnit'!$B:$B,$C142,'[2]7UnivActwithConsUnit'!U:U)+SUMIF('[2]8CollegeAct'!$B:$B,$C142,'[2]8CollegeAct'!U:U)+SUMIF(#REF!,$C142,#REF!)</f>
        <v>1961</v>
      </c>
      <c r="U142" s="260">
        <f ca="1">SUMIF('[2]7UnivActwithConsUnit'!$B:$B,$C142,'[2]7UnivActwithConsUnit'!V:V)+SUMIF('[2]8CollegeAct'!$B:$B,$C142,'[2]8CollegeAct'!V:V)+SUMIF(#REF!,$C142,#REF!)</f>
        <v>304</v>
      </c>
      <c r="V142" s="259">
        <f ca="1">SUMIF('[2]7UnivActwithConsUnit'!$B:$B,$C142,'[2]7UnivActwithConsUnit'!W:W)+SUMIF('[2]8CollegeAct'!$B:$B,$C142,'[2]8CollegeAct'!W:W)+SUMIF(#REF!,$C142,#REF!)</f>
        <v>159</v>
      </c>
      <c r="W142" s="259">
        <f ca="1">SUMIF('[2]7UnivActwithConsUnit'!$B:$B,$C142,'[2]7UnivActwithConsUnit'!X:X)+SUMIF('[2]8CollegeAct'!$B:$B,$C142,'[2]8CollegeAct'!X:X)+SUMIF(#REF!,$C142,#REF!)</f>
        <v>463</v>
      </c>
      <c r="X142" s="259">
        <f ca="1">SUMIF('[2]7UnivActwithConsUnit'!$B:$B,$C142,'[2]7UnivActwithConsUnit'!Y:Y)+SUMIF('[2]8CollegeAct'!$B:$B,$C142,'[2]8CollegeAct'!Y:Y)+SUMIF(#REF!,$C142,#REF!)</f>
        <v>47</v>
      </c>
      <c r="Y142" s="259">
        <f ca="1">SUMIF('[2]7UnivActwithConsUnit'!$B:$B,$C142,'[2]7UnivActwithConsUnit'!Z:Z)+SUMIF('[2]8CollegeAct'!$B:$B,$C142,'[2]8CollegeAct'!Z:Z)+SUMIF(#REF!,$C142,#REF!)</f>
        <v>26</v>
      </c>
      <c r="Z142" s="259">
        <f ca="1">SUMIF('[2]7UnivActwithConsUnit'!$B:$B,$C142,'[2]7UnivActwithConsUnit'!AA:AA)+SUMIF('[2]8CollegeAct'!$B:$B,$C142,'[2]8CollegeAct'!AA:AA)+SUMIF(#REF!,$C142,#REF!)</f>
        <v>73</v>
      </c>
      <c r="AA142" s="261">
        <f t="shared" ref="AA142:AB142" ca="1" si="78">C142+F142+I142+L142+O142+R142+U142+X142</f>
        <v>17156</v>
      </c>
      <c r="AB142" s="261">
        <f t="shared" ca="1" si="78"/>
        <v>16080</v>
      </c>
      <c r="AC142" s="261">
        <f t="shared" ref="AC142" ca="1" si="79">AA142+AB142</f>
        <v>33236</v>
      </c>
    </row>
    <row r="143" spans="1:29">
      <c r="A143" s="907"/>
      <c r="B143" s="314" t="s">
        <v>300</v>
      </c>
      <c r="C143" s="287">
        <v>415</v>
      </c>
      <c r="D143" s="287">
        <v>368</v>
      </c>
      <c r="E143" s="287">
        <v>783</v>
      </c>
      <c r="F143" s="287">
        <v>77</v>
      </c>
      <c r="G143" s="287">
        <v>112</v>
      </c>
      <c r="H143" s="287">
        <v>189</v>
      </c>
      <c r="I143" s="287">
        <v>1919</v>
      </c>
      <c r="J143" s="287">
        <v>2096</v>
      </c>
      <c r="K143" s="287">
        <v>4015</v>
      </c>
      <c r="L143" s="315">
        <v>13095</v>
      </c>
      <c r="M143" s="287">
        <v>11475</v>
      </c>
      <c r="N143" s="287">
        <v>24570</v>
      </c>
      <c r="O143" s="287">
        <v>215</v>
      </c>
      <c r="P143" s="287">
        <v>255</v>
      </c>
      <c r="Q143" s="287">
        <v>470</v>
      </c>
      <c r="R143" s="287">
        <v>780</v>
      </c>
      <c r="S143" s="287">
        <v>1465</v>
      </c>
      <c r="T143" s="287">
        <v>2245</v>
      </c>
      <c r="U143" s="315">
        <v>285</v>
      </c>
      <c r="V143" s="287">
        <v>171</v>
      </c>
      <c r="W143" s="287">
        <v>456</v>
      </c>
      <c r="X143" s="287">
        <v>66</v>
      </c>
      <c r="Y143" s="287">
        <v>44</v>
      </c>
      <c r="Z143" s="287">
        <v>110</v>
      </c>
      <c r="AA143" s="287">
        <v>16852</v>
      </c>
      <c r="AB143" s="287">
        <v>15986</v>
      </c>
      <c r="AC143" s="287">
        <v>32838</v>
      </c>
    </row>
    <row r="144" spans="1:29">
      <c r="A144" s="907"/>
      <c r="B144" s="314" t="s">
        <v>299</v>
      </c>
      <c r="C144" s="96">
        <v>347</v>
      </c>
      <c r="D144" s="96">
        <v>296</v>
      </c>
      <c r="E144" s="96">
        <v>643</v>
      </c>
      <c r="F144" s="96">
        <v>71</v>
      </c>
      <c r="G144" s="96">
        <v>75</v>
      </c>
      <c r="H144" s="96">
        <v>146</v>
      </c>
      <c r="I144" s="96">
        <v>2206</v>
      </c>
      <c r="J144" s="96">
        <v>1852</v>
      </c>
      <c r="K144" s="96">
        <v>4058</v>
      </c>
      <c r="L144" s="97">
        <v>12348</v>
      </c>
      <c r="M144" s="96">
        <v>10079</v>
      </c>
      <c r="N144" s="96">
        <v>22427</v>
      </c>
      <c r="O144" s="96">
        <v>20</v>
      </c>
      <c r="P144" s="96">
        <v>12</v>
      </c>
      <c r="Q144" s="96">
        <v>32</v>
      </c>
      <c r="R144" s="96">
        <v>613</v>
      </c>
      <c r="S144" s="96">
        <v>1140</v>
      </c>
      <c r="T144" s="96">
        <v>1753</v>
      </c>
      <c r="U144" s="97">
        <v>190</v>
      </c>
      <c r="V144" s="96">
        <v>143</v>
      </c>
      <c r="W144" s="96">
        <v>333</v>
      </c>
      <c r="X144" s="96">
        <v>66</v>
      </c>
      <c r="Y144" s="96">
        <v>37</v>
      </c>
      <c r="Z144" s="96">
        <v>103</v>
      </c>
      <c r="AA144" s="98">
        <f t="shared" ref="AA144:AC144" si="80">C144+F144+I144+L144+O144+R144+U144+X144</f>
        <v>15861</v>
      </c>
      <c r="AB144" s="98">
        <f t="shared" si="80"/>
        <v>13634</v>
      </c>
      <c r="AC144" s="98">
        <f t="shared" si="80"/>
        <v>29495</v>
      </c>
    </row>
    <row r="145" spans="1:29">
      <c r="A145" s="907"/>
      <c r="B145" s="314" t="s">
        <v>298</v>
      </c>
      <c r="C145" s="100">
        <v>362</v>
      </c>
      <c r="D145" s="100">
        <v>256</v>
      </c>
      <c r="E145" s="101">
        <v>618</v>
      </c>
      <c r="F145" s="100">
        <v>82</v>
      </c>
      <c r="G145" s="100">
        <v>95</v>
      </c>
      <c r="H145" s="101">
        <v>177</v>
      </c>
      <c r="I145" s="100">
        <v>2011</v>
      </c>
      <c r="J145" s="100">
        <v>2140</v>
      </c>
      <c r="K145" s="101">
        <v>4151</v>
      </c>
      <c r="L145" s="102">
        <v>12961</v>
      </c>
      <c r="M145" s="100">
        <v>11584</v>
      </c>
      <c r="N145" s="101">
        <v>24545</v>
      </c>
      <c r="O145" s="100">
        <v>43</v>
      </c>
      <c r="P145" s="100">
        <v>13</v>
      </c>
      <c r="Q145" s="101">
        <v>56</v>
      </c>
      <c r="R145" s="100">
        <v>763</v>
      </c>
      <c r="S145" s="100">
        <v>1317</v>
      </c>
      <c r="T145" s="101">
        <v>2080</v>
      </c>
      <c r="U145" s="102">
        <v>0</v>
      </c>
      <c r="V145" s="100">
        <v>0</v>
      </c>
      <c r="W145" s="101">
        <v>0</v>
      </c>
      <c r="X145" s="100">
        <v>56</v>
      </c>
      <c r="Y145" s="100">
        <v>36</v>
      </c>
      <c r="Z145" s="101">
        <v>92</v>
      </c>
      <c r="AA145" s="101">
        <v>16278</v>
      </c>
      <c r="AB145" s="101">
        <v>15441</v>
      </c>
      <c r="AC145" s="101">
        <f t="shared" ref="AC145" si="81">SUM(AA145+AB145)</f>
        <v>31719</v>
      </c>
    </row>
    <row r="146" spans="1:29">
      <c r="A146" s="907">
        <v>24</v>
      </c>
      <c r="B146" s="309" t="s">
        <v>38</v>
      </c>
      <c r="C146" s="310"/>
      <c r="D146" s="310"/>
      <c r="E146" s="310"/>
      <c r="F146" s="310"/>
      <c r="G146" s="310"/>
      <c r="H146" s="310"/>
      <c r="I146" s="310"/>
      <c r="J146" s="310"/>
      <c r="K146" s="311"/>
      <c r="L146" s="310"/>
      <c r="M146" s="310"/>
      <c r="N146" s="310"/>
      <c r="O146" s="310"/>
      <c r="P146" s="310"/>
      <c r="Q146" s="310"/>
      <c r="R146" s="310"/>
      <c r="S146" s="310"/>
      <c r="T146" s="311"/>
      <c r="U146" s="310"/>
      <c r="V146" s="310"/>
      <c r="W146" s="310"/>
      <c r="X146" s="310"/>
      <c r="Y146" s="310"/>
      <c r="Z146" s="310"/>
      <c r="AA146" s="310"/>
      <c r="AB146" s="310"/>
      <c r="AC146" s="311"/>
    </row>
    <row r="147" spans="1:29">
      <c r="A147" s="907"/>
      <c r="B147" s="312" t="s">
        <v>997</v>
      </c>
      <c r="C147" s="313">
        <v>279</v>
      </c>
      <c r="D147" s="313">
        <v>314</v>
      </c>
      <c r="E147" s="313">
        <v>593</v>
      </c>
      <c r="F147" s="313">
        <v>23</v>
      </c>
      <c r="G147" s="313">
        <v>30</v>
      </c>
      <c r="H147" s="313">
        <v>53</v>
      </c>
      <c r="I147" s="313">
        <v>2843</v>
      </c>
      <c r="J147" s="313">
        <v>4252</v>
      </c>
      <c r="K147" s="313">
        <v>7095</v>
      </c>
      <c r="L147" s="313">
        <v>17600</v>
      </c>
      <c r="M147" s="313">
        <v>19228</v>
      </c>
      <c r="N147" s="313">
        <v>36828</v>
      </c>
      <c r="O147" s="313">
        <v>42</v>
      </c>
      <c r="P147" s="313">
        <v>71</v>
      </c>
      <c r="Q147" s="313">
        <v>113</v>
      </c>
      <c r="R147" s="313">
        <v>859</v>
      </c>
      <c r="S147" s="313">
        <v>1210</v>
      </c>
      <c r="T147" s="313">
        <v>2069</v>
      </c>
      <c r="U147" s="313">
        <v>98</v>
      </c>
      <c r="V147" s="313">
        <v>99</v>
      </c>
      <c r="W147" s="313">
        <v>197</v>
      </c>
      <c r="X147" s="313">
        <v>6</v>
      </c>
      <c r="Y147" s="313">
        <v>0</v>
      </c>
      <c r="Z147" s="313">
        <v>6</v>
      </c>
      <c r="AA147" s="313">
        <v>21750</v>
      </c>
      <c r="AB147" s="313">
        <v>25204</v>
      </c>
      <c r="AC147" s="313">
        <v>46954</v>
      </c>
    </row>
    <row r="148" spans="1:29">
      <c r="A148" s="907"/>
      <c r="B148" s="314" t="s">
        <v>301</v>
      </c>
      <c r="C148" s="259">
        <f ca="1">SUMIF('[2]7UnivActwithConsUnit'!$B:$B,$C148,'[2]7UnivActwithConsUnit'!D:D)+SUMIF('[2]8CollegeAct'!$B:$B,$C148,'[2]8CollegeAct'!D:D)+SUMIF(#REF!,$C148,#REF!)</f>
        <v>270</v>
      </c>
      <c r="D148" s="259">
        <f ca="1">SUMIF('[2]7UnivActwithConsUnit'!$B:$B,$C148,'[2]7UnivActwithConsUnit'!E:E)+SUMIF('[2]8CollegeAct'!$B:$B,$C148,'[2]8CollegeAct'!E:E)+SUMIF(#REF!,$C148,#REF!)</f>
        <v>307</v>
      </c>
      <c r="E148" s="259">
        <f ca="1">SUMIF('[2]7UnivActwithConsUnit'!$B:$B,$C148,'[2]7UnivActwithConsUnit'!F:F)+SUMIF('[2]8CollegeAct'!$B:$B,$C148,'[2]8CollegeAct'!F:F)+SUMIF(#REF!,$C148,#REF!)</f>
        <v>577</v>
      </c>
      <c r="F148" s="259">
        <f ca="1">SUMIF('[2]7UnivActwithConsUnit'!$B:$B,$C148,'[2]7UnivActwithConsUnit'!G:G)+SUMIF('[2]8CollegeAct'!$B:$B,$C148,'[2]8CollegeAct'!G:G)+SUMIF(#REF!,$C148,#REF!)</f>
        <v>10</v>
      </c>
      <c r="G148" s="259">
        <f ca="1">SUMIF('[2]7UnivActwithConsUnit'!$B:$B,$C148,'[2]7UnivActwithConsUnit'!H:H)+SUMIF('[2]8CollegeAct'!$B:$B,$C148,'[2]8CollegeAct'!H:H)+SUMIF(#REF!,$C148,#REF!)</f>
        <v>28</v>
      </c>
      <c r="H148" s="259">
        <f ca="1">SUMIF('[2]7UnivActwithConsUnit'!$B:$B,$C148,'[2]7UnivActwithConsUnit'!I:I)+SUMIF('[2]8CollegeAct'!$B:$B,$C148,'[2]8CollegeAct'!I:I)+SUMIF(#REF!,$C148,#REF!)</f>
        <v>38</v>
      </c>
      <c r="I148" s="259">
        <f ca="1">SUMIF('[2]7UnivActwithConsUnit'!$B:$B,$C148,'[2]7UnivActwithConsUnit'!J:J)+SUMIF('[2]10CollegeEst'!$B:$B,$C148,'[2]10CollegeEst'!B:B)+SUMIF(#REF!,$C148,#REF!)</f>
        <v>2063</v>
      </c>
      <c r="J148" s="259">
        <f ca="1">SUMIF('[2]7UnivActwithConsUnit'!$B:$B,$C148,'[2]7UnivActwithConsUnit'!K:K)+SUMIF('[2]10CollegeEst'!$B:$B,$C148,'[2]10CollegeEst'!C:C)+SUMIF(#REF!,$C148,#REF!)</f>
        <v>3503</v>
      </c>
      <c r="K148" s="259">
        <f ca="1">SUMIF('[2]7UnivActwithConsUnit'!$B:$B,$C148,'[2]7UnivActwithConsUnit'!L:L)+SUMIF('[2]10CollegeEst'!$B:$B,$C148,'[2]10CollegeEst'!D:D)+SUMIF(#REF!,$C148,#REF!)</f>
        <v>5566</v>
      </c>
      <c r="L148" s="260">
        <f ca="1">SUMIF('[2]7UnivActwithConsUnit'!$B:$B,$C148,'[2]7UnivActwithConsUnit'!M:M)+SUMIF('[2]10CollegeEst'!$B:$B,$C148,'[2]10CollegeEst'!E:E)+SUMIF(#REF!,$C148,#REF!)</f>
        <v>16982</v>
      </c>
      <c r="M148" s="259">
        <f ca="1">SUMIF('[2]7UnivActwithConsUnit'!$B:$B,$C148,'[2]7UnivActwithConsUnit'!N:N)+SUMIF('[2]10CollegeEst'!$B:$B,$C148,'[2]10CollegeEst'!F:F)+SUMIF(#REF!,$C148,#REF!)</f>
        <v>19252</v>
      </c>
      <c r="N148" s="259">
        <f ca="1">SUMIF('[2]7UnivActwithConsUnit'!$B:$B,$C148,'[2]7UnivActwithConsUnit'!O:O)+SUMIF('[2]10CollegeEst'!$B:$B,$C148,'[2]10CollegeEst'!G:G)+SUMIF(#REF!,$C148,#REF!)</f>
        <v>36234</v>
      </c>
      <c r="O148" s="259">
        <f ca="1">SUMIF('[2]7UnivActwithConsUnit'!$B:$B,$C148,'[2]7UnivActwithConsUnit'!P:P)+SUMIF('[2]8CollegeAct'!$B:$B,$C148,'[2]8CollegeAct'!P:P)+SUMIF(#REF!,$C148,#REF!)</f>
        <v>65</v>
      </c>
      <c r="P148" s="259">
        <f ca="1">SUMIF('[2]7UnivActwithConsUnit'!$B:$B,$C148,'[2]7UnivActwithConsUnit'!Q:Q)+SUMIF('[2]8CollegeAct'!$B:$B,$C148,'[2]8CollegeAct'!Q:Q)+SUMIF(#REF!,$C148,#REF!)</f>
        <v>168</v>
      </c>
      <c r="Q148" s="259">
        <f ca="1">SUMIF('[2]7UnivActwithConsUnit'!$B:$B,$C148,'[2]7UnivActwithConsUnit'!R:R)+SUMIF('[2]8CollegeAct'!$B:$B,$C148,'[2]8CollegeAct'!R:R)+SUMIF(#REF!,$C148,#REF!)</f>
        <v>233</v>
      </c>
      <c r="R148" s="259">
        <f ca="1">SUMIF('[2]7UnivActwithConsUnit'!$B:$B,$C148,'[2]7UnivActwithConsUnit'!S:S)+SUMIF('[2]8CollegeAct'!$B:$B,$C148,'[2]8CollegeAct'!S:S)+SUMIF(#REF!,$C148,#REF!)</f>
        <v>842</v>
      </c>
      <c r="S148" s="259">
        <f ca="1">SUMIF('[2]7UnivActwithConsUnit'!$B:$B,$C148,'[2]7UnivActwithConsUnit'!T:T)+SUMIF('[2]8CollegeAct'!$B:$B,$C148,'[2]8CollegeAct'!T:T)+SUMIF(#REF!,$C148,#REF!)</f>
        <v>1027</v>
      </c>
      <c r="T148" s="259">
        <f ca="1">SUMIF('[2]7UnivActwithConsUnit'!$B:$B,$C148,'[2]7UnivActwithConsUnit'!U:U)+SUMIF('[2]8CollegeAct'!$B:$B,$C148,'[2]8CollegeAct'!U:U)+SUMIF(#REF!,$C148,#REF!)</f>
        <v>1869</v>
      </c>
      <c r="U148" s="260">
        <f ca="1">SUMIF('[2]7UnivActwithConsUnit'!$B:$B,$C148,'[2]7UnivActwithConsUnit'!V:V)+SUMIF('[2]8CollegeAct'!$B:$B,$C148,'[2]8CollegeAct'!V:V)+SUMIF(#REF!,$C148,#REF!)</f>
        <v>17</v>
      </c>
      <c r="V148" s="259">
        <f ca="1">SUMIF('[2]7UnivActwithConsUnit'!$B:$B,$C148,'[2]7UnivActwithConsUnit'!W:W)+SUMIF('[2]8CollegeAct'!$B:$B,$C148,'[2]8CollegeAct'!W:W)+SUMIF(#REF!,$C148,#REF!)</f>
        <v>21</v>
      </c>
      <c r="W148" s="259">
        <f ca="1">SUMIF('[2]7UnivActwithConsUnit'!$B:$B,$C148,'[2]7UnivActwithConsUnit'!X:X)+SUMIF('[2]8CollegeAct'!$B:$B,$C148,'[2]8CollegeAct'!X:X)+SUMIF(#REF!,$C148,#REF!)</f>
        <v>38</v>
      </c>
      <c r="X148" s="259">
        <f ca="1">SUMIF('[2]7UnivActwithConsUnit'!$B:$B,$C148,'[2]7UnivActwithConsUnit'!Y:Y)+SUMIF('[2]8CollegeAct'!$B:$B,$C148,'[2]8CollegeAct'!Y:Y)+SUMIF(#REF!,$C148,#REF!)</f>
        <v>6</v>
      </c>
      <c r="Y148" s="259">
        <f ca="1">SUMIF('[2]7UnivActwithConsUnit'!$B:$B,$C148,'[2]7UnivActwithConsUnit'!Z:Z)+SUMIF('[2]8CollegeAct'!$B:$B,$C148,'[2]8CollegeAct'!Z:Z)+SUMIF(#REF!,$C148,#REF!)</f>
        <v>0</v>
      </c>
      <c r="Z148" s="259">
        <f ca="1">SUMIF('[2]7UnivActwithConsUnit'!$B:$B,$C148,'[2]7UnivActwithConsUnit'!AA:AA)+SUMIF('[2]8CollegeAct'!$B:$B,$C148,'[2]8CollegeAct'!AA:AA)+SUMIF(#REF!,$C148,#REF!)</f>
        <v>6</v>
      </c>
      <c r="AA148" s="261">
        <f ca="1">C148+F148+I148+L148+O148+R148+U148+X148</f>
        <v>20255</v>
      </c>
      <c r="AB148" s="261">
        <f ca="1">D148+G148+J148+M148+P148+S148+V148+Y148</f>
        <v>24306</v>
      </c>
      <c r="AC148" s="261">
        <f ca="1">AA148+AB148</f>
        <v>44561</v>
      </c>
    </row>
    <row r="149" spans="1:29">
      <c r="A149" s="907"/>
      <c r="B149" s="314" t="s">
        <v>300</v>
      </c>
      <c r="C149" s="287">
        <v>235</v>
      </c>
      <c r="D149" s="287">
        <v>257</v>
      </c>
      <c r="E149" s="287">
        <v>492</v>
      </c>
      <c r="F149" s="287">
        <v>6</v>
      </c>
      <c r="G149" s="287">
        <v>12</v>
      </c>
      <c r="H149" s="287">
        <v>18</v>
      </c>
      <c r="I149" s="287">
        <v>2886</v>
      </c>
      <c r="J149" s="287">
        <v>3412</v>
      </c>
      <c r="K149" s="287">
        <v>6298</v>
      </c>
      <c r="L149" s="315">
        <v>17428</v>
      </c>
      <c r="M149" s="287">
        <v>18485</v>
      </c>
      <c r="N149" s="287">
        <v>35913</v>
      </c>
      <c r="O149" s="287">
        <v>86</v>
      </c>
      <c r="P149" s="287">
        <v>150</v>
      </c>
      <c r="Q149" s="287">
        <v>236</v>
      </c>
      <c r="R149" s="287">
        <v>1262</v>
      </c>
      <c r="S149" s="287">
        <v>1100</v>
      </c>
      <c r="T149" s="287">
        <v>2362</v>
      </c>
      <c r="U149" s="315">
        <v>69</v>
      </c>
      <c r="V149" s="287">
        <v>59</v>
      </c>
      <c r="W149" s="287">
        <v>128</v>
      </c>
      <c r="X149" s="287">
        <v>15</v>
      </c>
      <c r="Y149" s="287">
        <v>0</v>
      </c>
      <c r="Z149" s="287">
        <v>15</v>
      </c>
      <c r="AA149" s="287">
        <v>21987</v>
      </c>
      <c r="AB149" s="287">
        <v>23475</v>
      </c>
      <c r="AC149" s="287">
        <v>45462</v>
      </c>
    </row>
    <row r="150" spans="1:29">
      <c r="A150" s="907"/>
      <c r="B150" s="314" t="s">
        <v>299</v>
      </c>
      <c r="C150" s="96">
        <v>222</v>
      </c>
      <c r="D150" s="96">
        <v>201</v>
      </c>
      <c r="E150" s="96">
        <v>423</v>
      </c>
      <c r="F150" s="96">
        <v>11</v>
      </c>
      <c r="G150" s="96">
        <v>23</v>
      </c>
      <c r="H150" s="96">
        <v>34</v>
      </c>
      <c r="I150" s="96">
        <v>3538</v>
      </c>
      <c r="J150" s="96">
        <v>2564</v>
      </c>
      <c r="K150" s="96">
        <v>6102</v>
      </c>
      <c r="L150" s="97">
        <v>17197</v>
      </c>
      <c r="M150" s="96">
        <v>17467</v>
      </c>
      <c r="N150" s="96">
        <v>34664</v>
      </c>
      <c r="O150" s="96">
        <v>39</v>
      </c>
      <c r="P150" s="96">
        <v>79</v>
      </c>
      <c r="Q150" s="96">
        <v>118</v>
      </c>
      <c r="R150" s="96">
        <v>1041</v>
      </c>
      <c r="S150" s="96">
        <v>1060</v>
      </c>
      <c r="T150" s="96">
        <v>2101</v>
      </c>
      <c r="U150" s="97">
        <v>55</v>
      </c>
      <c r="V150" s="96">
        <v>45</v>
      </c>
      <c r="W150" s="96">
        <v>100</v>
      </c>
      <c r="X150" s="96">
        <v>15</v>
      </c>
      <c r="Y150" s="96">
        <v>0</v>
      </c>
      <c r="Z150" s="96">
        <v>15</v>
      </c>
      <c r="AA150" s="98">
        <f>C150+F150+I150+L150+O150+R150+U150+X150</f>
        <v>22118</v>
      </c>
      <c r="AB150" s="98">
        <f>D150+G150+J150+M150+P150+S150+V150+Y150</f>
        <v>21439</v>
      </c>
      <c r="AC150" s="98">
        <f>E150+H150+K150+N150+Q150+T150+W150+Z150</f>
        <v>43557</v>
      </c>
    </row>
    <row r="151" spans="1:29">
      <c r="A151" s="907"/>
      <c r="B151" s="314" t="s">
        <v>298</v>
      </c>
      <c r="C151" s="100">
        <v>94</v>
      </c>
      <c r="D151" s="100">
        <v>138</v>
      </c>
      <c r="E151" s="101">
        <v>232</v>
      </c>
      <c r="F151" s="100">
        <v>1</v>
      </c>
      <c r="G151" s="100">
        <v>9</v>
      </c>
      <c r="H151" s="101">
        <v>10</v>
      </c>
      <c r="I151" s="100">
        <v>2968</v>
      </c>
      <c r="J151" s="100">
        <v>2824</v>
      </c>
      <c r="K151" s="101">
        <v>5792</v>
      </c>
      <c r="L151" s="102">
        <v>15980</v>
      </c>
      <c r="M151" s="100">
        <v>16339</v>
      </c>
      <c r="N151" s="101">
        <v>32319</v>
      </c>
      <c r="O151" s="100">
        <v>47</v>
      </c>
      <c r="P151" s="100">
        <v>101</v>
      </c>
      <c r="Q151" s="101">
        <v>148</v>
      </c>
      <c r="R151" s="100">
        <v>1044</v>
      </c>
      <c r="S151" s="100">
        <v>1124</v>
      </c>
      <c r="T151" s="101">
        <v>2168</v>
      </c>
      <c r="U151" s="102">
        <v>43</v>
      </c>
      <c r="V151" s="100">
        <v>35</v>
      </c>
      <c r="W151" s="101">
        <v>78</v>
      </c>
      <c r="X151" s="100">
        <v>15</v>
      </c>
      <c r="Y151" s="100">
        <v>0</v>
      </c>
      <c r="Z151" s="101">
        <v>15</v>
      </c>
      <c r="AA151" s="101">
        <v>20192</v>
      </c>
      <c r="AB151" s="101">
        <v>20570</v>
      </c>
      <c r="AC151" s="101">
        <f>SUM(AA151+AB151)</f>
        <v>40762</v>
      </c>
    </row>
    <row r="152" spans="1:29">
      <c r="A152" s="907">
        <v>25</v>
      </c>
      <c r="B152" s="309" t="s">
        <v>39</v>
      </c>
      <c r="C152" s="310"/>
      <c r="D152" s="310"/>
      <c r="E152" s="310"/>
      <c r="F152" s="310"/>
      <c r="G152" s="310"/>
      <c r="H152" s="310"/>
      <c r="I152" s="310"/>
      <c r="J152" s="310"/>
      <c r="K152" s="311"/>
      <c r="L152" s="310"/>
      <c r="M152" s="310"/>
      <c r="N152" s="310"/>
      <c r="O152" s="310"/>
      <c r="P152" s="310"/>
      <c r="Q152" s="310"/>
      <c r="R152" s="310"/>
      <c r="S152" s="310"/>
      <c r="T152" s="311"/>
      <c r="U152" s="310"/>
      <c r="V152" s="310"/>
      <c r="W152" s="310"/>
      <c r="X152" s="310"/>
      <c r="Y152" s="310"/>
      <c r="Z152" s="310"/>
      <c r="AA152" s="310"/>
      <c r="AB152" s="310"/>
      <c r="AC152" s="311"/>
    </row>
    <row r="153" spans="1:29">
      <c r="A153" s="907"/>
      <c r="B153" s="312" t="s">
        <v>997</v>
      </c>
      <c r="C153" s="313">
        <v>1955</v>
      </c>
      <c r="D153" s="313">
        <v>1326</v>
      </c>
      <c r="E153" s="313">
        <v>3281</v>
      </c>
      <c r="F153" s="313">
        <v>352</v>
      </c>
      <c r="G153" s="313">
        <v>378</v>
      </c>
      <c r="H153" s="313">
        <v>730</v>
      </c>
      <c r="I153" s="313">
        <v>48874</v>
      </c>
      <c r="J153" s="313">
        <v>50344</v>
      </c>
      <c r="K153" s="313">
        <v>99218</v>
      </c>
      <c r="L153" s="313">
        <v>370312</v>
      </c>
      <c r="M153" s="313">
        <v>368176</v>
      </c>
      <c r="N153" s="313">
        <v>738488</v>
      </c>
      <c r="O153" s="313">
        <v>2408</v>
      </c>
      <c r="P153" s="313">
        <v>1394</v>
      </c>
      <c r="Q153" s="313">
        <v>3802</v>
      </c>
      <c r="R153" s="313">
        <v>94732</v>
      </c>
      <c r="S153" s="313">
        <v>50884</v>
      </c>
      <c r="T153" s="313">
        <v>145616</v>
      </c>
      <c r="U153" s="313">
        <v>1321</v>
      </c>
      <c r="V153" s="313">
        <v>2268</v>
      </c>
      <c r="W153" s="313">
        <v>3589</v>
      </c>
      <c r="X153" s="313">
        <v>5929</v>
      </c>
      <c r="Y153" s="313">
        <v>6369</v>
      </c>
      <c r="Z153" s="313">
        <v>12298</v>
      </c>
      <c r="AA153" s="313">
        <v>525883</v>
      </c>
      <c r="AB153" s="313">
        <v>481139</v>
      </c>
      <c r="AC153" s="313">
        <v>1007022</v>
      </c>
    </row>
    <row r="154" spans="1:29">
      <c r="A154" s="907"/>
      <c r="B154" s="314" t="s">
        <v>301</v>
      </c>
      <c r="C154" s="259">
        <f ca="1">SUMIF('[2]7UnivActwithConsUnit'!$B:$B,$C154,'[2]7UnivActwithConsUnit'!D:D)+SUMIF('[2]8CollegeAct'!$B:$B,$C154,'[2]8CollegeAct'!D:D)+SUMIF(#REF!,$C154,#REF!)</f>
        <v>1923</v>
      </c>
      <c r="D154" s="259">
        <f ca="1">SUMIF('[2]7UnivActwithConsUnit'!$B:$B,$C154,'[2]7UnivActwithConsUnit'!E:E)+SUMIF('[2]8CollegeAct'!$B:$B,$C154,'[2]8CollegeAct'!E:E)+SUMIF(#REF!,$C154,#REF!)</f>
        <v>1423</v>
      </c>
      <c r="E154" s="259">
        <f ca="1">SUMIF('[2]7UnivActwithConsUnit'!$B:$B,$C154,'[2]7UnivActwithConsUnit'!F:F)+SUMIF('[2]8CollegeAct'!$B:$B,$C154,'[2]8CollegeAct'!F:F)+SUMIF(#REF!,$C154,#REF!)</f>
        <v>3346</v>
      </c>
      <c r="F154" s="259">
        <f ca="1">SUMIF('[2]7UnivActwithConsUnit'!$B:$B,$C154,'[2]7UnivActwithConsUnit'!G:G)+SUMIF('[2]8CollegeAct'!$B:$B,$C154,'[2]8CollegeAct'!G:G)+SUMIF(#REF!,$C154,#REF!)</f>
        <v>419</v>
      </c>
      <c r="G154" s="259">
        <f ca="1">SUMIF('[2]7UnivActwithConsUnit'!$B:$B,$C154,'[2]7UnivActwithConsUnit'!H:H)+SUMIF('[2]8CollegeAct'!$B:$B,$C154,'[2]8CollegeAct'!H:H)+SUMIF(#REF!,$C154,#REF!)</f>
        <v>584</v>
      </c>
      <c r="H154" s="259">
        <f ca="1">SUMIF('[2]7UnivActwithConsUnit'!$B:$B,$C154,'[2]7UnivActwithConsUnit'!I:I)+SUMIF('[2]8CollegeAct'!$B:$B,$C154,'[2]8CollegeAct'!I:I)+SUMIF(#REF!,$C154,#REF!)</f>
        <v>1003</v>
      </c>
      <c r="I154" s="259">
        <f ca="1">SUMIF('[2]7UnivActwithConsUnit'!$B:$B,$C154,'[2]7UnivActwithConsUnit'!J:J)+SUMIF('[2]10CollegeEst'!$B:$B,$C154,'[2]10CollegeEst'!B:B)+SUMIF(#REF!,$C154,#REF!)</f>
        <v>47838</v>
      </c>
      <c r="J154" s="259">
        <f ca="1">SUMIF('[2]7UnivActwithConsUnit'!$B:$B,$C154,'[2]7UnivActwithConsUnit'!K:K)+SUMIF('[2]10CollegeEst'!$B:$B,$C154,'[2]10CollegeEst'!C:C)+SUMIF(#REF!,$C154,#REF!)</f>
        <v>50717</v>
      </c>
      <c r="K154" s="259">
        <f ca="1">SUMIF('[2]7UnivActwithConsUnit'!$B:$B,$C154,'[2]7UnivActwithConsUnit'!L:L)+SUMIF('[2]10CollegeEst'!$B:$B,$C154,'[2]10CollegeEst'!D:D)+SUMIF(#REF!,$C154,#REF!)</f>
        <v>98555</v>
      </c>
      <c r="L154" s="260">
        <f ca="1">SUMIF('[2]7UnivActwithConsUnit'!$B:$B,$C154,'[2]7UnivActwithConsUnit'!M:M)+SUMIF('[2]10CollegeEst'!$B:$B,$C154,'[2]10CollegeEst'!E:E)+SUMIF(#REF!,$C154,#REF!)</f>
        <v>379994</v>
      </c>
      <c r="M154" s="259">
        <f ca="1">SUMIF('[2]7UnivActwithConsUnit'!$B:$B,$C154,'[2]7UnivActwithConsUnit'!N:N)+SUMIF('[2]10CollegeEst'!$B:$B,$C154,'[2]10CollegeEst'!F:F)+SUMIF(#REF!,$C154,#REF!)</f>
        <v>367114</v>
      </c>
      <c r="N154" s="259">
        <f ca="1">SUMIF('[2]7UnivActwithConsUnit'!$B:$B,$C154,'[2]7UnivActwithConsUnit'!O:O)+SUMIF('[2]10CollegeEst'!$B:$B,$C154,'[2]10CollegeEst'!G:G)+SUMIF(#REF!,$C154,#REF!)</f>
        <v>747108</v>
      </c>
      <c r="O154" s="259">
        <f ca="1">SUMIF('[2]7UnivActwithConsUnit'!$B:$B,$C154,'[2]7UnivActwithConsUnit'!P:P)+SUMIF('[2]8CollegeAct'!$B:$B,$C154,'[2]8CollegeAct'!P:P)+SUMIF(#REF!,$C154,#REF!)</f>
        <v>1786</v>
      </c>
      <c r="P154" s="259">
        <f ca="1">SUMIF('[2]7UnivActwithConsUnit'!$B:$B,$C154,'[2]7UnivActwithConsUnit'!Q:Q)+SUMIF('[2]8CollegeAct'!$B:$B,$C154,'[2]8CollegeAct'!Q:Q)+SUMIF(#REF!,$C154,#REF!)</f>
        <v>947</v>
      </c>
      <c r="Q154" s="259">
        <f ca="1">SUMIF('[2]7UnivActwithConsUnit'!$B:$B,$C154,'[2]7UnivActwithConsUnit'!R:R)+SUMIF('[2]8CollegeAct'!$B:$B,$C154,'[2]8CollegeAct'!R:R)+SUMIF(#REF!,$C154,#REF!)</f>
        <v>2733</v>
      </c>
      <c r="R154" s="259">
        <f ca="1">SUMIF('[2]7UnivActwithConsUnit'!$B:$B,$C154,'[2]7UnivActwithConsUnit'!S:S)+SUMIF('[2]8CollegeAct'!$B:$B,$C154,'[2]8CollegeAct'!S:S)+SUMIF(#REF!,$C154,#REF!)</f>
        <v>89412</v>
      </c>
      <c r="S154" s="259">
        <f ca="1">SUMIF('[2]7UnivActwithConsUnit'!$B:$B,$C154,'[2]7UnivActwithConsUnit'!T:T)+SUMIF('[2]8CollegeAct'!$B:$B,$C154,'[2]8CollegeAct'!T:T)+SUMIF(#REF!,$C154,#REF!)</f>
        <v>34712</v>
      </c>
      <c r="T154" s="259">
        <f ca="1">SUMIF('[2]7UnivActwithConsUnit'!$B:$B,$C154,'[2]7UnivActwithConsUnit'!U:U)+SUMIF('[2]8CollegeAct'!$B:$B,$C154,'[2]8CollegeAct'!U:U)+SUMIF(#REF!,$C154,#REF!)</f>
        <v>124124</v>
      </c>
      <c r="U154" s="260">
        <f ca="1">SUMIF('[2]7UnivActwithConsUnit'!$B:$B,$C154,'[2]7UnivActwithConsUnit'!V:V)+SUMIF('[2]8CollegeAct'!$B:$B,$C154,'[2]8CollegeAct'!V:V)+SUMIF(#REF!,$C154,#REF!)</f>
        <v>3402</v>
      </c>
      <c r="V154" s="259">
        <f ca="1">SUMIF('[2]7UnivActwithConsUnit'!$B:$B,$C154,'[2]7UnivActwithConsUnit'!W:W)+SUMIF('[2]8CollegeAct'!$B:$B,$C154,'[2]8CollegeAct'!W:W)+SUMIF(#REF!,$C154,#REF!)</f>
        <v>5748</v>
      </c>
      <c r="W154" s="259">
        <f ca="1">SUMIF('[2]7UnivActwithConsUnit'!$B:$B,$C154,'[2]7UnivActwithConsUnit'!X:X)+SUMIF('[2]8CollegeAct'!$B:$B,$C154,'[2]8CollegeAct'!X:X)+SUMIF(#REF!,$C154,#REF!)</f>
        <v>9150</v>
      </c>
      <c r="X154" s="259">
        <f ca="1">SUMIF('[2]7UnivActwithConsUnit'!$B:$B,$C154,'[2]7UnivActwithConsUnit'!Y:Y)+SUMIF('[2]8CollegeAct'!$B:$B,$C154,'[2]8CollegeAct'!Y:Y)+SUMIF(#REF!,$C154,#REF!)</f>
        <v>4452</v>
      </c>
      <c r="Y154" s="259">
        <f ca="1">SUMIF('[2]7UnivActwithConsUnit'!$B:$B,$C154,'[2]7UnivActwithConsUnit'!Z:Z)+SUMIF('[2]8CollegeAct'!$B:$B,$C154,'[2]8CollegeAct'!Z:Z)+SUMIF(#REF!,$C154,#REF!)</f>
        <v>4458</v>
      </c>
      <c r="Z154" s="259">
        <f ca="1">SUMIF('[2]7UnivActwithConsUnit'!$B:$B,$C154,'[2]7UnivActwithConsUnit'!AA:AA)+SUMIF('[2]8CollegeAct'!$B:$B,$C154,'[2]8CollegeAct'!AA:AA)+SUMIF(#REF!,$C154,#REF!)</f>
        <v>8910</v>
      </c>
      <c r="AA154" s="261">
        <f t="shared" ref="AA154:AB154" ca="1" si="82">C154+F154+I154+L154+O154+R154+U154+X154</f>
        <v>529226</v>
      </c>
      <c r="AB154" s="261">
        <f t="shared" ca="1" si="82"/>
        <v>465703</v>
      </c>
      <c r="AC154" s="261">
        <f t="shared" ref="AC154" ca="1" si="83">AA154+AB154</f>
        <v>994929</v>
      </c>
    </row>
    <row r="155" spans="1:29">
      <c r="A155" s="907"/>
      <c r="B155" s="314" t="s">
        <v>300</v>
      </c>
      <c r="C155" s="287">
        <v>2052</v>
      </c>
      <c r="D155" s="287">
        <v>1670</v>
      </c>
      <c r="E155" s="287">
        <v>3722</v>
      </c>
      <c r="F155" s="287">
        <v>523</v>
      </c>
      <c r="G155" s="287">
        <v>638</v>
      </c>
      <c r="H155" s="287">
        <v>1161</v>
      </c>
      <c r="I155" s="287">
        <v>40536</v>
      </c>
      <c r="J155" s="287">
        <v>42541</v>
      </c>
      <c r="K155" s="287">
        <v>83077</v>
      </c>
      <c r="L155" s="315">
        <v>409140</v>
      </c>
      <c r="M155" s="287">
        <v>371004</v>
      </c>
      <c r="N155" s="287">
        <v>780144</v>
      </c>
      <c r="O155" s="287">
        <v>2403</v>
      </c>
      <c r="P155" s="287">
        <v>1194</v>
      </c>
      <c r="Q155" s="287">
        <v>3597</v>
      </c>
      <c r="R155" s="287">
        <v>95576</v>
      </c>
      <c r="S155" s="287">
        <v>33942</v>
      </c>
      <c r="T155" s="287">
        <v>129518</v>
      </c>
      <c r="U155" s="315">
        <v>4329</v>
      </c>
      <c r="V155" s="287">
        <v>5894</v>
      </c>
      <c r="W155" s="287">
        <v>10223</v>
      </c>
      <c r="X155" s="287">
        <v>3805</v>
      </c>
      <c r="Y155" s="287">
        <v>3945</v>
      </c>
      <c r="Z155" s="287">
        <v>7750</v>
      </c>
      <c r="AA155" s="287">
        <v>558364</v>
      </c>
      <c r="AB155" s="287">
        <v>460828</v>
      </c>
      <c r="AC155" s="287">
        <v>1019192</v>
      </c>
    </row>
    <row r="156" spans="1:29">
      <c r="A156" s="907"/>
      <c r="B156" s="314" t="s">
        <v>299</v>
      </c>
      <c r="C156" s="96">
        <v>1671</v>
      </c>
      <c r="D156" s="96">
        <v>1311</v>
      </c>
      <c r="E156" s="96">
        <v>2982</v>
      </c>
      <c r="F156" s="96">
        <v>404</v>
      </c>
      <c r="G156" s="96">
        <v>676</v>
      </c>
      <c r="H156" s="96">
        <v>1080</v>
      </c>
      <c r="I156" s="96">
        <v>37152.977446761455</v>
      </c>
      <c r="J156" s="96">
        <v>36080.310809879593</v>
      </c>
      <c r="K156" s="96">
        <v>73233.288256641055</v>
      </c>
      <c r="L156" s="97">
        <v>407713.06574580353</v>
      </c>
      <c r="M156" s="96">
        <v>385835.24935944739</v>
      </c>
      <c r="N156" s="96">
        <v>793548.31510525092</v>
      </c>
      <c r="O156" s="96">
        <v>2001</v>
      </c>
      <c r="P156" s="96">
        <v>999</v>
      </c>
      <c r="Q156" s="96">
        <v>3000</v>
      </c>
      <c r="R156" s="96">
        <v>93021</v>
      </c>
      <c r="S156" s="96">
        <v>32578</v>
      </c>
      <c r="T156" s="96">
        <v>125599</v>
      </c>
      <c r="U156" s="97">
        <v>4153</v>
      </c>
      <c r="V156" s="96">
        <v>5594</v>
      </c>
      <c r="W156" s="96">
        <v>9747</v>
      </c>
      <c r="X156" s="96">
        <v>3459</v>
      </c>
      <c r="Y156" s="96">
        <v>3128</v>
      </c>
      <c r="Z156" s="96">
        <v>6587</v>
      </c>
      <c r="AA156" s="98">
        <f t="shared" ref="AA156:AC156" si="84">C156+F156+I156+L156+O156+R156+U156+X156</f>
        <v>549575.04319256498</v>
      </c>
      <c r="AB156" s="98">
        <f t="shared" si="84"/>
        <v>466201.56016932696</v>
      </c>
      <c r="AC156" s="98">
        <f t="shared" si="84"/>
        <v>1015776.6033618919</v>
      </c>
    </row>
    <row r="157" spans="1:29">
      <c r="A157" s="907"/>
      <c r="B157" s="314" t="s">
        <v>298</v>
      </c>
      <c r="C157" s="100">
        <v>1388</v>
      </c>
      <c r="D157" s="100">
        <v>1086</v>
      </c>
      <c r="E157" s="101">
        <v>2474</v>
      </c>
      <c r="F157" s="100">
        <v>471</v>
      </c>
      <c r="G157" s="100">
        <v>777</v>
      </c>
      <c r="H157" s="101">
        <v>1248</v>
      </c>
      <c r="I157" s="100">
        <v>32749</v>
      </c>
      <c r="J157" s="100">
        <v>33556</v>
      </c>
      <c r="K157" s="101">
        <v>66305</v>
      </c>
      <c r="L157" s="102">
        <v>400431</v>
      </c>
      <c r="M157" s="100">
        <v>365999</v>
      </c>
      <c r="N157" s="101">
        <v>766430</v>
      </c>
      <c r="O157" s="100">
        <v>997</v>
      </c>
      <c r="P157" s="100">
        <v>434</v>
      </c>
      <c r="Q157" s="101">
        <v>1431</v>
      </c>
      <c r="R157" s="100">
        <v>89862</v>
      </c>
      <c r="S157" s="100">
        <v>29838</v>
      </c>
      <c r="T157" s="101">
        <v>119700</v>
      </c>
      <c r="U157" s="102">
        <v>3773</v>
      </c>
      <c r="V157" s="100">
        <v>5598</v>
      </c>
      <c r="W157" s="101">
        <v>9371</v>
      </c>
      <c r="X157" s="100">
        <v>2835</v>
      </c>
      <c r="Y157" s="100">
        <v>2491</v>
      </c>
      <c r="Z157" s="101">
        <v>5326</v>
      </c>
      <c r="AA157" s="101">
        <v>532506</v>
      </c>
      <c r="AB157" s="101">
        <v>439779</v>
      </c>
      <c r="AC157" s="101">
        <f t="shared" ref="AC157" si="85">SUM(AA157+AB157)</f>
        <v>972285</v>
      </c>
    </row>
    <row r="158" spans="1:29">
      <c r="A158" s="907">
        <v>26</v>
      </c>
      <c r="B158" s="309" t="s">
        <v>40</v>
      </c>
      <c r="C158" s="310"/>
      <c r="D158" s="310"/>
      <c r="E158" s="310"/>
      <c r="F158" s="310"/>
      <c r="G158" s="310"/>
      <c r="H158" s="310"/>
      <c r="I158" s="310"/>
      <c r="J158" s="310"/>
      <c r="K158" s="311"/>
      <c r="L158" s="310"/>
      <c r="M158" s="310"/>
      <c r="N158" s="310"/>
      <c r="O158" s="310"/>
      <c r="P158" s="310"/>
      <c r="Q158" s="310"/>
      <c r="R158" s="310"/>
      <c r="S158" s="310"/>
      <c r="T158" s="311"/>
      <c r="U158" s="310"/>
      <c r="V158" s="310"/>
      <c r="W158" s="310"/>
      <c r="X158" s="310"/>
      <c r="Y158" s="310"/>
      <c r="Z158" s="310"/>
      <c r="AA158" s="310"/>
      <c r="AB158" s="310"/>
      <c r="AC158" s="311"/>
    </row>
    <row r="159" spans="1:29">
      <c r="A159" s="907"/>
      <c r="B159" s="312" t="s">
        <v>997</v>
      </c>
      <c r="C159" s="313">
        <v>271</v>
      </c>
      <c r="D159" s="313">
        <v>325</v>
      </c>
      <c r="E159" s="313">
        <v>596</v>
      </c>
      <c r="F159" s="313">
        <v>0</v>
      </c>
      <c r="G159" s="313">
        <v>2</v>
      </c>
      <c r="H159" s="313">
        <v>2</v>
      </c>
      <c r="I159" s="313">
        <v>12865</v>
      </c>
      <c r="J159" s="313">
        <v>13359</v>
      </c>
      <c r="K159" s="313">
        <v>26224</v>
      </c>
      <c r="L159" s="313">
        <v>26875</v>
      </c>
      <c r="M159" s="313">
        <v>32921</v>
      </c>
      <c r="N159" s="313">
        <v>59796</v>
      </c>
      <c r="O159" s="313">
        <v>15</v>
      </c>
      <c r="P159" s="313">
        <v>16</v>
      </c>
      <c r="Q159" s="313">
        <v>31</v>
      </c>
      <c r="R159" s="313">
        <v>2806</v>
      </c>
      <c r="S159" s="313">
        <v>1056</v>
      </c>
      <c r="T159" s="313">
        <v>3862</v>
      </c>
      <c r="U159" s="313">
        <v>1</v>
      </c>
      <c r="V159" s="313">
        <v>6</v>
      </c>
      <c r="W159" s="313">
        <v>7</v>
      </c>
      <c r="X159" s="313">
        <v>354</v>
      </c>
      <c r="Y159" s="313">
        <v>381</v>
      </c>
      <c r="Z159" s="313">
        <v>735</v>
      </c>
      <c r="AA159" s="313">
        <v>43187</v>
      </c>
      <c r="AB159" s="313">
        <v>48066</v>
      </c>
      <c r="AC159" s="313">
        <v>91253</v>
      </c>
    </row>
    <row r="160" spans="1:29">
      <c r="A160" s="907"/>
      <c r="B160" s="314" t="s">
        <v>301</v>
      </c>
      <c r="C160" s="259">
        <f ca="1">SUMIF('[2]7UnivActwithConsUnit'!$B:$B,$C160,'[2]7UnivActwithConsUnit'!D:D)+SUMIF('[2]8CollegeAct'!$B:$B,$C160,'[2]8CollegeAct'!D:D)+SUMIF(#REF!,$C160,#REF!)</f>
        <v>291</v>
      </c>
      <c r="D160" s="259">
        <f ca="1">SUMIF('[2]7UnivActwithConsUnit'!$B:$B,$C160,'[2]7UnivActwithConsUnit'!E:E)+SUMIF('[2]8CollegeAct'!$B:$B,$C160,'[2]8CollegeAct'!E:E)+SUMIF(#REF!,$C160,#REF!)</f>
        <v>217</v>
      </c>
      <c r="E160" s="259">
        <f ca="1">SUMIF('[2]7UnivActwithConsUnit'!$B:$B,$C160,'[2]7UnivActwithConsUnit'!F:F)+SUMIF('[2]8CollegeAct'!$B:$B,$C160,'[2]8CollegeAct'!F:F)+SUMIF(#REF!,$C160,#REF!)</f>
        <v>508</v>
      </c>
      <c r="F160" s="259">
        <f ca="1">SUMIF('[2]7UnivActwithConsUnit'!$B:$B,$C160,'[2]7UnivActwithConsUnit'!G:G)+SUMIF('[2]8CollegeAct'!$B:$B,$C160,'[2]8CollegeAct'!G:G)+SUMIF(#REF!,$C160,#REF!)</f>
        <v>21</v>
      </c>
      <c r="G160" s="259">
        <f ca="1">SUMIF('[2]7UnivActwithConsUnit'!$B:$B,$C160,'[2]7UnivActwithConsUnit'!H:H)+SUMIF('[2]8CollegeAct'!$B:$B,$C160,'[2]8CollegeAct'!H:H)+SUMIF(#REF!,$C160,#REF!)</f>
        <v>46</v>
      </c>
      <c r="H160" s="259">
        <f ca="1">SUMIF('[2]7UnivActwithConsUnit'!$B:$B,$C160,'[2]7UnivActwithConsUnit'!I:I)+SUMIF('[2]8CollegeAct'!$B:$B,$C160,'[2]8CollegeAct'!I:I)+SUMIF(#REF!,$C160,#REF!)</f>
        <v>67</v>
      </c>
      <c r="I160" s="259">
        <f ca="1">SUMIF('[2]7UnivActwithConsUnit'!$B:$B,$C160,'[2]7UnivActwithConsUnit'!J:J)+SUMIF('[2]10CollegeEst'!$B:$B,$C160,'[2]10CollegeEst'!B:B)+SUMIF(#REF!,$C160,#REF!)</f>
        <v>11531</v>
      </c>
      <c r="J160" s="259">
        <f ca="1">SUMIF('[2]7UnivActwithConsUnit'!$B:$B,$C160,'[2]7UnivActwithConsUnit'!K:K)+SUMIF('[2]10CollegeEst'!$B:$B,$C160,'[2]10CollegeEst'!C:C)+SUMIF(#REF!,$C160,#REF!)</f>
        <v>11728</v>
      </c>
      <c r="K160" s="259">
        <f ca="1">SUMIF('[2]7UnivActwithConsUnit'!$B:$B,$C160,'[2]7UnivActwithConsUnit'!L:L)+SUMIF('[2]10CollegeEst'!$B:$B,$C160,'[2]10CollegeEst'!D:D)+SUMIF(#REF!,$C160,#REF!)</f>
        <v>23259</v>
      </c>
      <c r="L160" s="260">
        <f ca="1">SUMIF('[2]7UnivActwithConsUnit'!$B:$B,$C160,'[2]7UnivActwithConsUnit'!M:M)+SUMIF('[2]10CollegeEst'!$B:$B,$C160,'[2]10CollegeEst'!E:E)+SUMIF(#REF!,$C160,#REF!)</f>
        <v>22863</v>
      </c>
      <c r="M160" s="259">
        <f ca="1">SUMIF('[2]7UnivActwithConsUnit'!$B:$B,$C160,'[2]7UnivActwithConsUnit'!N:N)+SUMIF('[2]10CollegeEst'!$B:$B,$C160,'[2]10CollegeEst'!F:F)+SUMIF(#REF!,$C160,#REF!)</f>
        <v>28309</v>
      </c>
      <c r="N160" s="259">
        <f ca="1">SUMIF('[2]7UnivActwithConsUnit'!$B:$B,$C160,'[2]7UnivActwithConsUnit'!O:O)+SUMIF('[2]10CollegeEst'!$B:$B,$C160,'[2]10CollegeEst'!G:G)+SUMIF(#REF!,$C160,#REF!)</f>
        <v>51172</v>
      </c>
      <c r="O160" s="259">
        <f ca="1">SUMIF('[2]7UnivActwithConsUnit'!$B:$B,$C160,'[2]7UnivActwithConsUnit'!P:P)+SUMIF('[2]8CollegeAct'!$B:$B,$C160,'[2]8CollegeAct'!P:P)+SUMIF(#REF!,$C160,#REF!)</f>
        <v>52</v>
      </c>
      <c r="P160" s="259">
        <f ca="1">SUMIF('[2]7UnivActwithConsUnit'!$B:$B,$C160,'[2]7UnivActwithConsUnit'!Q:Q)+SUMIF('[2]8CollegeAct'!$B:$B,$C160,'[2]8CollegeAct'!Q:Q)+SUMIF(#REF!,$C160,#REF!)</f>
        <v>54</v>
      </c>
      <c r="Q160" s="259">
        <f ca="1">SUMIF('[2]7UnivActwithConsUnit'!$B:$B,$C160,'[2]7UnivActwithConsUnit'!R:R)+SUMIF('[2]8CollegeAct'!$B:$B,$C160,'[2]8CollegeAct'!R:R)+SUMIF(#REF!,$C160,#REF!)</f>
        <v>106</v>
      </c>
      <c r="R160" s="259">
        <f ca="1">SUMIF('[2]7UnivActwithConsUnit'!$B:$B,$C160,'[2]7UnivActwithConsUnit'!S:S)+SUMIF('[2]8CollegeAct'!$B:$B,$C160,'[2]8CollegeAct'!S:S)+SUMIF(#REF!,$C160,#REF!)</f>
        <v>2866</v>
      </c>
      <c r="S160" s="259">
        <f ca="1">SUMIF('[2]7UnivActwithConsUnit'!$B:$B,$C160,'[2]7UnivActwithConsUnit'!T:T)+SUMIF('[2]8CollegeAct'!$B:$B,$C160,'[2]8CollegeAct'!T:T)+SUMIF(#REF!,$C160,#REF!)</f>
        <v>1122</v>
      </c>
      <c r="T160" s="259">
        <f ca="1">SUMIF('[2]7UnivActwithConsUnit'!$B:$B,$C160,'[2]7UnivActwithConsUnit'!U:U)+SUMIF('[2]8CollegeAct'!$B:$B,$C160,'[2]8CollegeAct'!U:U)+SUMIF(#REF!,$C160,#REF!)</f>
        <v>3988</v>
      </c>
      <c r="U160" s="260">
        <f ca="1">SUMIF('[2]7UnivActwithConsUnit'!$B:$B,$C160,'[2]7UnivActwithConsUnit'!V:V)+SUMIF('[2]8CollegeAct'!$B:$B,$C160,'[2]8CollegeAct'!V:V)+SUMIF(#REF!,$C160,#REF!)</f>
        <v>0</v>
      </c>
      <c r="V160" s="259">
        <f ca="1">SUMIF('[2]7UnivActwithConsUnit'!$B:$B,$C160,'[2]7UnivActwithConsUnit'!W:W)+SUMIF('[2]8CollegeAct'!$B:$B,$C160,'[2]8CollegeAct'!W:W)+SUMIF(#REF!,$C160,#REF!)</f>
        <v>0</v>
      </c>
      <c r="W160" s="259">
        <f ca="1">SUMIF('[2]7UnivActwithConsUnit'!$B:$B,$C160,'[2]7UnivActwithConsUnit'!X:X)+SUMIF('[2]8CollegeAct'!$B:$B,$C160,'[2]8CollegeAct'!X:X)+SUMIF(#REF!,$C160,#REF!)</f>
        <v>0</v>
      </c>
      <c r="X160" s="259">
        <f ca="1">SUMIF('[2]7UnivActwithConsUnit'!$B:$B,$C160,'[2]7UnivActwithConsUnit'!Y:Y)+SUMIF('[2]8CollegeAct'!$B:$B,$C160,'[2]8CollegeAct'!Y:Y)+SUMIF(#REF!,$C160,#REF!)</f>
        <v>532</v>
      </c>
      <c r="Y160" s="259">
        <f ca="1">SUMIF('[2]7UnivActwithConsUnit'!$B:$B,$C160,'[2]7UnivActwithConsUnit'!Z:Z)+SUMIF('[2]8CollegeAct'!$B:$B,$C160,'[2]8CollegeAct'!Z:Z)+SUMIF(#REF!,$C160,#REF!)</f>
        <v>492</v>
      </c>
      <c r="Z160" s="259">
        <f ca="1">SUMIF('[2]7UnivActwithConsUnit'!$B:$B,$C160,'[2]7UnivActwithConsUnit'!AA:AA)+SUMIF('[2]8CollegeAct'!$B:$B,$C160,'[2]8CollegeAct'!AA:AA)+SUMIF(#REF!,$C160,#REF!)</f>
        <v>1024</v>
      </c>
      <c r="AA160" s="261">
        <f t="shared" ref="AA160:AB160" ca="1" si="86">C160+F160+I160+L160+O160+R160+U160+X160</f>
        <v>38156</v>
      </c>
      <c r="AB160" s="261">
        <f t="shared" ca="1" si="86"/>
        <v>41968</v>
      </c>
      <c r="AC160" s="261">
        <f t="shared" ref="AC160" ca="1" si="87">AA160+AB160</f>
        <v>80124</v>
      </c>
    </row>
    <row r="161" spans="1:29">
      <c r="A161" s="907"/>
      <c r="B161" s="314" t="s">
        <v>300</v>
      </c>
      <c r="C161" s="287">
        <v>510</v>
      </c>
      <c r="D161" s="287">
        <v>292</v>
      </c>
      <c r="E161" s="287">
        <v>802</v>
      </c>
      <c r="F161" s="287">
        <v>12</v>
      </c>
      <c r="G161" s="287">
        <v>54</v>
      </c>
      <c r="H161" s="287">
        <v>66</v>
      </c>
      <c r="I161" s="287">
        <v>9375</v>
      </c>
      <c r="J161" s="287">
        <v>10261</v>
      </c>
      <c r="K161" s="287">
        <v>19636</v>
      </c>
      <c r="L161" s="315">
        <v>23585</v>
      </c>
      <c r="M161" s="287">
        <v>28067</v>
      </c>
      <c r="N161" s="287">
        <v>51652</v>
      </c>
      <c r="O161" s="287">
        <v>97</v>
      </c>
      <c r="P161" s="287">
        <v>71</v>
      </c>
      <c r="Q161" s="287">
        <v>168</v>
      </c>
      <c r="R161" s="287">
        <v>2803</v>
      </c>
      <c r="S161" s="287">
        <v>1239</v>
      </c>
      <c r="T161" s="287">
        <v>4042</v>
      </c>
      <c r="U161" s="315">
        <v>7</v>
      </c>
      <c r="V161" s="287">
        <v>6</v>
      </c>
      <c r="W161" s="287">
        <v>13</v>
      </c>
      <c r="X161" s="287">
        <v>505</v>
      </c>
      <c r="Y161" s="287">
        <v>458</v>
      </c>
      <c r="Z161" s="287">
        <v>963</v>
      </c>
      <c r="AA161" s="287">
        <v>36894</v>
      </c>
      <c r="AB161" s="287">
        <v>40448</v>
      </c>
      <c r="AC161" s="287">
        <v>77342</v>
      </c>
    </row>
    <row r="162" spans="1:29">
      <c r="A162" s="907"/>
      <c r="B162" s="314" t="s">
        <v>299</v>
      </c>
      <c r="C162" s="96">
        <v>522</v>
      </c>
      <c r="D162" s="96">
        <v>254</v>
      </c>
      <c r="E162" s="96">
        <v>776</v>
      </c>
      <c r="F162" s="96">
        <v>13</v>
      </c>
      <c r="G162" s="96">
        <v>53</v>
      </c>
      <c r="H162" s="96">
        <v>66</v>
      </c>
      <c r="I162" s="96">
        <v>11168.621575920626</v>
      </c>
      <c r="J162" s="96">
        <v>9434.3965023965957</v>
      </c>
      <c r="K162" s="96">
        <v>20603.018078317222</v>
      </c>
      <c r="L162" s="97">
        <v>20536.263168610643</v>
      </c>
      <c r="M162" s="96">
        <v>25219.343273479575</v>
      </c>
      <c r="N162" s="96">
        <v>45755.606442090218</v>
      </c>
      <c r="O162" s="96">
        <v>63</v>
      </c>
      <c r="P162" s="96">
        <v>58</v>
      </c>
      <c r="Q162" s="96">
        <v>121</v>
      </c>
      <c r="R162" s="96">
        <v>3121</v>
      </c>
      <c r="S162" s="96">
        <v>1355</v>
      </c>
      <c r="T162" s="96">
        <v>4476</v>
      </c>
      <c r="U162" s="97">
        <v>14</v>
      </c>
      <c r="V162" s="96">
        <v>12</v>
      </c>
      <c r="W162" s="96">
        <v>26</v>
      </c>
      <c r="X162" s="96">
        <v>656</v>
      </c>
      <c r="Y162" s="96">
        <v>581</v>
      </c>
      <c r="Z162" s="96">
        <v>1237</v>
      </c>
      <c r="AA162" s="98">
        <f t="shared" ref="AA162:AC162" si="88">C162+F162+I162+L162+O162+R162+U162+X162</f>
        <v>36093.884744531271</v>
      </c>
      <c r="AB162" s="98">
        <f t="shared" si="88"/>
        <v>36966.739775876173</v>
      </c>
      <c r="AC162" s="98">
        <f t="shared" si="88"/>
        <v>73060.624520407437</v>
      </c>
    </row>
    <row r="163" spans="1:29">
      <c r="A163" s="907"/>
      <c r="B163" s="314" t="s">
        <v>298</v>
      </c>
      <c r="C163" s="100">
        <v>604</v>
      </c>
      <c r="D163" s="100">
        <v>334</v>
      </c>
      <c r="E163" s="101">
        <v>938</v>
      </c>
      <c r="F163" s="100">
        <v>19</v>
      </c>
      <c r="G163" s="100">
        <v>61</v>
      </c>
      <c r="H163" s="101">
        <v>80</v>
      </c>
      <c r="I163" s="100">
        <v>9331</v>
      </c>
      <c r="J163" s="100">
        <v>7740</v>
      </c>
      <c r="K163" s="101">
        <v>17071</v>
      </c>
      <c r="L163" s="102">
        <v>19615</v>
      </c>
      <c r="M163" s="100">
        <v>23516</v>
      </c>
      <c r="N163" s="101">
        <v>43131</v>
      </c>
      <c r="O163" s="100">
        <v>140</v>
      </c>
      <c r="P163" s="100">
        <v>89</v>
      </c>
      <c r="Q163" s="101">
        <v>229</v>
      </c>
      <c r="R163" s="100">
        <v>3110</v>
      </c>
      <c r="S163" s="100">
        <v>1194</v>
      </c>
      <c r="T163" s="101">
        <v>4304</v>
      </c>
      <c r="U163" s="102">
        <v>13</v>
      </c>
      <c r="V163" s="100">
        <v>6</v>
      </c>
      <c r="W163" s="101">
        <v>19</v>
      </c>
      <c r="X163" s="100">
        <v>614</v>
      </c>
      <c r="Y163" s="100">
        <v>532</v>
      </c>
      <c r="Z163" s="101">
        <v>1146</v>
      </c>
      <c r="AA163" s="101">
        <v>33446</v>
      </c>
      <c r="AB163" s="101">
        <v>33472</v>
      </c>
      <c r="AC163" s="101">
        <f t="shared" ref="AC163" si="89">SUM(AA163+AB163)</f>
        <v>66918</v>
      </c>
    </row>
    <row r="164" spans="1:29">
      <c r="A164" s="907">
        <v>27</v>
      </c>
      <c r="B164" s="309" t="s">
        <v>41</v>
      </c>
      <c r="C164" s="310"/>
      <c r="D164" s="310"/>
      <c r="E164" s="310"/>
      <c r="F164" s="310"/>
      <c r="G164" s="310"/>
      <c r="H164" s="310"/>
      <c r="I164" s="310"/>
      <c r="J164" s="310"/>
      <c r="K164" s="311"/>
      <c r="L164" s="310"/>
      <c r="M164" s="310"/>
      <c r="N164" s="310"/>
      <c r="O164" s="310"/>
      <c r="P164" s="310"/>
      <c r="Q164" s="310"/>
      <c r="R164" s="310"/>
      <c r="S164" s="310"/>
      <c r="T164" s="311"/>
      <c r="U164" s="310"/>
      <c r="V164" s="310"/>
      <c r="W164" s="310"/>
      <c r="X164" s="310"/>
      <c r="Y164" s="310"/>
      <c r="Z164" s="310"/>
      <c r="AA164" s="310"/>
      <c r="AB164" s="310"/>
      <c r="AC164" s="311"/>
    </row>
    <row r="165" spans="1:29">
      <c r="A165" s="907"/>
      <c r="B165" s="312" t="s">
        <v>997</v>
      </c>
      <c r="C165" s="313">
        <v>4628</v>
      </c>
      <c r="D165" s="313">
        <v>4938</v>
      </c>
      <c r="E165" s="313">
        <v>9566</v>
      </c>
      <c r="F165" s="313">
        <v>142</v>
      </c>
      <c r="G165" s="313">
        <v>169</v>
      </c>
      <c r="H165" s="313">
        <v>311</v>
      </c>
      <c r="I165" s="313">
        <v>43610</v>
      </c>
      <c r="J165" s="313">
        <v>60696</v>
      </c>
      <c r="K165" s="313">
        <v>104306</v>
      </c>
      <c r="L165" s="313">
        <v>302634</v>
      </c>
      <c r="M165" s="313">
        <v>284359</v>
      </c>
      <c r="N165" s="313">
        <v>586993</v>
      </c>
      <c r="O165" s="313">
        <v>1905</v>
      </c>
      <c r="P165" s="313">
        <v>2394</v>
      </c>
      <c r="Q165" s="313">
        <v>4299</v>
      </c>
      <c r="R165" s="313">
        <v>56209</v>
      </c>
      <c r="S165" s="313">
        <v>52491</v>
      </c>
      <c r="T165" s="313">
        <v>108700</v>
      </c>
      <c r="U165" s="313">
        <v>617</v>
      </c>
      <c r="V165" s="313">
        <v>696</v>
      </c>
      <c r="W165" s="313">
        <v>1313</v>
      </c>
      <c r="X165" s="313">
        <v>8499</v>
      </c>
      <c r="Y165" s="313">
        <v>9348</v>
      </c>
      <c r="Z165" s="313">
        <v>17847</v>
      </c>
      <c r="AA165" s="313">
        <v>418244</v>
      </c>
      <c r="AB165" s="313">
        <v>415091</v>
      </c>
      <c r="AC165" s="313">
        <v>833335</v>
      </c>
    </row>
    <row r="166" spans="1:29">
      <c r="A166" s="907"/>
      <c r="B166" s="314" t="s">
        <v>301</v>
      </c>
      <c r="C166" s="259">
        <f ca="1">SUMIF('[2]7UnivActwithConsUnit'!$B:$B,$C166,'[2]7UnivActwithConsUnit'!D:D)+SUMIF('[2]8CollegeAct'!$B:$B,$C166,'[2]8CollegeAct'!D:D)+SUMIF(#REF!,$C166,#REF!)</f>
        <v>4111</v>
      </c>
      <c r="D166" s="259">
        <f ca="1">SUMIF('[2]7UnivActwithConsUnit'!$B:$B,$C166,'[2]7UnivActwithConsUnit'!E:E)+SUMIF('[2]8CollegeAct'!$B:$B,$C166,'[2]8CollegeAct'!E:E)+SUMIF(#REF!,$C166,#REF!)</f>
        <v>4888</v>
      </c>
      <c r="E166" s="259">
        <f ca="1">SUMIF('[2]7UnivActwithConsUnit'!$B:$B,$C166,'[2]7UnivActwithConsUnit'!F:F)+SUMIF('[2]8CollegeAct'!$B:$B,$C166,'[2]8CollegeAct'!F:F)+SUMIF(#REF!,$C166,#REF!)</f>
        <v>8999</v>
      </c>
      <c r="F166" s="259">
        <f ca="1">SUMIF('[2]7UnivActwithConsUnit'!$B:$B,$C166,'[2]7UnivActwithConsUnit'!G:G)+SUMIF('[2]8CollegeAct'!$B:$B,$C166,'[2]8CollegeAct'!G:G)+SUMIF(#REF!,$C166,#REF!)</f>
        <v>307</v>
      </c>
      <c r="G166" s="259">
        <f ca="1">SUMIF('[2]7UnivActwithConsUnit'!$B:$B,$C166,'[2]7UnivActwithConsUnit'!H:H)+SUMIF('[2]8CollegeAct'!$B:$B,$C166,'[2]8CollegeAct'!H:H)+SUMIF(#REF!,$C166,#REF!)</f>
        <v>315</v>
      </c>
      <c r="H166" s="259">
        <f ca="1">SUMIF('[2]7UnivActwithConsUnit'!$B:$B,$C166,'[2]7UnivActwithConsUnit'!I:I)+SUMIF('[2]8CollegeAct'!$B:$B,$C166,'[2]8CollegeAct'!I:I)+SUMIF(#REF!,$C166,#REF!)</f>
        <v>622</v>
      </c>
      <c r="I166" s="259">
        <f ca="1">SUMIF('[2]7UnivActwithConsUnit'!$B:$B,$C166,'[2]7UnivActwithConsUnit'!J:J)+SUMIF('[2]10CollegeEst'!$B:$B,$C166,'[2]10CollegeEst'!B:B)+SUMIF(#REF!,$C166,#REF!)</f>
        <v>39950</v>
      </c>
      <c r="J166" s="259">
        <f ca="1">SUMIF('[2]7UnivActwithConsUnit'!$B:$B,$C166,'[2]7UnivActwithConsUnit'!K:K)+SUMIF('[2]10CollegeEst'!$B:$B,$C166,'[2]10CollegeEst'!C:C)+SUMIF(#REF!,$C166,#REF!)</f>
        <v>68143</v>
      </c>
      <c r="K166" s="259">
        <f ca="1">SUMIF('[2]7UnivActwithConsUnit'!$B:$B,$C166,'[2]7UnivActwithConsUnit'!L:L)+SUMIF('[2]10CollegeEst'!$B:$B,$C166,'[2]10CollegeEst'!D:D)+SUMIF(#REF!,$C166,#REF!)</f>
        <v>108093</v>
      </c>
      <c r="L166" s="260">
        <f ca="1">SUMIF('[2]7UnivActwithConsUnit'!$B:$B,$C166,'[2]7UnivActwithConsUnit'!M:M)+SUMIF('[2]10CollegeEst'!$B:$B,$C166,'[2]10CollegeEst'!E:E)+SUMIF(#REF!,$C166,#REF!)</f>
        <v>308617</v>
      </c>
      <c r="M166" s="259">
        <f ca="1">SUMIF('[2]7UnivActwithConsUnit'!$B:$B,$C166,'[2]7UnivActwithConsUnit'!N:N)+SUMIF('[2]10CollegeEst'!$B:$B,$C166,'[2]10CollegeEst'!F:F)+SUMIF(#REF!,$C166,#REF!)</f>
        <v>312191</v>
      </c>
      <c r="N166" s="259">
        <f ca="1">SUMIF('[2]7UnivActwithConsUnit'!$B:$B,$C166,'[2]7UnivActwithConsUnit'!O:O)+SUMIF('[2]10CollegeEst'!$B:$B,$C166,'[2]10CollegeEst'!G:G)+SUMIF(#REF!,$C166,#REF!)</f>
        <v>620808</v>
      </c>
      <c r="O166" s="259">
        <f ca="1">SUMIF('[2]7UnivActwithConsUnit'!$B:$B,$C166,'[2]7UnivActwithConsUnit'!P:P)+SUMIF('[2]8CollegeAct'!$B:$B,$C166,'[2]8CollegeAct'!P:P)+SUMIF(#REF!,$C166,#REF!)</f>
        <v>2866</v>
      </c>
      <c r="P166" s="259">
        <f ca="1">SUMIF('[2]7UnivActwithConsUnit'!$B:$B,$C166,'[2]7UnivActwithConsUnit'!Q:Q)+SUMIF('[2]8CollegeAct'!$B:$B,$C166,'[2]8CollegeAct'!Q:Q)+SUMIF(#REF!,$C166,#REF!)</f>
        <v>3692</v>
      </c>
      <c r="Q166" s="259">
        <f ca="1">SUMIF('[2]7UnivActwithConsUnit'!$B:$B,$C166,'[2]7UnivActwithConsUnit'!R:R)+SUMIF('[2]8CollegeAct'!$B:$B,$C166,'[2]8CollegeAct'!R:R)+SUMIF(#REF!,$C166,#REF!)</f>
        <v>6558</v>
      </c>
      <c r="R166" s="259">
        <f ca="1">SUMIF('[2]7UnivActwithConsUnit'!$B:$B,$C166,'[2]7UnivActwithConsUnit'!S:S)+SUMIF('[2]8CollegeAct'!$B:$B,$C166,'[2]8CollegeAct'!S:S)+SUMIF(#REF!,$C166,#REF!)</f>
        <v>62421</v>
      </c>
      <c r="S166" s="259">
        <f ca="1">SUMIF('[2]7UnivActwithConsUnit'!$B:$B,$C166,'[2]7UnivActwithConsUnit'!T:T)+SUMIF('[2]8CollegeAct'!$B:$B,$C166,'[2]8CollegeAct'!T:T)+SUMIF(#REF!,$C166,#REF!)</f>
        <v>46930</v>
      </c>
      <c r="T166" s="259">
        <f ca="1">SUMIF('[2]7UnivActwithConsUnit'!$B:$B,$C166,'[2]7UnivActwithConsUnit'!U:U)+SUMIF('[2]8CollegeAct'!$B:$B,$C166,'[2]8CollegeAct'!U:U)+SUMIF(#REF!,$C166,#REF!)</f>
        <v>109351</v>
      </c>
      <c r="U166" s="260">
        <f ca="1">SUMIF('[2]7UnivActwithConsUnit'!$B:$B,$C166,'[2]7UnivActwithConsUnit'!V:V)+SUMIF('[2]8CollegeAct'!$B:$B,$C166,'[2]8CollegeAct'!V:V)+SUMIF(#REF!,$C166,#REF!)</f>
        <v>600</v>
      </c>
      <c r="V166" s="259">
        <f ca="1">SUMIF('[2]7UnivActwithConsUnit'!$B:$B,$C166,'[2]7UnivActwithConsUnit'!W:W)+SUMIF('[2]8CollegeAct'!$B:$B,$C166,'[2]8CollegeAct'!W:W)+SUMIF(#REF!,$C166,#REF!)</f>
        <v>948</v>
      </c>
      <c r="W166" s="259">
        <f ca="1">SUMIF('[2]7UnivActwithConsUnit'!$B:$B,$C166,'[2]7UnivActwithConsUnit'!X:X)+SUMIF('[2]8CollegeAct'!$B:$B,$C166,'[2]8CollegeAct'!X:X)+SUMIF(#REF!,$C166,#REF!)</f>
        <v>1548</v>
      </c>
      <c r="X166" s="259">
        <f ca="1">SUMIF('[2]7UnivActwithConsUnit'!$B:$B,$C166,'[2]7UnivActwithConsUnit'!Y:Y)+SUMIF('[2]8CollegeAct'!$B:$B,$C166,'[2]8CollegeAct'!Y:Y)+SUMIF(#REF!,$C166,#REF!)</f>
        <v>6459</v>
      </c>
      <c r="Y166" s="259">
        <f ca="1">SUMIF('[2]7UnivActwithConsUnit'!$B:$B,$C166,'[2]7UnivActwithConsUnit'!Z:Z)+SUMIF('[2]8CollegeAct'!$B:$B,$C166,'[2]8CollegeAct'!Z:Z)+SUMIF(#REF!,$C166,#REF!)</f>
        <v>7025</v>
      </c>
      <c r="Z166" s="259">
        <f ca="1">SUMIF('[2]7UnivActwithConsUnit'!$B:$B,$C166,'[2]7UnivActwithConsUnit'!AA:AA)+SUMIF('[2]8CollegeAct'!$B:$B,$C166,'[2]8CollegeAct'!AA:AA)+SUMIF(#REF!,$C166,#REF!)</f>
        <v>13484</v>
      </c>
      <c r="AA166" s="261">
        <f t="shared" ref="AA166:AB166" ca="1" si="90">C166+F166+I166+L166+O166+R166+U166+X166</f>
        <v>425331</v>
      </c>
      <c r="AB166" s="261">
        <f t="shared" ca="1" si="90"/>
        <v>444132</v>
      </c>
      <c r="AC166" s="261">
        <f t="shared" ref="AC166" ca="1" si="91">AA166+AB166</f>
        <v>869463</v>
      </c>
    </row>
    <row r="167" spans="1:29">
      <c r="A167" s="907"/>
      <c r="B167" s="314" t="s">
        <v>300</v>
      </c>
      <c r="C167" s="287">
        <v>4382</v>
      </c>
      <c r="D167" s="287">
        <v>4713</v>
      </c>
      <c r="E167" s="287">
        <v>9095</v>
      </c>
      <c r="F167" s="287">
        <v>369</v>
      </c>
      <c r="G167" s="287">
        <v>367</v>
      </c>
      <c r="H167" s="287">
        <v>736</v>
      </c>
      <c r="I167" s="287">
        <v>36272</v>
      </c>
      <c r="J167" s="287">
        <v>69660</v>
      </c>
      <c r="K167" s="287">
        <v>105932</v>
      </c>
      <c r="L167" s="315">
        <v>320967</v>
      </c>
      <c r="M167" s="287">
        <v>359648</v>
      </c>
      <c r="N167" s="287">
        <v>680615</v>
      </c>
      <c r="O167" s="287">
        <v>2747</v>
      </c>
      <c r="P167" s="287">
        <v>3760</v>
      </c>
      <c r="Q167" s="287">
        <v>6507</v>
      </c>
      <c r="R167" s="287">
        <v>65061</v>
      </c>
      <c r="S167" s="287">
        <v>38109</v>
      </c>
      <c r="T167" s="287">
        <v>103170</v>
      </c>
      <c r="U167" s="315">
        <v>578</v>
      </c>
      <c r="V167" s="287">
        <v>986</v>
      </c>
      <c r="W167" s="287">
        <v>1564</v>
      </c>
      <c r="X167" s="287">
        <v>6354</v>
      </c>
      <c r="Y167" s="287">
        <v>5603</v>
      </c>
      <c r="Z167" s="287">
        <v>11957</v>
      </c>
      <c r="AA167" s="287">
        <v>436730</v>
      </c>
      <c r="AB167" s="287">
        <v>482846</v>
      </c>
      <c r="AC167" s="287">
        <v>919576</v>
      </c>
    </row>
    <row r="168" spans="1:29">
      <c r="A168" s="907"/>
      <c r="B168" s="314" t="s">
        <v>299</v>
      </c>
      <c r="C168" s="96">
        <v>3054</v>
      </c>
      <c r="D168" s="96">
        <v>3823</v>
      </c>
      <c r="E168" s="96">
        <v>6877</v>
      </c>
      <c r="F168" s="96">
        <v>389</v>
      </c>
      <c r="G168" s="96">
        <v>513</v>
      </c>
      <c r="H168" s="96">
        <v>902</v>
      </c>
      <c r="I168" s="96">
        <v>39503.826149717264</v>
      </c>
      <c r="J168" s="96">
        <v>78005.528931813053</v>
      </c>
      <c r="K168" s="96">
        <v>117509.3550815303</v>
      </c>
      <c r="L168" s="97">
        <v>345398.71957293572</v>
      </c>
      <c r="M168" s="96">
        <v>343377.93994120578</v>
      </c>
      <c r="N168" s="96">
        <v>688776.6595141415</v>
      </c>
      <c r="O168" s="96">
        <v>3306</v>
      </c>
      <c r="P168" s="96">
        <v>4125</v>
      </c>
      <c r="Q168" s="96">
        <v>7431</v>
      </c>
      <c r="R168" s="96">
        <v>81647</v>
      </c>
      <c r="S168" s="96">
        <v>45198</v>
      </c>
      <c r="T168" s="96">
        <v>126845</v>
      </c>
      <c r="U168" s="97">
        <v>391</v>
      </c>
      <c r="V168" s="96">
        <v>893</v>
      </c>
      <c r="W168" s="96">
        <v>1284</v>
      </c>
      <c r="X168" s="96">
        <v>5416</v>
      </c>
      <c r="Y168" s="96">
        <v>4495</v>
      </c>
      <c r="Z168" s="96">
        <v>9911</v>
      </c>
      <c r="AA168" s="98">
        <f t="shared" ref="AA168:AC168" si="92">C168+F168+I168+L168+O168+R168+U168+X168</f>
        <v>479105.54572265298</v>
      </c>
      <c r="AB168" s="98">
        <f t="shared" si="92"/>
        <v>480430.46887301886</v>
      </c>
      <c r="AC168" s="98">
        <f t="shared" si="92"/>
        <v>959536.01459567179</v>
      </c>
    </row>
    <row r="169" spans="1:29">
      <c r="A169" s="907"/>
      <c r="B169" s="314" t="s">
        <v>298</v>
      </c>
      <c r="C169" s="100">
        <v>3151</v>
      </c>
      <c r="D169" s="100">
        <v>3692</v>
      </c>
      <c r="E169" s="101">
        <v>6843</v>
      </c>
      <c r="F169" s="100">
        <v>509</v>
      </c>
      <c r="G169" s="100">
        <v>714</v>
      </c>
      <c r="H169" s="101">
        <v>1223</v>
      </c>
      <c r="I169" s="100">
        <v>39984</v>
      </c>
      <c r="J169" s="100">
        <v>78711</v>
      </c>
      <c r="K169" s="101">
        <v>118695</v>
      </c>
      <c r="L169" s="102">
        <v>332886</v>
      </c>
      <c r="M169" s="100">
        <v>310573</v>
      </c>
      <c r="N169" s="101">
        <v>643459</v>
      </c>
      <c r="O169" s="100">
        <v>3475</v>
      </c>
      <c r="P169" s="100">
        <v>4173</v>
      </c>
      <c r="Q169" s="101">
        <v>7648</v>
      </c>
      <c r="R169" s="100">
        <v>87672</v>
      </c>
      <c r="S169" s="100">
        <v>41821</v>
      </c>
      <c r="T169" s="101">
        <v>129493</v>
      </c>
      <c r="U169" s="102">
        <v>693</v>
      </c>
      <c r="V169" s="100">
        <v>1185</v>
      </c>
      <c r="W169" s="101">
        <v>1878</v>
      </c>
      <c r="X169" s="100">
        <v>4489</v>
      </c>
      <c r="Y169" s="100">
        <v>3822</v>
      </c>
      <c r="Z169" s="101">
        <v>8311</v>
      </c>
      <c r="AA169" s="101">
        <v>472859</v>
      </c>
      <c r="AB169" s="101">
        <v>444691</v>
      </c>
      <c r="AC169" s="101">
        <f t="shared" ref="AC169" si="93">SUM(AA169+AB169)</f>
        <v>917550</v>
      </c>
    </row>
    <row r="170" spans="1:29">
      <c r="A170" s="907">
        <v>28</v>
      </c>
      <c r="B170" s="309" t="s">
        <v>42</v>
      </c>
      <c r="C170" s="310"/>
      <c r="D170" s="310"/>
      <c r="E170" s="310"/>
      <c r="F170" s="310"/>
      <c r="G170" s="310"/>
      <c r="H170" s="310"/>
      <c r="I170" s="310"/>
      <c r="J170" s="310"/>
      <c r="K170" s="311"/>
      <c r="L170" s="310"/>
      <c r="M170" s="310"/>
      <c r="N170" s="310"/>
      <c r="O170" s="310"/>
      <c r="P170" s="310"/>
      <c r="Q170" s="310"/>
      <c r="R170" s="310"/>
      <c r="S170" s="310"/>
      <c r="T170" s="311"/>
      <c r="U170" s="310"/>
      <c r="V170" s="310"/>
      <c r="W170" s="310"/>
      <c r="X170" s="310"/>
      <c r="Y170" s="310"/>
      <c r="Z170" s="310"/>
      <c r="AA170" s="310"/>
      <c r="AB170" s="310"/>
      <c r="AC170" s="311"/>
    </row>
    <row r="171" spans="1:29">
      <c r="A171" s="907"/>
      <c r="B171" s="312" t="s">
        <v>997</v>
      </c>
      <c r="C171" s="313">
        <v>6588</v>
      </c>
      <c r="D171" s="313">
        <v>6379</v>
      </c>
      <c r="E171" s="313">
        <v>12967</v>
      </c>
      <c r="F171" s="313">
        <v>166</v>
      </c>
      <c r="G171" s="313">
        <v>104</v>
      </c>
      <c r="H171" s="313">
        <v>270</v>
      </c>
      <c r="I171" s="313">
        <v>113499</v>
      </c>
      <c r="J171" s="313">
        <v>134819</v>
      </c>
      <c r="K171" s="313">
        <v>248318</v>
      </c>
      <c r="L171" s="313">
        <v>1014468</v>
      </c>
      <c r="M171" s="313">
        <v>924253</v>
      </c>
      <c r="N171" s="313">
        <v>1938721</v>
      </c>
      <c r="O171" s="313">
        <v>7736</v>
      </c>
      <c r="P171" s="313">
        <v>4554</v>
      </c>
      <c r="Q171" s="313">
        <v>12290</v>
      </c>
      <c r="R171" s="313">
        <v>82769</v>
      </c>
      <c r="S171" s="313">
        <v>36538</v>
      </c>
      <c r="T171" s="313">
        <v>119307</v>
      </c>
      <c r="U171" s="313">
        <v>3930</v>
      </c>
      <c r="V171" s="313">
        <v>3916</v>
      </c>
      <c r="W171" s="313">
        <v>7846</v>
      </c>
      <c r="X171" s="313">
        <v>49148</v>
      </c>
      <c r="Y171" s="313">
        <v>43923</v>
      </c>
      <c r="Z171" s="313">
        <v>93071</v>
      </c>
      <c r="AA171" s="313">
        <v>1278304</v>
      </c>
      <c r="AB171" s="313">
        <v>1154486</v>
      </c>
      <c r="AC171" s="313">
        <v>2432790</v>
      </c>
    </row>
    <row r="172" spans="1:29">
      <c r="A172" s="907"/>
      <c r="B172" s="314" t="s">
        <v>301</v>
      </c>
      <c r="C172" s="259">
        <f ca="1">SUMIF('[2]7UnivActwithConsUnit'!$B:$B,$C172,'[2]7UnivActwithConsUnit'!D:D)+SUMIF('[2]8CollegeAct'!$B:$B,$C172,'[2]8CollegeAct'!D:D)+SUMIF(#REF!,$C172,#REF!)</f>
        <v>5478</v>
      </c>
      <c r="D172" s="259">
        <f ca="1">SUMIF('[2]7UnivActwithConsUnit'!$B:$B,$C172,'[2]7UnivActwithConsUnit'!E:E)+SUMIF('[2]8CollegeAct'!$B:$B,$C172,'[2]8CollegeAct'!E:E)+SUMIF(#REF!,$C172,#REF!)</f>
        <v>5372</v>
      </c>
      <c r="E172" s="259">
        <f ca="1">SUMIF('[2]7UnivActwithConsUnit'!$B:$B,$C172,'[2]7UnivActwithConsUnit'!F:F)+SUMIF('[2]8CollegeAct'!$B:$B,$C172,'[2]8CollegeAct'!F:F)+SUMIF(#REF!,$C172,#REF!)</f>
        <v>10850</v>
      </c>
      <c r="F172" s="259">
        <f ca="1">SUMIF('[2]7UnivActwithConsUnit'!$B:$B,$C172,'[2]7UnivActwithConsUnit'!G:G)+SUMIF('[2]8CollegeAct'!$B:$B,$C172,'[2]8CollegeAct'!G:G)+SUMIF(#REF!,$C172,#REF!)</f>
        <v>261</v>
      </c>
      <c r="G172" s="259">
        <f ca="1">SUMIF('[2]7UnivActwithConsUnit'!$B:$B,$C172,'[2]7UnivActwithConsUnit'!H:H)+SUMIF('[2]8CollegeAct'!$B:$B,$C172,'[2]8CollegeAct'!H:H)+SUMIF(#REF!,$C172,#REF!)</f>
        <v>203</v>
      </c>
      <c r="H172" s="259">
        <f ca="1">SUMIF('[2]7UnivActwithConsUnit'!$B:$B,$C172,'[2]7UnivActwithConsUnit'!I:I)+SUMIF('[2]8CollegeAct'!$B:$B,$C172,'[2]8CollegeAct'!I:I)+SUMIF(#REF!,$C172,#REF!)</f>
        <v>464</v>
      </c>
      <c r="I172" s="259">
        <f ca="1">SUMIF('[2]7UnivActwithConsUnit'!$B:$B,$C172,'[2]7UnivActwithConsUnit'!J:J)+SUMIF('[2]10CollegeEst'!$B:$B,$C172,'[2]10CollegeEst'!B:B)+SUMIF(#REF!,$C172,#REF!)</f>
        <v>115851</v>
      </c>
      <c r="J172" s="259">
        <f ca="1">SUMIF('[2]7UnivActwithConsUnit'!$B:$B,$C172,'[2]7UnivActwithConsUnit'!K:K)+SUMIF('[2]10CollegeEst'!$B:$B,$C172,'[2]10CollegeEst'!C:C)+SUMIF(#REF!,$C172,#REF!)</f>
        <v>130222</v>
      </c>
      <c r="K172" s="259">
        <f ca="1">SUMIF('[2]7UnivActwithConsUnit'!$B:$B,$C172,'[2]7UnivActwithConsUnit'!L:L)+SUMIF('[2]10CollegeEst'!$B:$B,$C172,'[2]10CollegeEst'!D:D)+SUMIF(#REF!,$C172,#REF!)</f>
        <v>246073</v>
      </c>
      <c r="L172" s="260">
        <f ca="1">SUMIF('[2]7UnivActwithConsUnit'!$B:$B,$C172,'[2]7UnivActwithConsUnit'!M:M)+SUMIF('[2]10CollegeEst'!$B:$B,$C172,'[2]10CollegeEst'!E:E)+SUMIF(#REF!,$C172,#REF!)</f>
        <v>907391</v>
      </c>
      <c r="M172" s="259">
        <f ca="1">SUMIF('[2]7UnivActwithConsUnit'!$B:$B,$C172,'[2]7UnivActwithConsUnit'!N:N)+SUMIF('[2]10CollegeEst'!$B:$B,$C172,'[2]10CollegeEst'!F:F)+SUMIF(#REF!,$C172,#REF!)</f>
        <v>853674</v>
      </c>
      <c r="N172" s="259">
        <f ca="1">SUMIF('[2]7UnivActwithConsUnit'!$B:$B,$C172,'[2]7UnivActwithConsUnit'!O:O)+SUMIF('[2]10CollegeEst'!$B:$B,$C172,'[2]10CollegeEst'!G:G)+SUMIF(#REF!,$C172,#REF!)</f>
        <v>1761065</v>
      </c>
      <c r="O172" s="259">
        <f ca="1">SUMIF('[2]7UnivActwithConsUnit'!$B:$B,$C172,'[2]7UnivActwithConsUnit'!P:P)+SUMIF('[2]8CollegeAct'!$B:$B,$C172,'[2]8CollegeAct'!P:P)+SUMIF(#REF!,$C172,#REF!)</f>
        <v>5382</v>
      </c>
      <c r="P172" s="259">
        <f ca="1">SUMIF('[2]7UnivActwithConsUnit'!$B:$B,$C172,'[2]7UnivActwithConsUnit'!Q:Q)+SUMIF('[2]8CollegeAct'!$B:$B,$C172,'[2]8CollegeAct'!Q:Q)+SUMIF(#REF!,$C172,#REF!)</f>
        <v>3845</v>
      </c>
      <c r="Q172" s="259">
        <f ca="1">SUMIF('[2]7UnivActwithConsUnit'!$B:$B,$C172,'[2]7UnivActwithConsUnit'!R:R)+SUMIF('[2]8CollegeAct'!$B:$B,$C172,'[2]8CollegeAct'!R:R)+SUMIF(#REF!,$C172,#REF!)</f>
        <v>9227</v>
      </c>
      <c r="R172" s="259">
        <f ca="1">SUMIF('[2]7UnivActwithConsUnit'!$B:$B,$C172,'[2]7UnivActwithConsUnit'!S:S)+SUMIF('[2]8CollegeAct'!$B:$B,$C172,'[2]8CollegeAct'!S:S)+SUMIF(#REF!,$C172,#REF!)</f>
        <v>80436</v>
      </c>
      <c r="S172" s="259">
        <f ca="1">SUMIF('[2]7UnivActwithConsUnit'!$B:$B,$C172,'[2]7UnivActwithConsUnit'!T:T)+SUMIF('[2]8CollegeAct'!$B:$B,$C172,'[2]8CollegeAct'!T:T)+SUMIF(#REF!,$C172,#REF!)</f>
        <v>30826</v>
      </c>
      <c r="T172" s="259">
        <f ca="1">SUMIF('[2]7UnivActwithConsUnit'!$B:$B,$C172,'[2]7UnivActwithConsUnit'!U:U)+SUMIF('[2]8CollegeAct'!$B:$B,$C172,'[2]8CollegeAct'!U:U)+SUMIF(#REF!,$C172,#REF!)</f>
        <v>111262</v>
      </c>
      <c r="U172" s="260">
        <f ca="1">SUMIF('[2]7UnivActwithConsUnit'!$B:$B,$C172,'[2]7UnivActwithConsUnit'!V:V)+SUMIF('[2]8CollegeAct'!$B:$B,$C172,'[2]8CollegeAct'!V:V)+SUMIF(#REF!,$C172,#REF!)</f>
        <v>6419</v>
      </c>
      <c r="V172" s="259">
        <f ca="1">SUMIF('[2]7UnivActwithConsUnit'!$B:$B,$C172,'[2]7UnivActwithConsUnit'!W:W)+SUMIF('[2]8CollegeAct'!$B:$B,$C172,'[2]8CollegeAct'!W:W)+SUMIF(#REF!,$C172,#REF!)</f>
        <v>6578</v>
      </c>
      <c r="W172" s="259">
        <f ca="1">SUMIF('[2]7UnivActwithConsUnit'!$B:$B,$C172,'[2]7UnivActwithConsUnit'!X:X)+SUMIF('[2]8CollegeAct'!$B:$B,$C172,'[2]8CollegeAct'!X:X)+SUMIF(#REF!,$C172,#REF!)</f>
        <v>12997</v>
      </c>
      <c r="X172" s="259">
        <f ca="1">SUMIF('[2]7UnivActwithConsUnit'!$B:$B,$C172,'[2]7UnivActwithConsUnit'!Y:Y)+SUMIF('[2]8CollegeAct'!$B:$B,$C172,'[2]8CollegeAct'!Y:Y)+SUMIF(#REF!,$C172,#REF!)</f>
        <v>29968</v>
      </c>
      <c r="Y172" s="259">
        <f ca="1">SUMIF('[2]7UnivActwithConsUnit'!$B:$B,$C172,'[2]7UnivActwithConsUnit'!Z:Z)+SUMIF('[2]8CollegeAct'!$B:$B,$C172,'[2]8CollegeAct'!Z:Z)+SUMIF(#REF!,$C172,#REF!)</f>
        <v>24611</v>
      </c>
      <c r="Z172" s="259">
        <f ca="1">SUMIF('[2]7UnivActwithConsUnit'!$B:$B,$C172,'[2]7UnivActwithConsUnit'!AA:AA)+SUMIF('[2]8CollegeAct'!$B:$B,$C172,'[2]8CollegeAct'!AA:AA)+SUMIF(#REF!,$C172,#REF!)</f>
        <v>54579</v>
      </c>
      <c r="AA172" s="261">
        <f t="shared" ref="AA172:AB172" ca="1" si="94">C172+F172+I172+L172+O172+R172+U172+X172</f>
        <v>1151186</v>
      </c>
      <c r="AB172" s="261">
        <f t="shared" ca="1" si="94"/>
        <v>1055331</v>
      </c>
      <c r="AC172" s="261">
        <f t="shared" ref="AC172" ca="1" si="95">AA172+AB172</f>
        <v>2206517</v>
      </c>
    </row>
    <row r="173" spans="1:29">
      <c r="A173" s="907"/>
      <c r="B173" s="314" t="s">
        <v>300</v>
      </c>
      <c r="C173" s="287">
        <v>5296</v>
      </c>
      <c r="D173" s="287">
        <v>5145</v>
      </c>
      <c r="E173" s="287">
        <v>10441</v>
      </c>
      <c r="F173" s="287">
        <v>116</v>
      </c>
      <c r="G173" s="287">
        <v>160</v>
      </c>
      <c r="H173" s="287">
        <v>276</v>
      </c>
      <c r="I173" s="287">
        <v>84372</v>
      </c>
      <c r="J173" s="287">
        <v>106455</v>
      </c>
      <c r="K173" s="287">
        <v>190827</v>
      </c>
      <c r="L173" s="315">
        <v>886191</v>
      </c>
      <c r="M173" s="287">
        <v>843108</v>
      </c>
      <c r="N173" s="287">
        <v>1729299</v>
      </c>
      <c r="O173" s="287">
        <v>7179</v>
      </c>
      <c r="P173" s="287">
        <v>3756</v>
      </c>
      <c r="Q173" s="287">
        <v>10935</v>
      </c>
      <c r="R173" s="287">
        <v>77667</v>
      </c>
      <c r="S173" s="287">
        <v>25025</v>
      </c>
      <c r="T173" s="287">
        <v>102692</v>
      </c>
      <c r="U173" s="315">
        <v>5540</v>
      </c>
      <c r="V173" s="287">
        <v>5983</v>
      </c>
      <c r="W173" s="287">
        <v>11523</v>
      </c>
      <c r="X173" s="287">
        <v>16105</v>
      </c>
      <c r="Y173" s="287">
        <v>12315</v>
      </c>
      <c r="Z173" s="287">
        <v>28420</v>
      </c>
      <c r="AA173" s="287">
        <v>1082466</v>
      </c>
      <c r="AB173" s="287">
        <v>1001947</v>
      </c>
      <c r="AC173" s="287">
        <v>2084413</v>
      </c>
    </row>
    <row r="174" spans="1:29">
      <c r="A174" s="907"/>
      <c r="B174" s="314" t="s">
        <v>299</v>
      </c>
      <c r="C174" s="96">
        <v>3925</v>
      </c>
      <c r="D174" s="96">
        <v>4054</v>
      </c>
      <c r="E174" s="96">
        <v>7979</v>
      </c>
      <c r="F174" s="96">
        <v>173</v>
      </c>
      <c r="G174" s="96">
        <v>182</v>
      </c>
      <c r="H174" s="96">
        <v>355</v>
      </c>
      <c r="I174" s="96">
        <v>106170.37170514696</v>
      </c>
      <c r="J174" s="96">
        <v>107050.69007486115</v>
      </c>
      <c r="K174" s="96">
        <v>213221.06178000811</v>
      </c>
      <c r="L174" s="97">
        <v>836893.31903304509</v>
      </c>
      <c r="M174" s="96">
        <v>732446.61857225199</v>
      </c>
      <c r="N174" s="96">
        <v>1569339.9376052972</v>
      </c>
      <c r="O174" s="96">
        <v>7771</v>
      </c>
      <c r="P174" s="96">
        <v>3782</v>
      </c>
      <c r="Q174" s="96">
        <v>11553</v>
      </c>
      <c r="R174" s="96">
        <v>86431</v>
      </c>
      <c r="S174" s="96">
        <v>22570</v>
      </c>
      <c r="T174" s="96">
        <v>109001</v>
      </c>
      <c r="U174" s="97">
        <v>5667</v>
      </c>
      <c r="V174" s="96">
        <v>6016</v>
      </c>
      <c r="W174" s="96">
        <v>11683</v>
      </c>
      <c r="X174" s="96">
        <v>7480</v>
      </c>
      <c r="Y174" s="96">
        <v>5592</v>
      </c>
      <c r="Z174" s="96">
        <v>13072</v>
      </c>
      <c r="AA174" s="98">
        <f t="shared" ref="AA174:AC174" si="96">C174+F174+I174+L174+O174+R174+U174+X174</f>
        <v>1054510.6907381921</v>
      </c>
      <c r="AB174" s="98">
        <f t="shared" si="96"/>
        <v>881693.30864711315</v>
      </c>
      <c r="AC174" s="98">
        <f t="shared" si="96"/>
        <v>1936203.9993853052</v>
      </c>
    </row>
    <row r="175" spans="1:29">
      <c r="A175" s="907"/>
      <c r="B175" s="314" t="s">
        <v>298</v>
      </c>
      <c r="C175" s="100">
        <v>3672</v>
      </c>
      <c r="D175" s="100">
        <v>3338</v>
      </c>
      <c r="E175" s="101">
        <v>7010</v>
      </c>
      <c r="F175" s="100">
        <v>420</v>
      </c>
      <c r="G175" s="100">
        <v>191</v>
      </c>
      <c r="H175" s="101">
        <v>611</v>
      </c>
      <c r="I175" s="100">
        <v>90235</v>
      </c>
      <c r="J175" s="100">
        <v>96472</v>
      </c>
      <c r="K175" s="101">
        <v>186707</v>
      </c>
      <c r="L175" s="102">
        <v>801229</v>
      </c>
      <c r="M175" s="100">
        <v>681003</v>
      </c>
      <c r="N175" s="101">
        <v>1482232</v>
      </c>
      <c r="O175" s="100">
        <v>4725</v>
      </c>
      <c r="P175" s="100">
        <v>2785</v>
      </c>
      <c r="Q175" s="101">
        <v>7510</v>
      </c>
      <c r="R175" s="100">
        <v>81909</v>
      </c>
      <c r="S175" s="100">
        <v>18498</v>
      </c>
      <c r="T175" s="101">
        <v>100407</v>
      </c>
      <c r="U175" s="102">
        <v>6906</v>
      </c>
      <c r="V175" s="100">
        <v>6954</v>
      </c>
      <c r="W175" s="101">
        <v>13860</v>
      </c>
      <c r="X175" s="100">
        <v>5876</v>
      </c>
      <c r="Y175" s="100">
        <v>4238</v>
      </c>
      <c r="Z175" s="101">
        <v>10114</v>
      </c>
      <c r="AA175" s="101">
        <v>994972</v>
      </c>
      <c r="AB175" s="101">
        <v>813479</v>
      </c>
      <c r="AC175" s="101">
        <f t="shared" ref="AC175" si="97">SUM(AA175+AB175)</f>
        <v>1808451</v>
      </c>
    </row>
    <row r="176" spans="1:29">
      <c r="A176" s="907">
        <v>29</v>
      </c>
      <c r="B176" s="309" t="s">
        <v>43</v>
      </c>
      <c r="C176" s="310"/>
      <c r="D176" s="310"/>
      <c r="E176" s="310"/>
      <c r="F176" s="310"/>
      <c r="G176" s="310"/>
      <c r="H176" s="310"/>
      <c r="I176" s="310"/>
      <c r="J176" s="310"/>
      <c r="K176" s="311"/>
      <c r="L176" s="310"/>
      <c r="M176" s="310"/>
      <c r="N176" s="310"/>
      <c r="O176" s="310"/>
      <c r="P176" s="310"/>
      <c r="Q176" s="310"/>
      <c r="R176" s="310"/>
      <c r="S176" s="310"/>
      <c r="T176" s="311"/>
      <c r="U176" s="310"/>
      <c r="V176" s="310"/>
      <c r="W176" s="310"/>
      <c r="X176" s="310"/>
      <c r="Y176" s="310"/>
      <c r="Z176" s="310"/>
      <c r="AA176" s="310"/>
      <c r="AB176" s="310"/>
      <c r="AC176" s="311"/>
    </row>
    <row r="177" spans="1:29">
      <c r="A177" s="907"/>
      <c r="B177" s="312" t="s">
        <v>997</v>
      </c>
      <c r="C177" s="313">
        <v>115</v>
      </c>
      <c r="D177" s="313">
        <v>80</v>
      </c>
      <c r="E177" s="313">
        <v>195</v>
      </c>
      <c r="F177" s="313">
        <v>34</v>
      </c>
      <c r="G177" s="313">
        <v>30</v>
      </c>
      <c r="H177" s="313">
        <v>64</v>
      </c>
      <c r="I177" s="313">
        <v>2929</v>
      </c>
      <c r="J177" s="313">
        <v>4001</v>
      </c>
      <c r="K177" s="313">
        <v>6930</v>
      </c>
      <c r="L177" s="313">
        <v>12295</v>
      </c>
      <c r="M177" s="313">
        <v>12533</v>
      </c>
      <c r="N177" s="313">
        <v>24828</v>
      </c>
      <c r="O177" s="313">
        <v>32</v>
      </c>
      <c r="P177" s="313">
        <v>11</v>
      </c>
      <c r="Q177" s="313">
        <v>43</v>
      </c>
      <c r="R177" s="313">
        <v>1088</v>
      </c>
      <c r="S177" s="313">
        <v>1179</v>
      </c>
      <c r="T177" s="313">
        <v>2267</v>
      </c>
      <c r="U177" s="313">
        <v>61</v>
      </c>
      <c r="V177" s="313">
        <v>11</v>
      </c>
      <c r="W177" s="313">
        <v>72</v>
      </c>
      <c r="X177" s="313">
        <v>153</v>
      </c>
      <c r="Y177" s="313">
        <v>222</v>
      </c>
      <c r="Z177" s="313">
        <v>375</v>
      </c>
      <c r="AA177" s="313">
        <v>16707</v>
      </c>
      <c r="AB177" s="313">
        <v>18067</v>
      </c>
      <c r="AC177" s="313">
        <v>34774</v>
      </c>
    </row>
    <row r="178" spans="1:29">
      <c r="A178" s="907"/>
      <c r="B178" s="314" t="s">
        <v>301</v>
      </c>
      <c r="C178" s="259">
        <f ca="1">SUMIF('[2]7UnivActwithConsUnit'!$B:$B,$C178,'[2]7UnivActwithConsUnit'!D:D)+SUMIF('[2]8CollegeAct'!$B:$B,$C178,'[2]8CollegeAct'!D:D)+SUMIF(#REF!,$C178,#REF!)</f>
        <v>215</v>
      </c>
      <c r="D178" s="259">
        <f ca="1">SUMIF('[2]7UnivActwithConsUnit'!$B:$B,$C178,'[2]7UnivActwithConsUnit'!E:E)+SUMIF('[2]8CollegeAct'!$B:$B,$C178,'[2]8CollegeAct'!E:E)+SUMIF(#REF!,$C178,#REF!)</f>
        <v>195</v>
      </c>
      <c r="E178" s="259">
        <f ca="1">SUMIF('[2]7UnivActwithConsUnit'!$B:$B,$C178,'[2]7UnivActwithConsUnit'!F:F)+SUMIF('[2]8CollegeAct'!$B:$B,$C178,'[2]8CollegeAct'!F:F)+SUMIF(#REF!,$C178,#REF!)</f>
        <v>410</v>
      </c>
      <c r="F178" s="259">
        <f ca="1">SUMIF('[2]7UnivActwithConsUnit'!$B:$B,$C178,'[2]7UnivActwithConsUnit'!G:G)+SUMIF('[2]8CollegeAct'!$B:$B,$C178,'[2]8CollegeAct'!G:G)+SUMIF(#REF!,$C178,#REF!)</f>
        <v>43</v>
      </c>
      <c r="G178" s="259">
        <f ca="1">SUMIF('[2]7UnivActwithConsUnit'!$B:$B,$C178,'[2]7UnivActwithConsUnit'!H:H)+SUMIF('[2]8CollegeAct'!$B:$B,$C178,'[2]8CollegeAct'!H:H)+SUMIF(#REF!,$C178,#REF!)</f>
        <v>44</v>
      </c>
      <c r="H178" s="259">
        <f ca="1">SUMIF('[2]7UnivActwithConsUnit'!$B:$B,$C178,'[2]7UnivActwithConsUnit'!I:I)+SUMIF('[2]8CollegeAct'!$B:$B,$C178,'[2]8CollegeAct'!I:I)+SUMIF(#REF!,$C178,#REF!)</f>
        <v>87</v>
      </c>
      <c r="I178" s="259">
        <f ca="1">SUMIF('[2]7UnivActwithConsUnit'!$B:$B,$C178,'[2]7UnivActwithConsUnit'!J:J)+SUMIF('[2]10CollegeEst'!$B:$B,$C178,'[2]10CollegeEst'!B:B)+SUMIF(#REF!,$C178,#REF!)</f>
        <v>17445</v>
      </c>
      <c r="J178" s="259">
        <f ca="1">SUMIF('[2]7UnivActwithConsUnit'!$B:$B,$C178,'[2]7UnivActwithConsUnit'!K:K)+SUMIF('[2]10CollegeEst'!$B:$B,$C178,'[2]10CollegeEst'!C:C)+SUMIF(#REF!,$C178,#REF!)</f>
        <v>10667</v>
      </c>
      <c r="K178" s="259">
        <f ca="1">SUMIF('[2]7UnivActwithConsUnit'!$B:$B,$C178,'[2]7UnivActwithConsUnit'!L:L)+SUMIF('[2]10CollegeEst'!$B:$B,$C178,'[2]10CollegeEst'!D:D)+SUMIF(#REF!,$C178,#REF!)</f>
        <v>28112</v>
      </c>
      <c r="L178" s="260">
        <f ca="1">SUMIF('[2]7UnivActwithConsUnit'!$B:$B,$C178,'[2]7UnivActwithConsUnit'!M:M)+SUMIF('[2]10CollegeEst'!$B:$B,$C178,'[2]10CollegeEst'!E:E)+SUMIF(#REF!,$C178,#REF!)</f>
        <v>14134</v>
      </c>
      <c r="M178" s="259">
        <f ca="1">SUMIF('[2]7UnivActwithConsUnit'!$B:$B,$C178,'[2]7UnivActwithConsUnit'!N:N)+SUMIF('[2]10CollegeEst'!$B:$B,$C178,'[2]10CollegeEst'!F:F)+SUMIF(#REF!,$C178,#REF!)</f>
        <v>12730</v>
      </c>
      <c r="N178" s="259">
        <f ca="1">SUMIF('[2]7UnivActwithConsUnit'!$B:$B,$C178,'[2]7UnivActwithConsUnit'!O:O)+SUMIF('[2]10CollegeEst'!$B:$B,$C178,'[2]10CollegeEst'!G:G)+SUMIF(#REF!,$C178,#REF!)</f>
        <v>26864</v>
      </c>
      <c r="O178" s="259">
        <f ca="1">SUMIF('[2]7UnivActwithConsUnit'!$B:$B,$C178,'[2]7UnivActwithConsUnit'!P:P)+SUMIF('[2]8CollegeAct'!$B:$B,$C178,'[2]8CollegeAct'!P:P)+SUMIF(#REF!,$C178,#REF!)</f>
        <v>23</v>
      </c>
      <c r="P178" s="259">
        <f ca="1">SUMIF('[2]7UnivActwithConsUnit'!$B:$B,$C178,'[2]7UnivActwithConsUnit'!Q:Q)+SUMIF('[2]8CollegeAct'!$B:$B,$C178,'[2]8CollegeAct'!Q:Q)+SUMIF(#REF!,$C178,#REF!)</f>
        <v>18</v>
      </c>
      <c r="Q178" s="259">
        <f ca="1">SUMIF('[2]7UnivActwithConsUnit'!$B:$B,$C178,'[2]7UnivActwithConsUnit'!R:R)+SUMIF('[2]8CollegeAct'!$B:$B,$C178,'[2]8CollegeAct'!R:R)+SUMIF(#REF!,$C178,#REF!)</f>
        <v>41</v>
      </c>
      <c r="R178" s="259">
        <f ca="1">SUMIF('[2]7UnivActwithConsUnit'!$B:$B,$C178,'[2]7UnivActwithConsUnit'!S:S)+SUMIF('[2]8CollegeAct'!$B:$B,$C178,'[2]8CollegeAct'!S:S)+SUMIF(#REF!,$C178,#REF!)</f>
        <v>1035</v>
      </c>
      <c r="S178" s="259">
        <f ca="1">SUMIF('[2]7UnivActwithConsUnit'!$B:$B,$C178,'[2]7UnivActwithConsUnit'!T:T)+SUMIF('[2]8CollegeAct'!$B:$B,$C178,'[2]8CollegeAct'!T:T)+SUMIF(#REF!,$C178,#REF!)</f>
        <v>1164</v>
      </c>
      <c r="T178" s="259">
        <f ca="1">SUMIF('[2]7UnivActwithConsUnit'!$B:$B,$C178,'[2]7UnivActwithConsUnit'!U:U)+SUMIF('[2]8CollegeAct'!$B:$B,$C178,'[2]8CollegeAct'!U:U)+SUMIF(#REF!,$C178,#REF!)</f>
        <v>2199</v>
      </c>
      <c r="U178" s="259">
        <f ca="1">SUMIF('[2]7UnivActwithConsUnit'!$B:$B,$C178,'[2]7UnivActwithConsUnit'!V:V)+SUMIF('[2]8CollegeAct'!$B:$B,$C178,'[2]8CollegeAct'!V:V)+SUMIF(#REF!,$C178,#REF!)</f>
        <v>34</v>
      </c>
      <c r="V178" s="259">
        <f ca="1">SUMIF('[2]7UnivActwithConsUnit'!$B:$B,$C178,'[2]7UnivActwithConsUnit'!W:W)+SUMIF('[2]8CollegeAct'!$B:$B,$C178,'[2]8CollegeAct'!W:W)+SUMIF(#REF!,$C178,#REF!)</f>
        <v>6</v>
      </c>
      <c r="W178" s="259">
        <f ca="1">SUMIF('[2]7UnivActwithConsUnit'!$B:$B,$C178,'[2]7UnivActwithConsUnit'!X:X)+SUMIF('[2]8CollegeAct'!$B:$B,$C178,'[2]8CollegeAct'!X:X)+SUMIF(#REF!,$C178,#REF!)</f>
        <v>40</v>
      </c>
      <c r="X178" s="259">
        <f ca="1">SUMIF('[2]7UnivActwithConsUnit'!$B:$B,$C178,'[2]7UnivActwithConsUnit'!Y:Y)+SUMIF('[2]8CollegeAct'!$B:$B,$C178,'[2]8CollegeAct'!Y:Y)+SUMIF(#REF!,$C178,#REF!)</f>
        <v>120</v>
      </c>
      <c r="Y178" s="259">
        <f ca="1">SUMIF('[2]7UnivActwithConsUnit'!$B:$B,$C178,'[2]7UnivActwithConsUnit'!Z:Z)+SUMIF('[2]8CollegeAct'!$B:$B,$C178,'[2]8CollegeAct'!Z:Z)+SUMIF(#REF!,$C178,#REF!)</f>
        <v>198</v>
      </c>
      <c r="Z178" s="259">
        <f ca="1">SUMIF('[2]7UnivActwithConsUnit'!$B:$B,$C178,'[2]7UnivActwithConsUnit'!AA:AA)+SUMIF('[2]8CollegeAct'!$B:$B,$C178,'[2]8CollegeAct'!AA:AA)+SUMIF(#REF!,$C178,#REF!)</f>
        <v>318</v>
      </c>
      <c r="AA178" s="261">
        <f t="shared" ref="AA178:AB178" ca="1" si="98">C178+F178+I178+L178+O178+R178+U178+X178</f>
        <v>33049</v>
      </c>
      <c r="AB178" s="261">
        <f t="shared" ca="1" si="98"/>
        <v>25022</v>
      </c>
      <c r="AC178" s="261">
        <f t="shared" ref="AC178" ca="1" si="99">AA178+AB178</f>
        <v>58071</v>
      </c>
    </row>
    <row r="179" spans="1:29">
      <c r="A179" s="907"/>
      <c r="B179" s="314" t="s">
        <v>300</v>
      </c>
      <c r="C179" s="287">
        <v>211</v>
      </c>
      <c r="D179" s="287">
        <v>188</v>
      </c>
      <c r="E179" s="287">
        <v>399</v>
      </c>
      <c r="F179" s="287">
        <v>37</v>
      </c>
      <c r="G179" s="287">
        <v>42</v>
      </c>
      <c r="H179" s="287">
        <v>79</v>
      </c>
      <c r="I179" s="287">
        <v>8508</v>
      </c>
      <c r="J179" s="287">
        <v>6515</v>
      </c>
      <c r="K179" s="287">
        <v>15023</v>
      </c>
      <c r="L179" s="315">
        <v>11531</v>
      </c>
      <c r="M179" s="287">
        <v>12039</v>
      </c>
      <c r="N179" s="287">
        <v>23570</v>
      </c>
      <c r="O179" s="287">
        <v>22</v>
      </c>
      <c r="P179" s="287">
        <v>34</v>
      </c>
      <c r="Q179" s="287">
        <v>56</v>
      </c>
      <c r="R179" s="287">
        <v>1033</v>
      </c>
      <c r="S179" s="287">
        <v>1070</v>
      </c>
      <c r="T179" s="287">
        <v>2103</v>
      </c>
      <c r="U179" s="287">
        <v>37</v>
      </c>
      <c r="V179" s="287">
        <v>10</v>
      </c>
      <c r="W179" s="287">
        <v>47</v>
      </c>
      <c r="X179" s="287">
        <v>110</v>
      </c>
      <c r="Y179" s="287">
        <v>185</v>
      </c>
      <c r="Z179" s="287">
        <v>295</v>
      </c>
      <c r="AA179" s="287">
        <v>21489</v>
      </c>
      <c r="AB179" s="287">
        <v>20083</v>
      </c>
      <c r="AC179" s="287">
        <v>41572</v>
      </c>
    </row>
    <row r="180" spans="1:29">
      <c r="A180" s="907"/>
      <c r="B180" s="314" t="s">
        <v>299</v>
      </c>
      <c r="C180" s="96">
        <v>77</v>
      </c>
      <c r="D180" s="96">
        <v>53</v>
      </c>
      <c r="E180" s="96">
        <v>130</v>
      </c>
      <c r="F180" s="96">
        <v>9</v>
      </c>
      <c r="G180" s="96">
        <v>17</v>
      </c>
      <c r="H180" s="96">
        <v>26</v>
      </c>
      <c r="I180" s="96">
        <v>3759.5255862399313</v>
      </c>
      <c r="J180" s="96">
        <v>3863.1687979276207</v>
      </c>
      <c r="K180" s="96">
        <v>7622.694384167552</v>
      </c>
      <c r="L180" s="97">
        <v>8697.2705217815437</v>
      </c>
      <c r="M180" s="96">
        <v>10304.41023975084</v>
      </c>
      <c r="N180" s="96">
        <v>19001.680761532381</v>
      </c>
      <c r="O180" s="96">
        <v>16</v>
      </c>
      <c r="P180" s="96">
        <v>18</v>
      </c>
      <c r="Q180" s="96">
        <v>34</v>
      </c>
      <c r="R180" s="96">
        <v>906</v>
      </c>
      <c r="S180" s="96">
        <v>966</v>
      </c>
      <c r="T180" s="96">
        <v>1872</v>
      </c>
      <c r="U180" s="96">
        <v>6</v>
      </c>
      <c r="V180" s="96">
        <v>14</v>
      </c>
      <c r="W180" s="96">
        <v>20</v>
      </c>
      <c r="X180" s="96">
        <v>117</v>
      </c>
      <c r="Y180" s="96">
        <v>177</v>
      </c>
      <c r="Z180" s="96">
        <v>294</v>
      </c>
      <c r="AA180" s="98">
        <f t="shared" ref="AA180:AC180" si="100">C180+F180+I180+L180+O180+R180+U180+X180</f>
        <v>13587.796108021475</v>
      </c>
      <c r="AB180" s="98">
        <f t="shared" si="100"/>
        <v>15412.579037678461</v>
      </c>
      <c r="AC180" s="98">
        <f t="shared" si="100"/>
        <v>29000.375145699934</v>
      </c>
    </row>
    <row r="181" spans="1:29">
      <c r="A181" s="907"/>
      <c r="B181" s="314" t="s">
        <v>298</v>
      </c>
      <c r="C181" s="100">
        <v>107</v>
      </c>
      <c r="D181" s="100">
        <v>89</v>
      </c>
      <c r="E181" s="101">
        <v>196</v>
      </c>
      <c r="F181" s="100">
        <v>72</v>
      </c>
      <c r="G181" s="100">
        <v>75</v>
      </c>
      <c r="H181" s="101">
        <v>147</v>
      </c>
      <c r="I181" s="100">
        <v>4319</v>
      </c>
      <c r="J181" s="100">
        <v>4600</v>
      </c>
      <c r="K181" s="101">
        <v>8919</v>
      </c>
      <c r="L181" s="102">
        <v>8171</v>
      </c>
      <c r="M181" s="100">
        <v>9674</v>
      </c>
      <c r="N181" s="101">
        <v>17845</v>
      </c>
      <c r="O181" s="100">
        <v>10</v>
      </c>
      <c r="P181" s="100">
        <v>15</v>
      </c>
      <c r="Q181" s="101">
        <v>25</v>
      </c>
      <c r="R181" s="100">
        <v>854</v>
      </c>
      <c r="S181" s="100">
        <v>741</v>
      </c>
      <c r="T181" s="101">
        <v>1595</v>
      </c>
      <c r="U181" s="100">
        <v>9</v>
      </c>
      <c r="V181" s="100">
        <v>37</v>
      </c>
      <c r="W181" s="101">
        <v>46</v>
      </c>
      <c r="X181" s="100">
        <v>153</v>
      </c>
      <c r="Y181" s="100">
        <v>184</v>
      </c>
      <c r="Z181" s="101">
        <v>337</v>
      </c>
      <c r="AA181" s="101">
        <v>13695</v>
      </c>
      <c r="AB181" s="101">
        <v>15415</v>
      </c>
      <c r="AC181" s="101">
        <f t="shared" ref="AC181" si="101">SUM(AA181+AB181)</f>
        <v>29110</v>
      </c>
    </row>
    <row r="182" spans="1:29">
      <c r="A182" s="907">
        <v>30</v>
      </c>
      <c r="B182" s="309" t="s">
        <v>44</v>
      </c>
      <c r="C182" s="310"/>
      <c r="D182" s="310"/>
      <c r="E182" s="310"/>
      <c r="F182" s="310"/>
      <c r="G182" s="310"/>
      <c r="H182" s="310"/>
      <c r="I182" s="310"/>
      <c r="J182" s="310"/>
      <c r="K182" s="311"/>
      <c r="L182" s="310"/>
      <c r="M182" s="310"/>
      <c r="N182" s="310"/>
      <c r="O182" s="310"/>
      <c r="P182" s="310"/>
      <c r="Q182" s="310"/>
      <c r="R182" s="310"/>
      <c r="S182" s="310"/>
      <c r="T182" s="311"/>
      <c r="U182" s="310"/>
      <c r="V182" s="310"/>
      <c r="W182" s="310"/>
      <c r="X182" s="310"/>
      <c r="Y182" s="310"/>
      <c r="Z182" s="310"/>
      <c r="AA182" s="310"/>
      <c r="AB182" s="310"/>
      <c r="AC182" s="311"/>
    </row>
    <row r="183" spans="1:29">
      <c r="A183" s="907"/>
      <c r="B183" s="312" t="s">
        <v>997</v>
      </c>
      <c r="C183" s="313">
        <v>17443</v>
      </c>
      <c r="D183" s="313">
        <v>16968</v>
      </c>
      <c r="E183" s="313">
        <v>34411</v>
      </c>
      <c r="F183" s="313">
        <v>1696</v>
      </c>
      <c r="G183" s="313">
        <v>5007</v>
      </c>
      <c r="H183" s="313">
        <v>6703</v>
      </c>
      <c r="I183" s="313">
        <v>185725</v>
      </c>
      <c r="J183" s="313">
        <v>278930</v>
      </c>
      <c r="K183" s="313">
        <v>464655</v>
      </c>
      <c r="L183" s="313">
        <v>1182067</v>
      </c>
      <c r="M183" s="313">
        <v>1280466</v>
      </c>
      <c r="N183" s="313">
        <v>2462533</v>
      </c>
      <c r="O183" s="313">
        <v>9155</v>
      </c>
      <c r="P183" s="313">
        <v>6392</v>
      </c>
      <c r="Q183" s="313">
        <v>15547</v>
      </c>
      <c r="R183" s="313">
        <v>247335</v>
      </c>
      <c r="S183" s="313">
        <v>61174</v>
      </c>
      <c r="T183" s="313">
        <v>308509</v>
      </c>
      <c r="U183" s="313">
        <v>6676</v>
      </c>
      <c r="V183" s="313">
        <v>14108</v>
      </c>
      <c r="W183" s="313">
        <v>20784</v>
      </c>
      <c r="X183" s="313">
        <v>12056</v>
      </c>
      <c r="Y183" s="313">
        <v>11241</v>
      </c>
      <c r="Z183" s="313">
        <v>23297</v>
      </c>
      <c r="AA183" s="313">
        <v>1662153</v>
      </c>
      <c r="AB183" s="313">
        <v>1674286</v>
      </c>
      <c r="AC183" s="313">
        <v>3336439</v>
      </c>
    </row>
    <row r="184" spans="1:29">
      <c r="A184" s="907"/>
      <c r="B184" s="314" t="s">
        <v>301</v>
      </c>
      <c r="C184" s="259">
        <f ca="1">SUMIF('[2]7UnivActwithConsUnit'!$B:$B,$C184,'[2]7UnivActwithConsUnit'!D:D)+SUMIF('[2]8CollegeAct'!$B:$B,$C184,'[2]8CollegeAct'!D:D)+SUMIF(#REF!,$C184,#REF!)</f>
        <v>15828</v>
      </c>
      <c r="D184" s="259">
        <f ca="1">SUMIF('[2]7UnivActwithConsUnit'!$B:$B,$C184,'[2]7UnivActwithConsUnit'!E:E)+SUMIF('[2]8CollegeAct'!$B:$B,$C184,'[2]8CollegeAct'!E:E)+SUMIF(#REF!,$C184,#REF!)</f>
        <v>14832</v>
      </c>
      <c r="E184" s="259">
        <f ca="1">SUMIF('[2]7UnivActwithConsUnit'!$B:$B,$C184,'[2]7UnivActwithConsUnit'!F:F)+SUMIF('[2]8CollegeAct'!$B:$B,$C184,'[2]8CollegeAct'!F:F)+SUMIF(#REF!,$C184,#REF!)</f>
        <v>30660</v>
      </c>
      <c r="F184" s="259">
        <f ca="1">SUMIF('[2]7UnivActwithConsUnit'!$B:$B,$C184,'[2]7UnivActwithConsUnit'!G:G)+SUMIF('[2]8CollegeAct'!$B:$B,$C184,'[2]8CollegeAct'!G:G)+SUMIF(#REF!,$C184,#REF!)</f>
        <v>2470</v>
      </c>
      <c r="G184" s="259">
        <f ca="1">SUMIF('[2]7UnivActwithConsUnit'!$B:$B,$C184,'[2]7UnivActwithConsUnit'!H:H)+SUMIF('[2]8CollegeAct'!$B:$B,$C184,'[2]8CollegeAct'!H:H)+SUMIF(#REF!,$C184,#REF!)</f>
        <v>7309</v>
      </c>
      <c r="H184" s="259">
        <f ca="1">SUMIF('[2]7UnivActwithConsUnit'!$B:$B,$C184,'[2]7UnivActwithConsUnit'!I:I)+SUMIF('[2]8CollegeAct'!$B:$B,$C184,'[2]8CollegeAct'!I:I)+SUMIF(#REF!,$C184,#REF!)</f>
        <v>9779</v>
      </c>
      <c r="I184" s="259">
        <f ca="1">SUMIF('[2]7UnivActwithConsUnit'!$B:$B,$C184,'[2]7UnivActwithConsUnit'!J:J)+SUMIF('[2]10CollegeEst'!$B:$B,$C184,'[2]10CollegeEst'!B:B)+SUMIF(#REF!,$C184,#REF!)</f>
        <v>184265</v>
      </c>
      <c r="J184" s="259">
        <f ca="1">SUMIF('[2]7UnivActwithConsUnit'!$B:$B,$C184,'[2]7UnivActwithConsUnit'!K:K)+SUMIF('[2]10CollegeEst'!$B:$B,$C184,'[2]10CollegeEst'!C:C)+SUMIF(#REF!,$C184,#REF!)</f>
        <v>295673</v>
      </c>
      <c r="K184" s="259">
        <f ca="1">SUMIF('[2]7UnivActwithConsUnit'!$B:$B,$C184,'[2]7UnivActwithConsUnit'!L:L)+SUMIF('[2]10CollegeEst'!$B:$B,$C184,'[2]10CollegeEst'!D:D)+SUMIF(#REF!,$C184,#REF!)</f>
        <v>479938</v>
      </c>
      <c r="L184" s="260">
        <f ca="1">SUMIF('[2]7UnivActwithConsUnit'!$B:$B,$C184,'[2]7UnivActwithConsUnit'!M:M)+SUMIF('[2]10CollegeEst'!$B:$B,$C184,'[2]10CollegeEst'!E:E)+SUMIF(#REF!,$C184,#REF!)</f>
        <v>1260037</v>
      </c>
      <c r="M184" s="259">
        <f ca="1">SUMIF('[2]7UnivActwithConsUnit'!$B:$B,$C184,'[2]7UnivActwithConsUnit'!N:N)+SUMIF('[2]10CollegeEst'!$B:$B,$C184,'[2]10CollegeEst'!F:F)+SUMIF(#REF!,$C184,#REF!)</f>
        <v>1330973</v>
      </c>
      <c r="N184" s="259">
        <f ca="1">SUMIF('[2]7UnivActwithConsUnit'!$B:$B,$C184,'[2]7UnivActwithConsUnit'!O:O)+SUMIF('[2]10CollegeEst'!$B:$B,$C184,'[2]10CollegeEst'!G:G)+SUMIF(#REF!,$C184,#REF!)</f>
        <v>2591010</v>
      </c>
      <c r="O184" s="259">
        <f ca="1">SUMIF('[2]7UnivActwithConsUnit'!$B:$B,$C184,'[2]7UnivActwithConsUnit'!P:P)+SUMIF('[2]8CollegeAct'!$B:$B,$C184,'[2]8CollegeAct'!P:P)+SUMIF(#REF!,$C184,#REF!)</f>
        <v>9095</v>
      </c>
      <c r="P184" s="259">
        <f ca="1">SUMIF('[2]7UnivActwithConsUnit'!$B:$B,$C184,'[2]7UnivActwithConsUnit'!Q:Q)+SUMIF('[2]8CollegeAct'!$B:$B,$C184,'[2]8CollegeAct'!Q:Q)+SUMIF(#REF!,$C184,#REF!)</f>
        <v>6817</v>
      </c>
      <c r="Q184" s="259">
        <f ca="1">SUMIF('[2]7UnivActwithConsUnit'!$B:$B,$C184,'[2]7UnivActwithConsUnit'!R:R)+SUMIF('[2]8CollegeAct'!$B:$B,$C184,'[2]8CollegeAct'!R:R)+SUMIF(#REF!,$C184,#REF!)</f>
        <v>15912</v>
      </c>
      <c r="R184" s="259">
        <f ca="1">SUMIF('[2]7UnivActwithConsUnit'!$B:$B,$C184,'[2]7UnivActwithConsUnit'!S:S)+SUMIF('[2]8CollegeAct'!$B:$B,$C184,'[2]8CollegeAct'!S:S)+SUMIF(#REF!,$C184,#REF!)</f>
        <v>284382</v>
      </c>
      <c r="S184" s="259">
        <f ca="1">SUMIF('[2]7UnivActwithConsUnit'!$B:$B,$C184,'[2]7UnivActwithConsUnit'!T:T)+SUMIF('[2]8CollegeAct'!$B:$B,$C184,'[2]8CollegeAct'!T:T)+SUMIF(#REF!,$C184,#REF!)</f>
        <v>63535</v>
      </c>
      <c r="T184" s="259">
        <f ca="1">SUMIF('[2]7UnivActwithConsUnit'!$B:$B,$C184,'[2]7UnivActwithConsUnit'!U:U)+SUMIF('[2]8CollegeAct'!$B:$B,$C184,'[2]8CollegeAct'!U:U)+SUMIF(#REF!,$C184,#REF!)</f>
        <v>347917</v>
      </c>
      <c r="U184" s="259">
        <f ca="1">SUMIF('[2]7UnivActwithConsUnit'!$B:$B,$C184,'[2]7UnivActwithConsUnit'!V:V)+SUMIF('[2]8CollegeAct'!$B:$B,$C184,'[2]8CollegeAct'!V:V)+SUMIF(#REF!,$C184,#REF!)</f>
        <v>10615</v>
      </c>
      <c r="V184" s="259">
        <f ca="1">SUMIF('[2]7UnivActwithConsUnit'!$B:$B,$C184,'[2]7UnivActwithConsUnit'!W:W)+SUMIF('[2]8CollegeAct'!$B:$B,$C184,'[2]8CollegeAct'!W:W)+SUMIF(#REF!,$C184,#REF!)</f>
        <v>12496</v>
      </c>
      <c r="W184" s="259">
        <f ca="1">SUMIF('[2]7UnivActwithConsUnit'!$B:$B,$C184,'[2]7UnivActwithConsUnit'!X:X)+SUMIF('[2]8CollegeAct'!$B:$B,$C184,'[2]8CollegeAct'!X:X)+SUMIF(#REF!,$C184,#REF!)</f>
        <v>23111</v>
      </c>
      <c r="X184" s="259">
        <f ca="1">SUMIF('[2]7UnivActwithConsUnit'!$B:$B,$C184,'[2]7UnivActwithConsUnit'!Y:Y)+SUMIF('[2]8CollegeAct'!$B:$B,$C184,'[2]8CollegeAct'!Y:Y)+SUMIF(#REF!,$C184,#REF!)</f>
        <v>11494</v>
      </c>
      <c r="Y184" s="259">
        <f ca="1">SUMIF('[2]7UnivActwithConsUnit'!$B:$B,$C184,'[2]7UnivActwithConsUnit'!Z:Z)+SUMIF('[2]8CollegeAct'!$B:$B,$C184,'[2]8CollegeAct'!Z:Z)+SUMIF(#REF!,$C184,#REF!)</f>
        <v>10490</v>
      </c>
      <c r="Z184" s="259">
        <f ca="1">SUMIF('[2]7UnivActwithConsUnit'!$B:$B,$C184,'[2]7UnivActwithConsUnit'!AA:AA)+SUMIF('[2]8CollegeAct'!$B:$B,$C184,'[2]8CollegeAct'!AA:AA)+SUMIF(#REF!,$C184,#REF!)</f>
        <v>21984</v>
      </c>
      <c r="AA184" s="261">
        <f t="shared" ref="AA184:AB184" ca="1" si="102">C184+F184+I184+L184+O184+R184+U184+X184</f>
        <v>1778186</v>
      </c>
      <c r="AB184" s="261">
        <f t="shared" ca="1" si="102"/>
        <v>1742125</v>
      </c>
      <c r="AC184" s="261">
        <f t="shared" ref="AC184" ca="1" si="103">AA184+AB184</f>
        <v>3520311</v>
      </c>
    </row>
    <row r="185" spans="1:29">
      <c r="A185" s="907"/>
      <c r="B185" s="314" t="s">
        <v>300</v>
      </c>
      <c r="C185" s="287">
        <v>13699</v>
      </c>
      <c r="D185" s="287">
        <v>12121</v>
      </c>
      <c r="E185" s="287">
        <v>25820</v>
      </c>
      <c r="F185" s="287">
        <v>3281</v>
      </c>
      <c r="G185" s="287">
        <v>9144</v>
      </c>
      <c r="H185" s="287">
        <v>12425</v>
      </c>
      <c r="I185" s="287">
        <v>169812</v>
      </c>
      <c r="J185" s="287">
        <v>274576</v>
      </c>
      <c r="K185" s="287">
        <v>444388</v>
      </c>
      <c r="L185" s="315">
        <v>1206721</v>
      </c>
      <c r="M185" s="287">
        <v>1287997</v>
      </c>
      <c r="N185" s="287">
        <v>2494718</v>
      </c>
      <c r="O185" s="287">
        <v>7406</v>
      </c>
      <c r="P185" s="287">
        <v>5383</v>
      </c>
      <c r="Q185" s="287">
        <v>12789</v>
      </c>
      <c r="R185" s="287">
        <v>314888</v>
      </c>
      <c r="S185" s="287">
        <v>62697</v>
      </c>
      <c r="T185" s="287">
        <v>377585</v>
      </c>
      <c r="U185" s="287">
        <v>9959</v>
      </c>
      <c r="V185" s="287">
        <v>15892</v>
      </c>
      <c r="W185" s="287">
        <v>25851</v>
      </c>
      <c r="X185" s="287">
        <v>11104</v>
      </c>
      <c r="Y185" s="287">
        <v>9516</v>
      </c>
      <c r="Z185" s="287">
        <v>20620</v>
      </c>
      <c r="AA185" s="287">
        <v>1736870</v>
      </c>
      <c r="AB185" s="287">
        <v>1677326</v>
      </c>
      <c r="AC185" s="287">
        <v>3414196</v>
      </c>
    </row>
    <row r="186" spans="1:29">
      <c r="A186" s="907"/>
      <c r="B186" s="314" t="s">
        <v>299</v>
      </c>
      <c r="C186" s="96">
        <v>16267</v>
      </c>
      <c r="D186" s="96">
        <v>13511</v>
      </c>
      <c r="E186" s="96">
        <v>29778</v>
      </c>
      <c r="F186" s="96">
        <v>4424</v>
      </c>
      <c r="G186" s="96">
        <v>12755</v>
      </c>
      <c r="H186" s="96">
        <v>17179</v>
      </c>
      <c r="I186" s="96">
        <v>175011.63527593345</v>
      </c>
      <c r="J186" s="96">
        <v>263873.97833341575</v>
      </c>
      <c r="K186" s="96">
        <v>438885.61360934924</v>
      </c>
      <c r="L186" s="97">
        <v>1189690.2952759322</v>
      </c>
      <c r="M186" s="96">
        <v>1302087.0367209937</v>
      </c>
      <c r="N186" s="96">
        <v>2491777.3319969256</v>
      </c>
      <c r="O186" s="96">
        <v>9594</v>
      </c>
      <c r="P186" s="96">
        <v>8245</v>
      </c>
      <c r="Q186" s="96">
        <v>17839</v>
      </c>
      <c r="R186" s="96">
        <v>321101</v>
      </c>
      <c r="S186" s="96">
        <v>66605</v>
      </c>
      <c r="T186" s="96">
        <v>387706</v>
      </c>
      <c r="U186" s="96">
        <v>13852</v>
      </c>
      <c r="V186" s="96">
        <v>26641</v>
      </c>
      <c r="W186" s="96">
        <v>40493</v>
      </c>
      <c r="X186" s="96">
        <v>9375</v>
      </c>
      <c r="Y186" s="96">
        <v>7912</v>
      </c>
      <c r="Z186" s="96">
        <v>17287</v>
      </c>
      <c r="AA186" s="98">
        <f t="shared" ref="AA186:AC186" si="104">C186+F186+I186+L186+O186+R186+U186+X186</f>
        <v>1739314.9305518656</v>
      </c>
      <c r="AB186" s="98">
        <f t="shared" si="104"/>
        <v>1701630.0150544094</v>
      </c>
      <c r="AC186" s="98">
        <f t="shared" si="104"/>
        <v>3440944.945606275</v>
      </c>
    </row>
    <row r="187" spans="1:29">
      <c r="A187" s="907"/>
      <c r="B187" s="314" t="s">
        <v>298</v>
      </c>
      <c r="C187" s="100">
        <v>16363</v>
      </c>
      <c r="D187" s="100">
        <v>12321</v>
      </c>
      <c r="E187" s="101">
        <v>28684</v>
      </c>
      <c r="F187" s="100">
        <v>5850</v>
      </c>
      <c r="G187" s="100">
        <v>14811</v>
      </c>
      <c r="H187" s="101">
        <v>20661</v>
      </c>
      <c r="I187" s="100">
        <v>176324</v>
      </c>
      <c r="J187" s="100">
        <v>267673</v>
      </c>
      <c r="K187" s="101">
        <v>443997</v>
      </c>
      <c r="L187" s="102">
        <v>1181357</v>
      </c>
      <c r="M187" s="100">
        <v>1237806</v>
      </c>
      <c r="N187" s="101">
        <v>2419163</v>
      </c>
      <c r="O187" s="100">
        <v>9453</v>
      </c>
      <c r="P187" s="100">
        <v>5277</v>
      </c>
      <c r="Q187" s="101">
        <v>14730</v>
      </c>
      <c r="R187" s="100">
        <v>330083</v>
      </c>
      <c r="S187" s="100">
        <v>69119</v>
      </c>
      <c r="T187" s="101">
        <v>399202</v>
      </c>
      <c r="U187" s="100">
        <v>7805</v>
      </c>
      <c r="V187" s="100">
        <v>22098</v>
      </c>
      <c r="W187" s="101">
        <v>29903</v>
      </c>
      <c r="X187" s="100">
        <v>8301</v>
      </c>
      <c r="Y187" s="100">
        <v>6710</v>
      </c>
      <c r="Z187" s="101">
        <v>15011</v>
      </c>
      <c r="AA187" s="101">
        <v>1735536</v>
      </c>
      <c r="AB187" s="101">
        <v>1635815</v>
      </c>
      <c r="AC187" s="101">
        <f t="shared" ref="AC187" si="105">SUM(AA187+AB187)</f>
        <v>3371351</v>
      </c>
    </row>
    <row r="188" spans="1:29">
      <c r="A188" s="907">
        <v>31</v>
      </c>
      <c r="B188" s="309" t="s">
        <v>142</v>
      </c>
      <c r="C188" s="310"/>
      <c r="D188" s="310"/>
      <c r="E188" s="310"/>
      <c r="F188" s="310"/>
      <c r="G188" s="310"/>
      <c r="H188" s="310"/>
      <c r="I188" s="310"/>
      <c r="J188" s="310"/>
      <c r="K188" s="311"/>
      <c r="L188" s="310"/>
      <c r="M188" s="310"/>
      <c r="N188" s="310"/>
      <c r="O188" s="310"/>
      <c r="P188" s="310"/>
      <c r="Q188" s="310"/>
      <c r="R188" s="310"/>
      <c r="S188" s="310"/>
      <c r="T188" s="311"/>
      <c r="U188" s="310"/>
      <c r="V188" s="310"/>
      <c r="W188" s="310"/>
      <c r="X188" s="310"/>
      <c r="Y188" s="310"/>
      <c r="Z188" s="310"/>
      <c r="AA188" s="310"/>
      <c r="AB188" s="310"/>
      <c r="AC188" s="311"/>
    </row>
    <row r="189" spans="1:29">
      <c r="A189" s="907"/>
      <c r="B189" s="312" t="s">
        <v>997</v>
      </c>
      <c r="C189" s="313">
        <v>4228</v>
      </c>
      <c r="D189" s="313">
        <v>2487</v>
      </c>
      <c r="E189" s="313">
        <v>6715</v>
      </c>
      <c r="F189" s="313">
        <v>106</v>
      </c>
      <c r="G189" s="313">
        <v>74</v>
      </c>
      <c r="H189" s="313">
        <v>180</v>
      </c>
      <c r="I189" s="313">
        <v>86425</v>
      </c>
      <c r="J189" s="313">
        <v>109813</v>
      </c>
      <c r="K189" s="313">
        <v>196238</v>
      </c>
      <c r="L189" s="313">
        <v>617563</v>
      </c>
      <c r="M189" s="313">
        <v>634298</v>
      </c>
      <c r="N189" s="313">
        <v>1251861</v>
      </c>
      <c r="O189" s="313">
        <v>4791</v>
      </c>
      <c r="P189" s="313">
        <v>3180</v>
      </c>
      <c r="Q189" s="313">
        <v>7971</v>
      </c>
      <c r="R189" s="313">
        <v>56054</v>
      </c>
      <c r="S189" s="313">
        <v>43630</v>
      </c>
      <c r="T189" s="313">
        <v>99684</v>
      </c>
      <c r="U189" s="313">
        <v>2276</v>
      </c>
      <c r="V189" s="313">
        <v>2203</v>
      </c>
      <c r="W189" s="313">
        <v>4479</v>
      </c>
      <c r="X189" s="313">
        <v>3866</v>
      </c>
      <c r="Y189" s="313">
        <v>2792</v>
      </c>
      <c r="Z189" s="313">
        <v>6658</v>
      </c>
      <c r="AA189" s="313">
        <v>775309</v>
      </c>
      <c r="AB189" s="313">
        <v>798477</v>
      </c>
      <c r="AC189" s="313">
        <v>1573786</v>
      </c>
    </row>
    <row r="190" spans="1:29">
      <c r="A190" s="907"/>
      <c r="B190" s="314" t="s">
        <v>301</v>
      </c>
      <c r="C190" s="259">
        <f ca="1">SUMIF('[2]7UnivActwithConsUnit'!$B:$B,$C190,'[2]7UnivActwithConsUnit'!D:D)+SUMIF('[2]8CollegeAct'!$B:$B,$C190,'[2]8CollegeAct'!D:D)+SUMIF(#REF!,$C190,#REF!)</f>
        <v>3507</v>
      </c>
      <c r="D190" s="259">
        <f ca="1">SUMIF('[2]7UnivActwithConsUnit'!$B:$B,$C190,'[2]7UnivActwithConsUnit'!E:E)+SUMIF('[2]8CollegeAct'!$B:$B,$C190,'[2]8CollegeAct'!E:E)+SUMIF(#REF!,$C190,#REF!)</f>
        <v>2001</v>
      </c>
      <c r="E190" s="259">
        <f ca="1">SUMIF('[2]7UnivActwithConsUnit'!$B:$B,$C190,'[2]7UnivActwithConsUnit'!F:F)+SUMIF('[2]8CollegeAct'!$B:$B,$C190,'[2]8CollegeAct'!F:F)+SUMIF(#REF!,$C190,#REF!)</f>
        <v>5508</v>
      </c>
      <c r="F190" s="259">
        <f ca="1">SUMIF('[2]7UnivActwithConsUnit'!$B:$B,$C190,'[2]7UnivActwithConsUnit'!G:G)+SUMIF('[2]8CollegeAct'!$B:$B,$C190,'[2]8CollegeAct'!G:G)+SUMIF(#REF!,$C190,#REF!)</f>
        <v>203</v>
      </c>
      <c r="G190" s="259">
        <f ca="1">SUMIF('[2]7UnivActwithConsUnit'!$B:$B,$C190,'[2]7UnivActwithConsUnit'!H:H)+SUMIF('[2]8CollegeAct'!$B:$B,$C190,'[2]8CollegeAct'!H:H)+SUMIF(#REF!,$C190,#REF!)</f>
        <v>170</v>
      </c>
      <c r="H190" s="259">
        <f ca="1">SUMIF('[2]7UnivActwithConsUnit'!$B:$B,$C190,'[2]7UnivActwithConsUnit'!I:I)+SUMIF('[2]8CollegeAct'!$B:$B,$C190,'[2]8CollegeAct'!I:I)+SUMIF(#REF!,$C190,#REF!)</f>
        <v>373</v>
      </c>
      <c r="I190" s="259">
        <f ca="1">SUMIF('[2]7UnivActwithConsUnit'!$B:$B,$C190,'[2]7UnivActwithConsUnit'!J:J)+SUMIF('[2]10CollegeEst'!$B:$B,$C190,'[2]10CollegeEst'!B:B)+SUMIF(#REF!,$C190,#REF!)</f>
        <v>81042</v>
      </c>
      <c r="J190" s="259">
        <f ca="1">SUMIF('[2]7UnivActwithConsUnit'!$B:$B,$C190,'[2]7UnivActwithConsUnit'!K:K)+SUMIF('[2]10CollegeEst'!$B:$B,$C190,'[2]10CollegeEst'!C:C)+SUMIF(#REF!,$C190,#REF!)</f>
        <v>103478</v>
      </c>
      <c r="K190" s="259">
        <f ca="1">SUMIF('[2]7UnivActwithConsUnit'!$B:$B,$C190,'[2]7UnivActwithConsUnit'!L:L)+SUMIF('[2]10CollegeEst'!$B:$B,$C190,'[2]10CollegeEst'!D:D)+SUMIF(#REF!,$C190,#REF!)</f>
        <v>184520</v>
      </c>
      <c r="L190" s="260">
        <f ca="1">SUMIF('[2]7UnivActwithConsUnit'!$B:$B,$C190,'[2]7UnivActwithConsUnit'!M:M)+SUMIF('[2]10CollegeEst'!$B:$B,$C190,'[2]10CollegeEst'!E:E)+SUMIF(#REF!,$C190,#REF!)</f>
        <v>519501</v>
      </c>
      <c r="M190" s="259">
        <f ca="1">SUMIF('[2]7UnivActwithConsUnit'!$B:$B,$C190,'[2]7UnivActwithConsUnit'!N:N)+SUMIF('[2]10CollegeEst'!$B:$B,$C190,'[2]10CollegeEst'!F:F)+SUMIF(#REF!,$C190,#REF!)</f>
        <v>559280</v>
      </c>
      <c r="N190" s="259">
        <f ca="1">SUMIF('[2]7UnivActwithConsUnit'!$B:$B,$C190,'[2]7UnivActwithConsUnit'!O:O)+SUMIF('[2]10CollegeEst'!$B:$B,$C190,'[2]10CollegeEst'!G:G)+SUMIF(#REF!,$C190,#REF!)</f>
        <v>1078781</v>
      </c>
      <c r="O190" s="259">
        <f ca="1">SUMIF('[2]7UnivActwithConsUnit'!$B:$B,$C190,'[2]7UnivActwithConsUnit'!P:P)+SUMIF('[2]8CollegeAct'!$B:$B,$C190,'[2]8CollegeAct'!P:P)+SUMIF(#REF!,$C190,#REF!)</f>
        <v>3310</v>
      </c>
      <c r="P190" s="259">
        <f ca="1">SUMIF('[2]7UnivActwithConsUnit'!$B:$B,$C190,'[2]7UnivActwithConsUnit'!Q:Q)+SUMIF('[2]8CollegeAct'!$B:$B,$C190,'[2]8CollegeAct'!Q:Q)+SUMIF(#REF!,$C190,#REF!)</f>
        <v>2292</v>
      </c>
      <c r="Q190" s="259">
        <f ca="1">SUMIF('[2]7UnivActwithConsUnit'!$B:$B,$C190,'[2]7UnivActwithConsUnit'!R:R)+SUMIF('[2]8CollegeAct'!$B:$B,$C190,'[2]8CollegeAct'!R:R)+SUMIF(#REF!,$C190,#REF!)</f>
        <v>5602</v>
      </c>
      <c r="R190" s="259">
        <f ca="1">SUMIF('[2]7UnivActwithConsUnit'!$B:$B,$C190,'[2]7UnivActwithConsUnit'!S:S)+SUMIF('[2]8CollegeAct'!$B:$B,$C190,'[2]8CollegeAct'!S:S)+SUMIF(#REF!,$C190,#REF!)</f>
        <v>60653</v>
      </c>
      <c r="S190" s="259">
        <f ca="1">SUMIF('[2]7UnivActwithConsUnit'!$B:$B,$C190,'[2]7UnivActwithConsUnit'!T:T)+SUMIF('[2]8CollegeAct'!$B:$B,$C190,'[2]8CollegeAct'!T:T)+SUMIF(#REF!,$C190,#REF!)</f>
        <v>45728</v>
      </c>
      <c r="T190" s="259">
        <f ca="1">SUMIF('[2]7UnivActwithConsUnit'!$B:$B,$C190,'[2]7UnivActwithConsUnit'!U:U)+SUMIF('[2]8CollegeAct'!$B:$B,$C190,'[2]8CollegeAct'!U:U)+SUMIF(#REF!,$C190,#REF!)</f>
        <v>106381</v>
      </c>
      <c r="U190" s="259">
        <f ca="1">SUMIF('[2]7UnivActwithConsUnit'!$B:$B,$C190,'[2]7UnivActwithConsUnit'!V:V)+SUMIF('[2]8CollegeAct'!$B:$B,$C190,'[2]8CollegeAct'!V:V)+SUMIF(#REF!,$C190,#REF!)</f>
        <v>923</v>
      </c>
      <c r="V190" s="259">
        <f ca="1">SUMIF('[2]7UnivActwithConsUnit'!$B:$B,$C190,'[2]7UnivActwithConsUnit'!W:W)+SUMIF('[2]8CollegeAct'!$B:$B,$C190,'[2]8CollegeAct'!W:W)+SUMIF(#REF!,$C190,#REF!)</f>
        <v>1290</v>
      </c>
      <c r="W190" s="259">
        <f ca="1">SUMIF('[2]7UnivActwithConsUnit'!$B:$B,$C190,'[2]7UnivActwithConsUnit'!X:X)+SUMIF('[2]8CollegeAct'!$B:$B,$C190,'[2]8CollegeAct'!X:X)+SUMIF(#REF!,$C190,#REF!)</f>
        <v>2213</v>
      </c>
      <c r="X190" s="259">
        <f ca="1">SUMIF('[2]7UnivActwithConsUnit'!$B:$B,$C190,'[2]7UnivActwithConsUnit'!Y:Y)+SUMIF('[2]8CollegeAct'!$B:$B,$C190,'[2]8CollegeAct'!Y:Y)+SUMIF(#REF!,$C190,#REF!)</f>
        <v>3629</v>
      </c>
      <c r="Y190" s="259">
        <f ca="1">SUMIF('[2]7UnivActwithConsUnit'!$B:$B,$C190,'[2]7UnivActwithConsUnit'!Z:Z)+SUMIF('[2]8CollegeAct'!$B:$B,$C190,'[2]8CollegeAct'!Z:Z)+SUMIF(#REF!,$C190,#REF!)</f>
        <v>2601</v>
      </c>
      <c r="Z190" s="259">
        <f ca="1">SUMIF('[2]7UnivActwithConsUnit'!$B:$B,$C190,'[2]7UnivActwithConsUnit'!AA:AA)+SUMIF('[2]8CollegeAct'!$B:$B,$C190,'[2]8CollegeAct'!AA:AA)+SUMIF(#REF!,$C190,#REF!)</f>
        <v>6230</v>
      </c>
      <c r="AA190" s="261">
        <f t="shared" ref="AA190:AB190" ca="1" si="106">C190+F190+I190+L190+O190+R190+U190+X190</f>
        <v>672768</v>
      </c>
      <c r="AB190" s="261">
        <f t="shared" ca="1" si="106"/>
        <v>716840</v>
      </c>
      <c r="AC190" s="261">
        <f t="shared" ref="AC190" ca="1" si="107">AA190+AB190</f>
        <v>1389608</v>
      </c>
    </row>
    <row r="191" spans="1:29">
      <c r="A191" s="907"/>
      <c r="B191" s="314" t="s">
        <v>300</v>
      </c>
      <c r="C191" s="287">
        <v>2191</v>
      </c>
      <c r="D191" s="287">
        <v>1239</v>
      </c>
      <c r="E191" s="287">
        <v>3430</v>
      </c>
      <c r="F191" s="287">
        <v>106</v>
      </c>
      <c r="G191" s="287">
        <v>123</v>
      </c>
      <c r="H191" s="287">
        <v>229</v>
      </c>
      <c r="I191" s="287">
        <v>83964</v>
      </c>
      <c r="J191" s="287">
        <v>104787</v>
      </c>
      <c r="K191" s="287">
        <v>188751</v>
      </c>
      <c r="L191" s="315">
        <v>536108</v>
      </c>
      <c r="M191" s="287">
        <v>565609</v>
      </c>
      <c r="N191" s="287">
        <v>1101717</v>
      </c>
      <c r="O191" s="287">
        <v>3247</v>
      </c>
      <c r="P191" s="287">
        <v>2187</v>
      </c>
      <c r="Q191" s="287">
        <v>5434</v>
      </c>
      <c r="R191" s="287">
        <v>71055</v>
      </c>
      <c r="S191" s="287">
        <v>48142</v>
      </c>
      <c r="T191" s="287">
        <v>119197</v>
      </c>
      <c r="U191" s="287">
        <v>1445</v>
      </c>
      <c r="V191" s="287">
        <v>1078</v>
      </c>
      <c r="W191" s="287">
        <v>2523</v>
      </c>
      <c r="X191" s="287">
        <v>3113</v>
      </c>
      <c r="Y191" s="287">
        <v>2067</v>
      </c>
      <c r="Z191" s="287">
        <v>5180</v>
      </c>
      <c r="AA191" s="287">
        <v>701229</v>
      </c>
      <c r="AB191" s="287">
        <v>725232</v>
      </c>
      <c r="AC191" s="287">
        <v>1426461</v>
      </c>
    </row>
    <row r="192" spans="1:29">
      <c r="A192" s="907"/>
      <c r="B192" s="314" t="s">
        <v>299</v>
      </c>
      <c r="C192" s="96">
        <v>3252</v>
      </c>
      <c r="D192" s="96">
        <v>1632</v>
      </c>
      <c r="E192" s="96">
        <v>4884</v>
      </c>
      <c r="F192" s="96">
        <v>454</v>
      </c>
      <c r="G192" s="96">
        <v>340</v>
      </c>
      <c r="H192" s="96">
        <v>794</v>
      </c>
      <c r="I192" s="96">
        <v>91044.159475908527</v>
      </c>
      <c r="J192" s="96">
        <v>103754.3533932948</v>
      </c>
      <c r="K192" s="96">
        <v>194798.51286920335</v>
      </c>
      <c r="L192" s="97">
        <v>555992.48245251458</v>
      </c>
      <c r="M192" s="96">
        <v>523346.00452087668</v>
      </c>
      <c r="N192" s="96">
        <v>1079338.4869733914</v>
      </c>
      <c r="O192" s="96">
        <v>2786</v>
      </c>
      <c r="P192" s="96">
        <v>1913</v>
      </c>
      <c r="Q192" s="96">
        <v>4699</v>
      </c>
      <c r="R192" s="96">
        <v>78198</v>
      </c>
      <c r="S192" s="96">
        <v>49810</v>
      </c>
      <c r="T192" s="96">
        <v>128008</v>
      </c>
      <c r="U192" s="96">
        <v>661</v>
      </c>
      <c r="V192" s="96">
        <v>1174</v>
      </c>
      <c r="W192" s="96">
        <v>1835</v>
      </c>
      <c r="X192" s="96">
        <v>2945</v>
      </c>
      <c r="Y192" s="96">
        <v>2005</v>
      </c>
      <c r="Z192" s="96">
        <v>4950</v>
      </c>
      <c r="AA192" s="98">
        <f t="shared" ref="AA192:AC192" si="108">C192+F192+I192+L192+O192+R192+U192+X192</f>
        <v>735332.64192842308</v>
      </c>
      <c r="AB192" s="98">
        <f t="shared" si="108"/>
        <v>683974.35791417153</v>
      </c>
      <c r="AC192" s="98">
        <f t="shared" si="108"/>
        <v>1419306.9998425948</v>
      </c>
    </row>
    <row r="193" spans="1:29">
      <c r="A193" s="907"/>
      <c r="B193" s="314" t="s">
        <v>298</v>
      </c>
      <c r="C193" s="100">
        <v>2760</v>
      </c>
      <c r="D193" s="100">
        <v>1440</v>
      </c>
      <c r="E193" s="101">
        <v>4200</v>
      </c>
      <c r="F193" s="100">
        <v>384</v>
      </c>
      <c r="G193" s="100">
        <v>230</v>
      </c>
      <c r="H193" s="101">
        <v>614</v>
      </c>
      <c r="I193" s="100">
        <v>95578</v>
      </c>
      <c r="J193" s="100">
        <v>94959</v>
      </c>
      <c r="K193" s="101">
        <v>190537</v>
      </c>
      <c r="L193" s="102">
        <v>577221</v>
      </c>
      <c r="M193" s="100">
        <v>528881</v>
      </c>
      <c r="N193" s="101">
        <v>1106102</v>
      </c>
      <c r="O193" s="100">
        <v>2268</v>
      </c>
      <c r="P193" s="100">
        <v>1604</v>
      </c>
      <c r="Q193" s="101">
        <v>3872</v>
      </c>
      <c r="R193" s="100">
        <v>80036</v>
      </c>
      <c r="S193" s="100">
        <v>47626</v>
      </c>
      <c r="T193" s="101">
        <v>127662</v>
      </c>
      <c r="U193" s="100">
        <v>417</v>
      </c>
      <c r="V193" s="100">
        <v>984</v>
      </c>
      <c r="W193" s="101">
        <v>1401</v>
      </c>
      <c r="X193" s="100">
        <v>2589</v>
      </c>
      <c r="Y193" s="100">
        <v>1760</v>
      </c>
      <c r="Z193" s="101">
        <v>4349</v>
      </c>
      <c r="AA193" s="101">
        <v>761253</v>
      </c>
      <c r="AB193" s="101">
        <v>677484</v>
      </c>
      <c r="AC193" s="101">
        <f t="shared" ref="AC193" si="109">SUM(AA193+AB193)</f>
        <v>1438737</v>
      </c>
    </row>
    <row r="194" spans="1:29" ht="28">
      <c r="A194" s="907">
        <v>32</v>
      </c>
      <c r="B194" s="295" t="s">
        <v>173</v>
      </c>
      <c r="C194" s="318"/>
      <c r="D194" s="318"/>
      <c r="E194" s="319"/>
      <c r="F194" s="318"/>
      <c r="G194" s="318"/>
      <c r="H194" s="319"/>
      <c r="I194" s="318"/>
      <c r="J194" s="318"/>
      <c r="K194" s="320"/>
      <c r="L194" s="318"/>
      <c r="M194" s="318"/>
      <c r="N194" s="319"/>
      <c r="O194" s="318"/>
      <c r="P194" s="318"/>
      <c r="Q194" s="319"/>
      <c r="R194" s="318"/>
      <c r="S194" s="318"/>
      <c r="T194" s="320"/>
      <c r="U194" s="318"/>
      <c r="V194" s="318"/>
      <c r="W194" s="319"/>
      <c r="X194" s="318"/>
      <c r="Y194" s="318"/>
      <c r="Z194" s="319"/>
      <c r="AA194" s="319"/>
      <c r="AB194" s="319"/>
      <c r="AC194" s="320"/>
    </row>
    <row r="195" spans="1:29">
      <c r="A195" s="907"/>
      <c r="B195" s="312" t="s">
        <v>997</v>
      </c>
      <c r="C195" s="100">
        <v>0</v>
      </c>
      <c r="D195" s="100">
        <v>0</v>
      </c>
      <c r="E195" s="101">
        <v>0</v>
      </c>
      <c r="F195" s="100">
        <v>0</v>
      </c>
      <c r="G195" s="100">
        <v>0</v>
      </c>
      <c r="H195" s="101">
        <v>0</v>
      </c>
      <c r="I195" s="100">
        <v>259</v>
      </c>
      <c r="J195" s="100">
        <v>508</v>
      </c>
      <c r="K195" s="101">
        <v>767</v>
      </c>
      <c r="L195" s="100">
        <v>4020</v>
      </c>
      <c r="M195" s="100">
        <v>4681</v>
      </c>
      <c r="N195" s="101">
        <v>8701</v>
      </c>
      <c r="O195" s="100">
        <v>0</v>
      </c>
      <c r="P195" s="100">
        <v>0</v>
      </c>
      <c r="Q195" s="101">
        <v>0</v>
      </c>
      <c r="R195" s="100">
        <v>1647</v>
      </c>
      <c r="S195" s="100">
        <v>397</v>
      </c>
      <c r="T195" s="101">
        <v>2044</v>
      </c>
      <c r="U195" s="100">
        <v>0</v>
      </c>
      <c r="V195" s="100">
        <v>0</v>
      </c>
      <c r="W195" s="101">
        <v>0</v>
      </c>
      <c r="X195" s="100">
        <v>22</v>
      </c>
      <c r="Y195" s="100">
        <v>36</v>
      </c>
      <c r="Z195" s="101">
        <v>58</v>
      </c>
      <c r="AA195" s="101">
        <v>5948</v>
      </c>
      <c r="AB195" s="101">
        <v>5622</v>
      </c>
      <c r="AC195" s="101">
        <v>11570</v>
      </c>
    </row>
    <row r="196" spans="1:29">
      <c r="A196" s="907"/>
      <c r="B196" s="314" t="s">
        <v>301</v>
      </c>
      <c r="C196" s="100">
        <v>0</v>
      </c>
      <c r="D196" s="100">
        <v>0</v>
      </c>
      <c r="E196" s="101">
        <v>0</v>
      </c>
      <c r="F196" s="100">
        <v>0</v>
      </c>
      <c r="G196" s="100">
        <v>0</v>
      </c>
      <c r="H196" s="101">
        <v>0</v>
      </c>
      <c r="I196" s="100">
        <v>188</v>
      </c>
      <c r="J196" s="100">
        <v>433</v>
      </c>
      <c r="K196" s="101">
        <v>621</v>
      </c>
      <c r="L196" s="100">
        <v>3436</v>
      </c>
      <c r="M196" s="100">
        <v>4165</v>
      </c>
      <c r="N196" s="101">
        <v>7601</v>
      </c>
      <c r="O196" s="100">
        <v>0</v>
      </c>
      <c r="P196" s="100">
        <v>0</v>
      </c>
      <c r="Q196" s="101">
        <v>0</v>
      </c>
      <c r="R196" s="100">
        <v>1685</v>
      </c>
      <c r="S196" s="100">
        <v>381</v>
      </c>
      <c r="T196" s="101">
        <v>2066</v>
      </c>
      <c r="U196" s="100">
        <v>0</v>
      </c>
      <c r="V196" s="100">
        <v>0</v>
      </c>
      <c r="W196" s="101">
        <v>0</v>
      </c>
      <c r="X196" s="100">
        <v>11</v>
      </c>
      <c r="Y196" s="100">
        <v>26</v>
      </c>
      <c r="Z196" s="101">
        <v>37</v>
      </c>
      <c r="AA196" s="101">
        <v>5320</v>
      </c>
      <c r="AB196" s="101">
        <v>5005</v>
      </c>
      <c r="AC196" s="101">
        <v>10325</v>
      </c>
    </row>
    <row r="197" spans="1:29">
      <c r="A197" s="907"/>
      <c r="B197" s="314" t="s">
        <v>300</v>
      </c>
      <c r="C197" s="100">
        <v>0</v>
      </c>
      <c r="D197" s="100">
        <v>0</v>
      </c>
      <c r="E197" s="101">
        <v>0</v>
      </c>
      <c r="F197" s="100">
        <v>0</v>
      </c>
      <c r="G197" s="100">
        <v>0</v>
      </c>
      <c r="H197" s="101">
        <v>0</v>
      </c>
      <c r="I197" s="100">
        <v>175</v>
      </c>
      <c r="J197" s="100">
        <v>308</v>
      </c>
      <c r="K197" s="101">
        <v>483</v>
      </c>
      <c r="L197" s="100">
        <v>3127</v>
      </c>
      <c r="M197" s="100">
        <v>3834</v>
      </c>
      <c r="N197" s="101">
        <v>6961</v>
      </c>
      <c r="O197" s="100">
        <v>0</v>
      </c>
      <c r="P197" s="100">
        <v>0</v>
      </c>
      <c r="Q197" s="101">
        <v>0</v>
      </c>
      <c r="R197" s="100">
        <v>1686</v>
      </c>
      <c r="S197" s="100">
        <v>355</v>
      </c>
      <c r="T197" s="101">
        <v>2041</v>
      </c>
      <c r="U197" s="100">
        <v>0</v>
      </c>
      <c r="V197" s="100">
        <v>0</v>
      </c>
      <c r="W197" s="101">
        <v>0</v>
      </c>
      <c r="X197" s="100">
        <v>6</v>
      </c>
      <c r="Y197" s="100">
        <v>14</v>
      </c>
      <c r="Z197" s="101">
        <v>20</v>
      </c>
      <c r="AA197" s="101">
        <v>4994</v>
      </c>
      <c r="AB197" s="101">
        <v>4511</v>
      </c>
      <c r="AC197" s="101">
        <v>9505</v>
      </c>
    </row>
    <row r="198" spans="1:29">
      <c r="A198" s="907"/>
      <c r="B198" s="314" t="s">
        <v>299</v>
      </c>
      <c r="C198" s="100">
        <v>0</v>
      </c>
      <c r="D198" s="100">
        <v>0</v>
      </c>
      <c r="E198" s="101">
        <v>0</v>
      </c>
      <c r="F198" s="100">
        <v>0</v>
      </c>
      <c r="G198" s="100">
        <v>0</v>
      </c>
      <c r="H198" s="101">
        <v>0</v>
      </c>
      <c r="I198" s="100">
        <v>126</v>
      </c>
      <c r="J198" s="100">
        <v>198</v>
      </c>
      <c r="K198" s="101">
        <v>324</v>
      </c>
      <c r="L198" s="100">
        <v>2707</v>
      </c>
      <c r="M198" s="100">
        <v>3689</v>
      </c>
      <c r="N198" s="101">
        <v>6396</v>
      </c>
      <c r="O198" s="100">
        <v>0</v>
      </c>
      <c r="P198" s="100">
        <v>0</v>
      </c>
      <c r="Q198" s="101">
        <v>0</v>
      </c>
      <c r="R198" s="100">
        <v>1821</v>
      </c>
      <c r="S198" s="100">
        <v>319</v>
      </c>
      <c r="T198" s="101">
        <v>2140</v>
      </c>
      <c r="U198" s="100">
        <v>0</v>
      </c>
      <c r="V198" s="100">
        <v>0</v>
      </c>
      <c r="W198" s="101">
        <v>0</v>
      </c>
      <c r="X198" s="100">
        <v>4</v>
      </c>
      <c r="Y198" s="100">
        <v>2</v>
      </c>
      <c r="Z198" s="101">
        <v>6</v>
      </c>
      <c r="AA198" s="101">
        <v>4658</v>
      </c>
      <c r="AB198" s="101">
        <v>4208</v>
      </c>
      <c r="AC198" s="101">
        <v>8866</v>
      </c>
    </row>
    <row r="199" spans="1:29">
      <c r="A199" s="907"/>
      <c r="B199" s="314" t="s">
        <v>298</v>
      </c>
      <c r="C199" s="100">
        <v>0</v>
      </c>
      <c r="D199" s="100">
        <v>0</v>
      </c>
      <c r="E199" s="101">
        <v>0</v>
      </c>
      <c r="F199" s="100">
        <v>0</v>
      </c>
      <c r="G199" s="100">
        <v>0</v>
      </c>
      <c r="H199" s="101">
        <v>0</v>
      </c>
      <c r="I199" s="100">
        <v>124</v>
      </c>
      <c r="J199" s="100">
        <v>182</v>
      </c>
      <c r="K199" s="101">
        <v>306</v>
      </c>
      <c r="L199" s="100">
        <v>2786</v>
      </c>
      <c r="M199" s="100">
        <v>3424</v>
      </c>
      <c r="N199" s="101">
        <v>6210</v>
      </c>
      <c r="O199" s="100">
        <v>2</v>
      </c>
      <c r="P199" s="100">
        <v>2</v>
      </c>
      <c r="Q199" s="101">
        <v>4</v>
      </c>
      <c r="R199" s="100">
        <v>1940</v>
      </c>
      <c r="S199" s="100">
        <v>285</v>
      </c>
      <c r="T199" s="101">
        <v>2225</v>
      </c>
      <c r="U199" s="100">
        <v>0</v>
      </c>
      <c r="V199" s="100">
        <v>0</v>
      </c>
      <c r="W199" s="101">
        <v>0</v>
      </c>
      <c r="X199" s="100">
        <v>0</v>
      </c>
      <c r="Y199" s="100">
        <v>0</v>
      </c>
      <c r="Z199" s="101">
        <v>0</v>
      </c>
      <c r="AA199" s="101">
        <v>4852</v>
      </c>
      <c r="AB199" s="101">
        <v>3893</v>
      </c>
      <c r="AC199" s="101">
        <v>8745</v>
      </c>
    </row>
    <row r="200" spans="1:29">
      <c r="A200" s="907">
        <v>33</v>
      </c>
      <c r="B200" s="309" t="s">
        <v>45</v>
      </c>
      <c r="C200" s="310"/>
      <c r="D200" s="310"/>
      <c r="E200" s="310"/>
      <c r="F200" s="310"/>
      <c r="G200" s="310"/>
      <c r="H200" s="310"/>
      <c r="I200" s="310"/>
      <c r="J200" s="310"/>
      <c r="K200" s="311"/>
      <c r="L200" s="310"/>
      <c r="M200" s="310"/>
      <c r="N200" s="310"/>
      <c r="O200" s="310"/>
      <c r="P200" s="310"/>
      <c r="Q200" s="310"/>
      <c r="R200" s="310"/>
      <c r="S200" s="310"/>
      <c r="T200" s="311"/>
      <c r="U200" s="310"/>
      <c r="V200" s="310"/>
      <c r="W200" s="310"/>
      <c r="X200" s="310"/>
      <c r="Y200" s="310"/>
      <c r="Z200" s="310"/>
      <c r="AA200" s="310"/>
      <c r="AB200" s="310"/>
      <c r="AC200" s="311"/>
    </row>
    <row r="201" spans="1:29">
      <c r="A201" s="907"/>
      <c r="B201" s="312" t="s">
        <v>997</v>
      </c>
      <c r="C201" s="313">
        <v>452</v>
      </c>
      <c r="D201" s="313">
        <v>220</v>
      </c>
      <c r="E201" s="313">
        <v>672</v>
      </c>
      <c r="F201" s="313">
        <v>2</v>
      </c>
      <c r="G201" s="313">
        <v>10</v>
      </c>
      <c r="H201" s="313">
        <v>12</v>
      </c>
      <c r="I201" s="313">
        <v>5919</v>
      </c>
      <c r="J201" s="313">
        <v>6287</v>
      </c>
      <c r="K201" s="313">
        <v>12206</v>
      </c>
      <c r="L201" s="313">
        <v>38810</v>
      </c>
      <c r="M201" s="313">
        <v>34214</v>
      </c>
      <c r="N201" s="313">
        <v>73024</v>
      </c>
      <c r="O201" s="313">
        <v>116</v>
      </c>
      <c r="P201" s="313">
        <v>133</v>
      </c>
      <c r="Q201" s="313">
        <v>249</v>
      </c>
      <c r="R201" s="313">
        <v>2243</v>
      </c>
      <c r="S201" s="313">
        <v>2632</v>
      </c>
      <c r="T201" s="313">
        <v>4875</v>
      </c>
      <c r="U201" s="313">
        <v>15</v>
      </c>
      <c r="V201" s="313">
        <v>13</v>
      </c>
      <c r="W201" s="313">
        <v>28</v>
      </c>
      <c r="X201" s="313">
        <v>871</v>
      </c>
      <c r="Y201" s="313">
        <v>723</v>
      </c>
      <c r="Z201" s="313">
        <v>1594</v>
      </c>
      <c r="AA201" s="313">
        <v>48428</v>
      </c>
      <c r="AB201" s="313">
        <v>44232</v>
      </c>
      <c r="AC201" s="313">
        <v>92660</v>
      </c>
    </row>
    <row r="202" spans="1:29">
      <c r="A202" s="907"/>
      <c r="B202" s="314" t="s">
        <v>301</v>
      </c>
      <c r="C202" s="259">
        <f ca="1">SUMIF('[2]7UnivActwithConsUnit'!$B:$B,$C202,'[2]7UnivActwithConsUnit'!D:D)+SUMIF('[2]8CollegeAct'!$B:$B,$C202,'[2]8CollegeAct'!D:D)+SUMIF(#REF!,$C202,#REF!)</f>
        <v>388</v>
      </c>
      <c r="D202" s="259">
        <f ca="1">SUMIF('[2]7UnivActwithConsUnit'!$B:$B,$C202,'[2]7UnivActwithConsUnit'!E:E)+SUMIF('[2]8CollegeAct'!$B:$B,$C202,'[2]8CollegeAct'!E:E)+SUMIF(#REF!,$C202,#REF!)</f>
        <v>227</v>
      </c>
      <c r="E202" s="259">
        <f ca="1">SUMIF('[2]7UnivActwithConsUnit'!$B:$B,$C202,'[2]7UnivActwithConsUnit'!F:F)+SUMIF('[2]8CollegeAct'!$B:$B,$C202,'[2]8CollegeAct'!F:F)+SUMIF(#REF!,$C202,#REF!)</f>
        <v>615</v>
      </c>
      <c r="F202" s="259">
        <f ca="1">SUMIF('[2]7UnivActwithConsUnit'!$B:$B,$C202,'[2]7UnivActwithConsUnit'!G:G)+SUMIF('[2]8CollegeAct'!$B:$B,$C202,'[2]8CollegeAct'!G:G)+SUMIF(#REF!,$C202,#REF!)</f>
        <v>0</v>
      </c>
      <c r="G202" s="259">
        <f ca="1">SUMIF('[2]7UnivActwithConsUnit'!$B:$B,$C202,'[2]7UnivActwithConsUnit'!H:H)+SUMIF('[2]8CollegeAct'!$B:$B,$C202,'[2]8CollegeAct'!H:H)+SUMIF(#REF!,$C202,#REF!)</f>
        <v>0</v>
      </c>
      <c r="H202" s="259">
        <f ca="1">SUMIF('[2]7UnivActwithConsUnit'!$B:$B,$C202,'[2]7UnivActwithConsUnit'!I:I)+SUMIF('[2]8CollegeAct'!$B:$B,$C202,'[2]8CollegeAct'!I:I)+SUMIF(#REF!,$C202,#REF!)</f>
        <v>0</v>
      </c>
      <c r="I202" s="259">
        <f ca="1">SUMIF('[2]7UnivActwithConsUnit'!$B:$B,$C202,'[2]7UnivActwithConsUnit'!J:J)+SUMIF('[2]10CollegeEst'!$B:$B,$C202,'[2]10CollegeEst'!B:B)+SUMIF(#REF!,$C202,#REF!)</f>
        <v>5941</v>
      </c>
      <c r="J202" s="259">
        <f ca="1">SUMIF('[2]7UnivActwithConsUnit'!$B:$B,$C202,'[2]7UnivActwithConsUnit'!K:K)+SUMIF('[2]10CollegeEst'!$B:$B,$C202,'[2]10CollegeEst'!C:C)+SUMIF(#REF!,$C202,#REF!)</f>
        <v>5877</v>
      </c>
      <c r="K202" s="259">
        <f ca="1">SUMIF('[2]7UnivActwithConsUnit'!$B:$B,$C202,'[2]7UnivActwithConsUnit'!L:L)+SUMIF('[2]10CollegeEst'!$B:$B,$C202,'[2]10CollegeEst'!D:D)+SUMIF(#REF!,$C202,#REF!)</f>
        <v>11818</v>
      </c>
      <c r="L202" s="260">
        <f ca="1">SUMIF('[2]7UnivActwithConsUnit'!$B:$B,$C202,'[2]7UnivActwithConsUnit'!M:M)+SUMIF('[2]10CollegeEst'!$B:$B,$C202,'[2]10CollegeEst'!E:E)+SUMIF(#REF!,$C202,#REF!)</f>
        <v>37816</v>
      </c>
      <c r="M202" s="259">
        <f ca="1">SUMIF('[2]7UnivActwithConsUnit'!$B:$B,$C202,'[2]7UnivActwithConsUnit'!N:N)+SUMIF('[2]10CollegeEst'!$B:$B,$C202,'[2]10CollegeEst'!F:F)+SUMIF(#REF!,$C202,#REF!)</f>
        <v>30459</v>
      </c>
      <c r="N202" s="259">
        <f ca="1">SUMIF('[2]7UnivActwithConsUnit'!$B:$B,$C202,'[2]7UnivActwithConsUnit'!O:O)+SUMIF('[2]10CollegeEst'!$B:$B,$C202,'[2]10CollegeEst'!G:G)+SUMIF(#REF!,$C202,#REF!)</f>
        <v>68275</v>
      </c>
      <c r="O202" s="259">
        <f ca="1">SUMIF('[2]7UnivActwithConsUnit'!$B:$B,$C202,'[2]7UnivActwithConsUnit'!P:P)+SUMIF('[2]8CollegeAct'!$B:$B,$C202,'[2]8CollegeAct'!P:P)+SUMIF(#REF!,$C202,#REF!)</f>
        <v>67</v>
      </c>
      <c r="P202" s="259">
        <f ca="1">SUMIF('[2]7UnivActwithConsUnit'!$B:$B,$C202,'[2]7UnivActwithConsUnit'!Q:Q)+SUMIF('[2]8CollegeAct'!$B:$B,$C202,'[2]8CollegeAct'!Q:Q)+SUMIF(#REF!,$C202,#REF!)</f>
        <v>64</v>
      </c>
      <c r="Q202" s="259">
        <f ca="1">SUMIF('[2]7UnivActwithConsUnit'!$B:$B,$C202,'[2]7UnivActwithConsUnit'!R:R)+SUMIF('[2]8CollegeAct'!$B:$B,$C202,'[2]8CollegeAct'!R:R)+SUMIF(#REF!,$C202,#REF!)</f>
        <v>131</v>
      </c>
      <c r="R202" s="259">
        <f ca="1">SUMIF('[2]7UnivActwithConsUnit'!$B:$B,$C202,'[2]7UnivActwithConsUnit'!S:S)+SUMIF('[2]8CollegeAct'!$B:$B,$C202,'[2]8CollegeAct'!S:S)+SUMIF(#REF!,$C202,#REF!)</f>
        <v>2274</v>
      </c>
      <c r="S202" s="259">
        <f ca="1">SUMIF('[2]7UnivActwithConsUnit'!$B:$B,$C202,'[2]7UnivActwithConsUnit'!T:T)+SUMIF('[2]8CollegeAct'!$B:$B,$C202,'[2]8CollegeAct'!T:T)+SUMIF(#REF!,$C202,#REF!)</f>
        <v>2126</v>
      </c>
      <c r="T202" s="259">
        <f ca="1">SUMIF('[2]7UnivActwithConsUnit'!$B:$B,$C202,'[2]7UnivActwithConsUnit'!U:U)+SUMIF('[2]8CollegeAct'!$B:$B,$C202,'[2]8CollegeAct'!U:U)+SUMIF(#REF!,$C202,#REF!)</f>
        <v>4400</v>
      </c>
      <c r="U202" s="259">
        <f ca="1">SUMIF('[2]7UnivActwithConsUnit'!$B:$B,$C202,'[2]7UnivActwithConsUnit'!V:V)+SUMIF('[2]8CollegeAct'!$B:$B,$C202,'[2]8CollegeAct'!V:V)+SUMIF(#REF!,$C202,#REF!)</f>
        <v>149</v>
      </c>
      <c r="V202" s="259">
        <f ca="1">SUMIF('[2]7UnivActwithConsUnit'!$B:$B,$C202,'[2]7UnivActwithConsUnit'!W:W)+SUMIF('[2]8CollegeAct'!$B:$B,$C202,'[2]8CollegeAct'!W:W)+SUMIF(#REF!,$C202,#REF!)</f>
        <v>221</v>
      </c>
      <c r="W202" s="259">
        <f ca="1">SUMIF('[2]7UnivActwithConsUnit'!$B:$B,$C202,'[2]7UnivActwithConsUnit'!X:X)+SUMIF('[2]8CollegeAct'!$B:$B,$C202,'[2]8CollegeAct'!X:X)+SUMIF(#REF!,$C202,#REF!)</f>
        <v>370</v>
      </c>
      <c r="X202" s="259">
        <f ca="1">SUMIF('[2]7UnivActwithConsUnit'!$B:$B,$C202,'[2]7UnivActwithConsUnit'!Y:Y)+SUMIF('[2]8CollegeAct'!$B:$B,$C202,'[2]8CollegeAct'!Y:Y)+SUMIF(#REF!,$C202,#REF!)</f>
        <v>396</v>
      </c>
      <c r="Y202" s="259">
        <f ca="1">SUMIF('[2]7UnivActwithConsUnit'!$B:$B,$C202,'[2]7UnivActwithConsUnit'!Z:Z)+SUMIF('[2]8CollegeAct'!$B:$B,$C202,'[2]8CollegeAct'!Z:Z)+SUMIF(#REF!,$C202,#REF!)</f>
        <v>242</v>
      </c>
      <c r="Z202" s="259">
        <f ca="1">SUMIF('[2]7UnivActwithConsUnit'!$B:$B,$C202,'[2]7UnivActwithConsUnit'!AA:AA)+SUMIF('[2]8CollegeAct'!$B:$B,$C202,'[2]8CollegeAct'!AA:AA)+SUMIF(#REF!,$C202,#REF!)</f>
        <v>638</v>
      </c>
      <c r="AA202" s="261">
        <f t="shared" ref="AA202:AB202" ca="1" si="110">C202+F202+I202+L202+O202+R202+U202+X202</f>
        <v>47031</v>
      </c>
      <c r="AB202" s="261">
        <f t="shared" ca="1" si="110"/>
        <v>39216</v>
      </c>
      <c r="AC202" s="261">
        <f t="shared" ref="AC202" ca="1" si="111">AA202+AB202</f>
        <v>86247</v>
      </c>
    </row>
    <row r="203" spans="1:29">
      <c r="A203" s="907"/>
      <c r="B203" s="314" t="s">
        <v>300</v>
      </c>
      <c r="C203" s="287">
        <v>147</v>
      </c>
      <c r="D203" s="287">
        <v>79</v>
      </c>
      <c r="E203" s="287">
        <v>226</v>
      </c>
      <c r="F203" s="287">
        <v>0</v>
      </c>
      <c r="G203" s="287">
        <v>0</v>
      </c>
      <c r="H203" s="287">
        <v>0</v>
      </c>
      <c r="I203" s="287">
        <v>6452</v>
      </c>
      <c r="J203" s="287">
        <v>5691</v>
      </c>
      <c r="K203" s="287">
        <v>12143</v>
      </c>
      <c r="L203" s="315">
        <v>34528</v>
      </c>
      <c r="M203" s="287">
        <v>29821</v>
      </c>
      <c r="N203" s="287">
        <v>64349</v>
      </c>
      <c r="O203" s="287">
        <v>117</v>
      </c>
      <c r="P203" s="287">
        <v>125</v>
      </c>
      <c r="Q203" s="287">
        <v>242</v>
      </c>
      <c r="R203" s="287">
        <v>2443</v>
      </c>
      <c r="S203" s="287">
        <v>1992</v>
      </c>
      <c r="T203" s="287">
        <v>4435</v>
      </c>
      <c r="U203" s="287">
        <v>68</v>
      </c>
      <c r="V203" s="287">
        <v>112</v>
      </c>
      <c r="W203" s="287">
        <v>180</v>
      </c>
      <c r="X203" s="287">
        <v>701</v>
      </c>
      <c r="Y203" s="287">
        <v>427</v>
      </c>
      <c r="Z203" s="287">
        <v>1128</v>
      </c>
      <c r="AA203" s="287">
        <v>44456</v>
      </c>
      <c r="AB203" s="287">
        <v>38247</v>
      </c>
      <c r="AC203" s="287">
        <v>82703</v>
      </c>
    </row>
    <row r="204" spans="1:29">
      <c r="A204" s="907"/>
      <c r="B204" s="314" t="s">
        <v>299</v>
      </c>
      <c r="C204" s="96">
        <v>75</v>
      </c>
      <c r="D204" s="96">
        <v>44</v>
      </c>
      <c r="E204" s="96">
        <v>119</v>
      </c>
      <c r="F204" s="96">
        <v>0</v>
      </c>
      <c r="G204" s="96">
        <v>0</v>
      </c>
      <c r="H204" s="96">
        <v>0</v>
      </c>
      <c r="I204" s="96">
        <v>6474.1709863507785</v>
      </c>
      <c r="J204" s="96">
        <v>4734.4273890851073</v>
      </c>
      <c r="K204" s="96">
        <v>11208.598375435886</v>
      </c>
      <c r="L204" s="97">
        <v>37026.451037284685</v>
      </c>
      <c r="M204" s="96">
        <v>32829.342280968711</v>
      </c>
      <c r="N204" s="96">
        <v>69855.793318253389</v>
      </c>
      <c r="O204" s="96">
        <v>143</v>
      </c>
      <c r="P204" s="96">
        <v>104</v>
      </c>
      <c r="Q204" s="96">
        <v>247</v>
      </c>
      <c r="R204" s="96">
        <v>5851</v>
      </c>
      <c r="S204" s="96">
        <v>3293</v>
      </c>
      <c r="T204" s="96">
        <v>9144</v>
      </c>
      <c r="U204" s="96">
        <v>114</v>
      </c>
      <c r="V204" s="96">
        <v>108</v>
      </c>
      <c r="W204" s="96">
        <v>222</v>
      </c>
      <c r="X204" s="96">
        <v>563</v>
      </c>
      <c r="Y204" s="96">
        <v>322</v>
      </c>
      <c r="Z204" s="96">
        <v>885</v>
      </c>
      <c r="AA204" s="98">
        <f t="shared" ref="AA204:AC204" si="112">C204+F204+I204+L204+O204+R204+U204+X204</f>
        <v>50246.622023635464</v>
      </c>
      <c r="AB204" s="98">
        <f t="shared" si="112"/>
        <v>41434.769670053822</v>
      </c>
      <c r="AC204" s="98">
        <f t="shared" si="112"/>
        <v>91681.391693689278</v>
      </c>
    </row>
    <row r="205" spans="1:29">
      <c r="A205" s="907"/>
      <c r="B205" s="314" t="s">
        <v>298</v>
      </c>
      <c r="C205" s="100">
        <v>50</v>
      </c>
      <c r="D205" s="100">
        <v>32</v>
      </c>
      <c r="E205" s="101">
        <v>82</v>
      </c>
      <c r="F205" s="100">
        <v>0</v>
      </c>
      <c r="G205" s="100">
        <v>0</v>
      </c>
      <c r="H205" s="101">
        <v>0</v>
      </c>
      <c r="I205" s="100">
        <v>5327</v>
      </c>
      <c r="J205" s="100">
        <v>4315</v>
      </c>
      <c r="K205" s="101">
        <v>9642</v>
      </c>
      <c r="L205" s="102">
        <v>37656</v>
      </c>
      <c r="M205" s="100">
        <v>30980</v>
      </c>
      <c r="N205" s="101">
        <v>68636</v>
      </c>
      <c r="O205" s="100">
        <v>122</v>
      </c>
      <c r="P205" s="100">
        <v>122</v>
      </c>
      <c r="Q205" s="101">
        <v>244</v>
      </c>
      <c r="R205" s="100">
        <v>2279</v>
      </c>
      <c r="S205" s="100">
        <v>1683</v>
      </c>
      <c r="T205" s="101">
        <v>3962</v>
      </c>
      <c r="U205" s="100">
        <v>142</v>
      </c>
      <c r="V205" s="100">
        <v>80</v>
      </c>
      <c r="W205" s="101">
        <v>222</v>
      </c>
      <c r="X205" s="100">
        <v>272</v>
      </c>
      <c r="Y205" s="100">
        <v>184</v>
      </c>
      <c r="Z205" s="101">
        <v>456</v>
      </c>
      <c r="AA205" s="101">
        <v>45848</v>
      </c>
      <c r="AB205" s="101">
        <v>37396</v>
      </c>
      <c r="AC205" s="101">
        <f t="shared" ref="AC205" si="113">SUM(AA205+AB205)</f>
        <v>83244</v>
      </c>
    </row>
    <row r="206" spans="1:29">
      <c r="A206" s="907">
        <v>34</v>
      </c>
      <c r="B206" s="309" t="s">
        <v>47</v>
      </c>
      <c r="C206" s="310"/>
      <c r="D206" s="310"/>
      <c r="E206" s="310"/>
      <c r="F206" s="310"/>
      <c r="G206" s="310"/>
      <c r="H206" s="310"/>
      <c r="I206" s="310"/>
      <c r="J206" s="310"/>
      <c r="K206" s="311"/>
      <c r="L206" s="310"/>
      <c r="M206" s="310"/>
      <c r="N206" s="310"/>
      <c r="O206" s="310"/>
      <c r="P206" s="310"/>
      <c r="Q206" s="310"/>
      <c r="R206" s="310"/>
      <c r="S206" s="310"/>
      <c r="T206" s="311"/>
      <c r="U206" s="310"/>
      <c r="V206" s="310"/>
      <c r="W206" s="310"/>
      <c r="X206" s="310"/>
      <c r="Y206" s="310"/>
      <c r="Z206" s="310"/>
      <c r="AA206" s="310"/>
      <c r="AB206" s="310"/>
      <c r="AC206" s="311"/>
    </row>
    <row r="207" spans="1:29">
      <c r="A207" s="907"/>
      <c r="B207" s="312" t="s">
        <v>997</v>
      </c>
      <c r="C207" s="313">
        <v>11560</v>
      </c>
      <c r="D207" s="313">
        <v>8246</v>
      </c>
      <c r="E207" s="313">
        <v>19806</v>
      </c>
      <c r="F207" s="313">
        <v>234</v>
      </c>
      <c r="G207" s="313">
        <v>381</v>
      </c>
      <c r="H207" s="313">
        <v>615</v>
      </c>
      <c r="I207" s="313">
        <v>278090</v>
      </c>
      <c r="J207" s="313">
        <v>353448</v>
      </c>
      <c r="K207" s="313">
        <v>631538</v>
      </c>
      <c r="L207" s="313">
        <v>2820340</v>
      </c>
      <c r="M207" s="313">
        <v>2727844</v>
      </c>
      <c r="N207" s="313">
        <v>5548184</v>
      </c>
      <c r="O207" s="313">
        <v>30530</v>
      </c>
      <c r="P207" s="313">
        <v>23307</v>
      </c>
      <c r="Q207" s="313">
        <v>53837</v>
      </c>
      <c r="R207" s="313">
        <v>215020</v>
      </c>
      <c r="S207" s="313">
        <v>112030</v>
      </c>
      <c r="T207" s="313">
        <v>327050</v>
      </c>
      <c r="U207" s="313">
        <v>8672</v>
      </c>
      <c r="V207" s="313">
        <v>9459</v>
      </c>
      <c r="W207" s="313">
        <v>18131</v>
      </c>
      <c r="X207" s="313">
        <v>32566</v>
      </c>
      <c r="Y207" s="313">
        <v>19340</v>
      </c>
      <c r="Z207" s="313">
        <v>51906</v>
      </c>
      <c r="AA207" s="313">
        <v>3397012</v>
      </c>
      <c r="AB207" s="313">
        <v>3254055</v>
      </c>
      <c r="AC207" s="313">
        <v>6651067</v>
      </c>
    </row>
    <row r="208" spans="1:29">
      <c r="A208" s="907"/>
      <c r="B208" s="314" t="s">
        <v>301</v>
      </c>
      <c r="C208" s="259">
        <f ca="1">SUMIF('[2]7UnivActwithConsUnit'!$B:$B,$C208,'[2]7UnivActwithConsUnit'!D:D)+SUMIF('[2]8CollegeAct'!$B:$B,$C208,'[2]8CollegeAct'!D:D)+SUMIF(#REF!,$C208,#REF!)</f>
        <v>13693</v>
      </c>
      <c r="D208" s="259">
        <f ca="1">SUMIF('[2]7UnivActwithConsUnit'!$B:$B,$C208,'[2]7UnivActwithConsUnit'!E:E)+SUMIF('[2]8CollegeAct'!$B:$B,$C208,'[2]8CollegeAct'!E:E)+SUMIF(#REF!,$C208,#REF!)</f>
        <v>10071</v>
      </c>
      <c r="E208" s="259">
        <f ca="1">SUMIF('[2]7UnivActwithConsUnit'!$B:$B,$C208,'[2]7UnivActwithConsUnit'!F:F)+SUMIF('[2]8CollegeAct'!$B:$B,$C208,'[2]8CollegeAct'!F:F)+SUMIF(#REF!,$C208,#REF!)</f>
        <v>23764</v>
      </c>
      <c r="F208" s="259">
        <f ca="1">SUMIF('[2]7UnivActwithConsUnit'!$B:$B,$C208,'[2]7UnivActwithConsUnit'!G:G)+SUMIF('[2]8CollegeAct'!$B:$B,$C208,'[2]8CollegeAct'!G:G)+SUMIF(#REF!,$C208,#REF!)</f>
        <v>217</v>
      </c>
      <c r="G208" s="259">
        <f ca="1">SUMIF('[2]7UnivActwithConsUnit'!$B:$B,$C208,'[2]7UnivActwithConsUnit'!H:H)+SUMIF('[2]8CollegeAct'!$B:$B,$C208,'[2]8CollegeAct'!H:H)+SUMIF(#REF!,$C208,#REF!)</f>
        <v>320</v>
      </c>
      <c r="H208" s="259">
        <f ca="1">SUMIF('[2]7UnivActwithConsUnit'!$B:$B,$C208,'[2]7UnivActwithConsUnit'!I:I)+SUMIF('[2]8CollegeAct'!$B:$B,$C208,'[2]8CollegeAct'!I:I)+SUMIF(#REF!,$C208,#REF!)</f>
        <v>537</v>
      </c>
      <c r="I208" s="259">
        <f ca="1">SUMIF('[2]7UnivActwithConsUnit'!$B:$B,$C208,'[2]7UnivActwithConsUnit'!J:J)+SUMIF('[2]10CollegeEst'!$B:$B,$C208,'[2]10CollegeEst'!B:B)+SUMIF(#REF!,$C208,#REF!)</f>
        <v>237350</v>
      </c>
      <c r="J208" s="259">
        <f ca="1">SUMIF('[2]7UnivActwithConsUnit'!$B:$B,$C208,'[2]7UnivActwithConsUnit'!K:K)+SUMIF('[2]10CollegeEst'!$B:$B,$C208,'[2]10CollegeEst'!C:C)+SUMIF(#REF!,$C208,#REF!)</f>
        <v>331801</v>
      </c>
      <c r="K208" s="259">
        <f ca="1">SUMIF('[2]7UnivActwithConsUnit'!$B:$B,$C208,'[2]7UnivActwithConsUnit'!L:L)+SUMIF('[2]10CollegeEst'!$B:$B,$C208,'[2]10CollegeEst'!D:D)+SUMIF(#REF!,$C208,#REF!)</f>
        <v>569151</v>
      </c>
      <c r="L208" s="260">
        <f ca="1">SUMIF('[2]7UnivActwithConsUnit'!$B:$B,$C208,'[2]7UnivActwithConsUnit'!M:M)+SUMIF('[2]10CollegeEst'!$B:$B,$C208,'[2]10CollegeEst'!E:E)+SUMIF(#REF!,$C208,#REF!)</f>
        <v>2636040</v>
      </c>
      <c r="M208" s="259">
        <f ca="1">SUMIF('[2]7UnivActwithConsUnit'!$B:$B,$C208,'[2]7UnivActwithConsUnit'!N:N)+SUMIF('[2]10CollegeEst'!$B:$B,$C208,'[2]10CollegeEst'!F:F)+SUMIF(#REF!,$C208,#REF!)</f>
        <v>2765496</v>
      </c>
      <c r="N208" s="259">
        <f ca="1">SUMIF('[2]7UnivActwithConsUnit'!$B:$B,$C208,'[2]7UnivActwithConsUnit'!O:O)+SUMIF('[2]10CollegeEst'!$B:$B,$C208,'[2]10CollegeEst'!G:G)+SUMIF(#REF!,$C208,#REF!)</f>
        <v>5401536</v>
      </c>
      <c r="O208" s="259">
        <f ca="1">SUMIF('[2]7UnivActwithConsUnit'!$B:$B,$C208,'[2]7UnivActwithConsUnit'!P:P)+SUMIF('[2]8CollegeAct'!$B:$B,$C208,'[2]8CollegeAct'!P:P)+SUMIF(#REF!,$C208,#REF!)</f>
        <v>13318</v>
      </c>
      <c r="P208" s="259">
        <f ca="1">SUMIF('[2]7UnivActwithConsUnit'!$B:$B,$C208,'[2]7UnivActwithConsUnit'!Q:Q)+SUMIF('[2]8CollegeAct'!$B:$B,$C208,'[2]8CollegeAct'!Q:Q)+SUMIF(#REF!,$C208,#REF!)</f>
        <v>11152</v>
      </c>
      <c r="Q208" s="259">
        <f ca="1">SUMIF('[2]7UnivActwithConsUnit'!$B:$B,$C208,'[2]7UnivActwithConsUnit'!R:R)+SUMIF('[2]8CollegeAct'!$B:$B,$C208,'[2]8CollegeAct'!R:R)+SUMIF(#REF!,$C208,#REF!)</f>
        <v>24470</v>
      </c>
      <c r="R208" s="259">
        <f ca="1">SUMIF('[2]7UnivActwithConsUnit'!$B:$B,$C208,'[2]7UnivActwithConsUnit'!S:S)+SUMIF('[2]8CollegeAct'!$B:$B,$C208,'[2]8CollegeAct'!S:S)+SUMIF(#REF!,$C208,#REF!)</f>
        <v>198868</v>
      </c>
      <c r="S208" s="259">
        <f ca="1">SUMIF('[2]7UnivActwithConsUnit'!$B:$B,$C208,'[2]7UnivActwithConsUnit'!T:T)+SUMIF('[2]8CollegeAct'!$B:$B,$C208,'[2]8CollegeAct'!T:T)+SUMIF(#REF!,$C208,#REF!)</f>
        <v>103325</v>
      </c>
      <c r="T208" s="259">
        <f ca="1">SUMIF('[2]7UnivActwithConsUnit'!$B:$B,$C208,'[2]7UnivActwithConsUnit'!U:U)+SUMIF('[2]8CollegeAct'!$B:$B,$C208,'[2]8CollegeAct'!U:U)+SUMIF(#REF!,$C208,#REF!)</f>
        <v>302193</v>
      </c>
      <c r="U208" s="259">
        <f ca="1">SUMIF('[2]7UnivActwithConsUnit'!$B:$B,$C208,'[2]7UnivActwithConsUnit'!V:V)+SUMIF('[2]8CollegeAct'!$B:$B,$C208,'[2]8CollegeAct'!V:V)+SUMIF(#REF!,$C208,#REF!)</f>
        <v>10660</v>
      </c>
      <c r="V208" s="259">
        <f ca="1">SUMIF('[2]7UnivActwithConsUnit'!$B:$B,$C208,'[2]7UnivActwithConsUnit'!W:W)+SUMIF('[2]8CollegeAct'!$B:$B,$C208,'[2]8CollegeAct'!W:W)+SUMIF(#REF!,$C208,#REF!)</f>
        <v>14266</v>
      </c>
      <c r="W208" s="259">
        <f ca="1">SUMIF('[2]7UnivActwithConsUnit'!$B:$B,$C208,'[2]7UnivActwithConsUnit'!X:X)+SUMIF('[2]8CollegeAct'!$B:$B,$C208,'[2]8CollegeAct'!X:X)+SUMIF(#REF!,$C208,#REF!)</f>
        <v>24926</v>
      </c>
      <c r="X208" s="259">
        <f ca="1">SUMIF('[2]7UnivActwithConsUnit'!$B:$B,$C208,'[2]7UnivActwithConsUnit'!Y:Y)+SUMIF('[2]8CollegeAct'!$B:$B,$C208,'[2]8CollegeAct'!Y:Y)+SUMIF(#REF!,$C208,#REF!)</f>
        <v>26504</v>
      </c>
      <c r="Y208" s="259">
        <f ca="1">SUMIF('[2]7UnivActwithConsUnit'!$B:$B,$C208,'[2]7UnivActwithConsUnit'!Z:Z)+SUMIF('[2]8CollegeAct'!$B:$B,$C208,'[2]8CollegeAct'!Z:Z)+SUMIF(#REF!,$C208,#REF!)</f>
        <v>15133</v>
      </c>
      <c r="Z208" s="259">
        <f ca="1">SUMIF('[2]7UnivActwithConsUnit'!$B:$B,$C208,'[2]7UnivActwithConsUnit'!AA:AA)+SUMIF('[2]8CollegeAct'!$B:$B,$C208,'[2]8CollegeAct'!AA:AA)+SUMIF(#REF!,$C208,#REF!)</f>
        <v>41637</v>
      </c>
      <c r="AA208" s="261">
        <f t="shared" ref="AA208:AB208" ca="1" si="114">C208+F208+I208+L208+O208+R208+U208+X208</f>
        <v>3136650</v>
      </c>
      <c r="AB208" s="261">
        <f t="shared" ca="1" si="114"/>
        <v>3251564</v>
      </c>
      <c r="AC208" s="261">
        <f t="shared" ref="AC208" ca="1" si="115">AA208+AB208</f>
        <v>6388214</v>
      </c>
    </row>
    <row r="209" spans="1:29">
      <c r="A209" s="907"/>
      <c r="B209" s="314" t="s">
        <v>300</v>
      </c>
      <c r="C209" s="287">
        <v>11715</v>
      </c>
      <c r="D209" s="287">
        <v>7404</v>
      </c>
      <c r="E209" s="287">
        <v>19119</v>
      </c>
      <c r="F209" s="287">
        <v>326</v>
      </c>
      <c r="G209" s="287">
        <v>431</v>
      </c>
      <c r="H209" s="287">
        <v>757</v>
      </c>
      <c r="I209" s="287">
        <v>260167</v>
      </c>
      <c r="J209" s="287">
        <v>336882</v>
      </c>
      <c r="K209" s="287">
        <v>597049</v>
      </c>
      <c r="L209" s="315">
        <v>2675777</v>
      </c>
      <c r="M209" s="287">
        <v>2791519</v>
      </c>
      <c r="N209" s="287">
        <v>5467296</v>
      </c>
      <c r="O209" s="287">
        <v>20411</v>
      </c>
      <c r="P209" s="287">
        <v>16930</v>
      </c>
      <c r="Q209" s="287">
        <v>37341</v>
      </c>
      <c r="R209" s="287">
        <v>181658</v>
      </c>
      <c r="S209" s="287">
        <v>95328</v>
      </c>
      <c r="T209" s="287">
        <v>276986</v>
      </c>
      <c r="U209" s="287">
        <v>17599</v>
      </c>
      <c r="V209" s="287">
        <v>19016</v>
      </c>
      <c r="W209" s="287">
        <v>36615</v>
      </c>
      <c r="X209" s="287">
        <v>21867</v>
      </c>
      <c r="Y209" s="287">
        <v>12337</v>
      </c>
      <c r="Z209" s="287">
        <v>34204</v>
      </c>
      <c r="AA209" s="287">
        <v>3189520</v>
      </c>
      <c r="AB209" s="287">
        <v>3279847</v>
      </c>
      <c r="AC209" s="287">
        <v>6469367</v>
      </c>
    </row>
    <row r="210" spans="1:29">
      <c r="A210" s="907"/>
      <c r="B210" s="314" t="s">
        <v>299</v>
      </c>
      <c r="C210" s="96">
        <v>10069</v>
      </c>
      <c r="D210" s="96">
        <v>5339</v>
      </c>
      <c r="E210" s="96">
        <v>15408</v>
      </c>
      <c r="F210" s="96">
        <v>350</v>
      </c>
      <c r="G210" s="96">
        <v>510</v>
      </c>
      <c r="H210" s="96">
        <v>860</v>
      </c>
      <c r="I210" s="96">
        <v>281754.92901018076</v>
      </c>
      <c r="J210" s="96">
        <v>355717.953279012</v>
      </c>
      <c r="K210" s="96">
        <v>637472.88228919276</v>
      </c>
      <c r="L210" s="97">
        <v>2785329.527862024</v>
      </c>
      <c r="M210" s="96">
        <v>2661438.9824966588</v>
      </c>
      <c r="N210" s="96">
        <v>5446768.5103586828</v>
      </c>
      <c r="O210" s="96">
        <v>11691</v>
      </c>
      <c r="P210" s="96">
        <v>7930</v>
      </c>
      <c r="Q210" s="96">
        <v>19621</v>
      </c>
      <c r="R210" s="96">
        <v>178531</v>
      </c>
      <c r="S210" s="96">
        <v>82016</v>
      </c>
      <c r="T210" s="96">
        <v>260547</v>
      </c>
      <c r="U210" s="96">
        <v>20258</v>
      </c>
      <c r="V210" s="96">
        <v>22560</v>
      </c>
      <c r="W210" s="96">
        <v>42818</v>
      </c>
      <c r="X210" s="96">
        <v>20331</v>
      </c>
      <c r="Y210" s="96">
        <v>11549</v>
      </c>
      <c r="Z210" s="96">
        <v>31880</v>
      </c>
      <c r="AA210" s="98">
        <f t="shared" ref="AA210:AC210" si="116">C210+F210+I210+L210+O210+R210+U210+X210</f>
        <v>3308314.4568722048</v>
      </c>
      <c r="AB210" s="98">
        <f t="shared" si="116"/>
        <v>3147060.9357756707</v>
      </c>
      <c r="AC210" s="98">
        <f t="shared" si="116"/>
        <v>6455375.3926478755</v>
      </c>
    </row>
    <row r="211" spans="1:29">
      <c r="A211" s="907"/>
      <c r="B211" s="314" t="s">
        <v>298</v>
      </c>
      <c r="C211" s="100">
        <v>8838</v>
      </c>
      <c r="D211" s="100">
        <v>4389</v>
      </c>
      <c r="E211" s="101">
        <v>13227</v>
      </c>
      <c r="F211" s="100">
        <v>370</v>
      </c>
      <c r="G211" s="100">
        <v>502</v>
      </c>
      <c r="H211" s="101">
        <v>872</v>
      </c>
      <c r="I211" s="100">
        <v>257625</v>
      </c>
      <c r="J211" s="100">
        <v>334470</v>
      </c>
      <c r="K211" s="101">
        <v>592095</v>
      </c>
      <c r="L211" s="102">
        <v>2735668</v>
      </c>
      <c r="M211" s="100">
        <v>2488780</v>
      </c>
      <c r="N211" s="101">
        <v>5224448</v>
      </c>
      <c r="O211" s="100">
        <v>13608</v>
      </c>
      <c r="P211" s="100">
        <v>8169</v>
      </c>
      <c r="Q211" s="101">
        <v>21777</v>
      </c>
      <c r="R211" s="100">
        <v>164740</v>
      </c>
      <c r="S211" s="100">
        <v>70582</v>
      </c>
      <c r="T211" s="101">
        <v>235322</v>
      </c>
      <c r="U211" s="100">
        <v>19602</v>
      </c>
      <c r="V211" s="100">
        <v>20358</v>
      </c>
      <c r="W211" s="101">
        <v>39960</v>
      </c>
      <c r="X211" s="100">
        <v>20006</v>
      </c>
      <c r="Y211" s="100">
        <v>10264</v>
      </c>
      <c r="Z211" s="101">
        <v>30270</v>
      </c>
      <c r="AA211" s="101">
        <v>3220457</v>
      </c>
      <c r="AB211" s="101">
        <v>2937514</v>
      </c>
      <c r="AC211" s="101">
        <f t="shared" ref="AC211" si="117">SUM(AA211+AB211)</f>
        <v>6157971</v>
      </c>
    </row>
    <row r="212" spans="1:29">
      <c r="A212" s="907">
        <v>35</v>
      </c>
      <c r="B212" s="309" t="s">
        <v>46</v>
      </c>
      <c r="C212" s="310"/>
      <c r="D212" s="310"/>
      <c r="E212" s="310"/>
      <c r="F212" s="310"/>
      <c r="G212" s="310"/>
      <c r="H212" s="310"/>
      <c r="I212" s="310"/>
      <c r="J212" s="310"/>
      <c r="K212" s="311"/>
      <c r="L212" s="310"/>
      <c r="M212" s="310"/>
      <c r="N212" s="310"/>
      <c r="O212" s="310"/>
      <c r="P212" s="310"/>
      <c r="Q212" s="310"/>
      <c r="R212" s="310"/>
      <c r="S212" s="310"/>
      <c r="T212" s="311"/>
      <c r="U212" s="310"/>
      <c r="V212" s="310"/>
      <c r="W212" s="310"/>
      <c r="X212" s="310"/>
      <c r="Y212" s="310"/>
      <c r="Z212" s="310"/>
      <c r="AA212" s="310"/>
      <c r="AB212" s="310"/>
      <c r="AC212" s="311"/>
    </row>
    <row r="213" spans="1:29">
      <c r="A213" s="907"/>
      <c r="B213" s="312" t="s">
        <v>997</v>
      </c>
      <c r="C213" s="313">
        <v>4099</v>
      </c>
      <c r="D213" s="313">
        <v>2533</v>
      </c>
      <c r="E213" s="313">
        <v>6632</v>
      </c>
      <c r="F213" s="313">
        <v>4</v>
      </c>
      <c r="G213" s="313">
        <v>1</v>
      </c>
      <c r="H213" s="313">
        <v>5</v>
      </c>
      <c r="I213" s="313">
        <v>46493</v>
      </c>
      <c r="J213" s="313">
        <v>61555</v>
      </c>
      <c r="K213" s="313">
        <v>108048</v>
      </c>
      <c r="L213" s="313">
        <v>227696</v>
      </c>
      <c r="M213" s="313">
        <v>239419</v>
      </c>
      <c r="N213" s="313">
        <v>467115</v>
      </c>
      <c r="O213" s="313">
        <v>1231</v>
      </c>
      <c r="P213" s="313">
        <v>1122</v>
      </c>
      <c r="Q213" s="313">
        <v>2353</v>
      </c>
      <c r="R213" s="313">
        <v>20926</v>
      </c>
      <c r="S213" s="313">
        <v>7946</v>
      </c>
      <c r="T213" s="313">
        <v>28872</v>
      </c>
      <c r="U213" s="313">
        <v>450</v>
      </c>
      <c r="V213" s="313">
        <v>176</v>
      </c>
      <c r="W213" s="313">
        <v>626</v>
      </c>
      <c r="X213" s="313">
        <v>3951</v>
      </c>
      <c r="Y213" s="313">
        <v>2549</v>
      </c>
      <c r="Z213" s="313">
        <v>6500</v>
      </c>
      <c r="AA213" s="313">
        <v>304850</v>
      </c>
      <c r="AB213" s="313">
        <v>315301</v>
      </c>
      <c r="AC213" s="313">
        <v>620151</v>
      </c>
    </row>
    <row r="214" spans="1:29">
      <c r="A214" s="907"/>
      <c r="B214" s="314" t="s">
        <v>301</v>
      </c>
      <c r="C214" s="259">
        <f ca="1">SUMIF('[2]7UnivActwithConsUnit'!$B:$B,$C214,'[2]7UnivActwithConsUnit'!D:D)+SUMIF('[2]8CollegeAct'!$B:$B,$C214,'[2]8CollegeAct'!D:D)+SUMIF(#REF!,$C214,#REF!)</f>
        <v>3449</v>
      </c>
      <c r="D214" s="259">
        <f ca="1">SUMIF('[2]7UnivActwithConsUnit'!$B:$B,$C214,'[2]7UnivActwithConsUnit'!E:E)+SUMIF('[2]8CollegeAct'!$B:$B,$C214,'[2]8CollegeAct'!E:E)+SUMIF(#REF!,$C214,#REF!)</f>
        <v>2019</v>
      </c>
      <c r="E214" s="259">
        <f ca="1">SUMIF('[2]7UnivActwithConsUnit'!$B:$B,$C214,'[2]7UnivActwithConsUnit'!F:F)+SUMIF('[2]8CollegeAct'!$B:$B,$C214,'[2]8CollegeAct'!F:F)+SUMIF(#REF!,$C214,#REF!)</f>
        <v>5468</v>
      </c>
      <c r="F214" s="259">
        <f ca="1">SUMIF('[2]7UnivActwithConsUnit'!$B:$B,$C214,'[2]7UnivActwithConsUnit'!G:G)+SUMIF('[2]8CollegeAct'!$B:$B,$C214,'[2]8CollegeAct'!G:G)+SUMIF(#REF!,$C214,#REF!)</f>
        <v>21</v>
      </c>
      <c r="G214" s="259">
        <f ca="1">SUMIF('[2]7UnivActwithConsUnit'!$B:$B,$C214,'[2]7UnivActwithConsUnit'!H:H)+SUMIF('[2]8CollegeAct'!$B:$B,$C214,'[2]8CollegeAct'!H:H)+SUMIF(#REF!,$C214,#REF!)</f>
        <v>13</v>
      </c>
      <c r="H214" s="259">
        <f ca="1">SUMIF('[2]7UnivActwithConsUnit'!$B:$B,$C214,'[2]7UnivActwithConsUnit'!I:I)+SUMIF('[2]8CollegeAct'!$B:$B,$C214,'[2]8CollegeAct'!I:I)+SUMIF(#REF!,$C214,#REF!)</f>
        <v>34</v>
      </c>
      <c r="I214" s="259">
        <f ca="1">SUMIF('[2]7UnivActwithConsUnit'!$B:$B,$C214,'[2]7UnivActwithConsUnit'!J:J)+SUMIF('[2]10CollegeEst'!$B:$B,$C214,'[2]10CollegeEst'!B:B)+SUMIF(#REF!,$C214,#REF!)</f>
        <v>34137</v>
      </c>
      <c r="J214" s="259">
        <f ca="1">SUMIF('[2]7UnivActwithConsUnit'!$B:$B,$C214,'[2]7UnivActwithConsUnit'!K:K)+SUMIF('[2]10CollegeEst'!$B:$B,$C214,'[2]10CollegeEst'!C:C)+SUMIF(#REF!,$C214,#REF!)</f>
        <v>45833</v>
      </c>
      <c r="K214" s="259">
        <f ca="1">SUMIF('[2]7UnivActwithConsUnit'!$B:$B,$C214,'[2]7UnivActwithConsUnit'!L:L)+SUMIF('[2]10CollegeEst'!$B:$B,$C214,'[2]10CollegeEst'!D:D)+SUMIF(#REF!,$C214,#REF!)</f>
        <v>79970</v>
      </c>
      <c r="L214" s="260">
        <f ca="1">SUMIF('[2]7UnivActwithConsUnit'!$B:$B,$C214,'[2]7UnivActwithConsUnit'!M:M)+SUMIF('[2]10CollegeEst'!$B:$B,$C214,'[2]10CollegeEst'!E:E)+SUMIF(#REF!,$C214,#REF!)</f>
        <v>184770</v>
      </c>
      <c r="M214" s="259">
        <f ca="1">SUMIF('[2]7UnivActwithConsUnit'!$B:$B,$C214,'[2]7UnivActwithConsUnit'!N:N)+SUMIF('[2]10CollegeEst'!$B:$B,$C214,'[2]10CollegeEst'!F:F)+SUMIF(#REF!,$C214,#REF!)</f>
        <v>185154</v>
      </c>
      <c r="N214" s="259">
        <f ca="1">SUMIF('[2]7UnivActwithConsUnit'!$B:$B,$C214,'[2]7UnivActwithConsUnit'!O:O)+SUMIF('[2]10CollegeEst'!$B:$B,$C214,'[2]10CollegeEst'!G:G)+SUMIF(#REF!,$C214,#REF!)</f>
        <v>369924</v>
      </c>
      <c r="O214" s="259">
        <f ca="1">SUMIF('[2]7UnivActwithConsUnit'!$B:$B,$C214,'[2]7UnivActwithConsUnit'!P:P)+SUMIF('[2]8CollegeAct'!$B:$B,$C214,'[2]8CollegeAct'!P:P)+SUMIF(#REF!,$C214,#REF!)</f>
        <v>1096</v>
      </c>
      <c r="P214" s="259">
        <f ca="1">SUMIF('[2]7UnivActwithConsUnit'!$B:$B,$C214,'[2]7UnivActwithConsUnit'!Q:Q)+SUMIF('[2]8CollegeAct'!$B:$B,$C214,'[2]8CollegeAct'!Q:Q)+SUMIF(#REF!,$C214,#REF!)</f>
        <v>1078</v>
      </c>
      <c r="Q214" s="259">
        <f ca="1">SUMIF('[2]7UnivActwithConsUnit'!$B:$B,$C214,'[2]7UnivActwithConsUnit'!R:R)+SUMIF('[2]8CollegeAct'!$B:$B,$C214,'[2]8CollegeAct'!R:R)+SUMIF(#REF!,$C214,#REF!)</f>
        <v>2174</v>
      </c>
      <c r="R214" s="259">
        <f ca="1">SUMIF('[2]7UnivActwithConsUnit'!$B:$B,$C214,'[2]7UnivActwithConsUnit'!S:S)+SUMIF('[2]8CollegeAct'!$B:$B,$C214,'[2]8CollegeAct'!S:S)+SUMIF(#REF!,$C214,#REF!)</f>
        <v>21760</v>
      </c>
      <c r="S214" s="259">
        <f ca="1">SUMIF('[2]7UnivActwithConsUnit'!$B:$B,$C214,'[2]7UnivActwithConsUnit'!T:T)+SUMIF('[2]8CollegeAct'!$B:$B,$C214,'[2]8CollegeAct'!T:T)+SUMIF(#REF!,$C214,#REF!)</f>
        <v>7924</v>
      </c>
      <c r="T214" s="259">
        <f ca="1">SUMIF('[2]7UnivActwithConsUnit'!$B:$B,$C214,'[2]7UnivActwithConsUnit'!U:U)+SUMIF('[2]8CollegeAct'!$B:$B,$C214,'[2]8CollegeAct'!U:U)+SUMIF(#REF!,$C214,#REF!)</f>
        <v>29684</v>
      </c>
      <c r="U214" s="259">
        <f ca="1">SUMIF('[2]7UnivActwithConsUnit'!$B:$B,$C214,'[2]7UnivActwithConsUnit'!V:V)+SUMIF('[2]8CollegeAct'!$B:$B,$C214,'[2]8CollegeAct'!V:V)+SUMIF(#REF!,$C214,#REF!)</f>
        <v>294</v>
      </c>
      <c r="V214" s="259">
        <f ca="1">SUMIF('[2]7UnivActwithConsUnit'!$B:$B,$C214,'[2]7UnivActwithConsUnit'!W:W)+SUMIF('[2]8CollegeAct'!$B:$B,$C214,'[2]8CollegeAct'!W:W)+SUMIF(#REF!,$C214,#REF!)</f>
        <v>79</v>
      </c>
      <c r="W214" s="259">
        <f ca="1">SUMIF('[2]7UnivActwithConsUnit'!$B:$B,$C214,'[2]7UnivActwithConsUnit'!X:X)+SUMIF('[2]8CollegeAct'!$B:$B,$C214,'[2]8CollegeAct'!X:X)+SUMIF(#REF!,$C214,#REF!)</f>
        <v>373</v>
      </c>
      <c r="X214" s="259">
        <f ca="1">SUMIF('[2]7UnivActwithConsUnit'!$B:$B,$C214,'[2]7UnivActwithConsUnit'!Y:Y)+SUMIF('[2]8CollegeAct'!$B:$B,$C214,'[2]8CollegeAct'!Y:Y)+SUMIF(#REF!,$C214,#REF!)</f>
        <v>3366</v>
      </c>
      <c r="Y214" s="259">
        <f ca="1">SUMIF('[2]7UnivActwithConsUnit'!$B:$B,$C214,'[2]7UnivActwithConsUnit'!Z:Z)+SUMIF('[2]8CollegeAct'!$B:$B,$C214,'[2]8CollegeAct'!Z:Z)+SUMIF(#REF!,$C214,#REF!)</f>
        <v>2286</v>
      </c>
      <c r="Z214" s="259">
        <f ca="1">SUMIF('[2]7UnivActwithConsUnit'!$B:$B,$C214,'[2]7UnivActwithConsUnit'!AA:AA)+SUMIF('[2]8CollegeAct'!$B:$B,$C214,'[2]8CollegeAct'!AA:AA)+SUMIF(#REF!,$C214,#REF!)</f>
        <v>5652</v>
      </c>
      <c r="AA214" s="261">
        <f t="shared" ref="AA214:AB214" ca="1" si="118">C214+F214+I214+L214+O214+R214+U214+X214</f>
        <v>248893</v>
      </c>
      <c r="AB214" s="261">
        <f t="shared" ca="1" si="118"/>
        <v>244386</v>
      </c>
      <c r="AC214" s="261">
        <f t="shared" ref="AC214" ca="1" si="119">AA214+AB214</f>
        <v>493279</v>
      </c>
    </row>
    <row r="215" spans="1:29">
      <c r="A215" s="907"/>
      <c r="B215" s="314" t="s">
        <v>300</v>
      </c>
      <c r="C215" s="287">
        <v>2903</v>
      </c>
      <c r="D215" s="287">
        <v>1759</v>
      </c>
      <c r="E215" s="287">
        <v>4662</v>
      </c>
      <c r="F215" s="287">
        <v>18</v>
      </c>
      <c r="G215" s="287">
        <v>9</v>
      </c>
      <c r="H215" s="287">
        <v>27</v>
      </c>
      <c r="I215" s="287">
        <v>32342</v>
      </c>
      <c r="J215" s="287">
        <v>39584</v>
      </c>
      <c r="K215" s="287">
        <v>71926</v>
      </c>
      <c r="L215" s="315">
        <v>177767</v>
      </c>
      <c r="M215" s="287">
        <v>174137</v>
      </c>
      <c r="N215" s="287">
        <v>351904</v>
      </c>
      <c r="O215" s="287">
        <v>1174</v>
      </c>
      <c r="P215" s="287">
        <v>1105</v>
      </c>
      <c r="Q215" s="287">
        <v>2279</v>
      </c>
      <c r="R215" s="287">
        <v>23572</v>
      </c>
      <c r="S215" s="287">
        <v>8585</v>
      </c>
      <c r="T215" s="287">
        <v>32157</v>
      </c>
      <c r="U215" s="287">
        <v>215</v>
      </c>
      <c r="V215" s="287">
        <v>70</v>
      </c>
      <c r="W215" s="287">
        <v>285</v>
      </c>
      <c r="X215" s="287">
        <v>3092</v>
      </c>
      <c r="Y215" s="287">
        <v>1923</v>
      </c>
      <c r="Z215" s="287">
        <v>5015</v>
      </c>
      <c r="AA215" s="287">
        <v>241083</v>
      </c>
      <c r="AB215" s="287">
        <v>227172</v>
      </c>
      <c r="AC215" s="287">
        <v>468255</v>
      </c>
    </row>
    <row r="216" spans="1:29">
      <c r="A216" s="907"/>
      <c r="B216" s="314" t="s">
        <v>299</v>
      </c>
      <c r="C216" s="96">
        <v>2419</v>
      </c>
      <c r="D216" s="96">
        <v>1489</v>
      </c>
      <c r="E216" s="96">
        <v>3908</v>
      </c>
      <c r="F216" s="96">
        <v>11</v>
      </c>
      <c r="G216" s="96">
        <v>5</v>
      </c>
      <c r="H216" s="96">
        <v>16</v>
      </c>
      <c r="I216" s="96">
        <v>32756.180005101087</v>
      </c>
      <c r="J216" s="96">
        <v>38386.191689038154</v>
      </c>
      <c r="K216" s="96">
        <v>71142.371694139249</v>
      </c>
      <c r="L216" s="97">
        <v>159414.69341997942</v>
      </c>
      <c r="M216" s="96">
        <v>160459.32996324659</v>
      </c>
      <c r="N216" s="96">
        <v>319874.02338322601</v>
      </c>
      <c r="O216" s="96">
        <v>1285</v>
      </c>
      <c r="P216" s="96">
        <v>920</v>
      </c>
      <c r="Q216" s="96">
        <v>2205</v>
      </c>
      <c r="R216" s="96">
        <v>25849</v>
      </c>
      <c r="S216" s="96">
        <v>9529</v>
      </c>
      <c r="T216" s="96">
        <v>35378</v>
      </c>
      <c r="U216" s="96">
        <v>235</v>
      </c>
      <c r="V216" s="96">
        <v>99</v>
      </c>
      <c r="W216" s="96">
        <v>334</v>
      </c>
      <c r="X216" s="96">
        <v>2638</v>
      </c>
      <c r="Y216" s="96">
        <v>1655</v>
      </c>
      <c r="Z216" s="96">
        <v>4293</v>
      </c>
      <c r="AA216" s="98">
        <f t="shared" ref="AA216:AC216" si="120">C216+F216+I216+L216+O216+R216+U216+X216</f>
        <v>224607.8734250805</v>
      </c>
      <c r="AB216" s="98">
        <f t="shared" si="120"/>
        <v>212542.52165228475</v>
      </c>
      <c r="AC216" s="98">
        <f t="shared" si="120"/>
        <v>437150.39507736528</v>
      </c>
    </row>
    <row r="217" spans="1:29">
      <c r="A217" s="907"/>
      <c r="B217" s="314" t="s">
        <v>298</v>
      </c>
      <c r="C217" s="100">
        <v>1971</v>
      </c>
      <c r="D217" s="100">
        <v>1204</v>
      </c>
      <c r="E217" s="101">
        <v>3175</v>
      </c>
      <c r="F217" s="100">
        <v>7</v>
      </c>
      <c r="G217" s="100">
        <v>4</v>
      </c>
      <c r="H217" s="101">
        <v>11</v>
      </c>
      <c r="I217" s="100">
        <v>28886</v>
      </c>
      <c r="J217" s="100">
        <v>33774</v>
      </c>
      <c r="K217" s="101">
        <v>62660</v>
      </c>
      <c r="L217" s="102">
        <v>149210</v>
      </c>
      <c r="M217" s="100">
        <v>148149</v>
      </c>
      <c r="N217" s="101">
        <v>297359</v>
      </c>
      <c r="O217" s="100">
        <v>2122</v>
      </c>
      <c r="P217" s="100">
        <v>1485</v>
      </c>
      <c r="Q217" s="101">
        <v>3607</v>
      </c>
      <c r="R217" s="100">
        <v>25137</v>
      </c>
      <c r="S217" s="100">
        <v>8323</v>
      </c>
      <c r="T217" s="101">
        <v>33460</v>
      </c>
      <c r="U217" s="100">
        <v>201</v>
      </c>
      <c r="V217" s="100">
        <v>76</v>
      </c>
      <c r="W217" s="101">
        <v>277</v>
      </c>
      <c r="X217" s="100">
        <v>2560</v>
      </c>
      <c r="Y217" s="100">
        <v>1577</v>
      </c>
      <c r="Z217" s="101">
        <v>4137</v>
      </c>
      <c r="AA217" s="101">
        <v>210094</v>
      </c>
      <c r="AB217" s="101">
        <v>194592</v>
      </c>
      <c r="AC217" s="101">
        <f t="shared" ref="AC217" si="121">SUM(AA217+AB217)</f>
        <v>404686</v>
      </c>
    </row>
    <row r="218" spans="1:29">
      <c r="A218" s="907">
        <v>36</v>
      </c>
      <c r="B218" s="309" t="s">
        <v>48</v>
      </c>
      <c r="C218" s="310"/>
      <c r="D218" s="310"/>
      <c r="E218" s="310"/>
      <c r="F218" s="310"/>
      <c r="G218" s="310"/>
      <c r="H218" s="310"/>
      <c r="I218" s="310"/>
      <c r="J218" s="310"/>
      <c r="K218" s="311"/>
      <c r="L218" s="310"/>
      <c r="M218" s="310"/>
      <c r="N218" s="310"/>
      <c r="O218" s="310"/>
      <c r="P218" s="310"/>
      <c r="Q218" s="310"/>
      <c r="R218" s="310"/>
      <c r="S218" s="310"/>
      <c r="T218" s="311"/>
      <c r="U218" s="310"/>
      <c r="V218" s="310"/>
      <c r="W218" s="310"/>
      <c r="X218" s="310"/>
      <c r="Y218" s="310"/>
      <c r="Z218" s="310"/>
      <c r="AA218" s="310"/>
      <c r="AB218" s="310"/>
      <c r="AC218" s="311"/>
    </row>
    <row r="219" spans="1:29">
      <c r="A219" s="907"/>
      <c r="B219" s="312" t="s">
        <v>997</v>
      </c>
      <c r="C219" s="313">
        <v>8757</v>
      </c>
      <c r="D219" s="313">
        <v>5173</v>
      </c>
      <c r="E219" s="313">
        <v>13930</v>
      </c>
      <c r="F219" s="313">
        <v>1003</v>
      </c>
      <c r="G219" s="313">
        <v>963</v>
      </c>
      <c r="H219" s="313">
        <v>1966</v>
      </c>
      <c r="I219" s="313">
        <v>79405</v>
      </c>
      <c r="J219" s="313">
        <v>108051</v>
      </c>
      <c r="K219" s="313">
        <v>187456</v>
      </c>
      <c r="L219" s="313">
        <v>863390</v>
      </c>
      <c r="M219" s="313">
        <v>929778</v>
      </c>
      <c r="N219" s="313">
        <v>1793168</v>
      </c>
      <c r="O219" s="313">
        <v>3440</v>
      </c>
      <c r="P219" s="313">
        <v>2372</v>
      </c>
      <c r="Q219" s="313">
        <v>5812</v>
      </c>
      <c r="R219" s="313">
        <v>116868</v>
      </c>
      <c r="S219" s="313">
        <v>74479</v>
      </c>
      <c r="T219" s="313">
        <v>191347</v>
      </c>
      <c r="U219" s="313">
        <v>3381</v>
      </c>
      <c r="V219" s="313">
        <v>3119</v>
      </c>
      <c r="W219" s="313">
        <v>6500</v>
      </c>
      <c r="X219" s="313">
        <v>9939</v>
      </c>
      <c r="Y219" s="313">
        <v>5418</v>
      </c>
      <c r="Z219" s="313">
        <v>15357</v>
      </c>
      <c r="AA219" s="313">
        <v>1086183</v>
      </c>
      <c r="AB219" s="313">
        <v>1129353</v>
      </c>
      <c r="AC219" s="313">
        <v>2215536</v>
      </c>
    </row>
    <row r="220" spans="1:29">
      <c r="A220" s="907"/>
      <c r="B220" s="314" t="s">
        <v>301</v>
      </c>
      <c r="C220" s="259">
        <f ca="1">SUMIF('[2]7UnivActwithConsUnit'!$B:$B,$C220,'[2]7UnivActwithConsUnit'!D:D)+SUMIF('[2]8CollegeAct'!$B:$B,$C220,'[2]8CollegeAct'!D:D)+SUMIF(#REF!,$C220,#REF!)</f>
        <v>8063</v>
      </c>
      <c r="D220" s="259">
        <f ca="1">SUMIF('[2]7UnivActwithConsUnit'!$B:$B,$C220,'[2]7UnivActwithConsUnit'!E:E)+SUMIF('[2]8CollegeAct'!$B:$B,$C220,'[2]8CollegeAct'!E:E)+SUMIF(#REF!,$C220,#REF!)</f>
        <v>4773</v>
      </c>
      <c r="E220" s="259">
        <f ca="1">SUMIF('[2]7UnivActwithConsUnit'!$B:$B,$C220,'[2]7UnivActwithConsUnit'!F:F)+SUMIF('[2]8CollegeAct'!$B:$B,$C220,'[2]8CollegeAct'!F:F)+SUMIF(#REF!,$C220,#REF!)</f>
        <v>12836</v>
      </c>
      <c r="F220" s="259">
        <f ca="1">SUMIF('[2]7UnivActwithConsUnit'!$B:$B,$C220,'[2]7UnivActwithConsUnit'!G:G)+SUMIF('[2]8CollegeAct'!$B:$B,$C220,'[2]8CollegeAct'!G:G)+SUMIF(#REF!,$C220,#REF!)</f>
        <v>1195</v>
      </c>
      <c r="G220" s="259">
        <f ca="1">SUMIF('[2]7UnivActwithConsUnit'!$B:$B,$C220,'[2]7UnivActwithConsUnit'!H:H)+SUMIF('[2]8CollegeAct'!$B:$B,$C220,'[2]8CollegeAct'!H:H)+SUMIF(#REF!,$C220,#REF!)</f>
        <v>983</v>
      </c>
      <c r="H220" s="259">
        <f ca="1">SUMIF('[2]7UnivActwithConsUnit'!$B:$B,$C220,'[2]7UnivActwithConsUnit'!I:I)+SUMIF('[2]8CollegeAct'!$B:$B,$C220,'[2]8CollegeAct'!I:I)+SUMIF(#REF!,$C220,#REF!)</f>
        <v>2178</v>
      </c>
      <c r="I220" s="259">
        <f ca="1">SUMIF('[2]7UnivActwithConsUnit'!$B:$B,$C220,'[2]7UnivActwithConsUnit'!J:J)+SUMIF('[2]10CollegeEst'!$B:$B,$C220,'[2]10CollegeEst'!B:B)+SUMIF(#REF!,$C220,#REF!)</f>
        <v>62665</v>
      </c>
      <c r="J220" s="259">
        <f ca="1">SUMIF('[2]7UnivActwithConsUnit'!$B:$B,$C220,'[2]7UnivActwithConsUnit'!K:K)+SUMIF('[2]10CollegeEst'!$B:$B,$C220,'[2]10CollegeEst'!C:C)+SUMIF(#REF!,$C220,#REF!)</f>
        <v>90360</v>
      </c>
      <c r="K220" s="259">
        <f ca="1">SUMIF('[2]7UnivActwithConsUnit'!$B:$B,$C220,'[2]7UnivActwithConsUnit'!L:L)+SUMIF('[2]10CollegeEst'!$B:$B,$C220,'[2]10CollegeEst'!D:D)+SUMIF(#REF!,$C220,#REF!)</f>
        <v>153025</v>
      </c>
      <c r="L220" s="260">
        <f ca="1">SUMIF('[2]7UnivActwithConsUnit'!$B:$B,$C220,'[2]7UnivActwithConsUnit'!M:M)+SUMIF('[2]10CollegeEst'!$B:$B,$C220,'[2]10CollegeEst'!E:E)+SUMIF(#REF!,$C220,#REF!)</f>
        <v>865130</v>
      </c>
      <c r="M220" s="259">
        <f ca="1">SUMIF('[2]7UnivActwithConsUnit'!$B:$B,$C220,'[2]7UnivActwithConsUnit'!N:N)+SUMIF('[2]10CollegeEst'!$B:$B,$C220,'[2]10CollegeEst'!F:F)+SUMIF(#REF!,$C220,#REF!)</f>
        <v>924953</v>
      </c>
      <c r="N220" s="259">
        <f ca="1">SUMIF('[2]7UnivActwithConsUnit'!$B:$B,$C220,'[2]7UnivActwithConsUnit'!O:O)+SUMIF('[2]10CollegeEst'!$B:$B,$C220,'[2]10CollegeEst'!G:G)+SUMIF(#REF!,$C220,#REF!)</f>
        <v>1790083</v>
      </c>
      <c r="O220" s="259">
        <f ca="1">SUMIF('[2]7UnivActwithConsUnit'!$B:$B,$C220,'[2]7UnivActwithConsUnit'!P:P)+SUMIF('[2]8CollegeAct'!$B:$B,$C220,'[2]8CollegeAct'!P:P)+SUMIF(#REF!,$C220,#REF!)</f>
        <v>3390</v>
      </c>
      <c r="P220" s="259">
        <f ca="1">SUMIF('[2]7UnivActwithConsUnit'!$B:$B,$C220,'[2]7UnivActwithConsUnit'!Q:Q)+SUMIF('[2]8CollegeAct'!$B:$B,$C220,'[2]8CollegeAct'!Q:Q)+SUMIF(#REF!,$C220,#REF!)</f>
        <v>2129</v>
      </c>
      <c r="Q220" s="259">
        <f ca="1">SUMIF('[2]7UnivActwithConsUnit'!$B:$B,$C220,'[2]7UnivActwithConsUnit'!R:R)+SUMIF('[2]8CollegeAct'!$B:$B,$C220,'[2]8CollegeAct'!R:R)+SUMIF(#REF!,$C220,#REF!)</f>
        <v>5519</v>
      </c>
      <c r="R220" s="259">
        <f ca="1">SUMIF('[2]7UnivActwithConsUnit'!$B:$B,$C220,'[2]7UnivActwithConsUnit'!S:S)+SUMIF('[2]8CollegeAct'!$B:$B,$C220,'[2]8CollegeAct'!S:S)+SUMIF(#REF!,$C220,#REF!)</f>
        <v>114991</v>
      </c>
      <c r="S220" s="259">
        <f ca="1">SUMIF('[2]7UnivActwithConsUnit'!$B:$B,$C220,'[2]7UnivActwithConsUnit'!T:T)+SUMIF('[2]8CollegeAct'!$B:$B,$C220,'[2]8CollegeAct'!T:T)+SUMIF(#REF!,$C220,#REF!)</f>
        <v>58776</v>
      </c>
      <c r="T220" s="259">
        <f ca="1">SUMIF('[2]7UnivActwithConsUnit'!$B:$B,$C220,'[2]7UnivActwithConsUnit'!U:U)+SUMIF('[2]8CollegeAct'!$B:$B,$C220,'[2]8CollegeAct'!U:U)+SUMIF(#REF!,$C220,#REF!)</f>
        <v>173767</v>
      </c>
      <c r="U220" s="259">
        <f ca="1">SUMIF('[2]7UnivActwithConsUnit'!$B:$B,$C220,'[2]7UnivActwithConsUnit'!V:V)+SUMIF('[2]8CollegeAct'!$B:$B,$C220,'[2]8CollegeAct'!V:V)+SUMIF(#REF!,$C220,#REF!)</f>
        <v>4859</v>
      </c>
      <c r="V220" s="259">
        <f ca="1">SUMIF('[2]7UnivActwithConsUnit'!$B:$B,$C220,'[2]7UnivActwithConsUnit'!W:W)+SUMIF('[2]8CollegeAct'!$B:$B,$C220,'[2]8CollegeAct'!W:W)+SUMIF(#REF!,$C220,#REF!)</f>
        <v>3695</v>
      </c>
      <c r="W220" s="259">
        <f ca="1">SUMIF('[2]7UnivActwithConsUnit'!$B:$B,$C220,'[2]7UnivActwithConsUnit'!X:X)+SUMIF('[2]8CollegeAct'!$B:$B,$C220,'[2]8CollegeAct'!X:X)+SUMIF(#REF!,$C220,#REF!)</f>
        <v>8554</v>
      </c>
      <c r="X220" s="259">
        <f ca="1">SUMIF('[2]7UnivActwithConsUnit'!$B:$B,$C220,'[2]7UnivActwithConsUnit'!Y:Y)+SUMIF('[2]8CollegeAct'!$B:$B,$C220,'[2]8CollegeAct'!Y:Y)+SUMIF(#REF!,$C220,#REF!)</f>
        <v>9336</v>
      </c>
      <c r="Y220" s="259">
        <f ca="1">SUMIF('[2]7UnivActwithConsUnit'!$B:$B,$C220,'[2]7UnivActwithConsUnit'!Z:Z)+SUMIF('[2]8CollegeAct'!$B:$B,$C220,'[2]8CollegeAct'!Z:Z)+SUMIF(#REF!,$C220,#REF!)</f>
        <v>5595</v>
      </c>
      <c r="Z220" s="259">
        <f ca="1">SUMIF('[2]7UnivActwithConsUnit'!$B:$B,$C220,'[2]7UnivActwithConsUnit'!AA:AA)+SUMIF('[2]8CollegeAct'!$B:$B,$C220,'[2]8CollegeAct'!AA:AA)+SUMIF(#REF!,$C220,#REF!)</f>
        <v>14931</v>
      </c>
      <c r="AA220" s="261">
        <f t="shared" ref="AA220:AB220" ca="1" si="122">C220+F220+I220+L220+O220+R220+U220+X220</f>
        <v>1069629</v>
      </c>
      <c r="AB220" s="261">
        <f t="shared" ca="1" si="122"/>
        <v>1091264</v>
      </c>
      <c r="AC220" s="261">
        <f t="shared" ref="AC220" ca="1" si="123">AA220+AB220</f>
        <v>2160893</v>
      </c>
    </row>
    <row r="221" spans="1:29">
      <c r="A221" s="907"/>
      <c r="B221" s="314" t="s">
        <v>300</v>
      </c>
      <c r="C221" s="287">
        <v>7161</v>
      </c>
      <c r="D221" s="287">
        <v>4570</v>
      </c>
      <c r="E221" s="287">
        <v>11731</v>
      </c>
      <c r="F221" s="287">
        <v>959</v>
      </c>
      <c r="G221" s="287">
        <v>803</v>
      </c>
      <c r="H221" s="287">
        <v>1762</v>
      </c>
      <c r="I221" s="287">
        <v>66871</v>
      </c>
      <c r="J221" s="287">
        <v>94793</v>
      </c>
      <c r="K221" s="287">
        <v>161664</v>
      </c>
      <c r="L221" s="315">
        <v>851156</v>
      </c>
      <c r="M221" s="287">
        <v>874504</v>
      </c>
      <c r="N221" s="287">
        <v>1725660</v>
      </c>
      <c r="O221" s="287">
        <v>3120</v>
      </c>
      <c r="P221" s="287">
        <v>2437</v>
      </c>
      <c r="Q221" s="287">
        <v>5557</v>
      </c>
      <c r="R221" s="287">
        <v>113292</v>
      </c>
      <c r="S221" s="287">
        <v>55408</v>
      </c>
      <c r="T221" s="287">
        <v>168700</v>
      </c>
      <c r="U221" s="287">
        <v>4808</v>
      </c>
      <c r="V221" s="287">
        <v>3628</v>
      </c>
      <c r="W221" s="287">
        <v>8436</v>
      </c>
      <c r="X221" s="287">
        <v>9144</v>
      </c>
      <c r="Y221" s="287">
        <v>4756</v>
      </c>
      <c r="Z221" s="287">
        <v>13900</v>
      </c>
      <c r="AA221" s="287">
        <v>1056511</v>
      </c>
      <c r="AB221" s="287">
        <v>1040899</v>
      </c>
      <c r="AC221" s="287">
        <v>2097410</v>
      </c>
    </row>
    <row r="222" spans="1:29">
      <c r="A222" s="907"/>
      <c r="B222" s="314" t="s">
        <v>299</v>
      </c>
      <c r="C222" s="96">
        <v>4690</v>
      </c>
      <c r="D222" s="96">
        <v>2255</v>
      </c>
      <c r="E222" s="96">
        <v>6945</v>
      </c>
      <c r="F222" s="96">
        <v>952</v>
      </c>
      <c r="G222" s="96">
        <v>724</v>
      </c>
      <c r="H222" s="96">
        <v>1676</v>
      </c>
      <c r="I222" s="96">
        <v>96056</v>
      </c>
      <c r="J222" s="96">
        <v>91414</v>
      </c>
      <c r="K222" s="96">
        <v>187470</v>
      </c>
      <c r="L222" s="97">
        <v>842222</v>
      </c>
      <c r="M222" s="96">
        <v>824266</v>
      </c>
      <c r="N222" s="96">
        <v>1666488</v>
      </c>
      <c r="O222" s="96">
        <v>3979</v>
      </c>
      <c r="P222" s="96">
        <v>2626</v>
      </c>
      <c r="Q222" s="96">
        <v>6605</v>
      </c>
      <c r="R222" s="96">
        <v>101570</v>
      </c>
      <c r="S222" s="96">
        <v>46965</v>
      </c>
      <c r="T222" s="96">
        <v>148535</v>
      </c>
      <c r="U222" s="96">
        <v>4962</v>
      </c>
      <c r="V222" s="96">
        <v>3086</v>
      </c>
      <c r="W222" s="96">
        <v>8048</v>
      </c>
      <c r="X222" s="96">
        <v>7089</v>
      </c>
      <c r="Y222" s="96">
        <v>3125</v>
      </c>
      <c r="Z222" s="96">
        <v>10214</v>
      </c>
      <c r="AA222" s="98">
        <f t="shared" ref="AA222:AC222" si="124">C222+F222+I222+L222+O222+R222+U222+X222</f>
        <v>1061520</v>
      </c>
      <c r="AB222" s="98">
        <f t="shared" si="124"/>
        <v>974461</v>
      </c>
      <c r="AC222" s="98">
        <f t="shared" si="124"/>
        <v>2035981</v>
      </c>
    </row>
    <row r="223" spans="1:29">
      <c r="A223" s="907"/>
      <c r="B223" s="314" t="s">
        <v>298</v>
      </c>
      <c r="C223" s="100">
        <v>4338</v>
      </c>
      <c r="D223" s="100">
        <v>2024</v>
      </c>
      <c r="E223" s="101">
        <v>6362</v>
      </c>
      <c r="F223" s="100">
        <v>1049</v>
      </c>
      <c r="G223" s="100">
        <v>753</v>
      </c>
      <c r="H223" s="101">
        <v>1802</v>
      </c>
      <c r="I223" s="100">
        <v>74481</v>
      </c>
      <c r="J223" s="100">
        <v>98192</v>
      </c>
      <c r="K223" s="101">
        <v>172673</v>
      </c>
      <c r="L223" s="102">
        <v>880701</v>
      </c>
      <c r="M223" s="100">
        <v>812747</v>
      </c>
      <c r="N223" s="101">
        <v>1693448</v>
      </c>
      <c r="O223" s="100">
        <v>3851</v>
      </c>
      <c r="P223" s="100">
        <v>2012</v>
      </c>
      <c r="Q223" s="101">
        <v>5863</v>
      </c>
      <c r="R223" s="100">
        <v>88551</v>
      </c>
      <c r="S223" s="100">
        <v>32100</v>
      </c>
      <c r="T223" s="101">
        <v>120651</v>
      </c>
      <c r="U223" s="100">
        <v>3425</v>
      </c>
      <c r="V223" s="100">
        <v>2298</v>
      </c>
      <c r="W223" s="101">
        <v>5723</v>
      </c>
      <c r="X223" s="100">
        <v>6792</v>
      </c>
      <c r="Y223" s="100">
        <v>2682</v>
      </c>
      <c r="Z223" s="101">
        <v>9474</v>
      </c>
      <c r="AA223" s="101">
        <v>1063188</v>
      </c>
      <c r="AB223" s="101">
        <v>952808</v>
      </c>
      <c r="AC223" s="101">
        <f t="shared" ref="AC223" si="125">SUM(AA223+AB223)</f>
        <v>2015996</v>
      </c>
    </row>
  </sheetData>
  <mergeCells count="48"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  <mergeCell ref="A5:A10"/>
    <mergeCell ref="A11:A16"/>
    <mergeCell ref="A17:A22"/>
    <mergeCell ref="A23:A28"/>
    <mergeCell ref="A29:A34"/>
    <mergeCell ref="A83:A88"/>
    <mergeCell ref="A89:A94"/>
    <mergeCell ref="A35:A40"/>
    <mergeCell ref="A41:A46"/>
    <mergeCell ref="A47:A52"/>
    <mergeCell ref="A53:A58"/>
    <mergeCell ref="A59:A64"/>
    <mergeCell ref="A2:A3"/>
    <mergeCell ref="A152:A157"/>
    <mergeCell ref="A158:A163"/>
    <mergeCell ref="A164:A169"/>
    <mergeCell ref="A170:A175"/>
    <mergeCell ref="A122:A127"/>
    <mergeCell ref="A128:A133"/>
    <mergeCell ref="A134:A139"/>
    <mergeCell ref="A140:A145"/>
    <mergeCell ref="A146:A151"/>
    <mergeCell ref="A95:A100"/>
    <mergeCell ref="A110:A115"/>
    <mergeCell ref="A116:A121"/>
    <mergeCell ref="A65:A70"/>
    <mergeCell ref="A71:A76"/>
    <mergeCell ref="A77:A82"/>
    <mergeCell ref="A206:A211"/>
    <mergeCell ref="A212:A217"/>
    <mergeCell ref="A218:A223"/>
    <mergeCell ref="A107:A109"/>
    <mergeCell ref="A101:A106"/>
    <mergeCell ref="A182:A187"/>
    <mergeCell ref="A188:A193"/>
    <mergeCell ref="A194:A199"/>
    <mergeCell ref="A200:A205"/>
    <mergeCell ref="A176:A181"/>
  </mergeCells>
  <printOptions horizontalCentered="1"/>
  <pageMargins left="0.39370078740157499" right="0.39370078740157499" top="0.39370078740157499" bottom="0.39370078740157499" header="0.27559055118110198" footer="0.23622047244094499"/>
  <pageSetup paperSize="9" scale="80" firstPageNumber="2" pageOrder="overThenDown" orientation="portrait" useFirstPageNumber="1" r:id="rId1"/>
  <headerFooter alignWithMargins="0">
    <oddFooter>&amp;LAISHE 2020-21&amp;CT-43</oddFooter>
  </headerFooter>
  <rowBreaks count="3" manualBreakCount="3">
    <brk id="64" max="16383" man="1"/>
    <brk id="127" max="16383" man="1"/>
    <brk id="187" max="16383" man="1"/>
  </rowBreaks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00B050"/>
  </sheetPr>
  <dimension ref="A1:AC223"/>
  <sheetViews>
    <sheetView showZeros="0" view="pageBreakPreview" zoomScale="115" zoomScaleSheetLayoutView="115" workbookViewId="0">
      <pane xSplit="2" ySplit="3" topLeftCell="U197" activePane="bottomRight" state="frozen"/>
      <selection activeCell="H31" sqref="H31"/>
      <selection pane="topRight" activeCell="H31" sqref="H31"/>
      <selection pane="bottomLeft" activeCell="H31" sqref="H31"/>
      <selection pane="bottomRight" activeCell="AC224" sqref="AC224"/>
    </sheetView>
  </sheetViews>
  <sheetFormatPr defaultColWidth="9.1796875" defaultRowHeight="14"/>
  <cols>
    <col min="1" max="1" width="4.26953125" style="427" bestFit="1" customWidth="1"/>
    <col min="2" max="2" width="31" style="275" customWidth="1"/>
    <col min="3" max="29" width="10.7265625" style="275" customWidth="1"/>
    <col min="30" max="30" width="16.54296875" style="275" customWidth="1"/>
    <col min="31" max="32" width="9" style="275" bestFit="1" customWidth="1"/>
    <col min="33" max="33" width="19.26953125" style="275" customWidth="1"/>
    <col min="34" max="34" width="9" style="275" customWidth="1"/>
    <col min="35" max="35" width="11.7265625" style="275" customWidth="1"/>
    <col min="36" max="36" width="10.7265625" style="275" customWidth="1"/>
    <col min="37" max="16384" width="9.1796875" style="275"/>
  </cols>
  <sheetData>
    <row r="1" spans="1:29" s="281" customFormat="1" ht="18.649999999999999" customHeight="1">
      <c r="A1" s="427"/>
      <c r="B1" s="321" t="s">
        <v>310</v>
      </c>
      <c r="C1" s="1163" t="s">
        <v>311</v>
      </c>
      <c r="D1" s="1163"/>
      <c r="E1" s="1163"/>
      <c r="F1" s="1163"/>
      <c r="G1" s="1163"/>
      <c r="H1" s="1163"/>
      <c r="I1" s="1163"/>
      <c r="J1" s="1163"/>
      <c r="K1" s="1163"/>
      <c r="L1" s="1163" t="str">
        <f>C1</f>
        <v>Student Enrolment at various levels through Regular mode during last 5 years</v>
      </c>
      <c r="M1" s="1163"/>
      <c r="N1" s="1163"/>
      <c r="O1" s="1163"/>
      <c r="P1" s="1163"/>
      <c r="Q1" s="1163"/>
      <c r="R1" s="1163"/>
      <c r="S1" s="1163"/>
      <c r="T1" s="1163"/>
      <c r="U1" s="1163" t="str">
        <f>L1</f>
        <v>Student Enrolment at various levels through Regular mode during last 5 years</v>
      </c>
      <c r="V1" s="1163"/>
      <c r="W1" s="1163"/>
      <c r="X1" s="1163"/>
      <c r="Y1" s="1163"/>
      <c r="Z1" s="1163"/>
      <c r="AA1" s="1163"/>
      <c r="AB1" s="1163"/>
      <c r="AC1" s="1163"/>
    </row>
    <row r="2" spans="1:29" s="322" customFormat="1" ht="14.5" customHeight="1">
      <c r="A2" s="1159" t="s">
        <v>1050</v>
      </c>
      <c r="B2" s="1162" t="s">
        <v>236</v>
      </c>
      <c r="C2" s="1155" t="s">
        <v>89</v>
      </c>
      <c r="D2" s="1161"/>
      <c r="E2" s="1161"/>
      <c r="F2" s="1155" t="s">
        <v>90</v>
      </c>
      <c r="G2" s="1161"/>
      <c r="H2" s="1161"/>
      <c r="I2" s="1155" t="s">
        <v>85</v>
      </c>
      <c r="J2" s="1161"/>
      <c r="K2" s="1161"/>
      <c r="L2" s="1155" t="s">
        <v>86</v>
      </c>
      <c r="M2" s="1161"/>
      <c r="N2" s="1161"/>
      <c r="O2" s="1155" t="s">
        <v>91</v>
      </c>
      <c r="P2" s="1161"/>
      <c r="Q2" s="1161"/>
      <c r="R2" s="1155" t="s">
        <v>92</v>
      </c>
      <c r="S2" s="1161"/>
      <c r="T2" s="1161"/>
      <c r="U2" s="1155" t="s">
        <v>93</v>
      </c>
      <c r="V2" s="1161"/>
      <c r="W2" s="1161"/>
      <c r="X2" s="1155" t="s">
        <v>94</v>
      </c>
      <c r="Y2" s="1161"/>
      <c r="Z2" s="1161"/>
      <c r="AA2" s="1155" t="s">
        <v>60</v>
      </c>
      <c r="AB2" s="1161"/>
      <c r="AC2" s="1161"/>
    </row>
    <row r="3" spans="1:29" s="322" customFormat="1" ht="18" customHeight="1">
      <c r="A3" s="1160"/>
      <c r="B3" s="1162"/>
      <c r="C3" s="585" t="s">
        <v>87</v>
      </c>
      <c r="D3" s="585" t="s">
        <v>88</v>
      </c>
      <c r="E3" s="585" t="s">
        <v>309</v>
      </c>
      <c r="F3" s="585" t="s">
        <v>87</v>
      </c>
      <c r="G3" s="585" t="s">
        <v>88</v>
      </c>
      <c r="H3" s="585" t="s">
        <v>309</v>
      </c>
      <c r="I3" s="585" t="s">
        <v>87</v>
      </c>
      <c r="J3" s="585" t="s">
        <v>88</v>
      </c>
      <c r="K3" s="585" t="s">
        <v>309</v>
      </c>
      <c r="L3" s="585" t="s">
        <v>87</v>
      </c>
      <c r="M3" s="585" t="s">
        <v>88</v>
      </c>
      <c r="N3" s="585" t="s">
        <v>309</v>
      </c>
      <c r="O3" s="585" t="s">
        <v>87</v>
      </c>
      <c r="P3" s="585" t="s">
        <v>88</v>
      </c>
      <c r="Q3" s="585" t="s">
        <v>309</v>
      </c>
      <c r="R3" s="585" t="s">
        <v>87</v>
      </c>
      <c r="S3" s="585" t="s">
        <v>88</v>
      </c>
      <c r="T3" s="585" t="s">
        <v>309</v>
      </c>
      <c r="U3" s="585" t="s">
        <v>87</v>
      </c>
      <c r="V3" s="585" t="s">
        <v>88</v>
      </c>
      <c r="W3" s="585" t="s">
        <v>309</v>
      </c>
      <c r="X3" s="585" t="s">
        <v>87</v>
      </c>
      <c r="Y3" s="585" t="s">
        <v>88</v>
      </c>
      <c r="Z3" s="585" t="s">
        <v>309</v>
      </c>
      <c r="AA3" s="585" t="s">
        <v>87</v>
      </c>
      <c r="AB3" s="585" t="s">
        <v>88</v>
      </c>
      <c r="AC3" s="585" t="s">
        <v>309</v>
      </c>
    </row>
    <row r="4" spans="1:29" s="322" customFormat="1">
      <c r="A4" s="323">
        <v>1</v>
      </c>
      <c r="B4" s="277">
        <v>2</v>
      </c>
      <c r="C4" s="277">
        <v>3</v>
      </c>
      <c r="D4" s="323">
        <v>4</v>
      </c>
      <c r="E4" s="277">
        <v>5</v>
      </c>
      <c r="F4" s="277">
        <v>6</v>
      </c>
      <c r="G4" s="323">
        <v>7</v>
      </c>
      <c r="H4" s="277">
        <v>8</v>
      </c>
      <c r="I4" s="277">
        <v>9</v>
      </c>
      <c r="J4" s="323">
        <v>10</v>
      </c>
      <c r="K4" s="277">
        <v>11</v>
      </c>
      <c r="L4" s="277">
        <v>12</v>
      </c>
      <c r="M4" s="323">
        <v>13</v>
      </c>
      <c r="N4" s="277">
        <v>14</v>
      </c>
      <c r="O4" s="277">
        <v>15</v>
      </c>
      <c r="P4" s="323">
        <v>16</v>
      </c>
      <c r="Q4" s="277">
        <v>17</v>
      </c>
      <c r="R4" s="277">
        <v>18</v>
      </c>
      <c r="S4" s="323">
        <v>19</v>
      </c>
      <c r="T4" s="277">
        <v>20</v>
      </c>
      <c r="U4" s="277">
        <v>21</v>
      </c>
      <c r="V4" s="323">
        <v>22</v>
      </c>
      <c r="W4" s="277">
        <v>23</v>
      </c>
      <c r="X4" s="277">
        <v>24</v>
      </c>
      <c r="Y4" s="323">
        <v>25</v>
      </c>
      <c r="Z4" s="277">
        <v>26</v>
      </c>
      <c r="AA4" s="277">
        <v>27</v>
      </c>
      <c r="AB4" s="323">
        <v>28</v>
      </c>
      <c r="AC4" s="323">
        <v>29</v>
      </c>
    </row>
    <row r="5" spans="1:29">
      <c r="A5" s="909"/>
      <c r="B5" s="324" t="s">
        <v>302</v>
      </c>
      <c r="C5" s="325"/>
      <c r="D5" s="326"/>
      <c r="E5" s="326"/>
      <c r="F5" s="326"/>
      <c r="G5" s="326"/>
      <c r="H5" s="326"/>
      <c r="I5" s="326"/>
      <c r="J5" s="326"/>
      <c r="K5" s="327"/>
      <c r="L5" s="325"/>
      <c r="M5" s="326"/>
      <c r="N5" s="326"/>
      <c r="O5" s="326"/>
      <c r="P5" s="326"/>
      <c r="Q5" s="326"/>
      <c r="R5" s="326"/>
      <c r="S5" s="326"/>
      <c r="T5" s="327"/>
      <c r="U5" s="325"/>
      <c r="V5" s="326"/>
      <c r="W5" s="326"/>
      <c r="X5" s="326"/>
      <c r="Y5" s="326"/>
      <c r="Z5" s="326"/>
      <c r="AA5" s="326"/>
      <c r="AB5" s="326"/>
      <c r="AC5" s="327"/>
    </row>
    <row r="6" spans="1:29">
      <c r="A6" s="909"/>
      <c r="B6" s="314" t="s">
        <v>997</v>
      </c>
      <c r="C6" s="287">
        <v>116756</v>
      </c>
      <c r="D6" s="287">
        <v>95086</v>
      </c>
      <c r="E6" s="287">
        <v>211842</v>
      </c>
      <c r="F6" s="287">
        <v>6345</v>
      </c>
      <c r="G6" s="287">
        <v>10399</v>
      </c>
      <c r="H6" s="287">
        <v>16744</v>
      </c>
      <c r="I6" s="287">
        <v>1496213</v>
      </c>
      <c r="J6" s="287">
        <v>1955015</v>
      </c>
      <c r="K6" s="287">
        <v>3451228</v>
      </c>
      <c r="L6" s="287">
        <v>15009256</v>
      </c>
      <c r="M6" s="287">
        <v>14687217</v>
      </c>
      <c r="N6" s="287">
        <v>29696473</v>
      </c>
      <c r="O6" s="287">
        <v>69158</v>
      </c>
      <c r="P6" s="287">
        <v>60147</v>
      </c>
      <c r="Q6" s="287">
        <v>129305</v>
      </c>
      <c r="R6" s="287">
        <v>1797136</v>
      </c>
      <c r="S6" s="287">
        <v>1021519</v>
      </c>
      <c r="T6" s="287">
        <v>2818655</v>
      </c>
      <c r="U6" s="287">
        <v>52362</v>
      </c>
      <c r="V6" s="287">
        <v>47042</v>
      </c>
      <c r="W6" s="287">
        <v>99404</v>
      </c>
      <c r="X6" s="287">
        <v>211932</v>
      </c>
      <c r="Y6" s="287">
        <v>173256</v>
      </c>
      <c r="Z6" s="287">
        <v>385188</v>
      </c>
      <c r="AA6" s="287">
        <v>18759158</v>
      </c>
      <c r="AB6" s="287">
        <v>18049681</v>
      </c>
      <c r="AC6" s="287">
        <v>36808839</v>
      </c>
    </row>
    <row r="7" spans="1:29">
      <c r="A7" s="909"/>
      <c r="B7" s="314" t="s">
        <v>301</v>
      </c>
      <c r="C7" s="95">
        <v>111400</v>
      </c>
      <c r="D7" s="95">
        <v>91049</v>
      </c>
      <c r="E7" s="95">
        <v>202449</v>
      </c>
      <c r="F7" s="95">
        <v>9010</v>
      </c>
      <c r="G7" s="95">
        <v>14855</v>
      </c>
      <c r="H7" s="95">
        <v>23865</v>
      </c>
      <c r="I7" s="95">
        <v>1355452</v>
      </c>
      <c r="J7" s="95">
        <v>1835637</v>
      </c>
      <c r="K7" s="95">
        <v>3191089</v>
      </c>
      <c r="L7" s="95">
        <v>13817639</v>
      </c>
      <c r="M7" s="95">
        <v>13911801</v>
      </c>
      <c r="N7" s="95">
        <v>27729440</v>
      </c>
      <c r="O7" s="95">
        <v>65483</v>
      </c>
      <c r="P7" s="95">
        <v>62800</v>
      </c>
      <c r="Q7" s="95">
        <v>128283</v>
      </c>
      <c r="R7" s="95">
        <v>1681882</v>
      </c>
      <c r="S7" s="95">
        <v>870620</v>
      </c>
      <c r="T7" s="95">
        <v>2552502</v>
      </c>
      <c r="U7" s="95">
        <v>55369</v>
      </c>
      <c r="V7" s="95">
        <v>69754</v>
      </c>
      <c r="W7" s="95">
        <v>125123</v>
      </c>
      <c r="X7" s="95">
        <v>167938</v>
      </c>
      <c r="Y7" s="95">
        <v>128748</v>
      </c>
      <c r="Z7" s="95">
        <v>296686</v>
      </c>
      <c r="AA7" s="95">
        <v>17264173</v>
      </c>
      <c r="AB7" s="95">
        <v>16985264</v>
      </c>
      <c r="AC7" s="95">
        <v>34249437</v>
      </c>
    </row>
    <row r="8" spans="1:29">
      <c r="A8" s="909"/>
      <c r="B8" s="314" t="s">
        <v>300</v>
      </c>
      <c r="C8" s="287">
        <v>95015</v>
      </c>
      <c r="D8" s="287">
        <v>74102</v>
      </c>
      <c r="E8" s="287">
        <v>169117</v>
      </c>
      <c r="F8" s="287">
        <v>11623</v>
      </c>
      <c r="G8" s="287">
        <v>19069</v>
      </c>
      <c r="H8" s="287">
        <v>30692</v>
      </c>
      <c r="I8" s="287">
        <v>1306690</v>
      </c>
      <c r="J8" s="287">
        <v>1736745</v>
      </c>
      <c r="K8" s="287">
        <v>3043435</v>
      </c>
      <c r="L8" s="287">
        <v>13586745</v>
      </c>
      <c r="M8" s="287">
        <v>13542118</v>
      </c>
      <c r="N8" s="287">
        <v>27128863</v>
      </c>
      <c r="O8" s="287">
        <v>64495</v>
      </c>
      <c r="P8" s="287">
        <v>60825</v>
      </c>
      <c r="Q8" s="287">
        <v>125320</v>
      </c>
      <c r="R8" s="287">
        <v>1732260</v>
      </c>
      <c r="S8" s="287">
        <v>836941</v>
      </c>
      <c r="T8" s="287">
        <v>2569201</v>
      </c>
      <c r="U8" s="287">
        <v>55074</v>
      </c>
      <c r="V8" s="287">
        <v>64805</v>
      </c>
      <c r="W8" s="287">
        <v>119879</v>
      </c>
      <c r="X8" s="287">
        <v>138422</v>
      </c>
      <c r="Y8" s="287">
        <v>102391</v>
      </c>
      <c r="Z8" s="287">
        <v>240813</v>
      </c>
      <c r="AA8" s="287">
        <v>16990324</v>
      </c>
      <c r="AB8" s="287">
        <v>16436996</v>
      </c>
      <c r="AC8" s="287">
        <v>33427320</v>
      </c>
    </row>
    <row r="9" spans="1:29">
      <c r="A9" s="909"/>
      <c r="B9" s="314" t="s">
        <v>299</v>
      </c>
      <c r="C9" s="95">
        <v>92570</v>
      </c>
      <c r="D9" s="95">
        <v>68842</v>
      </c>
      <c r="E9" s="95">
        <v>161412</v>
      </c>
      <c r="F9" s="95">
        <v>12287</v>
      </c>
      <c r="G9" s="95">
        <v>21822</v>
      </c>
      <c r="H9" s="95">
        <v>34109</v>
      </c>
      <c r="I9" s="98">
        <v>1278164.7673861892</v>
      </c>
      <c r="J9" s="98">
        <v>1657638.0743189431</v>
      </c>
      <c r="K9" s="98">
        <v>2935802.8417051323</v>
      </c>
      <c r="L9" s="95">
        <v>13484766.146459209</v>
      </c>
      <c r="M9" s="95">
        <v>12977172.595048957</v>
      </c>
      <c r="N9" s="95">
        <v>26461938.741508167</v>
      </c>
      <c r="O9" s="95">
        <v>75195</v>
      </c>
      <c r="P9" s="95">
        <v>69989</v>
      </c>
      <c r="Q9" s="95">
        <v>145184</v>
      </c>
      <c r="R9" s="95">
        <v>1765994</v>
      </c>
      <c r="S9" s="95">
        <v>819196</v>
      </c>
      <c r="T9" s="95">
        <v>2585190</v>
      </c>
      <c r="U9" s="95">
        <v>40649</v>
      </c>
      <c r="V9" s="95">
        <v>50972</v>
      </c>
      <c r="W9" s="95">
        <v>91621</v>
      </c>
      <c r="X9" s="95">
        <v>114233</v>
      </c>
      <c r="Y9" s="95">
        <v>81293</v>
      </c>
      <c r="Z9" s="95">
        <v>195526</v>
      </c>
      <c r="AA9" s="98">
        <v>16863858.913845398</v>
      </c>
      <c r="AB9" s="98">
        <v>15746924.669367902</v>
      </c>
      <c r="AC9" s="98">
        <v>32610783.583213303</v>
      </c>
    </row>
    <row r="10" spans="1:29">
      <c r="A10" s="909"/>
      <c r="B10" s="314" t="s">
        <v>298</v>
      </c>
      <c r="C10" s="287">
        <v>81795</v>
      </c>
      <c r="D10" s="287">
        <v>59242</v>
      </c>
      <c r="E10" s="287">
        <v>141037</v>
      </c>
      <c r="F10" s="287">
        <v>16464</v>
      </c>
      <c r="G10" s="287">
        <v>26803</v>
      </c>
      <c r="H10" s="287">
        <v>43267</v>
      </c>
      <c r="I10" s="287">
        <v>1266377</v>
      </c>
      <c r="J10" s="287">
        <v>1542745</v>
      </c>
      <c r="K10" s="287">
        <v>2809122</v>
      </c>
      <c r="L10" s="287">
        <v>13383665</v>
      </c>
      <c r="M10" s="287">
        <v>12307907</v>
      </c>
      <c r="N10" s="287">
        <v>25691572</v>
      </c>
      <c r="O10" s="287">
        <v>72222</v>
      </c>
      <c r="P10" s="287">
        <v>63047</v>
      </c>
      <c r="Q10" s="287">
        <v>135269</v>
      </c>
      <c r="R10" s="287">
        <v>1758429</v>
      </c>
      <c r="S10" s="287">
        <v>754664</v>
      </c>
      <c r="T10" s="287">
        <v>2513093</v>
      </c>
      <c r="U10" s="287">
        <v>49518</v>
      </c>
      <c r="V10" s="287">
        <v>59531</v>
      </c>
      <c r="W10" s="287">
        <v>109049</v>
      </c>
      <c r="X10" s="287">
        <v>102267</v>
      </c>
      <c r="Y10" s="287">
        <v>71448</v>
      </c>
      <c r="Z10" s="287">
        <v>173715</v>
      </c>
      <c r="AA10" s="287">
        <v>16730737</v>
      </c>
      <c r="AB10" s="287">
        <v>14885387</v>
      </c>
      <c r="AC10" s="287">
        <v>31616124</v>
      </c>
    </row>
    <row r="11" spans="1:29">
      <c r="A11" s="907">
        <v>1</v>
      </c>
      <c r="B11" s="324" t="s">
        <v>171</v>
      </c>
      <c r="C11" s="325"/>
      <c r="D11" s="326"/>
      <c r="E11" s="326"/>
      <c r="F11" s="326"/>
      <c r="G11" s="326"/>
      <c r="H11" s="326"/>
      <c r="I11" s="326"/>
      <c r="J11" s="326"/>
      <c r="K11" s="327"/>
      <c r="L11" s="325"/>
      <c r="M11" s="326"/>
      <c r="N11" s="326"/>
      <c r="O11" s="326"/>
      <c r="P11" s="326"/>
      <c r="Q11" s="326"/>
      <c r="R11" s="326"/>
      <c r="S11" s="326"/>
      <c r="T11" s="327"/>
      <c r="U11" s="325"/>
      <c r="V11" s="326"/>
      <c r="W11" s="326"/>
      <c r="X11" s="326"/>
      <c r="Y11" s="326"/>
      <c r="Z11" s="326"/>
      <c r="AA11" s="326"/>
      <c r="AB11" s="326"/>
      <c r="AC11" s="327"/>
    </row>
    <row r="12" spans="1:29">
      <c r="A12" s="907"/>
      <c r="B12" s="314" t="s">
        <v>997</v>
      </c>
      <c r="C12" s="287">
        <v>7</v>
      </c>
      <c r="D12" s="287">
        <v>12</v>
      </c>
      <c r="E12" s="287">
        <v>19</v>
      </c>
      <c r="F12" s="287">
        <v>0</v>
      </c>
      <c r="G12" s="287">
        <v>0</v>
      </c>
      <c r="H12" s="287">
        <v>0</v>
      </c>
      <c r="I12" s="287">
        <v>69</v>
      </c>
      <c r="J12" s="287">
        <v>283</v>
      </c>
      <c r="K12" s="287">
        <v>352</v>
      </c>
      <c r="L12" s="287">
        <v>2473</v>
      </c>
      <c r="M12" s="287">
        <v>3423</v>
      </c>
      <c r="N12" s="287">
        <v>5896</v>
      </c>
      <c r="O12" s="287">
        <v>14</v>
      </c>
      <c r="P12" s="287">
        <v>0</v>
      </c>
      <c r="Q12" s="287">
        <v>14</v>
      </c>
      <c r="R12" s="287">
        <v>601</v>
      </c>
      <c r="S12" s="287">
        <v>414</v>
      </c>
      <c r="T12" s="287">
        <v>1015</v>
      </c>
      <c r="U12" s="287">
        <v>39</v>
      </c>
      <c r="V12" s="287">
        <v>33</v>
      </c>
      <c r="W12" s="287">
        <v>72</v>
      </c>
      <c r="X12" s="287">
        <v>145</v>
      </c>
      <c r="Y12" s="287">
        <v>224</v>
      </c>
      <c r="Z12" s="287">
        <v>369</v>
      </c>
      <c r="AA12" s="287">
        <v>3348</v>
      </c>
      <c r="AB12" s="287">
        <v>4389</v>
      </c>
      <c r="AC12" s="287">
        <v>7737</v>
      </c>
    </row>
    <row r="13" spans="1:29">
      <c r="A13" s="907"/>
      <c r="B13" s="314" t="s">
        <v>301</v>
      </c>
      <c r="C13" s="259">
        <v>5</v>
      </c>
      <c r="D13" s="259">
        <v>9</v>
      </c>
      <c r="E13" s="259">
        <v>14</v>
      </c>
      <c r="F13" s="259">
        <v>0</v>
      </c>
      <c r="G13" s="259">
        <v>0</v>
      </c>
      <c r="H13" s="259">
        <v>0</v>
      </c>
      <c r="I13" s="259">
        <v>69</v>
      </c>
      <c r="J13" s="259">
        <v>283</v>
      </c>
      <c r="K13" s="259">
        <v>352</v>
      </c>
      <c r="L13" s="259">
        <v>1933</v>
      </c>
      <c r="M13" s="259">
        <v>2757</v>
      </c>
      <c r="N13" s="259">
        <v>4690</v>
      </c>
      <c r="O13" s="259">
        <v>0</v>
      </c>
      <c r="P13" s="259">
        <v>0</v>
      </c>
      <c r="Q13" s="259">
        <v>0</v>
      </c>
      <c r="R13" s="259">
        <v>293</v>
      </c>
      <c r="S13" s="259">
        <v>231</v>
      </c>
      <c r="T13" s="259">
        <v>524</v>
      </c>
      <c r="U13" s="259">
        <v>46</v>
      </c>
      <c r="V13" s="259">
        <v>36</v>
      </c>
      <c r="W13" s="259">
        <v>82</v>
      </c>
      <c r="X13" s="259">
        <v>145</v>
      </c>
      <c r="Y13" s="259">
        <v>224</v>
      </c>
      <c r="Z13" s="259">
        <v>369</v>
      </c>
      <c r="AA13" s="259">
        <v>2491</v>
      </c>
      <c r="AB13" s="259">
        <v>3540</v>
      </c>
      <c r="AC13" s="259">
        <v>6031</v>
      </c>
    </row>
    <row r="14" spans="1:29">
      <c r="A14" s="907"/>
      <c r="B14" s="314" t="s">
        <v>300</v>
      </c>
      <c r="C14" s="287">
        <v>44</v>
      </c>
      <c r="D14" s="287">
        <v>23</v>
      </c>
      <c r="E14" s="287">
        <v>67</v>
      </c>
      <c r="F14" s="287">
        <v>0</v>
      </c>
      <c r="G14" s="287">
        <v>0</v>
      </c>
      <c r="H14" s="287">
        <v>0</v>
      </c>
      <c r="I14" s="287">
        <v>133</v>
      </c>
      <c r="J14" s="287">
        <v>322</v>
      </c>
      <c r="K14" s="287">
        <v>455</v>
      </c>
      <c r="L14" s="287">
        <v>2322</v>
      </c>
      <c r="M14" s="287">
        <v>3573</v>
      </c>
      <c r="N14" s="287">
        <v>5895</v>
      </c>
      <c r="O14" s="287">
        <v>0</v>
      </c>
      <c r="P14" s="287">
        <v>0</v>
      </c>
      <c r="Q14" s="287">
        <v>0</v>
      </c>
      <c r="R14" s="287">
        <v>525</v>
      </c>
      <c r="S14" s="287">
        <v>325</v>
      </c>
      <c r="T14" s="287">
        <v>850</v>
      </c>
      <c r="U14" s="287">
        <v>0</v>
      </c>
      <c r="V14" s="287">
        <v>0</v>
      </c>
      <c r="W14" s="287">
        <v>0</v>
      </c>
      <c r="X14" s="287">
        <v>46</v>
      </c>
      <c r="Y14" s="287">
        <v>142</v>
      </c>
      <c r="Z14" s="287">
        <v>188</v>
      </c>
      <c r="AA14" s="287">
        <v>3070</v>
      </c>
      <c r="AB14" s="287">
        <v>4385</v>
      </c>
      <c r="AC14" s="287">
        <v>7455</v>
      </c>
    </row>
    <row r="15" spans="1:29">
      <c r="A15" s="907"/>
      <c r="B15" s="314" t="s">
        <v>299</v>
      </c>
      <c r="C15" s="103">
        <v>42</v>
      </c>
      <c r="D15" s="103">
        <v>26</v>
      </c>
      <c r="E15" s="105">
        <v>68</v>
      </c>
      <c r="F15" s="103">
        <v>0</v>
      </c>
      <c r="G15" s="103">
        <v>0</v>
      </c>
      <c r="H15" s="105">
        <v>0</v>
      </c>
      <c r="I15" s="103">
        <v>125</v>
      </c>
      <c r="J15" s="103">
        <v>313</v>
      </c>
      <c r="K15" s="105">
        <v>438</v>
      </c>
      <c r="L15" s="103">
        <v>2178</v>
      </c>
      <c r="M15" s="103">
        <v>3145</v>
      </c>
      <c r="N15" s="105">
        <v>5323</v>
      </c>
      <c r="O15" s="103">
        <v>0</v>
      </c>
      <c r="P15" s="103">
        <v>0</v>
      </c>
      <c r="Q15" s="105">
        <v>0</v>
      </c>
      <c r="R15" s="103">
        <v>416</v>
      </c>
      <c r="S15" s="103">
        <v>257</v>
      </c>
      <c r="T15" s="105">
        <v>673</v>
      </c>
      <c r="U15" s="103">
        <v>0</v>
      </c>
      <c r="V15" s="103">
        <v>0</v>
      </c>
      <c r="W15" s="105">
        <v>0</v>
      </c>
      <c r="X15" s="103">
        <v>26</v>
      </c>
      <c r="Y15" s="103">
        <v>91</v>
      </c>
      <c r="Z15" s="105">
        <v>117</v>
      </c>
      <c r="AA15" s="95">
        <v>2787</v>
      </c>
      <c r="AB15" s="95">
        <v>3832</v>
      </c>
      <c r="AC15" s="105">
        <v>6619</v>
      </c>
    </row>
    <row r="16" spans="1:29">
      <c r="A16" s="907"/>
      <c r="B16" s="314" t="s">
        <v>298</v>
      </c>
      <c r="C16" s="106">
        <v>64</v>
      </c>
      <c r="D16" s="106">
        <v>21</v>
      </c>
      <c r="E16" s="107">
        <v>85</v>
      </c>
      <c r="F16" s="106">
        <v>0</v>
      </c>
      <c r="G16" s="106">
        <v>0</v>
      </c>
      <c r="H16" s="107">
        <v>0</v>
      </c>
      <c r="I16" s="106">
        <v>130</v>
      </c>
      <c r="J16" s="106">
        <v>318</v>
      </c>
      <c r="K16" s="107">
        <v>448</v>
      </c>
      <c r="L16" s="106">
        <v>2165</v>
      </c>
      <c r="M16" s="106">
        <v>2974</v>
      </c>
      <c r="N16" s="107">
        <v>5139</v>
      </c>
      <c r="O16" s="106">
        <v>0</v>
      </c>
      <c r="P16" s="106">
        <v>0</v>
      </c>
      <c r="Q16" s="107">
        <v>0</v>
      </c>
      <c r="R16" s="106">
        <v>452</v>
      </c>
      <c r="S16" s="106">
        <v>238</v>
      </c>
      <c r="T16" s="107">
        <v>690</v>
      </c>
      <c r="U16" s="106">
        <v>0</v>
      </c>
      <c r="V16" s="106">
        <v>0</v>
      </c>
      <c r="W16" s="107">
        <v>0</v>
      </c>
      <c r="X16" s="106">
        <v>24</v>
      </c>
      <c r="Y16" s="106">
        <v>91</v>
      </c>
      <c r="Z16" s="107">
        <v>115</v>
      </c>
      <c r="AA16" s="108">
        <v>2835</v>
      </c>
      <c r="AB16" s="108">
        <v>3642</v>
      </c>
      <c r="AC16" s="107">
        <f>AA16+AB16</f>
        <v>6477</v>
      </c>
    </row>
    <row r="17" spans="1:29">
      <c r="A17" s="907">
        <v>2</v>
      </c>
      <c r="B17" s="324" t="s">
        <v>15</v>
      </c>
      <c r="C17" s="325"/>
      <c r="D17" s="326"/>
      <c r="E17" s="326"/>
      <c r="F17" s="326"/>
      <c r="G17" s="326"/>
      <c r="H17" s="326"/>
      <c r="I17" s="326"/>
      <c r="J17" s="326"/>
      <c r="K17" s="327"/>
      <c r="L17" s="325"/>
      <c r="M17" s="326"/>
      <c r="N17" s="326"/>
      <c r="O17" s="326"/>
      <c r="P17" s="326"/>
      <c r="Q17" s="326"/>
      <c r="R17" s="326"/>
      <c r="S17" s="326"/>
      <c r="T17" s="327"/>
      <c r="U17" s="325"/>
      <c r="V17" s="326"/>
      <c r="W17" s="326"/>
      <c r="X17" s="326"/>
      <c r="Y17" s="326"/>
      <c r="Z17" s="326"/>
      <c r="AA17" s="326"/>
      <c r="AB17" s="326"/>
      <c r="AC17" s="327"/>
    </row>
    <row r="18" spans="1:29">
      <c r="A18" s="907"/>
      <c r="B18" s="314" t="s">
        <v>997</v>
      </c>
      <c r="C18" s="287">
        <v>4283</v>
      </c>
      <c r="D18" s="287">
        <v>2708</v>
      </c>
      <c r="E18" s="287">
        <v>6991</v>
      </c>
      <c r="F18" s="287">
        <v>70</v>
      </c>
      <c r="G18" s="287">
        <v>48</v>
      </c>
      <c r="H18" s="287">
        <v>118</v>
      </c>
      <c r="I18" s="287">
        <v>89655</v>
      </c>
      <c r="J18" s="287">
        <v>91447</v>
      </c>
      <c r="K18" s="287">
        <v>181102</v>
      </c>
      <c r="L18" s="287">
        <v>765880</v>
      </c>
      <c r="M18" s="287">
        <v>704221</v>
      </c>
      <c r="N18" s="287">
        <v>1470101</v>
      </c>
      <c r="O18" s="287">
        <v>187</v>
      </c>
      <c r="P18" s="287">
        <v>135</v>
      </c>
      <c r="Q18" s="287">
        <v>322</v>
      </c>
      <c r="R18" s="287">
        <v>96256</v>
      </c>
      <c r="S18" s="287">
        <v>66003</v>
      </c>
      <c r="T18" s="287">
        <v>162259</v>
      </c>
      <c r="U18" s="287">
        <v>356</v>
      </c>
      <c r="V18" s="287">
        <v>442</v>
      </c>
      <c r="W18" s="287">
        <v>798</v>
      </c>
      <c r="X18" s="287">
        <v>8429</v>
      </c>
      <c r="Y18" s="287">
        <v>4528</v>
      </c>
      <c r="Z18" s="287">
        <v>12957</v>
      </c>
      <c r="AA18" s="287">
        <v>965116</v>
      </c>
      <c r="AB18" s="287">
        <v>869532</v>
      </c>
      <c r="AC18" s="287">
        <v>1834648</v>
      </c>
    </row>
    <row r="19" spans="1:29">
      <c r="A19" s="907"/>
      <c r="B19" s="314" t="s">
        <v>301</v>
      </c>
      <c r="C19" s="259">
        <v>3837</v>
      </c>
      <c r="D19" s="259">
        <v>2879</v>
      </c>
      <c r="E19" s="259">
        <v>6716</v>
      </c>
      <c r="F19" s="259">
        <v>175</v>
      </c>
      <c r="G19" s="259">
        <v>102</v>
      </c>
      <c r="H19" s="259">
        <v>277</v>
      </c>
      <c r="I19" s="259">
        <v>88923</v>
      </c>
      <c r="J19" s="259">
        <v>85176</v>
      </c>
      <c r="K19" s="259">
        <v>174099</v>
      </c>
      <c r="L19" s="259">
        <v>671286</v>
      </c>
      <c r="M19" s="259">
        <v>602648</v>
      </c>
      <c r="N19" s="259">
        <v>1273934</v>
      </c>
      <c r="O19" s="259">
        <v>792</v>
      </c>
      <c r="P19" s="259">
        <v>468</v>
      </c>
      <c r="Q19" s="259">
        <v>1260</v>
      </c>
      <c r="R19" s="259">
        <v>92704</v>
      </c>
      <c r="S19" s="259">
        <v>59683</v>
      </c>
      <c r="T19" s="259">
        <v>152387</v>
      </c>
      <c r="U19" s="259">
        <v>3921</v>
      </c>
      <c r="V19" s="259">
        <v>6903</v>
      </c>
      <c r="W19" s="259">
        <v>10824</v>
      </c>
      <c r="X19" s="259">
        <v>8650</v>
      </c>
      <c r="Y19" s="259">
        <v>4362</v>
      </c>
      <c r="Z19" s="259">
        <v>13012</v>
      </c>
      <c r="AA19" s="259">
        <v>870288</v>
      </c>
      <c r="AB19" s="259">
        <v>762221</v>
      </c>
      <c r="AC19" s="259">
        <v>1632509</v>
      </c>
    </row>
    <row r="20" spans="1:29">
      <c r="A20" s="907"/>
      <c r="B20" s="314" t="s">
        <v>300</v>
      </c>
      <c r="C20" s="287">
        <v>3054</v>
      </c>
      <c r="D20" s="287">
        <v>1927</v>
      </c>
      <c r="E20" s="287">
        <v>4981</v>
      </c>
      <c r="F20" s="287">
        <v>249</v>
      </c>
      <c r="G20" s="287">
        <v>182</v>
      </c>
      <c r="H20" s="287">
        <v>431</v>
      </c>
      <c r="I20" s="287">
        <v>93827</v>
      </c>
      <c r="J20" s="287">
        <v>82209</v>
      </c>
      <c r="K20" s="287">
        <v>176036</v>
      </c>
      <c r="L20" s="287">
        <v>653301</v>
      </c>
      <c r="M20" s="287">
        <v>567063</v>
      </c>
      <c r="N20" s="287">
        <v>1220364</v>
      </c>
      <c r="O20" s="287">
        <v>837</v>
      </c>
      <c r="P20" s="287">
        <v>498</v>
      </c>
      <c r="Q20" s="287">
        <v>1335</v>
      </c>
      <c r="R20" s="287">
        <v>97199</v>
      </c>
      <c r="S20" s="287">
        <v>63905</v>
      </c>
      <c r="T20" s="287">
        <v>161104</v>
      </c>
      <c r="U20" s="287">
        <v>327</v>
      </c>
      <c r="V20" s="287">
        <v>636</v>
      </c>
      <c r="W20" s="287">
        <v>963</v>
      </c>
      <c r="X20" s="287">
        <v>7389</v>
      </c>
      <c r="Y20" s="287">
        <v>3578</v>
      </c>
      <c r="Z20" s="287">
        <v>10967</v>
      </c>
      <c r="AA20" s="287">
        <v>856183</v>
      </c>
      <c r="AB20" s="287">
        <v>719998</v>
      </c>
      <c r="AC20" s="287">
        <v>1576181</v>
      </c>
    </row>
    <row r="21" spans="1:29">
      <c r="A21" s="907"/>
      <c r="B21" s="314" t="s">
        <v>299</v>
      </c>
      <c r="C21" s="103">
        <v>4007</v>
      </c>
      <c r="D21" s="103">
        <v>2282</v>
      </c>
      <c r="E21" s="105">
        <v>6289</v>
      </c>
      <c r="F21" s="103">
        <v>555</v>
      </c>
      <c r="G21" s="103">
        <v>342</v>
      </c>
      <c r="H21" s="105">
        <v>897</v>
      </c>
      <c r="I21" s="96">
        <v>103187.38457744679</v>
      </c>
      <c r="J21" s="96">
        <v>85390.577628071362</v>
      </c>
      <c r="K21" s="109">
        <v>188577.96220551815</v>
      </c>
      <c r="L21" s="96">
        <v>660999.13217008556</v>
      </c>
      <c r="M21" s="96">
        <v>549686.87024372909</v>
      </c>
      <c r="N21" s="105">
        <v>1210686.0024138147</v>
      </c>
      <c r="O21" s="103">
        <v>996</v>
      </c>
      <c r="P21" s="103">
        <v>533</v>
      </c>
      <c r="Q21" s="105">
        <v>1529</v>
      </c>
      <c r="R21" s="103">
        <v>100748</v>
      </c>
      <c r="S21" s="103">
        <v>66008</v>
      </c>
      <c r="T21" s="105">
        <v>166756</v>
      </c>
      <c r="U21" s="103">
        <v>258</v>
      </c>
      <c r="V21" s="103">
        <v>529</v>
      </c>
      <c r="W21" s="105">
        <v>787</v>
      </c>
      <c r="X21" s="103">
        <v>7132</v>
      </c>
      <c r="Y21" s="103">
        <v>2900</v>
      </c>
      <c r="Z21" s="105">
        <v>10032</v>
      </c>
      <c r="AA21" s="98">
        <v>877882.51674753241</v>
      </c>
      <c r="AB21" s="98">
        <v>707671.44787180051</v>
      </c>
      <c r="AC21" s="109">
        <v>1585553.9646193329</v>
      </c>
    </row>
    <row r="22" spans="1:29">
      <c r="A22" s="907"/>
      <c r="B22" s="314" t="s">
        <v>298</v>
      </c>
      <c r="C22" s="106">
        <v>2932</v>
      </c>
      <c r="D22" s="106">
        <v>1740</v>
      </c>
      <c r="E22" s="107">
        <v>4672</v>
      </c>
      <c r="F22" s="106">
        <v>790</v>
      </c>
      <c r="G22" s="106">
        <v>472</v>
      </c>
      <c r="H22" s="107">
        <v>1262</v>
      </c>
      <c r="I22" s="106">
        <v>104560</v>
      </c>
      <c r="J22" s="106">
        <v>81112</v>
      </c>
      <c r="K22" s="107">
        <v>185672</v>
      </c>
      <c r="L22" s="106">
        <v>625596</v>
      </c>
      <c r="M22" s="106">
        <v>503014</v>
      </c>
      <c r="N22" s="107">
        <v>1128610</v>
      </c>
      <c r="O22" s="106">
        <v>928</v>
      </c>
      <c r="P22" s="106">
        <v>494</v>
      </c>
      <c r="Q22" s="107">
        <v>1422</v>
      </c>
      <c r="R22" s="106">
        <v>98834</v>
      </c>
      <c r="S22" s="106">
        <v>64531</v>
      </c>
      <c r="T22" s="107">
        <v>163365</v>
      </c>
      <c r="U22" s="106">
        <v>142</v>
      </c>
      <c r="V22" s="106">
        <v>479</v>
      </c>
      <c r="W22" s="107">
        <v>621</v>
      </c>
      <c r="X22" s="106">
        <v>6378</v>
      </c>
      <c r="Y22" s="106">
        <v>2536</v>
      </c>
      <c r="Z22" s="107">
        <v>8914</v>
      </c>
      <c r="AA22" s="108">
        <v>840160</v>
      </c>
      <c r="AB22" s="108">
        <v>654378</v>
      </c>
      <c r="AC22" s="107">
        <f t="shared" ref="AC22" si="0">AA22+AB22</f>
        <v>1494538</v>
      </c>
    </row>
    <row r="23" spans="1:29">
      <c r="A23" s="907">
        <v>3</v>
      </c>
      <c r="B23" s="324" t="s">
        <v>16</v>
      </c>
      <c r="C23" s="325"/>
      <c r="D23" s="326"/>
      <c r="E23" s="326"/>
      <c r="F23" s="326"/>
      <c r="G23" s="326"/>
      <c r="H23" s="326"/>
      <c r="I23" s="326"/>
      <c r="J23" s="326"/>
      <c r="K23" s="327"/>
      <c r="L23" s="325"/>
      <c r="M23" s="326"/>
      <c r="N23" s="326"/>
      <c r="O23" s="326"/>
      <c r="P23" s="326"/>
      <c r="Q23" s="326"/>
      <c r="R23" s="326"/>
      <c r="S23" s="326"/>
      <c r="T23" s="327"/>
      <c r="U23" s="325"/>
      <c r="V23" s="326"/>
      <c r="W23" s="326"/>
      <c r="X23" s="326"/>
      <c r="Y23" s="326"/>
      <c r="Z23" s="326"/>
      <c r="AA23" s="326"/>
      <c r="AB23" s="326"/>
      <c r="AC23" s="327"/>
    </row>
    <row r="24" spans="1:29">
      <c r="A24" s="907"/>
      <c r="B24" s="314" t="s">
        <v>997</v>
      </c>
      <c r="C24" s="287">
        <v>470</v>
      </c>
      <c r="D24" s="287">
        <v>258</v>
      </c>
      <c r="E24" s="287">
        <v>728</v>
      </c>
      <c r="F24" s="287">
        <v>56</v>
      </c>
      <c r="G24" s="287">
        <v>74</v>
      </c>
      <c r="H24" s="287">
        <v>130</v>
      </c>
      <c r="I24" s="287">
        <v>4281</v>
      </c>
      <c r="J24" s="287">
        <v>3678</v>
      </c>
      <c r="K24" s="287">
        <v>7959</v>
      </c>
      <c r="L24" s="287">
        <v>19091</v>
      </c>
      <c r="M24" s="287">
        <v>15895</v>
      </c>
      <c r="N24" s="287">
        <v>34986</v>
      </c>
      <c r="O24" s="287">
        <v>87</v>
      </c>
      <c r="P24" s="287">
        <v>68</v>
      </c>
      <c r="Q24" s="287">
        <v>155</v>
      </c>
      <c r="R24" s="287">
        <v>1370</v>
      </c>
      <c r="S24" s="287">
        <v>1081</v>
      </c>
      <c r="T24" s="287">
        <v>2451</v>
      </c>
      <c r="U24" s="287">
        <v>310</v>
      </c>
      <c r="V24" s="287">
        <v>162</v>
      </c>
      <c r="W24" s="287">
        <v>472</v>
      </c>
      <c r="X24" s="287">
        <v>1196</v>
      </c>
      <c r="Y24" s="287">
        <v>726</v>
      </c>
      <c r="Z24" s="287">
        <v>1922</v>
      </c>
      <c r="AA24" s="287">
        <v>26861</v>
      </c>
      <c r="AB24" s="287">
        <v>21942</v>
      </c>
      <c r="AC24" s="287">
        <v>48803</v>
      </c>
    </row>
    <row r="25" spans="1:29">
      <c r="A25" s="907"/>
      <c r="B25" s="314" t="s">
        <v>301</v>
      </c>
      <c r="C25" s="259">
        <v>565</v>
      </c>
      <c r="D25" s="259">
        <v>421</v>
      </c>
      <c r="E25" s="259">
        <v>986</v>
      </c>
      <c r="F25" s="259">
        <v>57</v>
      </c>
      <c r="G25" s="259">
        <v>88</v>
      </c>
      <c r="H25" s="259">
        <v>145</v>
      </c>
      <c r="I25" s="259">
        <v>2874</v>
      </c>
      <c r="J25" s="259">
        <v>2296</v>
      </c>
      <c r="K25" s="259">
        <v>5170</v>
      </c>
      <c r="L25" s="259">
        <v>16058</v>
      </c>
      <c r="M25" s="259">
        <v>13373</v>
      </c>
      <c r="N25" s="259">
        <v>29431</v>
      </c>
      <c r="O25" s="259">
        <v>59</v>
      </c>
      <c r="P25" s="259">
        <v>59</v>
      </c>
      <c r="Q25" s="259">
        <v>118</v>
      </c>
      <c r="R25" s="259">
        <v>1263</v>
      </c>
      <c r="S25" s="259">
        <v>583</v>
      </c>
      <c r="T25" s="259">
        <v>1846</v>
      </c>
      <c r="U25" s="259">
        <v>299</v>
      </c>
      <c r="V25" s="259">
        <v>119</v>
      </c>
      <c r="W25" s="259">
        <v>418</v>
      </c>
      <c r="X25" s="259">
        <v>1015</v>
      </c>
      <c r="Y25" s="259">
        <v>628</v>
      </c>
      <c r="Z25" s="259">
        <v>1643</v>
      </c>
      <c r="AA25" s="259">
        <v>22190</v>
      </c>
      <c r="AB25" s="259">
        <v>17567</v>
      </c>
      <c r="AC25" s="259">
        <v>39757</v>
      </c>
    </row>
    <row r="26" spans="1:29">
      <c r="A26" s="907"/>
      <c r="B26" s="314" t="s">
        <v>300</v>
      </c>
      <c r="C26" s="287">
        <v>396</v>
      </c>
      <c r="D26" s="287">
        <v>280</v>
      </c>
      <c r="E26" s="287">
        <v>676</v>
      </c>
      <c r="F26" s="287">
        <v>47</v>
      </c>
      <c r="G26" s="287">
        <v>77</v>
      </c>
      <c r="H26" s="287">
        <v>124</v>
      </c>
      <c r="I26" s="287">
        <v>2158</v>
      </c>
      <c r="J26" s="287">
        <v>1635</v>
      </c>
      <c r="K26" s="287">
        <v>3793</v>
      </c>
      <c r="L26" s="287">
        <v>14019</v>
      </c>
      <c r="M26" s="287">
        <v>12954</v>
      </c>
      <c r="N26" s="287">
        <v>26973</v>
      </c>
      <c r="O26" s="287">
        <v>73</v>
      </c>
      <c r="P26" s="287">
        <v>40</v>
      </c>
      <c r="Q26" s="287">
        <v>113</v>
      </c>
      <c r="R26" s="287">
        <v>814</v>
      </c>
      <c r="S26" s="287">
        <v>554</v>
      </c>
      <c r="T26" s="287">
        <v>1368</v>
      </c>
      <c r="U26" s="287">
        <v>265</v>
      </c>
      <c r="V26" s="287">
        <v>84</v>
      </c>
      <c r="W26" s="287">
        <v>349</v>
      </c>
      <c r="X26" s="287">
        <v>308</v>
      </c>
      <c r="Y26" s="287">
        <v>94</v>
      </c>
      <c r="Z26" s="287">
        <v>402</v>
      </c>
      <c r="AA26" s="287">
        <v>18080</v>
      </c>
      <c r="AB26" s="287">
        <v>15718</v>
      </c>
      <c r="AC26" s="287">
        <v>33798</v>
      </c>
    </row>
    <row r="27" spans="1:29">
      <c r="A27" s="907"/>
      <c r="B27" s="314" t="s">
        <v>299</v>
      </c>
      <c r="C27" s="103">
        <v>397</v>
      </c>
      <c r="D27" s="103">
        <v>247</v>
      </c>
      <c r="E27" s="105">
        <v>644</v>
      </c>
      <c r="F27" s="103">
        <v>43</v>
      </c>
      <c r="G27" s="103">
        <v>67</v>
      </c>
      <c r="H27" s="105">
        <v>110</v>
      </c>
      <c r="I27" s="96">
        <v>1659.0670025145218</v>
      </c>
      <c r="J27" s="96">
        <v>1520.7752973164288</v>
      </c>
      <c r="K27" s="109">
        <v>3179.8422998309507</v>
      </c>
      <c r="L27" s="96">
        <v>13539.047202461981</v>
      </c>
      <c r="M27" s="96">
        <v>12774.980349528741</v>
      </c>
      <c r="N27" s="109">
        <v>26314.027551990723</v>
      </c>
      <c r="O27" s="103">
        <v>45</v>
      </c>
      <c r="P27" s="103">
        <v>30</v>
      </c>
      <c r="Q27" s="105">
        <v>75</v>
      </c>
      <c r="R27" s="103">
        <v>1188</v>
      </c>
      <c r="S27" s="103">
        <v>648</v>
      </c>
      <c r="T27" s="105">
        <v>1836</v>
      </c>
      <c r="U27" s="103">
        <v>246</v>
      </c>
      <c r="V27" s="103">
        <v>79</v>
      </c>
      <c r="W27" s="105">
        <v>325</v>
      </c>
      <c r="X27" s="103">
        <v>177</v>
      </c>
      <c r="Y27" s="103">
        <v>49</v>
      </c>
      <c r="Z27" s="105">
        <v>226</v>
      </c>
      <c r="AA27" s="98">
        <v>17294.114204976504</v>
      </c>
      <c r="AB27" s="98">
        <v>15415.755646845169</v>
      </c>
      <c r="AC27" s="109">
        <v>32709.86985182167</v>
      </c>
    </row>
    <row r="28" spans="1:29">
      <c r="A28" s="907"/>
      <c r="B28" s="314" t="s">
        <v>298</v>
      </c>
      <c r="C28" s="106">
        <v>365</v>
      </c>
      <c r="D28" s="106">
        <v>270</v>
      </c>
      <c r="E28" s="107">
        <v>635</v>
      </c>
      <c r="F28" s="106">
        <v>48</v>
      </c>
      <c r="G28" s="106">
        <v>68</v>
      </c>
      <c r="H28" s="107">
        <v>116</v>
      </c>
      <c r="I28" s="106">
        <v>1439</v>
      </c>
      <c r="J28" s="106">
        <v>1417</v>
      </c>
      <c r="K28" s="107">
        <v>2856</v>
      </c>
      <c r="L28" s="106">
        <v>13139</v>
      </c>
      <c r="M28" s="106">
        <v>11893</v>
      </c>
      <c r="N28" s="107">
        <v>25032</v>
      </c>
      <c r="O28" s="106">
        <v>71</v>
      </c>
      <c r="P28" s="106">
        <v>51</v>
      </c>
      <c r="Q28" s="107">
        <v>122</v>
      </c>
      <c r="R28" s="106">
        <v>672</v>
      </c>
      <c r="S28" s="106">
        <v>431</v>
      </c>
      <c r="T28" s="107">
        <v>1103</v>
      </c>
      <c r="U28" s="106">
        <v>266</v>
      </c>
      <c r="V28" s="106">
        <v>74</v>
      </c>
      <c r="W28" s="107">
        <v>340</v>
      </c>
      <c r="X28" s="106">
        <v>59</v>
      </c>
      <c r="Y28" s="106">
        <v>10</v>
      </c>
      <c r="Z28" s="107">
        <v>69</v>
      </c>
      <c r="AA28" s="108">
        <v>16059</v>
      </c>
      <c r="AB28" s="108">
        <v>14214</v>
      </c>
      <c r="AC28" s="107">
        <f t="shared" ref="AC28" si="1">AA28+AB28</f>
        <v>30273</v>
      </c>
    </row>
    <row r="29" spans="1:29">
      <c r="A29" s="907">
        <v>4</v>
      </c>
      <c r="B29" s="324" t="s">
        <v>17</v>
      </c>
      <c r="C29" s="325"/>
      <c r="D29" s="326"/>
      <c r="E29" s="326"/>
      <c r="F29" s="326"/>
      <c r="G29" s="326"/>
      <c r="H29" s="326"/>
      <c r="I29" s="326"/>
      <c r="J29" s="326"/>
      <c r="K29" s="327"/>
      <c r="L29" s="325"/>
      <c r="M29" s="326"/>
      <c r="N29" s="326"/>
      <c r="O29" s="326"/>
      <c r="P29" s="326"/>
      <c r="Q29" s="326"/>
      <c r="R29" s="326"/>
      <c r="S29" s="326"/>
      <c r="T29" s="327"/>
      <c r="U29" s="325"/>
      <c r="V29" s="326"/>
      <c r="W29" s="326"/>
      <c r="X29" s="326"/>
      <c r="Y29" s="326"/>
      <c r="Z29" s="326"/>
      <c r="AA29" s="326"/>
      <c r="AB29" s="326"/>
      <c r="AC29" s="327"/>
    </row>
    <row r="30" spans="1:29">
      <c r="A30" s="907"/>
      <c r="B30" s="314" t="s">
        <v>997</v>
      </c>
      <c r="C30" s="287">
        <v>3648</v>
      </c>
      <c r="D30" s="287">
        <v>2356</v>
      </c>
      <c r="E30" s="287">
        <v>6004</v>
      </c>
      <c r="F30" s="287">
        <v>126</v>
      </c>
      <c r="G30" s="287">
        <v>180</v>
      </c>
      <c r="H30" s="287">
        <v>306</v>
      </c>
      <c r="I30" s="287">
        <v>13634</v>
      </c>
      <c r="J30" s="287">
        <v>20125</v>
      </c>
      <c r="K30" s="287">
        <v>33759</v>
      </c>
      <c r="L30" s="287">
        <v>282547</v>
      </c>
      <c r="M30" s="287">
        <v>295148</v>
      </c>
      <c r="N30" s="287">
        <v>577695</v>
      </c>
      <c r="O30" s="287">
        <v>389</v>
      </c>
      <c r="P30" s="287">
        <v>630</v>
      </c>
      <c r="Q30" s="287">
        <v>1019</v>
      </c>
      <c r="R30" s="287">
        <v>12627</v>
      </c>
      <c r="S30" s="287">
        <v>9364</v>
      </c>
      <c r="T30" s="287">
        <v>21991</v>
      </c>
      <c r="U30" s="287">
        <v>387</v>
      </c>
      <c r="V30" s="287">
        <v>785</v>
      </c>
      <c r="W30" s="287">
        <v>1172</v>
      </c>
      <c r="X30" s="287">
        <v>2459</v>
      </c>
      <c r="Y30" s="287">
        <v>2783</v>
      </c>
      <c r="Z30" s="287">
        <v>5242</v>
      </c>
      <c r="AA30" s="287">
        <v>315817</v>
      </c>
      <c r="AB30" s="287">
        <v>331371</v>
      </c>
      <c r="AC30" s="287">
        <v>647188</v>
      </c>
    </row>
    <row r="31" spans="1:29">
      <c r="A31" s="907"/>
      <c r="B31" s="314" t="s">
        <v>301</v>
      </c>
      <c r="C31" s="259">
        <v>3214</v>
      </c>
      <c r="D31" s="259">
        <v>2413</v>
      </c>
      <c r="E31" s="259">
        <v>5627</v>
      </c>
      <c r="F31" s="259">
        <v>245</v>
      </c>
      <c r="G31" s="259">
        <v>371</v>
      </c>
      <c r="H31" s="259">
        <v>616</v>
      </c>
      <c r="I31" s="259">
        <v>12716</v>
      </c>
      <c r="J31" s="259">
        <v>17995</v>
      </c>
      <c r="K31" s="259">
        <v>30711</v>
      </c>
      <c r="L31" s="259">
        <v>241521</v>
      </c>
      <c r="M31" s="259">
        <v>259643</v>
      </c>
      <c r="N31" s="259">
        <v>501164</v>
      </c>
      <c r="O31" s="259">
        <v>473</v>
      </c>
      <c r="P31" s="259">
        <v>576</v>
      </c>
      <c r="Q31" s="259">
        <v>1049</v>
      </c>
      <c r="R31" s="259">
        <v>10655</v>
      </c>
      <c r="S31" s="259">
        <v>7374</v>
      </c>
      <c r="T31" s="259">
        <v>18029</v>
      </c>
      <c r="U31" s="259">
        <v>739</v>
      </c>
      <c r="V31" s="259">
        <v>1165</v>
      </c>
      <c r="W31" s="259">
        <v>1904</v>
      </c>
      <c r="X31" s="259">
        <v>2446</v>
      </c>
      <c r="Y31" s="259">
        <v>2247</v>
      </c>
      <c r="Z31" s="259">
        <v>4693</v>
      </c>
      <c r="AA31" s="259">
        <v>272009</v>
      </c>
      <c r="AB31" s="259">
        <v>291784</v>
      </c>
      <c r="AC31" s="259">
        <v>563793</v>
      </c>
    </row>
    <row r="32" spans="1:29">
      <c r="A32" s="907"/>
      <c r="B32" s="314" t="s">
        <v>300</v>
      </c>
      <c r="C32" s="287">
        <v>2970</v>
      </c>
      <c r="D32" s="619">
        <v>1970</v>
      </c>
      <c r="E32" s="287">
        <v>4940</v>
      </c>
      <c r="F32" s="287">
        <v>192</v>
      </c>
      <c r="G32" s="287">
        <v>272</v>
      </c>
      <c r="H32" s="287">
        <v>464</v>
      </c>
      <c r="I32" s="287">
        <v>13127</v>
      </c>
      <c r="J32" s="287">
        <v>17545</v>
      </c>
      <c r="K32" s="287">
        <v>30672</v>
      </c>
      <c r="L32" s="287">
        <v>265072</v>
      </c>
      <c r="M32" s="287">
        <v>276843</v>
      </c>
      <c r="N32" s="287">
        <v>541915</v>
      </c>
      <c r="O32" s="287">
        <v>681</v>
      </c>
      <c r="P32" s="287">
        <v>737</v>
      </c>
      <c r="Q32" s="287">
        <v>1418</v>
      </c>
      <c r="R32" s="287">
        <v>8613</v>
      </c>
      <c r="S32" s="287">
        <v>5531</v>
      </c>
      <c r="T32" s="287">
        <v>14144</v>
      </c>
      <c r="U32" s="287">
        <v>753</v>
      </c>
      <c r="V32" s="287">
        <v>1025</v>
      </c>
      <c r="W32" s="287">
        <v>1778</v>
      </c>
      <c r="X32" s="287">
        <v>2377</v>
      </c>
      <c r="Y32" s="287">
        <v>2172</v>
      </c>
      <c r="Z32" s="287">
        <v>4549</v>
      </c>
      <c r="AA32" s="287">
        <v>293785</v>
      </c>
      <c r="AB32" s="287">
        <v>306095</v>
      </c>
      <c r="AC32" s="287">
        <v>599880</v>
      </c>
    </row>
    <row r="33" spans="1:29">
      <c r="A33" s="907"/>
      <c r="B33" s="314" t="s">
        <v>299</v>
      </c>
      <c r="C33" s="103">
        <v>2633</v>
      </c>
      <c r="D33" s="103">
        <v>1704</v>
      </c>
      <c r="E33" s="105">
        <v>4337</v>
      </c>
      <c r="F33" s="103">
        <v>129</v>
      </c>
      <c r="G33" s="103">
        <v>224</v>
      </c>
      <c r="H33" s="105">
        <v>353</v>
      </c>
      <c r="I33" s="96">
        <v>12125.581104964018</v>
      </c>
      <c r="J33" s="96">
        <v>15971.65349222636</v>
      </c>
      <c r="K33" s="109">
        <v>28097.234597190385</v>
      </c>
      <c r="L33" s="96">
        <v>251898.10512203502</v>
      </c>
      <c r="M33" s="96">
        <v>263822.19171424501</v>
      </c>
      <c r="N33" s="109">
        <v>515720.29683628003</v>
      </c>
      <c r="O33" s="103">
        <v>686</v>
      </c>
      <c r="P33" s="103">
        <v>733</v>
      </c>
      <c r="Q33" s="105">
        <v>1419</v>
      </c>
      <c r="R33" s="103">
        <v>6877</v>
      </c>
      <c r="S33" s="103">
        <v>4815</v>
      </c>
      <c r="T33" s="105">
        <v>11692</v>
      </c>
      <c r="U33" s="103">
        <v>1077</v>
      </c>
      <c r="V33" s="103">
        <v>1352</v>
      </c>
      <c r="W33" s="105">
        <v>2429</v>
      </c>
      <c r="X33" s="103">
        <v>2630</v>
      </c>
      <c r="Y33" s="103">
        <v>2651</v>
      </c>
      <c r="Z33" s="105">
        <v>5281</v>
      </c>
      <c r="AA33" s="98">
        <v>278055.68622699904</v>
      </c>
      <c r="AB33" s="98">
        <v>291272.84520647139</v>
      </c>
      <c r="AC33" s="109">
        <v>569328.53143347043</v>
      </c>
    </row>
    <row r="34" spans="1:29">
      <c r="A34" s="907"/>
      <c r="B34" s="314" t="s">
        <v>298</v>
      </c>
      <c r="C34" s="106">
        <v>2545</v>
      </c>
      <c r="D34" s="106">
        <v>1573</v>
      </c>
      <c r="E34" s="802">
        <v>4118</v>
      </c>
      <c r="F34" s="106">
        <v>76</v>
      </c>
      <c r="G34" s="106">
        <v>152</v>
      </c>
      <c r="H34" s="802">
        <v>228</v>
      </c>
      <c r="I34" s="106">
        <v>10797</v>
      </c>
      <c r="J34" s="106">
        <v>14105</v>
      </c>
      <c r="K34" s="802">
        <v>24902</v>
      </c>
      <c r="L34" s="106">
        <v>248429</v>
      </c>
      <c r="M34" s="106">
        <v>248071</v>
      </c>
      <c r="N34" s="802">
        <v>496500</v>
      </c>
      <c r="O34" s="106">
        <v>696</v>
      </c>
      <c r="P34" s="106">
        <v>556</v>
      </c>
      <c r="Q34" s="802">
        <v>1252</v>
      </c>
      <c r="R34" s="106">
        <v>6971</v>
      </c>
      <c r="S34" s="106">
        <v>4648</v>
      </c>
      <c r="T34" s="802">
        <v>11619</v>
      </c>
      <c r="U34" s="106">
        <v>963</v>
      </c>
      <c r="V34" s="106">
        <v>1322</v>
      </c>
      <c r="W34" s="802">
        <v>2285</v>
      </c>
      <c r="X34" s="106">
        <v>2472</v>
      </c>
      <c r="Y34" s="106">
        <v>2476</v>
      </c>
      <c r="Z34" s="802">
        <v>4948</v>
      </c>
      <c r="AA34" s="108">
        <v>272949</v>
      </c>
      <c r="AB34" s="108">
        <v>272903</v>
      </c>
      <c r="AC34" s="802">
        <f t="shared" ref="AC34" si="2">AA34+AB34</f>
        <v>545852</v>
      </c>
    </row>
    <row r="35" spans="1:29">
      <c r="A35" s="907">
        <v>5</v>
      </c>
      <c r="B35" s="324" t="s">
        <v>18</v>
      </c>
      <c r="C35" s="325"/>
      <c r="D35" s="326"/>
      <c r="E35" s="326"/>
      <c r="F35" s="326"/>
      <c r="G35" s="326"/>
      <c r="H35" s="326"/>
      <c r="I35" s="326"/>
      <c r="J35" s="326"/>
      <c r="K35" s="327"/>
      <c r="L35" s="325"/>
      <c r="M35" s="326"/>
      <c r="N35" s="326"/>
      <c r="O35" s="326"/>
      <c r="P35" s="326"/>
      <c r="Q35" s="326"/>
      <c r="R35" s="326"/>
      <c r="S35" s="326"/>
      <c r="T35" s="327"/>
      <c r="U35" s="325"/>
      <c r="V35" s="326"/>
      <c r="W35" s="326"/>
      <c r="X35" s="326"/>
      <c r="Y35" s="326"/>
      <c r="Z35" s="326"/>
      <c r="AA35" s="326"/>
      <c r="AB35" s="326"/>
      <c r="AC35" s="327"/>
    </row>
    <row r="36" spans="1:29">
      <c r="A36" s="907"/>
      <c r="B36" s="314" t="s">
        <v>997</v>
      </c>
      <c r="C36" s="287">
        <v>2625</v>
      </c>
      <c r="D36" s="287">
        <v>1183</v>
      </c>
      <c r="E36" s="287">
        <v>3808</v>
      </c>
      <c r="F36" s="287">
        <v>50</v>
      </c>
      <c r="G36" s="287">
        <v>23</v>
      </c>
      <c r="H36" s="287">
        <v>73</v>
      </c>
      <c r="I36" s="287">
        <v>50051</v>
      </c>
      <c r="J36" s="287">
        <v>48189</v>
      </c>
      <c r="K36" s="287">
        <v>98240</v>
      </c>
      <c r="L36" s="287">
        <v>1057661</v>
      </c>
      <c r="M36" s="287">
        <v>864953</v>
      </c>
      <c r="N36" s="287">
        <v>1922614</v>
      </c>
      <c r="O36" s="287">
        <v>886</v>
      </c>
      <c r="P36" s="287">
        <v>459</v>
      </c>
      <c r="Q36" s="287">
        <v>1345</v>
      </c>
      <c r="R36" s="287">
        <v>56644</v>
      </c>
      <c r="S36" s="287">
        <v>48657</v>
      </c>
      <c r="T36" s="287">
        <v>105301</v>
      </c>
      <c r="U36" s="287">
        <v>3264</v>
      </c>
      <c r="V36" s="287">
        <v>2885</v>
      </c>
      <c r="W36" s="287">
        <v>6149</v>
      </c>
      <c r="X36" s="287">
        <v>2592</v>
      </c>
      <c r="Y36" s="287">
        <v>1333</v>
      </c>
      <c r="Z36" s="287">
        <v>3925</v>
      </c>
      <c r="AA36" s="287">
        <v>1173773</v>
      </c>
      <c r="AB36" s="287">
        <v>967682</v>
      </c>
      <c r="AC36" s="287">
        <v>2141455</v>
      </c>
    </row>
    <row r="37" spans="1:29">
      <c r="A37" s="907"/>
      <c r="B37" s="314" t="s">
        <v>301</v>
      </c>
      <c r="C37" s="259">
        <v>1665</v>
      </c>
      <c r="D37" s="259">
        <v>1034</v>
      </c>
      <c r="E37" s="259">
        <v>2699</v>
      </c>
      <c r="F37" s="259">
        <v>55</v>
      </c>
      <c r="G37" s="259">
        <v>15</v>
      </c>
      <c r="H37" s="259">
        <v>70</v>
      </c>
      <c r="I37" s="259">
        <v>37369</v>
      </c>
      <c r="J37" s="259">
        <v>35886</v>
      </c>
      <c r="K37" s="259">
        <v>73255</v>
      </c>
      <c r="L37" s="259">
        <v>801196</v>
      </c>
      <c r="M37" s="259">
        <v>647494</v>
      </c>
      <c r="N37" s="259">
        <v>1448690</v>
      </c>
      <c r="O37" s="259">
        <v>788</v>
      </c>
      <c r="P37" s="259">
        <v>401</v>
      </c>
      <c r="Q37" s="259">
        <v>1189</v>
      </c>
      <c r="R37" s="259">
        <v>42497</v>
      </c>
      <c r="S37" s="259">
        <v>25277</v>
      </c>
      <c r="T37" s="259">
        <v>67774</v>
      </c>
      <c r="U37" s="259">
        <v>4024</v>
      </c>
      <c r="V37" s="259">
        <v>2562</v>
      </c>
      <c r="W37" s="259">
        <v>6586</v>
      </c>
      <c r="X37" s="259">
        <v>2258</v>
      </c>
      <c r="Y37" s="259">
        <v>1026</v>
      </c>
      <c r="Z37" s="259">
        <v>3284</v>
      </c>
      <c r="AA37" s="259">
        <v>889852</v>
      </c>
      <c r="AB37" s="259">
        <v>713695</v>
      </c>
      <c r="AC37" s="259">
        <v>1603547</v>
      </c>
    </row>
    <row r="38" spans="1:29">
      <c r="A38" s="907"/>
      <c r="B38" s="314" t="s">
        <v>300</v>
      </c>
      <c r="C38" s="287">
        <v>2239</v>
      </c>
      <c r="D38" s="287">
        <v>1123</v>
      </c>
      <c r="E38" s="287">
        <v>3362</v>
      </c>
      <c r="F38" s="287">
        <v>0</v>
      </c>
      <c r="G38" s="287">
        <v>0</v>
      </c>
      <c r="H38" s="287">
        <v>0</v>
      </c>
      <c r="I38" s="287">
        <v>49296</v>
      </c>
      <c r="J38" s="287">
        <v>40098</v>
      </c>
      <c r="K38" s="287">
        <v>89394</v>
      </c>
      <c r="L38" s="287">
        <v>760584</v>
      </c>
      <c r="M38" s="287">
        <v>580133</v>
      </c>
      <c r="N38" s="287">
        <v>1340717</v>
      </c>
      <c r="O38" s="287">
        <v>749</v>
      </c>
      <c r="P38" s="287">
        <v>373</v>
      </c>
      <c r="Q38" s="287">
        <v>1122</v>
      </c>
      <c r="R38" s="287">
        <v>34380</v>
      </c>
      <c r="S38" s="287">
        <v>17715</v>
      </c>
      <c r="T38" s="287">
        <v>52095</v>
      </c>
      <c r="U38" s="287">
        <v>2705</v>
      </c>
      <c r="V38" s="287">
        <v>1439</v>
      </c>
      <c r="W38" s="287">
        <v>4144</v>
      </c>
      <c r="X38" s="287">
        <v>1952</v>
      </c>
      <c r="Y38" s="287">
        <v>896</v>
      </c>
      <c r="Z38" s="287">
        <v>2848</v>
      </c>
      <c r="AA38" s="287">
        <v>851905</v>
      </c>
      <c r="AB38" s="287">
        <v>641777</v>
      </c>
      <c r="AC38" s="287">
        <v>1493682</v>
      </c>
    </row>
    <row r="39" spans="1:29">
      <c r="A39" s="907"/>
      <c r="B39" s="314" t="s">
        <v>299</v>
      </c>
      <c r="C39" s="103">
        <v>1902</v>
      </c>
      <c r="D39" s="103">
        <v>954</v>
      </c>
      <c r="E39" s="803">
        <v>2856</v>
      </c>
      <c r="F39" s="103">
        <v>0</v>
      </c>
      <c r="G39" s="103">
        <v>0</v>
      </c>
      <c r="H39" s="803">
        <v>0</v>
      </c>
      <c r="I39" s="103">
        <v>37001</v>
      </c>
      <c r="J39" s="103">
        <v>32460</v>
      </c>
      <c r="K39" s="803">
        <v>69461</v>
      </c>
      <c r="L39" s="103">
        <v>723821</v>
      </c>
      <c r="M39" s="103">
        <v>550366</v>
      </c>
      <c r="N39" s="803">
        <v>1274187</v>
      </c>
      <c r="O39" s="103">
        <v>681</v>
      </c>
      <c r="P39" s="103">
        <v>272</v>
      </c>
      <c r="Q39" s="803">
        <v>953</v>
      </c>
      <c r="R39" s="103">
        <v>27280</v>
      </c>
      <c r="S39" s="103">
        <v>11228</v>
      </c>
      <c r="T39" s="803">
        <v>38508</v>
      </c>
      <c r="U39" s="103">
        <v>2336</v>
      </c>
      <c r="V39" s="103">
        <v>1075</v>
      </c>
      <c r="W39" s="803">
        <v>3411</v>
      </c>
      <c r="X39" s="103">
        <v>1512</v>
      </c>
      <c r="Y39" s="103">
        <v>788</v>
      </c>
      <c r="Z39" s="803">
        <v>2300</v>
      </c>
      <c r="AA39" s="95">
        <v>794533</v>
      </c>
      <c r="AB39" s="95">
        <v>597143</v>
      </c>
      <c r="AC39" s="803">
        <v>1391676</v>
      </c>
    </row>
    <row r="40" spans="1:29">
      <c r="A40" s="907"/>
      <c r="B40" s="314" t="s">
        <v>298</v>
      </c>
      <c r="C40" s="106">
        <v>1502</v>
      </c>
      <c r="D40" s="106">
        <v>726</v>
      </c>
      <c r="E40" s="802">
        <v>2228</v>
      </c>
      <c r="F40" s="106">
        <v>0</v>
      </c>
      <c r="G40" s="106">
        <v>0</v>
      </c>
      <c r="H40" s="802">
        <v>0</v>
      </c>
      <c r="I40" s="106">
        <v>44327</v>
      </c>
      <c r="J40" s="106">
        <v>33630</v>
      </c>
      <c r="K40" s="802">
        <v>77957</v>
      </c>
      <c r="L40" s="106">
        <v>796541</v>
      </c>
      <c r="M40" s="106">
        <v>597755</v>
      </c>
      <c r="N40" s="802">
        <v>1394296</v>
      </c>
      <c r="O40" s="106">
        <v>669</v>
      </c>
      <c r="P40" s="106">
        <v>231</v>
      </c>
      <c r="Q40" s="802">
        <v>900</v>
      </c>
      <c r="R40" s="106">
        <v>22034</v>
      </c>
      <c r="S40" s="106">
        <v>6985</v>
      </c>
      <c r="T40" s="802">
        <v>29019</v>
      </c>
      <c r="U40" s="106">
        <v>2865</v>
      </c>
      <c r="V40" s="106">
        <v>1539</v>
      </c>
      <c r="W40" s="802">
        <v>4404</v>
      </c>
      <c r="X40" s="106">
        <v>1212</v>
      </c>
      <c r="Y40" s="106">
        <v>640</v>
      </c>
      <c r="Z40" s="802">
        <v>1852</v>
      </c>
      <c r="AA40" s="108">
        <v>869150</v>
      </c>
      <c r="AB40" s="108">
        <v>641506</v>
      </c>
      <c r="AC40" s="802">
        <f t="shared" ref="AC40" si="3">AA40+AB40</f>
        <v>1510656</v>
      </c>
    </row>
    <row r="41" spans="1:29">
      <c r="A41" s="907">
        <v>6</v>
      </c>
      <c r="B41" s="324" t="s">
        <v>19</v>
      </c>
      <c r="C41" s="325"/>
      <c r="D41" s="326"/>
      <c r="E41" s="326"/>
      <c r="F41" s="326"/>
      <c r="G41" s="326"/>
      <c r="H41" s="326"/>
      <c r="I41" s="326"/>
      <c r="J41" s="326"/>
      <c r="K41" s="327"/>
      <c r="L41" s="325"/>
      <c r="M41" s="326"/>
      <c r="N41" s="326"/>
      <c r="O41" s="326"/>
      <c r="P41" s="326"/>
      <c r="Q41" s="326"/>
      <c r="R41" s="326"/>
      <c r="S41" s="326"/>
      <c r="T41" s="327"/>
      <c r="U41" s="325"/>
      <c r="V41" s="326"/>
      <c r="W41" s="326"/>
      <c r="X41" s="326"/>
      <c r="Y41" s="326"/>
      <c r="Z41" s="326"/>
      <c r="AA41" s="326"/>
      <c r="AB41" s="326"/>
      <c r="AC41" s="327"/>
    </row>
    <row r="42" spans="1:29">
      <c r="A42" s="907"/>
      <c r="B42" s="314" t="s">
        <v>997</v>
      </c>
      <c r="C42" s="287">
        <v>323</v>
      </c>
      <c r="D42" s="287">
        <v>427</v>
      </c>
      <c r="E42" s="287">
        <v>750</v>
      </c>
      <c r="F42" s="287">
        <v>158</v>
      </c>
      <c r="G42" s="287">
        <v>29</v>
      </c>
      <c r="H42" s="287">
        <v>187</v>
      </c>
      <c r="I42" s="287">
        <v>4244</v>
      </c>
      <c r="J42" s="287">
        <v>8142</v>
      </c>
      <c r="K42" s="287">
        <v>12386</v>
      </c>
      <c r="L42" s="287">
        <v>26105</v>
      </c>
      <c r="M42" s="287">
        <v>28727</v>
      </c>
      <c r="N42" s="287">
        <v>54832</v>
      </c>
      <c r="O42" s="287">
        <v>175</v>
      </c>
      <c r="P42" s="287">
        <v>419</v>
      </c>
      <c r="Q42" s="287">
        <v>594</v>
      </c>
      <c r="R42" s="287">
        <v>1824</v>
      </c>
      <c r="S42" s="287">
        <v>1260</v>
      </c>
      <c r="T42" s="287">
        <v>3084</v>
      </c>
      <c r="U42" s="287">
        <v>222</v>
      </c>
      <c r="V42" s="287">
        <v>222</v>
      </c>
      <c r="W42" s="287">
        <v>444</v>
      </c>
      <c r="X42" s="287">
        <v>883</v>
      </c>
      <c r="Y42" s="287">
        <v>1087</v>
      </c>
      <c r="Z42" s="287">
        <v>1970</v>
      </c>
      <c r="AA42" s="287">
        <v>33934</v>
      </c>
      <c r="AB42" s="287">
        <v>40313</v>
      </c>
      <c r="AC42" s="287">
        <v>74247</v>
      </c>
    </row>
    <row r="43" spans="1:29">
      <c r="A43" s="907"/>
      <c r="B43" s="314" t="s">
        <v>301</v>
      </c>
      <c r="C43" s="259">
        <v>409</v>
      </c>
      <c r="D43" s="259">
        <v>550</v>
      </c>
      <c r="E43" s="259">
        <v>959</v>
      </c>
      <c r="F43" s="259">
        <v>140</v>
      </c>
      <c r="G43" s="259">
        <v>48</v>
      </c>
      <c r="H43" s="259">
        <v>188</v>
      </c>
      <c r="I43" s="259">
        <v>4482</v>
      </c>
      <c r="J43" s="259">
        <v>8372</v>
      </c>
      <c r="K43" s="259">
        <v>12854</v>
      </c>
      <c r="L43" s="259">
        <v>26617</v>
      </c>
      <c r="M43" s="259">
        <v>28722</v>
      </c>
      <c r="N43" s="259">
        <v>55339</v>
      </c>
      <c r="O43" s="259">
        <v>264</v>
      </c>
      <c r="P43" s="259">
        <v>437</v>
      </c>
      <c r="Q43" s="259">
        <v>701</v>
      </c>
      <c r="R43" s="259">
        <v>2047</v>
      </c>
      <c r="S43" s="259">
        <v>1223</v>
      </c>
      <c r="T43" s="259">
        <v>3270</v>
      </c>
      <c r="U43" s="259">
        <v>409</v>
      </c>
      <c r="V43" s="259">
        <v>259</v>
      </c>
      <c r="W43" s="259">
        <v>668</v>
      </c>
      <c r="X43" s="259">
        <v>1139</v>
      </c>
      <c r="Y43" s="259">
        <v>1290</v>
      </c>
      <c r="Z43" s="259">
        <v>2429</v>
      </c>
      <c r="AA43" s="259">
        <v>35507</v>
      </c>
      <c r="AB43" s="259">
        <v>40901</v>
      </c>
      <c r="AC43" s="259">
        <v>76408</v>
      </c>
    </row>
    <row r="44" spans="1:29">
      <c r="A44" s="907"/>
      <c r="B44" s="314" t="s">
        <v>300</v>
      </c>
      <c r="C44" s="287">
        <v>353</v>
      </c>
      <c r="D44" s="287">
        <v>508</v>
      </c>
      <c r="E44" s="287">
        <v>861</v>
      </c>
      <c r="F44" s="287">
        <v>145</v>
      </c>
      <c r="G44" s="287">
        <v>43</v>
      </c>
      <c r="H44" s="287">
        <v>188</v>
      </c>
      <c r="I44" s="287">
        <v>4184</v>
      </c>
      <c r="J44" s="287">
        <v>8052</v>
      </c>
      <c r="K44" s="287">
        <v>12236</v>
      </c>
      <c r="L44" s="287">
        <v>26406</v>
      </c>
      <c r="M44" s="287">
        <v>28567</v>
      </c>
      <c r="N44" s="287">
        <v>54973</v>
      </c>
      <c r="O44" s="287">
        <v>257</v>
      </c>
      <c r="P44" s="287">
        <v>428</v>
      </c>
      <c r="Q44" s="287">
        <v>685</v>
      </c>
      <c r="R44" s="287">
        <v>1391</v>
      </c>
      <c r="S44" s="287">
        <v>1214</v>
      </c>
      <c r="T44" s="287">
        <v>2605</v>
      </c>
      <c r="U44" s="287">
        <v>549</v>
      </c>
      <c r="V44" s="287">
        <v>204</v>
      </c>
      <c r="W44" s="287">
        <v>753</v>
      </c>
      <c r="X44" s="287">
        <v>1111</v>
      </c>
      <c r="Y44" s="287">
        <v>1091</v>
      </c>
      <c r="Z44" s="287">
        <v>2202</v>
      </c>
      <c r="AA44" s="287">
        <v>34396</v>
      </c>
      <c r="AB44" s="287">
        <v>40107</v>
      </c>
      <c r="AC44" s="287">
        <v>74503</v>
      </c>
    </row>
    <row r="45" spans="1:29">
      <c r="A45" s="907"/>
      <c r="B45" s="314" t="s">
        <v>299</v>
      </c>
      <c r="C45" s="103">
        <v>472</v>
      </c>
      <c r="D45" s="103">
        <v>415</v>
      </c>
      <c r="E45" s="803">
        <v>887</v>
      </c>
      <c r="F45" s="103">
        <v>168</v>
      </c>
      <c r="G45" s="103">
        <v>67</v>
      </c>
      <c r="H45" s="803">
        <v>235</v>
      </c>
      <c r="I45" s="96">
        <v>4853.8463378402666</v>
      </c>
      <c r="J45" s="96">
        <v>8340.1839662067541</v>
      </c>
      <c r="K45" s="804">
        <v>13194.030304047021</v>
      </c>
      <c r="L45" s="96">
        <v>26275.809648325136</v>
      </c>
      <c r="M45" s="96">
        <v>29049.608451791282</v>
      </c>
      <c r="N45" s="804">
        <v>55325.418100116411</v>
      </c>
      <c r="O45" s="103">
        <v>243</v>
      </c>
      <c r="P45" s="103">
        <v>350</v>
      </c>
      <c r="Q45" s="803">
        <v>593</v>
      </c>
      <c r="R45" s="103">
        <v>1438</v>
      </c>
      <c r="S45" s="103">
        <v>1201</v>
      </c>
      <c r="T45" s="803">
        <v>2639</v>
      </c>
      <c r="U45" s="103">
        <v>456</v>
      </c>
      <c r="V45" s="103">
        <v>244</v>
      </c>
      <c r="W45" s="803">
        <v>700</v>
      </c>
      <c r="X45" s="103">
        <v>1058</v>
      </c>
      <c r="Y45" s="103">
        <v>1133</v>
      </c>
      <c r="Z45" s="803">
        <v>2191</v>
      </c>
      <c r="AA45" s="98">
        <v>34964.655986165402</v>
      </c>
      <c r="AB45" s="98">
        <v>40799.792417998033</v>
      </c>
      <c r="AC45" s="804">
        <v>75764.448404163428</v>
      </c>
    </row>
    <row r="46" spans="1:29">
      <c r="A46" s="907"/>
      <c r="B46" s="314" t="s">
        <v>298</v>
      </c>
      <c r="C46" s="106">
        <v>629</v>
      </c>
      <c r="D46" s="106">
        <v>625</v>
      </c>
      <c r="E46" s="802">
        <v>1254</v>
      </c>
      <c r="F46" s="106">
        <v>56</v>
      </c>
      <c r="G46" s="106">
        <v>87</v>
      </c>
      <c r="H46" s="802">
        <v>143</v>
      </c>
      <c r="I46" s="106">
        <v>4532</v>
      </c>
      <c r="J46" s="106">
        <v>8091</v>
      </c>
      <c r="K46" s="802">
        <v>12623</v>
      </c>
      <c r="L46" s="106">
        <v>25672</v>
      </c>
      <c r="M46" s="106">
        <v>27863</v>
      </c>
      <c r="N46" s="802">
        <v>53535</v>
      </c>
      <c r="O46" s="106">
        <v>182</v>
      </c>
      <c r="P46" s="106">
        <v>359</v>
      </c>
      <c r="Q46" s="802">
        <v>541</v>
      </c>
      <c r="R46" s="106">
        <v>1447</v>
      </c>
      <c r="S46" s="106">
        <v>1230</v>
      </c>
      <c r="T46" s="802">
        <v>2677</v>
      </c>
      <c r="U46" s="106">
        <v>363</v>
      </c>
      <c r="V46" s="106">
        <v>195</v>
      </c>
      <c r="W46" s="802">
        <v>558</v>
      </c>
      <c r="X46" s="106">
        <v>1100</v>
      </c>
      <c r="Y46" s="106">
        <v>1264</v>
      </c>
      <c r="Z46" s="802">
        <v>2364</v>
      </c>
      <c r="AA46" s="108">
        <v>33981</v>
      </c>
      <c r="AB46" s="108">
        <v>39714</v>
      </c>
      <c r="AC46" s="802">
        <f t="shared" ref="AC46" si="4">AA46+AB46</f>
        <v>73695</v>
      </c>
    </row>
    <row r="47" spans="1:29">
      <c r="A47" s="907">
        <v>7</v>
      </c>
      <c r="B47" s="324" t="s">
        <v>20</v>
      </c>
      <c r="C47" s="325"/>
      <c r="D47" s="326"/>
      <c r="E47" s="326"/>
      <c r="F47" s="326"/>
      <c r="G47" s="326"/>
      <c r="H47" s="326"/>
      <c r="I47" s="326"/>
      <c r="J47" s="326"/>
      <c r="K47" s="327"/>
      <c r="L47" s="325"/>
      <c r="M47" s="326"/>
      <c r="N47" s="326"/>
      <c r="O47" s="326"/>
      <c r="P47" s="326"/>
      <c r="Q47" s="326"/>
      <c r="R47" s="326"/>
      <c r="S47" s="326"/>
      <c r="T47" s="327"/>
      <c r="U47" s="325"/>
      <c r="V47" s="326"/>
      <c r="W47" s="326"/>
      <c r="X47" s="326"/>
      <c r="Y47" s="326"/>
      <c r="Z47" s="326"/>
      <c r="AA47" s="326"/>
      <c r="AB47" s="326"/>
      <c r="AC47" s="327"/>
    </row>
    <row r="48" spans="1:29">
      <c r="A48" s="907"/>
      <c r="B48" s="314" t="s">
        <v>997</v>
      </c>
      <c r="C48" s="287">
        <v>910</v>
      </c>
      <c r="D48" s="287">
        <v>744</v>
      </c>
      <c r="E48" s="287">
        <v>1654</v>
      </c>
      <c r="F48" s="287">
        <v>36</v>
      </c>
      <c r="G48" s="287">
        <v>22</v>
      </c>
      <c r="H48" s="287">
        <v>58</v>
      </c>
      <c r="I48" s="287">
        <v>25566</v>
      </c>
      <c r="J48" s="287">
        <v>39663</v>
      </c>
      <c r="K48" s="287">
        <v>65229</v>
      </c>
      <c r="L48" s="287">
        <v>203718</v>
      </c>
      <c r="M48" s="287">
        <v>251446</v>
      </c>
      <c r="N48" s="287">
        <v>455164</v>
      </c>
      <c r="O48" s="287">
        <v>4450</v>
      </c>
      <c r="P48" s="287">
        <v>4591</v>
      </c>
      <c r="Q48" s="287">
        <v>9041</v>
      </c>
      <c r="R48" s="287">
        <v>21367</v>
      </c>
      <c r="S48" s="287">
        <v>15337</v>
      </c>
      <c r="T48" s="287">
        <v>36704</v>
      </c>
      <c r="U48" s="287">
        <v>269</v>
      </c>
      <c r="V48" s="287">
        <v>424</v>
      </c>
      <c r="W48" s="287">
        <v>693</v>
      </c>
      <c r="X48" s="287">
        <v>1542</v>
      </c>
      <c r="Y48" s="287">
        <v>1540</v>
      </c>
      <c r="Z48" s="287">
        <v>3082</v>
      </c>
      <c r="AA48" s="287">
        <v>257858</v>
      </c>
      <c r="AB48" s="287">
        <v>313767</v>
      </c>
      <c r="AC48" s="287">
        <v>571625</v>
      </c>
    </row>
    <row r="49" spans="1:29">
      <c r="A49" s="907"/>
      <c r="B49" s="314" t="s">
        <v>301</v>
      </c>
      <c r="C49" s="259">
        <v>824</v>
      </c>
      <c r="D49" s="259">
        <v>691</v>
      </c>
      <c r="E49" s="259">
        <v>1515</v>
      </c>
      <c r="F49" s="259">
        <v>109</v>
      </c>
      <c r="G49" s="259">
        <v>89</v>
      </c>
      <c r="H49" s="259">
        <v>198</v>
      </c>
      <c r="I49" s="259">
        <v>23040</v>
      </c>
      <c r="J49" s="259">
        <v>34523</v>
      </c>
      <c r="K49" s="259">
        <v>57563</v>
      </c>
      <c r="L49" s="259">
        <v>173403</v>
      </c>
      <c r="M49" s="259">
        <v>219635</v>
      </c>
      <c r="N49" s="259">
        <v>393038</v>
      </c>
      <c r="O49" s="259">
        <v>4672</v>
      </c>
      <c r="P49" s="259">
        <v>5099</v>
      </c>
      <c r="Q49" s="259">
        <v>9771</v>
      </c>
      <c r="R49" s="259">
        <v>22197</v>
      </c>
      <c r="S49" s="259">
        <v>15478</v>
      </c>
      <c r="T49" s="259">
        <v>37675</v>
      </c>
      <c r="U49" s="259">
        <v>210</v>
      </c>
      <c r="V49" s="259">
        <v>335</v>
      </c>
      <c r="W49" s="259">
        <v>545</v>
      </c>
      <c r="X49" s="259">
        <v>1882</v>
      </c>
      <c r="Y49" s="259">
        <v>1848</v>
      </c>
      <c r="Z49" s="259">
        <v>3730</v>
      </c>
      <c r="AA49" s="259">
        <v>226337</v>
      </c>
      <c r="AB49" s="259">
        <v>277698</v>
      </c>
      <c r="AC49" s="259">
        <v>504035</v>
      </c>
    </row>
    <row r="50" spans="1:29">
      <c r="A50" s="907"/>
      <c r="B50" s="314" t="s">
        <v>300</v>
      </c>
      <c r="C50" s="287">
        <v>965</v>
      </c>
      <c r="D50" s="287">
        <v>509</v>
      </c>
      <c r="E50" s="287">
        <v>1474</v>
      </c>
      <c r="F50" s="287">
        <v>193</v>
      </c>
      <c r="G50" s="287">
        <v>151</v>
      </c>
      <c r="H50" s="287">
        <v>344</v>
      </c>
      <c r="I50" s="287">
        <v>22060</v>
      </c>
      <c r="J50" s="287">
        <v>30531</v>
      </c>
      <c r="K50" s="287">
        <v>52591</v>
      </c>
      <c r="L50" s="287">
        <v>171481</v>
      </c>
      <c r="M50" s="287">
        <v>204922</v>
      </c>
      <c r="N50" s="287">
        <v>376403</v>
      </c>
      <c r="O50" s="287">
        <v>4491</v>
      </c>
      <c r="P50" s="287">
        <v>4916</v>
      </c>
      <c r="Q50" s="287">
        <v>9407</v>
      </c>
      <c r="R50" s="287">
        <v>23015</v>
      </c>
      <c r="S50" s="287">
        <v>15902</v>
      </c>
      <c r="T50" s="287">
        <v>38917</v>
      </c>
      <c r="U50" s="287">
        <v>190</v>
      </c>
      <c r="V50" s="287">
        <v>365</v>
      </c>
      <c r="W50" s="287">
        <v>555</v>
      </c>
      <c r="X50" s="287">
        <v>1357</v>
      </c>
      <c r="Y50" s="287">
        <v>1444</v>
      </c>
      <c r="Z50" s="287">
        <v>2801</v>
      </c>
      <c r="AA50" s="287">
        <v>223752</v>
      </c>
      <c r="AB50" s="287">
        <v>258740</v>
      </c>
      <c r="AC50" s="287">
        <v>482492</v>
      </c>
    </row>
    <row r="51" spans="1:29">
      <c r="A51" s="907"/>
      <c r="B51" s="314" t="s">
        <v>299</v>
      </c>
      <c r="C51" s="103">
        <v>740</v>
      </c>
      <c r="D51" s="103">
        <v>425</v>
      </c>
      <c r="E51" s="803">
        <v>1165</v>
      </c>
      <c r="F51" s="103">
        <v>149</v>
      </c>
      <c r="G51" s="103">
        <v>150</v>
      </c>
      <c r="H51" s="803">
        <v>299</v>
      </c>
      <c r="I51" s="103">
        <v>19804</v>
      </c>
      <c r="J51" s="103">
        <v>27619</v>
      </c>
      <c r="K51" s="803">
        <v>47423</v>
      </c>
      <c r="L51" s="103">
        <v>166217</v>
      </c>
      <c r="M51" s="103">
        <v>188330</v>
      </c>
      <c r="N51" s="803">
        <v>354547</v>
      </c>
      <c r="O51" s="103">
        <v>4163</v>
      </c>
      <c r="P51" s="103">
        <v>4377</v>
      </c>
      <c r="Q51" s="803">
        <v>8540</v>
      </c>
      <c r="R51" s="103">
        <v>23120</v>
      </c>
      <c r="S51" s="103">
        <v>16310</v>
      </c>
      <c r="T51" s="803">
        <v>39430</v>
      </c>
      <c r="U51" s="103">
        <v>211</v>
      </c>
      <c r="V51" s="103">
        <v>313</v>
      </c>
      <c r="W51" s="803">
        <v>524</v>
      </c>
      <c r="X51" s="103">
        <v>1014</v>
      </c>
      <c r="Y51" s="103">
        <v>1005</v>
      </c>
      <c r="Z51" s="803">
        <v>2019</v>
      </c>
      <c r="AA51" s="95">
        <v>215418</v>
      </c>
      <c r="AB51" s="95">
        <v>238529</v>
      </c>
      <c r="AC51" s="803">
        <v>453947</v>
      </c>
    </row>
    <row r="52" spans="1:29">
      <c r="A52" s="907"/>
      <c r="B52" s="314" t="s">
        <v>298</v>
      </c>
      <c r="C52" s="106">
        <v>778</v>
      </c>
      <c r="D52" s="106">
        <v>488</v>
      </c>
      <c r="E52" s="802">
        <v>1266</v>
      </c>
      <c r="F52" s="106">
        <v>141</v>
      </c>
      <c r="G52" s="106">
        <v>136</v>
      </c>
      <c r="H52" s="802">
        <v>277</v>
      </c>
      <c r="I52" s="106">
        <v>19086</v>
      </c>
      <c r="J52" s="106">
        <v>25009</v>
      </c>
      <c r="K52" s="802">
        <v>44095</v>
      </c>
      <c r="L52" s="106">
        <v>163885</v>
      </c>
      <c r="M52" s="106">
        <v>172395</v>
      </c>
      <c r="N52" s="802">
        <v>336280</v>
      </c>
      <c r="O52" s="106">
        <v>3391</v>
      </c>
      <c r="P52" s="106">
        <v>3575</v>
      </c>
      <c r="Q52" s="802">
        <v>6966</v>
      </c>
      <c r="R52" s="106">
        <v>22196</v>
      </c>
      <c r="S52" s="106">
        <v>15176</v>
      </c>
      <c r="T52" s="802">
        <v>37372</v>
      </c>
      <c r="U52" s="106">
        <v>220</v>
      </c>
      <c r="V52" s="106">
        <v>384</v>
      </c>
      <c r="W52" s="802">
        <v>604</v>
      </c>
      <c r="X52" s="106">
        <v>938</v>
      </c>
      <c r="Y52" s="106">
        <v>921</v>
      </c>
      <c r="Z52" s="802">
        <v>1859</v>
      </c>
      <c r="AA52" s="108">
        <v>210635</v>
      </c>
      <c r="AB52" s="108">
        <v>218084</v>
      </c>
      <c r="AC52" s="802">
        <f t="shared" ref="AC52" si="5">AA52+AB52</f>
        <v>428719</v>
      </c>
    </row>
    <row r="53" spans="1:29">
      <c r="A53" s="907">
        <v>8</v>
      </c>
      <c r="B53" s="324" t="s">
        <v>23</v>
      </c>
      <c r="C53" s="325"/>
      <c r="D53" s="326"/>
      <c r="E53" s="326"/>
      <c r="F53" s="326"/>
      <c r="G53" s="326"/>
      <c r="H53" s="326"/>
      <c r="I53" s="326"/>
      <c r="J53" s="326"/>
      <c r="K53" s="327"/>
      <c r="L53" s="325"/>
      <c r="M53" s="326"/>
      <c r="N53" s="326"/>
      <c r="O53" s="326"/>
      <c r="P53" s="326"/>
      <c r="Q53" s="326"/>
      <c r="R53" s="326"/>
      <c r="S53" s="326"/>
      <c r="T53" s="327"/>
      <c r="U53" s="325"/>
      <c r="V53" s="326"/>
      <c r="W53" s="326"/>
      <c r="X53" s="326"/>
      <c r="Y53" s="326"/>
      <c r="Z53" s="326"/>
      <c r="AA53" s="326"/>
      <c r="AB53" s="326"/>
      <c r="AC53" s="327"/>
    </row>
    <row r="54" spans="1:29">
      <c r="A54" s="907"/>
      <c r="B54" s="314" t="s">
        <v>997</v>
      </c>
      <c r="C54" s="287">
        <v>8112</v>
      </c>
      <c r="D54" s="287">
        <v>7332</v>
      </c>
      <c r="E54" s="287">
        <v>15444</v>
      </c>
      <c r="F54" s="287">
        <v>772</v>
      </c>
      <c r="G54" s="287">
        <v>764</v>
      </c>
      <c r="H54" s="287">
        <v>1536</v>
      </c>
      <c r="I54" s="287">
        <v>20904</v>
      </c>
      <c r="J54" s="287">
        <v>21417</v>
      </c>
      <c r="K54" s="287">
        <v>42321</v>
      </c>
      <c r="L54" s="287">
        <v>167197</v>
      </c>
      <c r="M54" s="287">
        <v>185508</v>
      </c>
      <c r="N54" s="287">
        <v>352705</v>
      </c>
      <c r="O54" s="287">
        <v>4076</v>
      </c>
      <c r="P54" s="287">
        <v>2979</v>
      </c>
      <c r="Q54" s="287">
        <v>7055</v>
      </c>
      <c r="R54" s="287">
        <v>15220</v>
      </c>
      <c r="S54" s="287">
        <v>12709</v>
      </c>
      <c r="T54" s="287">
        <v>27929</v>
      </c>
      <c r="U54" s="287">
        <v>1415</v>
      </c>
      <c r="V54" s="287">
        <v>1143</v>
      </c>
      <c r="W54" s="287">
        <v>2558</v>
      </c>
      <c r="X54" s="287">
        <v>3735</v>
      </c>
      <c r="Y54" s="287">
        <v>2228</v>
      </c>
      <c r="Z54" s="287">
        <v>5963</v>
      </c>
      <c r="AA54" s="287">
        <v>221431</v>
      </c>
      <c r="AB54" s="287">
        <v>234080</v>
      </c>
      <c r="AC54" s="287">
        <v>455511</v>
      </c>
    </row>
    <row r="55" spans="1:29">
      <c r="A55" s="907"/>
      <c r="B55" s="314" t="s">
        <v>301</v>
      </c>
      <c r="C55" s="259">
        <v>8812</v>
      </c>
      <c r="D55" s="259">
        <v>7458</v>
      </c>
      <c r="E55" s="259">
        <v>16270</v>
      </c>
      <c r="F55" s="259">
        <v>650</v>
      </c>
      <c r="G55" s="259">
        <v>672</v>
      </c>
      <c r="H55" s="259">
        <v>1322</v>
      </c>
      <c r="I55" s="259">
        <v>24635</v>
      </c>
      <c r="J55" s="259">
        <v>24080</v>
      </c>
      <c r="K55" s="259">
        <v>48715</v>
      </c>
      <c r="L55" s="259">
        <v>162498</v>
      </c>
      <c r="M55" s="259">
        <v>178598</v>
      </c>
      <c r="N55" s="259">
        <v>341096</v>
      </c>
      <c r="O55" s="259">
        <v>2692</v>
      </c>
      <c r="P55" s="259">
        <v>2215</v>
      </c>
      <c r="Q55" s="259">
        <v>4907</v>
      </c>
      <c r="R55" s="259">
        <v>17816</v>
      </c>
      <c r="S55" s="259">
        <v>12949</v>
      </c>
      <c r="T55" s="259">
        <v>30765</v>
      </c>
      <c r="U55" s="259">
        <v>2340</v>
      </c>
      <c r="V55" s="259">
        <v>1627</v>
      </c>
      <c r="W55" s="259">
        <v>3967</v>
      </c>
      <c r="X55" s="259">
        <v>2999</v>
      </c>
      <c r="Y55" s="259">
        <v>1497</v>
      </c>
      <c r="Z55" s="259">
        <v>4496</v>
      </c>
      <c r="AA55" s="259">
        <v>222442</v>
      </c>
      <c r="AB55" s="259">
        <v>229096</v>
      </c>
      <c r="AC55" s="259">
        <v>451538</v>
      </c>
    </row>
    <row r="56" spans="1:29">
      <c r="A56" s="907"/>
      <c r="B56" s="314" t="s">
        <v>300</v>
      </c>
      <c r="C56" s="287">
        <v>4918</v>
      </c>
      <c r="D56" s="287">
        <v>4493</v>
      </c>
      <c r="E56" s="287">
        <v>9411</v>
      </c>
      <c r="F56" s="287">
        <v>2402</v>
      </c>
      <c r="G56" s="287">
        <v>2684</v>
      </c>
      <c r="H56" s="287">
        <v>5086</v>
      </c>
      <c r="I56" s="287">
        <v>25115</v>
      </c>
      <c r="J56" s="287">
        <v>24578</v>
      </c>
      <c r="K56" s="287">
        <v>49693</v>
      </c>
      <c r="L56" s="287">
        <v>159224</v>
      </c>
      <c r="M56" s="287">
        <v>169739</v>
      </c>
      <c r="N56" s="287">
        <v>328963</v>
      </c>
      <c r="O56" s="287">
        <v>1933</v>
      </c>
      <c r="P56" s="287">
        <v>1797</v>
      </c>
      <c r="Q56" s="287">
        <v>3730</v>
      </c>
      <c r="R56" s="287">
        <v>16697</v>
      </c>
      <c r="S56" s="287">
        <v>12316</v>
      </c>
      <c r="T56" s="287">
        <v>29013</v>
      </c>
      <c r="U56" s="287">
        <v>2348</v>
      </c>
      <c r="V56" s="287">
        <v>1656</v>
      </c>
      <c r="W56" s="287">
        <v>4004</v>
      </c>
      <c r="X56" s="287">
        <v>3189</v>
      </c>
      <c r="Y56" s="287">
        <v>1882</v>
      </c>
      <c r="Z56" s="287">
        <v>5071</v>
      </c>
      <c r="AA56" s="287">
        <v>215826</v>
      </c>
      <c r="AB56" s="287">
        <v>219145</v>
      </c>
      <c r="AC56" s="287">
        <v>434971</v>
      </c>
    </row>
    <row r="57" spans="1:29">
      <c r="A57" s="907"/>
      <c r="B57" s="314" t="s">
        <v>299</v>
      </c>
      <c r="C57" s="103">
        <v>7580</v>
      </c>
      <c r="D57" s="103">
        <v>7132</v>
      </c>
      <c r="E57" s="105">
        <v>14712</v>
      </c>
      <c r="F57" s="103">
        <v>1243</v>
      </c>
      <c r="G57" s="103">
        <v>1380</v>
      </c>
      <c r="H57" s="105">
        <v>2623</v>
      </c>
      <c r="I57" s="96">
        <v>24109.452372635584</v>
      </c>
      <c r="J57" s="96">
        <v>24492.275494269546</v>
      </c>
      <c r="K57" s="109">
        <v>48601.72786690513</v>
      </c>
      <c r="L57" s="96">
        <v>157782.12838086154</v>
      </c>
      <c r="M57" s="96">
        <v>164764.03819226782</v>
      </c>
      <c r="N57" s="109">
        <v>322546.16657312936</v>
      </c>
      <c r="O57" s="103">
        <v>2468</v>
      </c>
      <c r="P57" s="103">
        <v>1714</v>
      </c>
      <c r="Q57" s="105">
        <v>4182</v>
      </c>
      <c r="R57" s="103">
        <v>17060</v>
      </c>
      <c r="S57" s="103">
        <v>11596</v>
      </c>
      <c r="T57" s="105">
        <v>28656</v>
      </c>
      <c r="U57" s="103">
        <v>2257</v>
      </c>
      <c r="V57" s="103">
        <v>1471</v>
      </c>
      <c r="W57" s="105">
        <v>3728</v>
      </c>
      <c r="X57" s="103">
        <v>2126</v>
      </c>
      <c r="Y57" s="103">
        <v>1019</v>
      </c>
      <c r="Z57" s="105">
        <v>3145</v>
      </c>
      <c r="AA57" s="98">
        <v>214625.58075349708</v>
      </c>
      <c r="AB57" s="98">
        <v>213568.31368653738</v>
      </c>
      <c r="AC57" s="109">
        <v>428193.8944400344</v>
      </c>
    </row>
    <row r="58" spans="1:29">
      <c r="A58" s="907"/>
      <c r="B58" s="314" t="s">
        <v>298</v>
      </c>
      <c r="C58" s="106">
        <v>5319</v>
      </c>
      <c r="D58" s="106">
        <v>4604</v>
      </c>
      <c r="E58" s="107">
        <v>9923</v>
      </c>
      <c r="F58" s="106">
        <v>3028</v>
      </c>
      <c r="G58" s="106">
        <v>3380</v>
      </c>
      <c r="H58" s="107">
        <v>6408</v>
      </c>
      <c r="I58" s="106">
        <v>22423</v>
      </c>
      <c r="J58" s="106">
        <v>20826</v>
      </c>
      <c r="K58" s="107">
        <v>43249</v>
      </c>
      <c r="L58" s="106">
        <v>149412</v>
      </c>
      <c r="M58" s="106">
        <v>151142</v>
      </c>
      <c r="N58" s="107">
        <v>300554</v>
      </c>
      <c r="O58" s="106">
        <v>2776</v>
      </c>
      <c r="P58" s="106">
        <v>1705</v>
      </c>
      <c r="Q58" s="107">
        <v>4481</v>
      </c>
      <c r="R58" s="106">
        <v>16604</v>
      </c>
      <c r="S58" s="106">
        <v>11471</v>
      </c>
      <c r="T58" s="107">
        <v>28075</v>
      </c>
      <c r="U58" s="106">
        <v>1895</v>
      </c>
      <c r="V58" s="106">
        <v>1283</v>
      </c>
      <c r="W58" s="107">
        <v>3178</v>
      </c>
      <c r="X58" s="106">
        <v>2020</v>
      </c>
      <c r="Y58" s="106">
        <v>754</v>
      </c>
      <c r="Z58" s="107">
        <v>2774</v>
      </c>
      <c r="AA58" s="108">
        <v>203477</v>
      </c>
      <c r="AB58" s="108">
        <v>195165</v>
      </c>
      <c r="AC58" s="107">
        <f t="shared" ref="AC58" si="6">AA58+AB58</f>
        <v>398642</v>
      </c>
    </row>
    <row r="59" spans="1:29">
      <c r="A59" s="907">
        <v>9</v>
      </c>
      <c r="B59" s="324" t="s">
        <v>24</v>
      </c>
      <c r="C59" s="325"/>
      <c r="D59" s="326"/>
      <c r="E59" s="326"/>
      <c r="F59" s="326"/>
      <c r="G59" s="326"/>
      <c r="H59" s="326"/>
      <c r="I59" s="326"/>
      <c r="J59" s="326"/>
      <c r="K59" s="327"/>
      <c r="L59" s="325"/>
      <c r="M59" s="326"/>
      <c r="N59" s="326"/>
      <c r="O59" s="326"/>
      <c r="P59" s="326"/>
      <c r="Q59" s="326"/>
      <c r="R59" s="326"/>
      <c r="S59" s="326"/>
      <c r="T59" s="327"/>
      <c r="U59" s="325"/>
      <c r="V59" s="326"/>
      <c r="W59" s="326"/>
      <c r="X59" s="326"/>
      <c r="Y59" s="326"/>
      <c r="Z59" s="326"/>
      <c r="AA59" s="326"/>
      <c r="AB59" s="326"/>
      <c r="AC59" s="327"/>
    </row>
    <row r="60" spans="1:29">
      <c r="A60" s="907"/>
      <c r="B60" s="314" t="s">
        <v>997</v>
      </c>
      <c r="C60" s="287">
        <v>276</v>
      </c>
      <c r="D60" s="287">
        <v>340</v>
      </c>
      <c r="E60" s="287">
        <v>616</v>
      </c>
      <c r="F60" s="287">
        <v>6</v>
      </c>
      <c r="G60" s="287">
        <v>2</v>
      </c>
      <c r="H60" s="287">
        <v>8</v>
      </c>
      <c r="I60" s="287">
        <v>2169</v>
      </c>
      <c r="J60" s="287">
        <v>3376</v>
      </c>
      <c r="K60" s="287">
        <v>5545</v>
      </c>
      <c r="L60" s="287">
        <v>17717</v>
      </c>
      <c r="M60" s="287">
        <v>21797</v>
      </c>
      <c r="N60" s="287">
        <v>39514</v>
      </c>
      <c r="O60" s="287">
        <v>24</v>
      </c>
      <c r="P60" s="287">
        <v>71</v>
      </c>
      <c r="Q60" s="287">
        <v>95</v>
      </c>
      <c r="R60" s="287">
        <v>4656</v>
      </c>
      <c r="S60" s="287">
        <v>1534</v>
      </c>
      <c r="T60" s="287">
        <v>6190</v>
      </c>
      <c r="U60" s="287">
        <v>17</v>
      </c>
      <c r="V60" s="287">
        <v>14</v>
      </c>
      <c r="W60" s="287">
        <v>31</v>
      </c>
      <c r="X60" s="287">
        <v>422</v>
      </c>
      <c r="Y60" s="287">
        <v>923</v>
      </c>
      <c r="Z60" s="287">
        <v>1345</v>
      </c>
      <c r="AA60" s="287">
        <v>25287</v>
      </c>
      <c r="AB60" s="287">
        <v>28057</v>
      </c>
      <c r="AC60" s="287">
        <v>53344</v>
      </c>
    </row>
    <row r="61" spans="1:29">
      <c r="A61" s="907"/>
      <c r="B61" s="314" t="s">
        <v>301</v>
      </c>
      <c r="C61" s="259">
        <v>217</v>
      </c>
      <c r="D61" s="259">
        <v>216</v>
      </c>
      <c r="E61" s="259">
        <v>433</v>
      </c>
      <c r="F61" s="259">
        <v>1</v>
      </c>
      <c r="G61" s="259">
        <v>4</v>
      </c>
      <c r="H61" s="259">
        <v>5</v>
      </c>
      <c r="I61" s="259">
        <v>1799</v>
      </c>
      <c r="J61" s="259">
        <v>3139</v>
      </c>
      <c r="K61" s="259">
        <v>4938</v>
      </c>
      <c r="L61" s="259">
        <v>15641</v>
      </c>
      <c r="M61" s="259">
        <v>20727</v>
      </c>
      <c r="N61" s="259">
        <v>36368</v>
      </c>
      <c r="O61" s="259">
        <v>39</v>
      </c>
      <c r="P61" s="259">
        <v>52</v>
      </c>
      <c r="Q61" s="259">
        <v>91</v>
      </c>
      <c r="R61" s="259">
        <v>4412</v>
      </c>
      <c r="S61" s="259">
        <v>872</v>
      </c>
      <c r="T61" s="259">
        <v>5284</v>
      </c>
      <c r="U61" s="259">
        <v>20</v>
      </c>
      <c r="V61" s="259">
        <v>4</v>
      </c>
      <c r="W61" s="259">
        <v>24</v>
      </c>
      <c r="X61" s="259">
        <v>196</v>
      </c>
      <c r="Y61" s="259">
        <v>528</v>
      </c>
      <c r="Z61" s="259">
        <v>724</v>
      </c>
      <c r="AA61" s="259">
        <v>22325</v>
      </c>
      <c r="AB61" s="259">
        <v>25542</v>
      </c>
      <c r="AC61" s="259">
        <v>47867</v>
      </c>
    </row>
    <row r="62" spans="1:29">
      <c r="A62" s="907"/>
      <c r="B62" s="314" t="s">
        <v>300</v>
      </c>
      <c r="C62" s="287">
        <v>167</v>
      </c>
      <c r="D62" s="287">
        <v>129</v>
      </c>
      <c r="E62" s="287">
        <v>296</v>
      </c>
      <c r="F62" s="287">
        <v>0</v>
      </c>
      <c r="G62" s="287">
        <v>0</v>
      </c>
      <c r="H62" s="287">
        <v>0</v>
      </c>
      <c r="I62" s="287">
        <v>1615</v>
      </c>
      <c r="J62" s="287">
        <v>2846</v>
      </c>
      <c r="K62" s="287">
        <v>4461</v>
      </c>
      <c r="L62" s="287">
        <v>16567</v>
      </c>
      <c r="M62" s="287">
        <v>21225</v>
      </c>
      <c r="N62" s="287">
        <v>37792</v>
      </c>
      <c r="O62" s="287">
        <v>37</v>
      </c>
      <c r="P62" s="287">
        <v>29</v>
      </c>
      <c r="Q62" s="287">
        <v>66</v>
      </c>
      <c r="R62" s="287">
        <v>5566</v>
      </c>
      <c r="S62" s="287">
        <v>751</v>
      </c>
      <c r="T62" s="287">
        <v>6317</v>
      </c>
      <c r="U62" s="287">
        <v>11</v>
      </c>
      <c r="V62" s="287">
        <v>0</v>
      </c>
      <c r="W62" s="287">
        <v>11</v>
      </c>
      <c r="X62" s="287">
        <v>213</v>
      </c>
      <c r="Y62" s="287">
        <v>479</v>
      </c>
      <c r="Z62" s="287">
        <v>692</v>
      </c>
      <c r="AA62" s="287">
        <v>24176</v>
      </c>
      <c r="AB62" s="287">
        <v>25459</v>
      </c>
      <c r="AC62" s="287">
        <v>49635</v>
      </c>
    </row>
    <row r="63" spans="1:29">
      <c r="A63" s="907"/>
      <c r="B63" s="314" t="s">
        <v>299</v>
      </c>
      <c r="C63" s="103">
        <v>71</v>
      </c>
      <c r="D63" s="103">
        <v>41</v>
      </c>
      <c r="E63" s="105">
        <v>112</v>
      </c>
      <c r="F63" s="103">
        <v>0</v>
      </c>
      <c r="G63" s="103">
        <v>0</v>
      </c>
      <c r="H63" s="105">
        <v>0</v>
      </c>
      <c r="I63" s="96">
        <v>1435.6060566671986</v>
      </c>
      <c r="J63" s="96">
        <v>2562.6443697007871</v>
      </c>
      <c r="K63" s="109">
        <v>3998.2504263679857</v>
      </c>
      <c r="L63" s="96">
        <v>13378.713183328669</v>
      </c>
      <c r="M63" s="96">
        <v>19031.159220925842</v>
      </c>
      <c r="N63" s="109">
        <v>32409.872404254507</v>
      </c>
      <c r="O63" s="103">
        <v>43</v>
      </c>
      <c r="P63" s="103">
        <v>37</v>
      </c>
      <c r="Q63" s="105">
        <v>80</v>
      </c>
      <c r="R63" s="103">
        <v>5924</v>
      </c>
      <c r="S63" s="103">
        <v>782</v>
      </c>
      <c r="T63" s="105">
        <v>6706</v>
      </c>
      <c r="U63" s="103">
        <v>12</v>
      </c>
      <c r="V63" s="103">
        <v>0</v>
      </c>
      <c r="W63" s="105">
        <v>12</v>
      </c>
      <c r="X63" s="103">
        <v>198</v>
      </c>
      <c r="Y63" s="103">
        <v>376</v>
      </c>
      <c r="Z63" s="105">
        <v>574</v>
      </c>
      <c r="AA63" s="98">
        <v>21062.319239995868</v>
      </c>
      <c r="AB63" s="98">
        <v>22829.80359062663</v>
      </c>
      <c r="AC63" s="109">
        <v>43892.122830622495</v>
      </c>
    </row>
    <row r="64" spans="1:29">
      <c r="A64" s="907"/>
      <c r="B64" s="314" t="s">
        <v>298</v>
      </c>
      <c r="C64" s="106">
        <v>194</v>
      </c>
      <c r="D64" s="106">
        <v>294</v>
      </c>
      <c r="E64" s="107">
        <v>488</v>
      </c>
      <c r="F64" s="106">
        <v>2</v>
      </c>
      <c r="G64" s="106">
        <v>1</v>
      </c>
      <c r="H64" s="107">
        <v>3</v>
      </c>
      <c r="I64" s="106">
        <v>1596</v>
      </c>
      <c r="J64" s="106">
        <v>2672</v>
      </c>
      <c r="K64" s="107">
        <v>4268</v>
      </c>
      <c r="L64" s="106">
        <v>12906</v>
      </c>
      <c r="M64" s="106">
        <v>17831</v>
      </c>
      <c r="N64" s="107">
        <v>30737</v>
      </c>
      <c r="O64" s="106">
        <v>64</v>
      </c>
      <c r="P64" s="106">
        <v>52</v>
      </c>
      <c r="Q64" s="107">
        <v>116</v>
      </c>
      <c r="R64" s="106">
        <v>5844</v>
      </c>
      <c r="S64" s="106">
        <v>800</v>
      </c>
      <c r="T64" s="107">
        <v>6644</v>
      </c>
      <c r="U64" s="106">
        <v>13</v>
      </c>
      <c r="V64" s="106">
        <v>0</v>
      </c>
      <c r="W64" s="107">
        <v>13</v>
      </c>
      <c r="X64" s="106">
        <v>131</v>
      </c>
      <c r="Y64" s="106">
        <v>169</v>
      </c>
      <c r="Z64" s="107">
        <v>300</v>
      </c>
      <c r="AA64" s="108">
        <v>20750</v>
      </c>
      <c r="AB64" s="108">
        <v>21819</v>
      </c>
      <c r="AC64" s="107">
        <f t="shared" ref="AC64" si="7">AA64+AB64</f>
        <v>42569</v>
      </c>
    </row>
    <row r="65" spans="1:29">
      <c r="A65" s="907">
        <v>10</v>
      </c>
      <c r="B65" s="324" t="s">
        <v>25</v>
      </c>
      <c r="C65" s="325"/>
      <c r="D65" s="326"/>
      <c r="E65" s="326"/>
      <c r="F65" s="326"/>
      <c r="G65" s="326"/>
      <c r="H65" s="326"/>
      <c r="I65" s="326"/>
      <c r="J65" s="326"/>
      <c r="K65" s="327"/>
      <c r="L65" s="325"/>
      <c r="M65" s="326"/>
      <c r="N65" s="326"/>
      <c r="O65" s="326"/>
      <c r="P65" s="326"/>
      <c r="Q65" s="326"/>
      <c r="R65" s="326"/>
      <c r="S65" s="326"/>
      <c r="T65" s="327"/>
      <c r="U65" s="325"/>
      <c r="V65" s="326"/>
      <c r="W65" s="326"/>
      <c r="X65" s="326"/>
      <c r="Y65" s="326"/>
      <c r="Z65" s="326"/>
      <c r="AA65" s="326"/>
      <c r="AB65" s="326"/>
      <c r="AC65" s="327"/>
    </row>
    <row r="66" spans="1:29">
      <c r="A66" s="907"/>
      <c r="B66" s="314" t="s">
        <v>997</v>
      </c>
      <c r="C66" s="287">
        <v>4819</v>
      </c>
      <c r="D66" s="287">
        <v>3202</v>
      </c>
      <c r="E66" s="287">
        <v>8021</v>
      </c>
      <c r="F66" s="287">
        <v>135</v>
      </c>
      <c r="G66" s="287">
        <v>177</v>
      </c>
      <c r="H66" s="287">
        <v>312</v>
      </c>
      <c r="I66" s="287">
        <v>79326</v>
      </c>
      <c r="J66" s="287">
        <v>91062</v>
      </c>
      <c r="K66" s="287">
        <v>170388</v>
      </c>
      <c r="L66" s="287">
        <v>675468</v>
      </c>
      <c r="M66" s="287">
        <v>523944</v>
      </c>
      <c r="N66" s="287">
        <v>1199412</v>
      </c>
      <c r="O66" s="287">
        <v>2645</v>
      </c>
      <c r="P66" s="287">
        <v>2541</v>
      </c>
      <c r="Q66" s="287">
        <v>5186</v>
      </c>
      <c r="R66" s="287">
        <v>100057</v>
      </c>
      <c r="S66" s="287">
        <v>49305</v>
      </c>
      <c r="T66" s="287">
        <v>149362</v>
      </c>
      <c r="U66" s="287">
        <v>13273</v>
      </c>
      <c r="V66" s="287">
        <v>2943</v>
      </c>
      <c r="W66" s="287">
        <v>16216</v>
      </c>
      <c r="X66" s="287">
        <v>9405</v>
      </c>
      <c r="Y66" s="287">
        <v>7575</v>
      </c>
      <c r="Z66" s="287">
        <v>16980</v>
      </c>
      <c r="AA66" s="287">
        <v>885128</v>
      </c>
      <c r="AB66" s="287">
        <v>680749</v>
      </c>
      <c r="AC66" s="287">
        <v>1565877</v>
      </c>
    </row>
    <row r="67" spans="1:29">
      <c r="A67" s="907"/>
      <c r="B67" s="314" t="s">
        <v>301</v>
      </c>
      <c r="C67" s="259">
        <v>4380</v>
      </c>
      <c r="D67" s="259">
        <v>3050</v>
      </c>
      <c r="E67" s="259">
        <v>7430</v>
      </c>
      <c r="F67" s="259">
        <v>468</v>
      </c>
      <c r="G67" s="259">
        <v>469</v>
      </c>
      <c r="H67" s="259">
        <v>937</v>
      </c>
      <c r="I67" s="259">
        <v>62682</v>
      </c>
      <c r="J67" s="259">
        <v>81184</v>
      </c>
      <c r="K67" s="259">
        <v>143866</v>
      </c>
      <c r="L67" s="259">
        <v>652694</v>
      </c>
      <c r="M67" s="259">
        <v>509260</v>
      </c>
      <c r="N67" s="259">
        <v>1161954</v>
      </c>
      <c r="O67" s="259">
        <v>3055</v>
      </c>
      <c r="P67" s="259">
        <v>3009</v>
      </c>
      <c r="Q67" s="259">
        <v>6064</v>
      </c>
      <c r="R67" s="259">
        <v>94354</v>
      </c>
      <c r="S67" s="259">
        <v>44466</v>
      </c>
      <c r="T67" s="259">
        <v>138820</v>
      </c>
      <c r="U67" s="259">
        <v>3719</v>
      </c>
      <c r="V67" s="259">
        <v>4424</v>
      </c>
      <c r="W67" s="259">
        <v>8143</v>
      </c>
      <c r="X67" s="259">
        <v>7635</v>
      </c>
      <c r="Y67" s="259">
        <v>6880</v>
      </c>
      <c r="Z67" s="259">
        <v>14515</v>
      </c>
      <c r="AA67" s="259">
        <v>828987</v>
      </c>
      <c r="AB67" s="259">
        <v>652742</v>
      </c>
      <c r="AC67" s="259">
        <v>1481729</v>
      </c>
    </row>
    <row r="68" spans="1:29">
      <c r="A68" s="907"/>
      <c r="B68" s="314" t="s">
        <v>300</v>
      </c>
      <c r="C68" s="287">
        <v>3589</v>
      </c>
      <c r="D68" s="287">
        <v>2328</v>
      </c>
      <c r="E68" s="287">
        <v>5917</v>
      </c>
      <c r="F68" s="287">
        <v>470</v>
      </c>
      <c r="G68" s="287">
        <v>414</v>
      </c>
      <c r="H68" s="287">
        <v>884</v>
      </c>
      <c r="I68" s="287">
        <v>57767</v>
      </c>
      <c r="J68" s="287">
        <v>76620</v>
      </c>
      <c r="K68" s="287">
        <v>134387</v>
      </c>
      <c r="L68" s="287">
        <v>619723</v>
      </c>
      <c r="M68" s="287">
        <v>479352</v>
      </c>
      <c r="N68" s="287">
        <v>1099075</v>
      </c>
      <c r="O68" s="287">
        <v>2891</v>
      </c>
      <c r="P68" s="287">
        <v>2993</v>
      </c>
      <c r="Q68" s="287">
        <v>5884</v>
      </c>
      <c r="R68" s="287">
        <v>97310</v>
      </c>
      <c r="S68" s="287">
        <v>40022</v>
      </c>
      <c r="T68" s="287">
        <v>137332</v>
      </c>
      <c r="U68" s="287">
        <v>3217</v>
      </c>
      <c r="V68" s="287">
        <v>4378</v>
      </c>
      <c r="W68" s="287">
        <v>7595</v>
      </c>
      <c r="X68" s="287">
        <v>7727</v>
      </c>
      <c r="Y68" s="287">
        <v>7389</v>
      </c>
      <c r="Z68" s="287">
        <v>15116</v>
      </c>
      <c r="AA68" s="287">
        <v>792694</v>
      </c>
      <c r="AB68" s="287">
        <v>613496</v>
      </c>
      <c r="AC68" s="287">
        <v>1406190</v>
      </c>
    </row>
    <row r="69" spans="1:29">
      <c r="A69" s="907"/>
      <c r="B69" s="314" t="s">
        <v>299</v>
      </c>
      <c r="C69" s="103">
        <v>3256</v>
      </c>
      <c r="D69" s="103">
        <v>1995</v>
      </c>
      <c r="E69" s="105">
        <v>5251</v>
      </c>
      <c r="F69" s="103">
        <v>306</v>
      </c>
      <c r="G69" s="103">
        <v>291</v>
      </c>
      <c r="H69" s="105">
        <v>597</v>
      </c>
      <c r="I69" s="103">
        <v>55820</v>
      </c>
      <c r="J69" s="103">
        <v>71116</v>
      </c>
      <c r="K69" s="105">
        <v>126936</v>
      </c>
      <c r="L69" s="103">
        <v>615711</v>
      </c>
      <c r="M69" s="103">
        <v>471275</v>
      </c>
      <c r="N69" s="105">
        <v>1086986</v>
      </c>
      <c r="O69" s="103">
        <v>2859</v>
      </c>
      <c r="P69" s="103">
        <v>3007</v>
      </c>
      <c r="Q69" s="105">
        <v>5866</v>
      </c>
      <c r="R69" s="103">
        <v>102583</v>
      </c>
      <c r="S69" s="103">
        <v>37803</v>
      </c>
      <c r="T69" s="105">
        <v>140386</v>
      </c>
      <c r="U69" s="103">
        <v>3288</v>
      </c>
      <c r="V69" s="103">
        <v>4239</v>
      </c>
      <c r="W69" s="105">
        <v>7527</v>
      </c>
      <c r="X69" s="103">
        <v>7115</v>
      </c>
      <c r="Y69" s="103">
        <v>7290</v>
      </c>
      <c r="Z69" s="105">
        <v>14405</v>
      </c>
      <c r="AA69" s="95">
        <v>790938</v>
      </c>
      <c r="AB69" s="95">
        <v>597016</v>
      </c>
      <c r="AC69" s="105">
        <v>1387954</v>
      </c>
    </row>
    <row r="70" spans="1:29">
      <c r="A70" s="907"/>
      <c r="B70" s="314" t="s">
        <v>298</v>
      </c>
      <c r="C70" s="106">
        <v>3035</v>
      </c>
      <c r="D70" s="106">
        <v>1953</v>
      </c>
      <c r="E70" s="107">
        <v>4988</v>
      </c>
      <c r="F70" s="106">
        <v>352</v>
      </c>
      <c r="G70" s="106">
        <v>406</v>
      </c>
      <c r="H70" s="107">
        <v>758</v>
      </c>
      <c r="I70" s="106">
        <v>65749</v>
      </c>
      <c r="J70" s="106">
        <v>79069</v>
      </c>
      <c r="K70" s="107">
        <v>144818</v>
      </c>
      <c r="L70" s="106">
        <v>607268</v>
      </c>
      <c r="M70" s="106">
        <v>455387</v>
      </c>
      <c r="N70" s="107">
        <v>1062655</v>
      </c>
      <c r="O70" s="106">
        <v>3045</v>
      </c>
      <c r="P70" s="106">
        <v>3089</v>
      </c>
      <c r="Q70" s="107">
        <v>6134</v>
      </c>
      <c r="R70" s="106">
        <v>105649</v>
      </c>
      <c r="S70" s="106">
        <v>34552</v>
      </c>
      <c r="T70" s="107">
        <v>140201</v>
      </c>
      <c r="U70" s="106">
        <v>2712</v>
      </c>
      <c r="V70" s="106">
        <v>3481</v>
      </c>
      <c r="W70" s="107">
        <v>6193</v>
      </c>
      <c r="X70" s="106">
        <v>5886</v>
      </c>
      <c r="Y70" s="106">
        <v>6383</v>
      </c>
      <c r="Z70" s="107">
        <v>12269</v>
      </c>
      <c r="AA70" s="108">
        <v>793696</v>
      </c>
      <c r="AB70" s="108">
        <v>584320</v>
      </c>
      <c r="AC70" s="107">
        <f t="shared" ref="AC70" si="8">AA70+AB70</f>
        <v>1378016</v>
      </c>
    </row>
    <row r="71" spans="1:29">
      <c r="A71" s="907">
        <v>11</v>
      </c>
      <c r="B71" s="324" t="s">
        <v>26</v>
      </c>
      <c r="C71" s="325"/>
      <c r="D71" s="326"/>
      <c r="E71" s="326"/>
      <c r="F71" s="326"/>
      <c r="G71" s="326"/>
      <c r="H71" s="326"/>
      <c r="I71" s="326"/>
      <c r="J71" s="326"/>
      <c r="K71" s="327"/>
      <c r="L71" s="325"/>
      <c r="M71" s="326"/>
      <c r="N71" s="326"/>
      <c r="O71" s="326"/>
      <c r="P71" s="326"/>
      <c r="Q71" s="326"/>
      <c r="R71" s="326"/>
      <c r="S71" s="326"/>
      <c r="T71" s="327"/>
      <c r="U71" s="325"/>
      <c r="V71" s="326"/>
      <c r="W71" s="326"/>
      <c r="X71" s="326"/>
      <c r="Y71" s="326"/>
      <c r="Z71" s="326"/>
      <c r="AA71" s="326"/>
      <c r="AB71" s="326"/>
      <c r="AC71" s="327"/>
    </row>
    <row r="72" spans="1:29">
      <c r="A72" s="907"/>
      <c r="B72" s="314" t="s">
        <v>997</v>
      </c>
      <c r="C72" s="287">
        <v>2046</v>
      </c>
      <c r="D72" s="287">
        <v>2502</v>
      </c>
      <c r="E72" s="287">
        <v>4548</v>
      </c>
      <c r="F72" s="287">
        <v>104</v>
      </c>
      <c r="G72" s="287">
        <v>142</v>
      </c>
      <c r="H72" s="287">
        <v>246</v>
      </c>
      <c r="I72" s="287">
        <v>31622</v>
      </c>
      <c r="J72" s="287">
        <v>57938</v>
      </c>
      <c r="K72" s="287">
        <v>89560</v>
      </c>
      <c r="L72" s="287">
        <v>305577</v>
      </c>
      <c r="M72" s="287">
        <v>349690</v>
      </c>
      <c r="N72" s="287">
        <v>655267</v>
      </c>
      <c r="O72" s="287">
        <v>1089</v>
      </c>
      <c r="P72" s="287">
        <v>1109</v>
      </c>
      <c r="Q72" s="287">
        <v>2198</v>
      </c>
      <c r="R72" s="287">
        <v>59805</v>
      </c>
      <c r="S72" s="287">
        <v>26628</v>
      </c>
      <c r="T72" s="287">
        <v>86433</v>
      </c>
      <c r="U72" s="287">
        <v>659</v>
      </c>
      <c r="V72" s="287">
        <v>984</v>
      </c>
      <c r="W72" s="287">
        <v>1643</v>
      </c>
      <c r="X72" s="287">
        <v>9775</v>
      </c>
      <c r="Y72" s="287">
        <v>7662</v>
      </c>
      <c r="Z72" s="287">
        <v>17437</v>
      </c>
      <c r="AA72" s="287">
        <v>410677</v>
      </c>
      <c r="AB72" s="287">
        <v>446655</v>
      </c>
      <c r="AC72" s="287">
        <v>857332</v>
      </c>
    </row>
    <row r="73" spans="1:29">
      <c r="A73" s="907"/>
      <c r="B73" s="314" t="s">
        <v>301</v>
      </c>
      <c r="C73" s="259">
        <v>1810</v>
      </c>
      <c r="D73" s="259">
        <v>2356</v>
      </c>
      <c r="E73" s="259">
        <v>4166</v>
      </c>
      <c r="F73" s="259">
        <v>80</v>
      </c>
      <c r="G73" s="259">
        <v>230</v>
      </c>
      <c r="H73" s="259">
        <v>310</v>
      </c>
      <c r="I73" s="259">
        <v>28328</v>
      </c>
      <c r="J73" s="259">
        <v>52669</v>
      </c>
      <c r="K73" s="259">
        <v>80997</v>
      </c>
      <c r="L73" s="259">
        <v>282926</v>
      </c>
      <c r="M73" s="259">
        <v>333714</v>
      </c>
      <c r="N73" s="259">
        <v>616640</v>
      </c>
      <c r="O73" s="259">
        <v>1372</v>
      </c>
      <c r="P73" s="259">
        <v>1360</v>
      </c>
      <c r="Q73" s="259">
        <v>2732</v>
      </c>
      <c r="R73" s="259">
        <v>49268</v>
      </c>
      <c r="S73" s="259">
        <v>21295</v>
      </c>
      <c r="T73" s="259">
        <v>70563</v>
      </c>
      <c r="U73" s="259">
        <v>1621</v>
      </c>
      <c r="V73" s="259">
        <v>1778</v>
      </c>
      <c r="W73" s="259">
        <v>3399</v>
      </c>
      <c r="X73" s="259">
        <v>8715</v>
      </c>
      <c r="Y73" s="259">
        <v>4334</v>
      </c>
      <c r="Z73" s="259">
        <v>13049</v>
      </c>
      <c r="AA73" s="259">
        <v>374120</v>
      </c>
      <c r="AB73" s="259">
        <v>417736</v>
      </c>
      <c r="AC73" s="259">
        <v>791856</v>
      </c>
    </row>
    <row r="74" spans="1:29">
      <c r="A74" s="907"/>
      <c r="B74" s="314" t="s">
        <v>300</v>
      </c>
      <c r="C74" s="287">
        <v>1827</v>
      </c>
      <c r="D74" s="287">
        <v>1966</v>
      </c>
      <c r="E74" s="287">
        <v>3793</v>
      </c>
      <c r="F74" s="287">
        <v>154</v>
      </c>
      <c r="G74" s="287">
        <v>287</v>
      </c>
      <c r="H74" s="287">
        <v>441</v>
      </c>
      <c r="I74" s="287">
        <v>28449</v>
      </c>
      <c r="J74" s="287">
        <v>52423</v>
      </c>
      <c r="K74" s="287">
        <v>80872</v>
      </c>
      <c r="L74" s="287">
        <v>297161</v>
      </c>
      <c r="M74" s="287">
        <v>339410</v>
      </c>
      <c r="N74" s="287">
        <v>636571</v>
      </c>
      <c r="O74" s="287">
        <v>1062</v>
      </c>
      <c r="P74" s="287">
        <v>1097</v>
      </c>
      <c r="Q74" s="287">
        <v>2159</v>
      </c>
      <c r="R74" s="287">
        <v>49547</v>
      </c>
      <c r="S74" s="287">
        <v>21885</v>
      </c>
      <c r="T74" s="287">
        <v>71432</v>
      </c>
      <c r="U74" s="287">
        <v>1175</v>
      </c>
      <c r="V74" s="287">
        <v>1577</v>
      </c>
      <c r="W74" s="287">
        <v>2752</v>
      </c>
      <c r="X74" s="287">
        <v>8489</v>
      </c>
      <c r="Y74" s="287">
        <v>5960</v>
      </c>
      <c r="Z74" s="287">
        <v>14449</v>
      </c>
      <c r="AA74" s="287">
        <v>387276</v>
      </c>
      <c r="AB74" s="287">
        <v>421757</v>
      </c>
      <c r="AC74" s="287">
        <v>809033</v>
      </c>
    </row>
    <row r="75" spans="1:29">
      <c r="A75" s="907"/>
      <c r="B75" s="314" t="s">
        <v>299</v>
      </c>
      <c r="C75" s="103">
        <v>1632</v>
      </c>
      <c r="D75" s="103">
        <v>1696</v>
      </c>
      <c r="E75" s="105">
        <v>3328</v>
      </c>
      <c r="F75" s="103">
        <v>170</v>
      </c>
      <c r="G75" s="103">
        <v>270</v>
      </c>
      <c r="H75" s="105">
        <v>440</v>
      </c>
      <c r="I75" s="96">
        <v>26862.360389324749</v>
      </c>
      <c r="J75" s="96">
        <v>49009.467817951023</v>
      </c>
      <c r="K75" s="109">
        <v>75871.828207275787</v>
      </c>
      <c r="L75" s="96">
        <v>306411.02289604669</v>
      </c>
      <c r="M75" s="96">
        <v>304134.36593495507</v>
      </c>
      <c r="N75" s="109">
        <v>610545.38883100171</v>
      </c>
      <c r="O75" s="103">
        <v>1199</v>
      </c>
      <c r="P75" s="103">
        <v>896</v>
      </c>
      <c r="Q75" s="105">
        <v>2095</v>
      </c>
      <c r="R75" s="103">
        <v>45327</v>
      </c>
      <c r="S75" s="103">
        <v>20664</v>
      </c>
      <c r="T75" s="105">
        <v>65991</v>
      </c>
      <c r="U75" s="103">
        <v>1241</v>
      </c>
      <c r="V75" s="103">
        <v>1831</v>
      </c>
      <c r="W75" s="105">
        <v>3072</v>
      </c>
      <c r="X75" s="103">
        <v>8294</v>
      </c>
      <c r="Y75" s="103">
        <v>4858</v>
      </c>
      <c r="Z75" s="105">
        <v>13152</v>
      </c>
      <c r="AA75" s="98">
        <v>391136.38328537147</v>
      </c>
      <c r="AB75" s="98">
        <v>383358.83375290607</v>
      </c>
      <c r="AC75" s="109">
        <v>774495.21703827754</v>
      </c>
    </row>
    <row r="76" spans="1:29">
      <c r="A76" s="907"/>
      <c r="B76" s="314" t="s">
        <v>298</v>
      </c>
      <c r="C76" s="106">
        <v>1817</v>
      </c>
      <c r="D76" s="106">
        <v>1784</v>
      </c>
      <c r="E76" s="107">
        <v>3601</v>
      </c>
      <c r="F76" s="106">
        <v>208</v>
      </c>
      <c r="G76" s="106">
        <v>260</v>
      </c>
      <c r="H76" s="107">
        <v>468</v>
      </c>
      <c r="I76" s="106">
        <v>25922</v>
      </c>
      <c r="J76" s="106">
        <v>47851</v>
      </c>
      <c r="K76" s="107">
        <v>73773</v>
      </c>
      <c r="L76" s="106">
        <v>303902</v>
      </c>
      <c r="M76" s="106">
        <v>284392</v>
      </c>
      <c r="N76" s="107">
        <v>588294</v>
      </c>
      <c r="O76" s="106">
        <v>1036</v>
      </c>
      <c r="P76" s="106">
        <v>971</v>
      </c>
      <c r="Q76" s="107">
        <v>2007</v>
      </c>
      <c r="R76" s="106">
        <v>49077</v>
      </c>
      <c r="S76" s="106">
        <v>19177</v>
      </c>
      <c r="T76" s="107">
        <v>68254</v>
      </c>
      <c r="U76" s="106">
        <v>1007</v>
      </c>
      <c r="V76" s="106">
        <v>1834</v>
      </c>
      <c r="W76" s="107">
        <v>2841</v>
      </c>
      <c r="X76" s="106">
        <v>6428</v>
      </c>
      <c r="Y76" s="106">
        <v>3988</v>
      </c>
      <c r="Z76" s="107">
        <v>10416</v>
      </c>
      <c r="AA76" s="108">
        <v>389397</v>
      </c>
      <c r="AB76" s="108">
        <v>360257</v>
      </c>
      <c r="AC76" s="107">
        <f t="shared" ref="AC76" si="9">AA76+AB76</f>
        <v>749654</v>
      </c>
    </row>
    <row r="77" spans="1:29">
      <c r="A77" s="907">
        <v>12</v>
      </c>
      <c r="B77" s="324" t="s">
        <v>27</v>
      </c>
      <c r="C77" s="325"/>
      <c r="D77" s="326"/>
      <c r="E77" s="326"/>
      <c r="F77" s="326"/>
      <c r="G77" s="326"/>
      <c r="H77" s="326"/>
      <c r="I77" s="326"/>
      <c r="J77" s="326"/>
      <c r="K77" s="327"/>
      <c r="L77" s="325"/>
      <c r="M77" s="326"/>
      <c r="N77" s="326"/>
      <c r="O77" s="326"/>
      <c r="P77" s="326"/>
      <c r="Q77" s="326"/>
      <c r="R77" s="326"/>
      <c r="S77" s="326"/>
      <c r="T77" s="327"/>
      <c r="U77" s="325"/>
      <c r="V77" s="326"/>
      <c r="W77" s="326"/>
      <c r="X77" s="326"/>
      <c r="Y77" s="326"/>
      <c r="Z77" s="326"/>
      <c r="AA77" s="326"/>
      <c r="AB77" s="326"/>
      <c r="AC77" s="327"/>
    </row>
    <row r="78" spans="1:29">
      <c r="A78" s="907"/>
      <c r="B78" s="314" t="s">
        <v>997</v>
      </c>
      <c r="C78" s="287">
        <v>1100</v>
      </c>
      <c r="D78" s="287">
        <v>1012</v>
      </c>
      <c r="E78" s="287">
        <v>2112</v>
      </c>
      <c r="F78" s="287">
        <v>136</v>
      </c>
      <c r="G78" s="287">
        <v>134</v>
      </c>
      <c r="H78" s="287">
        <v>270</v>
      </c>
      <c r="I78" s="287">
        <v>8255</v>
      </c>
      <c r="J78" s="287">
        <v>11665</v>
      </c>
      <c r="K78" s="287">
        <v>19920</v>
      </c>
      <c r="L78" s="287">
        <v>86266</v>
      </c>
      <c r="M78" s="287">
        <v>110790</v>
      </c>
      <c r="N78" s="287">
        <v>197056</v>
      </c>
      <c r="O78" s="287">
        <v>364</v>
      </c>
      <c r="P78" s="287">
        <v>572</v>
      </c>
      <c r="Q78" s="287">
        <v>936</v>
      </c>
      <c r="R78" s="287">
        <v>8096</v>
      </c>
      <c r="S78" s="287">
        <v>7505</v>
      </c>
      <c r="T78" s="287">
        <v>15601</v>
      </c>
      <c r="U78" s="287">
        <v>324</v>
      </c>
      <c r="V78" s="287">
        <v>236</v>
      </c>
      <c r="W78" s="287">
        <v>560</v>
      </c>
      <c r="X78" s="287">
        <v>1504</v>
      </c>
      <c r="Y78" s="287">
        <v>965</v>
      </c>
      <c r="Z78" s="287">
        <v>2469</v>
      </c>
      <c r="AA78" s="287">
        <v>106045</v>
      </c>
      <c r="AB78" s="287">
        <v>132879</v>
      </c>
      <c r="AC78" s="287">
        <v>238924</v>
      </c>
    </row>
    <row r="79" spans="1:29">
      <c r="A79" s="907"/>
      <c r="B79" s="314" t="s">
        <v>301</v>
      </c>
      <c r="C79" s="259">
        <v>1027</v>
      </c>
      <c r="D79" s="259">
        <v>897</v>
      </c>
      <c r="E79" s="259">
        <v>1924</v>
      </c>
      <c r="F79" s="259">
        <v>118</v>
      </c>
      <c r="G79" s="259">
        <v>214</v>
      </c>
      <c r="H79" s="259">
        <v>332</v>
      </c>
      <c r="I79" s="259">
        <v>7680</v>
      </c>
      <c r="J79" s="259">
        <v>10928</v>
      </c>
      <c r="K79" s="259">
        <v>18608</v>
      </c>
      <c r="L79" s="259">
        <v>88779</v>
      </c>
      <c r="M79" s="259">
        <v>113683</v>
      </c>
      <c r="N79" s="259">
        <v>202462</v>
      </c>
      <c r="O79" s="259">
        <v>354</v>
      </c>
      <c r="P79" s="259">
        <v>682</v>
      </c>
      <c r="Q79" s="259">
        <v>1036</v>
      </c>
      <c r="R79" s="259">
        <v>8449</v>
      </c>
      <c r="S79" s="259">
        <v>7753</v>
      </c>
      <c r="T79" s="259">
        <v>16202</v>
      </c>
      <c r="U79" s="259">
        <v>590</v>
      </c>
      <c r="V79" s="259">
        <v>677</v>
      </c>
      <c r="W79" s="259">
        <v>1267</v>
      </c>
      <c r="X79" s="259">
        <v>990</v>
      </c>
      <c r="Y79" s="259">
        <v>523</v>
      </c>
      <c r="Z79" s="259">
        <v>1513</v>
      </c>
      <c r="AA79" s="259">
        <v>107987</v>
      </c>
      <c r="AB79" s="259">
        <v>135357</v>
      </c>
      <c r="AC79" s="259">
        <v>243344</v>
      </c>
    </row>
    <row r="80" spans="1:29">
      <c r="A80" s="907"/>
      <c r="B80" s="314" t="s">
        <v>300</v>
      </c>
      <c r="C80" s="287">
        <v>1121</v>
      </c>
      <c r="D80" s="287">
        <v>794</v>
      </c>
      <c r="E80" s="287">
        <v>1915</v>
      </c>
      <c r="F80" s="287">
        <v>95</v>
      </c>
      <c r="G80" s="287">
        <v>179</v>
      </c>
      <c r="H80" s="287">
        <v>274</v>
      </c>
      <c r="I80" s="287">
        <v>7690</v>
      </c>
      <c r="J80" s="287">
        <v>10949</v>
      </c>
      <c r="K80" s="287">
        <v>18639</v>
      </c>
      <c r="L80" s="287">
        <v>89450</v>
      </c>
      <c r="M80" s="287">
        <v>113337</v>
      </c>
      <c r="N80" s="287">
        <v>202787</v>
      </c>
      <c r="O80" s="287">
        <v>747</v>
      </c>
      <c r="P80" s="287">
        <v>645</v>
      </c>
      <c r="Q80" s="287">
        <v>1392</v>
      </c>
      <c r="R80" s="287">
        <v>8284</v>
      </c>
      <c r="S80" s="287">
        <v>7872</v>
      </c>
      <c r="T80" s="287">
        <v>16156</v>
      </c>
      <c r="U80" s="287">
        <v>899</v>
      </c>
      <c r="V80" s="287">
        <v>1050</v>
      </c>
      <c r="W80" s="287">
        <v>1949</v>
      </c>
      <c r="X80" s="287">
        <v>913</v>
      </c>
      <c r="Y80" s="287">
        <v>419</v>
      </c>
      <c r="Z80" s="287">
        <v>1332</v>
      </c>
      <c r="AA80" s="287">
        <v>109199</v>
      </c>
      <c r="AB80" s="287">
        <v>135245</v>
      </c>
      <c r="AC80" s="287">
        <v>244444</v>
      </c>
    </row>
    <row r="81" spans="1:29">
      <c r="A81" s="907"/>
      <c r="B81" s="314" t="s">
        <v>299</v>
      </c>
      <c r="C81" s="103">
        <v>906</v>
      </c>
      <c r="D81" s="103">
        <v>794</v>
      </c>
      <c r="E81" s="105">
        <v>1700</v>
      </c>
      <c r="F81" s="103">
        <v>92</v>
      </c>
      <c r="G81" s="103">
        <v>167</v>
      </c>
      <c r="H81" s="105">
        <v>259</v>
      </c>
      <c r="I81" s="103">
        <v>7402</v>
      </c>
      <c r="J81" s="103">
        <v>11051</v>
      </c>
      <c r="K81" s="105">
        <v>18453</v>
      </c>
      <c r="L81" s="103">
        <v>87359</v>
      </c>
      <c r="M81" s="103">
        <v>109341</v>
      </c>
      <c r="N81" s="105">
        <v>196700</v>
      </c>
      <c r="O81" s="103">
        <v>445</v>
      </c>
      <c r="P81" s="103">
        <v>742</v>
      </c>
      <c r="Q81" s="105">
        <v>1187</v>
      </c>
      <c r="R81" s="103">
        <v>7925</v>
      </c>
      <c r="S81" s="103">
        <v>8091</v>
      </c>
      <c r="T81" s="105">
        <v>16016</v>
      </c>
      <c r="U81" s="103">
        <v>572</v>
      </c>
      <c r="V81" s="103">
        <v>851</v>
      </c>
      <c r="W81" s="105">
        <v>1423</v>
      </c>
      <c r="X81" s="103">
        <v>762</v>
      </c>
      <c r="Y81" s="103">
        <v>397</v>
      </c>
      <c r="Z81" s="105">
        <v>1159</v>
      </c>
      <c r="AA81" s="95">
        <v>105463</v>
      </c>
      <c r="AB81" s="95">
        <v>131434</v>
      </c>
      <c r="AC81" s="105">
        <v>236897</v>
      </c>
    </row>
    <row r="82" spans="1:29">
      <c r="A82" s="907"/>
      <c r="B82" s="314" t="s">
        <v>298</v>
      </c>
      <c r="C82" s="106">
        <v>721</v>
      </c>
      <c r="D82" s="106">
        <v>608</v>
      </c>
      <c r="E82" s="107">
        <v>1329</v>
      </c>
      <c r="F82" s="106">
        <v>104</v>
      </c>
      <c r="G82" s="106">
        <v>163</v>
      </c>
      <c r="H82" s="107">
        <v>267</v>
      </c>
      <c r="I82" s="106">
        <v>6621</v>
      </c>
      <c r="J82" s="106">
        <v>10240</v>
      </c>
      <c r="K82" s="107">
        <v>16861</v>
      </c>
      <c r="L82" s="106">
        <v>88384</v>
      </c>
      <c r="M82" s="106">
        <v>104863</v>
      </c>
      <c r="N82" s="107">
        <v>193247</v>
      </c>
      <c r="O82" s="106">
        <v>325</v>
      </c>
      <c r="P82" s="106">
        <v>536</v>
      </c>
      <c r="Q82" s="107">
        <v>861</v>
      </c>
      <c r="R82" s="106">
        <v>7896</v>
      </c>
      <c r="S82" s="106">
        <v>7376</v>
      </c>
      <c r="T82" s="107">
        <v>15272</v>
      </c>
      <c r="U82" s="106">
        <v>425</v>
      </c>
      <c r="V82" s="106">
        <v>517</v>
      </c>
      <c r="W82" s="107">
        <v>942</v>
      </c>
      <c r="X82" s="106">
        <v>647</v>
      </c>
      <c r="Y82" s="106">
        <v>269</v>
      </c>
      <c r="Z82" s="107">
        <v>916</v>
      </c>
      <c r="AA82" s="108">
        <v>105123</v>
      </c>
      <c r="AB82" s="108">
        <v>124572</v>
      </c>
      <c r="AC82" s="107">
        <f t="shared" ref="AC82" si="10">AA82+AB82</f>
        <v>229695</v>
      </c>
    </row>
    <row r="83" spans="1:29">
      <c r="A83" s="907">
        <v>13</v>
      </c>
      <c r="B83" s="324" t="s">
        <v>57</v>
      </c>
      <c r="C83" s="325"/>
      <c r="D83" s="326"/>
      <c r="E83" s="326"/>
      <c r="F83" s="326"/>
      <c r="G83" s="326"/>
      <c r="H83" s="326"/>
      <c r="I83" s="326"/>
      <c r="J83" s="326"/>
      <c r="K83" s="327"/>
      <c r="L83" s="325"/>
      <c r="M83" s="326"/>
      <c r="N83" s="326"/>
      <c r="O83" s="326"/>
      <c r="P83" s="326"/>
      <c r="Q83" s="326"/>
      <c r="R83" s="326"/>
      <c r="S83" s="326"/>
      <c r="T83" s="327"/>
      <c r="U83" s="325"/>
      <c r="V83" s="326"/>
      <c r="W83" s="326"/>
      <c r="X83" s="326"/>
      <c r="Y83" s="326"/>
      <c r="Z83" s="326"/>
      <c r="AA83" s="326"/>
      <c r="AB83" s="326"/>
      <c r="AC83" s="327"/>
    </row>
    <row r="84" spans="1:29">
      <c r="A84" s="907"/>
      <c r="B84" s="314" t="s">
        <v>997</v>
      </c>
      <c r="C84" s="287">
        <v>2412</v>
      </c>
      <c r="D84" s="287">
        <v>2033</v>
      </c>
      <c r="E84" s="287">
        <v>4445</v>
      </c>
      <c r="F84" s="287">
        <v>117</v>
      </c>
      <c r="G84" s="287">
        <v>180</v>
      </c>
      <c r="H84" s="287">
        <v>297</v>
      </c>
      <c r="I84" s="287">
        <v>9240</v>
      </c>
      <c r="J84" s="287">
        <v>11038</v>
      </c>
      <c r="K84" s="287">
        <v>20278</v>
      </c>
      <c r="L84" s="287">
        <v>109709</v>
      </c>
      <c r="M84" s="287">
        <v>121257</v>
      </c>
      <c r="N84" s="287">
        <v>230966</v>
      </c>
      <c r="O84" s="287">
        <v>159</v>
      </c>
      <c r="P84" s="287">
        <v>98</v>
      </c>
      <c r="Q84" s="287">
        <v>257</v>
      </c>
      <c r="R84" s="287">
        <v>12399</v>
      </c>
      <c r="S84" s="287">
        <v>11890</v>
      </c>
      <c r="T84" s="287">
        <v>24289</v>
      </c>
      <c r="U84" s="287">
        <v>805</v>
      </c>
      <c r="V84" s="287">
        <v>746</v>
      </c>
      <c r="W84" s="287">
        <v>1551</v>
      </c>
      <c r="X84" s="287">
        <v>4509</v>
      </c>
      <c r="Y84" s="287">
        <v>5401</v>
      </c>
      <c r="Z84" s="287">
        <v>9910</v>
      </c>
      <c r="AA84" s="287">
        <v>139350</v>
      </c>
      <c r="AB84" s="287">
        <v>152643</v>
      </c>
      <c r="AC84" s="287">
        <v>291993</v>
      </c>
    </row>
    <row r="85" spans="1:29">
      <c r="A85" s="907"/>
      <c r="B85" s="314" t="s">
        <v>301</v>
      </c>
      <c r="C85" s="259">
        <v>2080</v>
      </c>
      <c r="D85" s="259">
        <v>1909</v>
      </c>
      <c r="E85" s="259">
        <v>3989</v>
      </c>
      <c r="F85" s="259">
        <v>94</v>
      </c>
      <c r="G85" s="259">
        <v>156</v>
      </c>
      <c r="H85" s="259">
        <v>250</v>
      </c>
      <c r="I85" s="259">
        <v>9412</v>
      </c>
      <c r="J85" s="259">
        <v>9747</v>
      </c>
      <c r="K85" s="259">
        <v>19159</v>
      </c>
      <c r="L85" s="259">
        <v>112144</v>
      </c>
      <c r="M85" s="259">
        <v>118427</v>
      </c>
      <c r="N85" s="259">
        <v>230571</v>
      </c>
      <c r="O85" s="259">
        <v>220</v>
      </c>
      <c r="P85" s="259">
        <v>145</v>
      </c>
      <c r="Q85" s="259">
        <v>365</v>
      </c>
      <c r="R85" s="259">
        <v>8637</v>
      </c>
      <c r="S85" s="259">
        <v>6219</v>
      </c>
      <c r="T85" s="259">
        <v>14856</v>
      </c>
      <c r="U85" s="259">
        <v>988</v>
      </c>
      <c r="V85" s="259">
        <v>1119</v>
      </c>
      <c r="W85" s="259">
        <v>2107</v>
      </c>
      <c r="X85" s="259">
        <v>2846</v>
      </c>
      <c r="Y85" s="259">
        <v>3540</v>
      </c>
      <c r="Z85" s="259">
        <v>6386</v>
      </c>
      <c r="AA85" s="259">
        <v>136421</v>
      </c>
      <c r="AB85" s="259">
        <v>141262</v>
      </c>
      <c r="AC85" s="259">
        <v>277683</v>
      </c>
    </row>
    <row r="86" spans="1:29">
      <c r="A86" s="907"/>
      <c r="B86" s="314" t="s">
        <v>300</v>
      </c>
      <c r="C86" s="287">
        <v>1392</v>
      </c>
      <c r="D86" s="287">
        <v>1291</v>
      </c>
      <c r="E86" s="287">
        <v>2683</v>
      </c>
      <c r="F86" s="287">
        <v>143</v>
      </c>
      <c r="G86" s="287">
        <v>174</v>
      </c>
      <c r="H86" s="287">
        <v>317</v>
      </c>
      <c r="I86" s="287">
        <v>9388</v>
      </c>
      <c r="J86" s="287">
        <v>9852</v>
      </c>
      <c r="K86" s="287">
        <v>19240</v>
      </c>
      <c r="L86" s="287">
        <v>108605</v>
      </c>
      <c r="M86" s="287">
        <v>127493</v>
      </c>
      <c r="N86" s="287">
        <v>236098</v>
      </c>
      <c r="O86" s="287">
        <v>262</v>
      </c>
      <c r="P86" s="287">
        <v>207</v>
      </c>
      <c r="Q86" s="287">
        <v>469</v>
      </c>
      <c r="R86" s="287">
        <v>8256</v>
      </c>
      <c r="S86" s="287">
        <v>3914</v>
      </c>
      <c r="T86" s="287">
        <v>12170</v>
      </c>
      <c r="U86" s="287">
        <v>124</v>
      </c>
      <c r="V86" s="287">
        <v>116</v>
      </c>
      <c r="W86" s="287">
        <v>240</v>
      </c>
      <c r="X86" s="287">
        <v>2618</v>
      </c>
      <c r="Y86" s="287">
        <v>2894</v>
      </c>
      <c r="Z86" s="287">
        <v>5512</v>
      </c>
      <c r="AA86" s="287">
        <v>130788</v>
      </c>
      <c r="AB86" s="287">
        <v>145941</v>
      </c>
      <c r="AC86" s="287">
        <v>276729</v>
      </c>
    </row>
    <row r="87" spans="1:29">
      <c r="A87" s="907"/>
      <c r="B87" s="314" t="s">
        <v>299</v>
      </c>
      <c r="C87" s="103">
        <v>1235</v>
      </c>
      <c r="D87" s="103">
        <v>1261</v>
      </c>
      <c r="E87" s="105">
        <v>2496</v>
      </c>
      <c r="F87" s="103">
        <v>119</v>
      </c>
      <c r="G87" s="103">
        <v>123</v>
      </c>
      <c r="H87" s="105">
        <v>242</v>
      </c>
      <c r="I87" s="96">
        <v>9728.6522775307603</v>
      </c>
      <c r="J87" s="96">
        <v>10431.068873210868</v>
      </c>
      <c r="K87" s="109">
        <v>20159.721150741621</v>
      </c>
      <c r="L87" s="96">
        <v>97067.851639348737</v>
      </c>
      <c r="M87" s="96">
        <v>121183.2367343462</v>
      </c>
      <c r="N87" s="109">
        <v>218251.08837369492</v>
      </c>
      <c r="O87" s="103">
        <v>182</v>
      </c>
      <c r="P87" s="103">
        <v>128</v>
      </c>
      <c r="Q87" s="105">
        <v>310</v>
      </c>
      <c r="R87" s="103">
        <v>7515</v>
      </c>
      <c r="S87" s="103">
        <v>3186</v>
      </c>
      <c r="T87" s="105">
        <v>10701</v>
      </c>
      <c r="U87" s="103">
        <v>8</v>
      </c>
      <c r="V87" s="103">
        <v>3</v>
      </c>
      <c r="W87" s="105">
        <v>11</v>
      </c>
      <c r="X87" s="103">
        <v>1532</v>
      </c>
      <c r="Y87" s="103">
        <v>1875</v>
      </c>
      <c r="Z87" s="105">
        <v>3407</v>
      </c>
      <c r="AA87" s="98">
        <v>117387.5039168795</v>
      </c>
      <c r="AB87" s="98">
        <v>138190.30560755706</v>
      </c>
      <c r="AC87" s="109">
        <v>255577.80952443654</v>
      </c>
    </row>
    <row r="88" spans="1:29">
      <c r="A88" s="907"/>
      <c r="B88" s="314" t="s">
        <v>298</v>
      </c>
      <c r="C88" s="106">
        <v>991</v>
      </c>
      <c r="D88" s="106">
        <v>977</v>
      </c>
      <c r="E88" s="107">
        <v>1968</v>
      </c>
      <c r="F88" s="106">
        <v>109</v>
      </c>
      <c r="G88" s="106">
        <v>143</v>
      </c>
      <c r="H88" s="107">
        <v>252</v>
      </c>
      <c r="I88" s="106">
        <v>8417</v>
      </c>
      <c r="J88" s="106">
        <v>8882</v>
      </c>
      <c r="K88" s="107">
        <v>17299</v>
      </c>
      <c r="L88" s="106">
        <v>95847</v>
      </c>
      <c r="M88" s="106">
        <v>113913</v>
      </c>
      <c r="N88" s="107">
        <v>209760</v>
      </c>
      <c r="O88" s="106">
        <v>296</v>
      </c>
      <c r="P88" s="106">
        <v>235</v>
      </c>
      <c r="Q88" s="107">
        <v>531</v>
      </c>
      <c r="R88" s="106">
        <v>7231</v>
      </c>
      <c r="S88" s="106">
        <v>2745</v>
      </c>
      <c r="T88" s="107">
        <v>9976</v>
      </c>
      <c r="U88" s="106">
        <v>14</v>
      </c>
      <c r="V88" s="106">
        <v>1</v>
      </c>
      <c r="W88" s="107">
        <v>15</v>
      </c>
      <c r="X88" s="106">
        <v>1021</v>
      </c>
      <c r="Y88" s="106">
        <v>1465</v>
      </c>
      <c r="Z88" s="107">
        <v>2486</v>
      </c>
      <c r="AA88" s="108">
        <v>113926</v>
      </c>
      <c r="AB88" s="108">
        <v>128361</v>
      </c>
      <c r="AC88" s="107">
        <f t="shared" ref="AC88" si="11">AA88+AB88</f>
        <v>242287</v>
      </c>
    </row>
    <row r="89" spans="1:29">
      <c r="A89" s="907">
        <v>14</v>
      </c>
      <c r="B89" s="324" t="s">
        <v>29</v>
      </c>
      <c r="C89" s="325"/>
      <c r="D89" s="326"/>
      <c r="E89" s="326"/>
      <c r="F89" s="326"/>
      <c r="G89" s="326"/>
      <c r="H89" s="326"/>
      <c r="I89" s="326"/>
      <c r="J89" s="326"/>
      <c r="K89" s="327"/>
      <c r="L89" s="325"/>
      <c r="M89" s="326"/>
      <c r="N89" s="326"/>
      <c r="O89" s="326"/>
      <c r="P89" s="326"/>
      <c r="Q89" s="326"/>
      <c r="R89" s="326"/>
      <c r="S89" s="326"/>
      <c r="T89" s="327"/>
      <c r="U89" s="325"/>
      <c r="V89" s="326"/>
      <c r="W89" s="326"/>
      <c r="X89" s="326"/>
      <c r="Y89" s="326"/>
      <c r="Z89" s="326"/>
      <c r="AA89" s="326"/>
      <c r="AB89" s="326"/>
      <c r="AC89" s="327"/>
    </row>
    <row r="90" spans="1:29">
      <c r="A90" s="907"/>
      <c r="B90" s="314" t="s">
        <v>997</v>
      </c>
      <c r="C90" s="287">
        <v>1738</v>
      </c>
      <c r="D90" s="287">
        <v>919</v>
      </c>
      <c r="E90" s="287">
        <v>2657</v>
      </c>
      <c r="F90" s="287">
        <v>18</v>
      </c>
      <c r="G90" s="287">
        <v>63</v>
      </c>
      <c r="H90" s="287">
        <v>81</v>
      </c>
      <c r="I90" s="287">
        <v>31936</v>
      </c>
      <c r="J90" s="287">
        <v>48853</v>
      </c>
      <c r="K90" s="287">
        <v>80789</v>
      </c>
      <c r="L90" s="287">
        <v>286992</v>
      </c>
      <c r="M90" s="287">
        <v>299084</v>
      </c>
      <c r="N90" s="287">
        <v>586076</v>
      </c>
      <c r="O90" s="287">
        <v>885</v>
      </c>
      <c r="P90" s="287">
        <v>519</v>
      </c>
      <c r="Q90" s="287">
        <v>1404</v>
      </c>
      <c r="R90" s="287">
        <v>27901</v>
      </c>
      <c r="S90" s="287">
        <v>14312</v>
      </c>
      <c r="T90" s="287">
        <v>42213</v>
      </c>
      <c r="U90" s="287">
        <v>1160</v>
      </c>
      <c r="V90" s="287">
        <v>800</v>
      </c>
      <c r="W90" s="287">
        <v>1960</v>
      </c>
      <c r="X90" s="287">
        <v>1815</v>
      </c>
      <c r="Y90" s="287">
        <v>1030</v>
      </c>
      <c r="Z90" s="287">
        <v>2845</v>
      </c>
      <c r="AA90" s="287">
        <v>352445</v>
      </c>
      <c r="AB90" s="287">
        <v>365580</v>
      </c>
      <c r="AC90" s="287">
        <v>718025</v>
      </c>
    </row>
    <row r="91" spans="1:29">
      <c r="A91" s="907"/>
      <c r="B91" s="314" t="s">
        <v>301</v>
      </c>
      <c r="C91" s="259">
        <v>2469</v>
      </c>
      <c r="D91" s="259">
        <v>1020</v>
      </c>
      <c r="E91" s="259">
        <v>3489</v>
      </c>
      <c r="F91" s="259">
        <v>33</v>
      </c>
      <c r="G91" s="259">
        <v>74</v>
      </c>
      <c r="H91" s="259">
        <v>107</v>
      </c>
      <c r="I91" s="259">
        <v>32122</v>
      </c>
      <c r="J91" s="259">
        <v>47381</v>
      </c>
      <c r="K91" s="259">
        <v>79503</v>
      </c>
      <c r="L91" s="259">
        <v>300527</v>
      </c>
      <c r="M91" s="259">
        <v>314385</v>
      </c>
      <c r="N91" s="259">
        <v>614912</v>
      </c>
      <c r="O91" s="259">
        <v>1516</v>
      </c>
      <c r="P91" s="259">
        <v>869</v>
      </c>
      <c r="Q91" s="259">
        <v>2385</v>
      </c>
      <c r="R91" s="259">
        <v>26778</v>
      </c>
      <c r="S91" s="259">
        <v>10714</v>
      </c>
      <c r="T91" s="259">
        <v>37492</v>
      </c>
      <c r="U91" s="259">
        <v>672</v>
      </c>
      <c r="V91" s="259">
        <v>1256</v>
      </c>
      <c r="W91" s="259">
        <v>1928</v>
      </c>
      <c r="X91" s="259">
        <v>2095</v>
      </c>
      <c r="Y91" s="259">
        <v>1222</v>
      </c>
      <c r="Z91" s="259">
        <v>3317</v>
      </c>
      <c r="AA91" s="259">
        <v>366212</v>
      </c>
      <c r="AB91" s="259">
        <v>376921</v>
      </c>
      <c r="AC91" s="259">
        <v>743133</v>
      </c>
    </row>
    <row r="92" spans="1:29">
      <c r="A92" s="907"/>
      <c r="B92" s="314" t="s">
        <v>300</v>
      </c>
      <c r="C92" s="287">
        <v>2108</v>
      </c>
      <c r="D92" s="287">
        <v>795</v>
      </c>
      <c r="E92" s="287">
        <v>2903</v>
      </c>
      <c r="F92" s="287">
        <v>46</v>
      </c>
      <c r="G92" s="287">
        <v>110</v>
      </c>
      <c r="H92" s="287">
        <v>156</v>
      </c>
      <c r="I92" s="287">
        <v>24359</v>
      </c>
      <c r="J92" s="287">
        <v>34374</v>
      </c>
      <c r="K92" s="287">
        <v>58733</v>
      </c>
      <c r="L92" s="287">
        <v>281348</v>
      </c>
      <c r="M92" s="287">
        <v>285456</v>
      </c>
      <c r="N92" s="287">
        <v>566804</v>
      </c>
      <c r="O92" s="287">
        <v>1416</v>
      </c>
      <c r="P92" s="287">
        <v>738</v>
      </c>
      <c r="Q92" s="287">
        <v>2154</v>
      </c>
      <c r="R92" s="287">
        <v>23712</v>
      </c>
      <c r="S92" s="287">
        <v>8747</v>
      </c>
      <c r="T92" s="287">
        <v>32459</v>
      </c>
      <c r="U92" s="287">
        <v>656</v>
      </c>
      <c r="V92" s="287">
        <v>1280</v>
      </c>
      <c r="W92" s="287">
        <v>1936</v>
      </c>
      <c r="X92" s="287">
        <v>2252</v>
      </c>
      <c r="Y92" s="287">
        <v>1326</v>
      </c>
      <c r="Z92" s="287">
        <v>3578</v>
      </c>
      <c r="AA92" s="287">
        <v>335897</v>
      </c>
      <c r="AB92" s="287">
        <v>332826</v>
      </c>
      <c r="AC92" s="287">
        <v>668723</v>
      </c>
    </row>
    <row r="93" spans="1:29">
      <c r="A93" s="907"/>
      <c r="B93" s="314" t="s">
        <v>299</v>
      </c>
      <c r="C93" s="103">
        <v>1158</v>
      </c>
      <c r="D93" s="103">
        <v>640</v>
      </c>
      <c r="E93" s="105">
        <v>1798</v>
      </c>
      <c r="F93" s="103">
        <v>79</v>
      </c>
      <c r="G93" s="103">
        <v>125</v>
      </c>
      <c r="H93" s="105">
        <v>204</v>
      </c>
      <c r="I93" s="96">
        <v>21129.148833576164</v>
      </c>
      <c r="J93" s="96">
        <v>28977.953000056877</v>
      </c>
      <c r="K93" s="109">
        <v>50107.101833633045</v>
      </c>
      <c r="L93" s="96">
        <v>278326.73487179331</v>
      </c>
      <c r="M93" s="96">
        <v>278589.39991410426</v>
      </c>
      <c r="N93" s="109">
        <v>556916.13478589756</v>
      </c>
      <c r="O93" s="103">
        <v>1817</v>
      </c>
      <c r="P93" s="103">
        <v>895</v>
      </c>
      <c r="Q93" s="105">
        <v>2712</v>
      </c>
      <c r="R93" s="103">
        <v>21144</v>
      </c>
      <c r="S93" s="103">
        <v>7797</v>
      </c>
      <c r="T93" s="105">
        <v>28941</v>
      </c>
      <c r="U93" s="103">
        <v>471</v>
      </c>
      <c r="V93" s="103">
        <v>1070</v>
      </c>
      <c r="W93" s="105">
        <v>1541</v>
      </c>
      <c r="X93" s="103">
        <v>2316</v>
      </c>
      <c r="Y93" s="103">
        <v>1329</v>
      </c>
      <c r="Z93" s="105">
        <v>3645</v>
      </c>
      <c r="AA93" s="98">
        <v>326440.88370536949</v>
      </c>
      <c r="AB93" s="98">
        <v>319423.35291416117</v>
      </c>
      <c r="AC93" s="109">
        <v>645864.23661953059</v>
      </c>
    </row>
    <row r="94" spans="1:29">
      <c r="A94" s="907"/>
      <c r="B94" s="314" t="s">
        <v>298</v>
      </c>
      <c r="C94" s="106">
        <v>1157</v>
      </c>
      <c r="D94" s="106">
        <v>648</v>
      </c>
      <c r="E94" s="107">
        <v>1805</v>
      </c>
      <c r="F94" s="106">
        <v>209</v>
      </c>
      <c r="G94" s="106">
        <v>368</v>
      </c>
      <c r="H94" s="107">
        <v>577</v>
      </c>
      <c r="I94" s="106">
        <v>20497</v>
      </c>
      <c r="J94" s="106">
        <v>24039</v>
      </c>
      <c r="K94" s="107">
        <v>44536</v>
      </c>
      <c r="L94" s="106">
        <v>274718</v>
      </c>
      <c r="M94" s="106">
        <v>263353</v>
      </c>
      <c r="N94" s="107">
        <v>538071</v>
      </c>
      <c r="O94" s="106">
        <v>1779</v>
      </c>
      <c r="P94" s="106">
        <v>839</v>
      </c>
      <c r="Q94" s="107">
        <v>2618</v>
      </c>
      <c r="R94" s="106">
        <v>18505</v>
      </c>
      <c r="S94" s="106">
        <v>4947</v>
      </c>
      <c r="T94" s="107">
        <v>23452</v>
      </c>
      <c r="U94" s="106">
        <v>272</v>
      </c>
      <c r="V94" s="106">
        <v>832</v>
      </c>
      <c r="W94" s="107">
        <v>1104</v>
      </c>
      <c r="X94" s="106">
        <v>2378</v>
      </c>
      <c r="Y94" s="106">
        <v>1485</v>
      </c>
      <c r="Z94" s="107">
        <v>3863</v>
      </c>
      <c r="AA94" s="108">
        <v>319515</v>
      </c>
      <c r="AB94" s="108">
        <v>296511</v>
      </c>
      <c r="AC94" s="107">
        <f t="shared" ref="AC94" si="12">AA94+AB94</f>
        <v>616026</v>
      </c>
    </row>
    <row r="95" spans="1:29">
      <c r="A95" s="907">
        <v>15</v>
      </c>
      <c r="B95" s="324" t="s">
        <v>30</v>
      </c>
      <c r="C95" s="325"/>
      <c r="D95" s="326"/>
      <c r="E95" s="326"/>
      <c r="F95" s="326"/>
      <c r="G95" s="326"/>
      <c r="H95" s="326"/>
      <c r="I95" s="326"/>
      <c r="J95" s="326"/>
      <c r="K95" s="327"/>
      <c r="L95" s="325"/>
      <c r="M95" s="326"/>
      <c r="N95" s="326"/>
      <c r="O95" s="326"/>
      <c r="P95" s="326"/>
      <c r="Q95" s="326"/>
      <c r="R95" s="326"/>
      <c r="S95" s="326"/>
      <c r="T95" s="327"/>
      <c r="U95" s="325"/>
      <c r="V95" s="326"/>
      <c r="W95" s="326"/>
      <c r="X95" s="326"/>
      <c r="Y95" s="326"/>
      <c r="Z95" s="326"/>
      <c r="AA95" s="326"/>
      <c r="AB95" s="326"/>
      <c r="AC95" s="327"/>
    </row>
    <row r="96" spans="1:29">
      <c r="A96" s="907"/>
      <c r="B96" s="314" t="s">
        <v>997</v>
      </c>
      <c r="C96" s="287">
        <v>5752</v>
      </c>
      <c r="D96" s="287">
        <v>5276</v>
      </c>
      <c r="E96" s="287">
        <v>11028</v>
      </c>
      <c r="F96" s="287">
        <v>60</v>
      </c>
      <c r="G96" s="287">
        <v>189</v>
      </c>
      <c r="H96" s="287">
        <v>249</v>
      </c>
      <c r="I96" s="287">
        <v>96240</v>
      </c>
      <c r="J96" s="287">
        <v>125432</v>
      </c>
      <c r="K96" s="287">
        <v>221672</v>
      </c>
      <c r="L96" s="287">
        <v>909437</v>
      </c>
      <c r="M96" s="287">
        <v>902573</v>
      </c>
      <c r="N96" s="287">
        <v>1812010</v>
      </c>
      <c r="O96" s="287">
        <v>2852</v>
      </c>
      <c r="P96" s="287">
        <v>2455</v>
      </c>
      <c r="Q96" s="287">
        <v>5307</v>
      </c>
      <c r="R96" s="287">
        <v>137320</v>
      </c>
      <c r="S96" s="287">
        <v>113894</v>
      </c>
      <c r="T96" s="287">
        <v>251214</v>
      </c>
      <c r="U96" s="287">
        <v>2362</v>
      </c>
      <c r="V96" s="287">
        <v>2132</v>
      </c>
      <c r="W96" s="287">
        <v>4494</v>
      </c>
      <c r="X96" s="287">
        <v>7274</v>
      </c>
      <c r="Y96" s="287">
        <v>6681</v>
      </c>
      <c r="Z96" s="287">
        <v>13955</v>
      </c>
      <c r="AA96" s="287">
        <v>1161297</v>
      </c>
      <c r="AB96" s="287">
        <v>1158632</v>
      </c>
      <c r="AC96" s="287">
        <v>2319929</v>
      </c>
    </row>
    <row r="97" spans="1:29">
      <c r="A97" s="907"/>
      <c r="B97" s="314" t="s">
        <v>301</v>
      </c>
      <c r="C97" s="259">
        <v>8422</v>
      </c>
      <c r="D97" s="259">
        <v>6566</v>
      </c>
      <c r="E97" s="259">
        <v>14988</v>
      </c>
      <c r="F97" s="259">
        <v>160</v>
      </c>
      <c r="G97" s="259">
        <v>368</v>
      </c>
      <c r="H97" s="259">
        <v>528</v>
      </c>
      <c r="I97" s="259">
        <v>86081</v>
      </c>
      <c r="J97" s="259">
        <v>111740</v>
      </c>
      <c r="K97" s="259">
        <v>197821</v>
      </c>
      <c r="L97" s="259">
        <v>828434</v>
      </c>
      <c r="M97" s="259">
        <v>847140</v>
      </c>
      <c r="N97" s="259">
        <v>1675574</v>
      </c>
      <c r="O97" s="259">
        <v>2861</v>
      </c>
      <c r="P97" s="259">
        <v>2790</v>
      </c>
      <c r="Q97" s="259">
        <v>5651</v>
      </c>
      <c r="R97" s="259">
        <v>113133</v>
      </c>
      <c r="S97" s="259">
        <v>80208</v>
      </c>
      <c r="T97" s="259">
        <v>193341</v>
      </c>
      <c r="U97" s="259">
        <v>1148</v>
      </c>
      <c r="V97" s="259">
        <v>1495</v>
      </c>
      <c r="W97" s="259">
        <v>2643</v>
      </c>
      <c r="X97" s="259">
        <v>6382</v>
      </c>
      <c r="Y97" s="259">
        <v>5074</v>
      </c>
      <c r="Z97" s="259">
        <v>11456</v>
      </c>
      <c r="AA97" s="259">
        <v>1046621</v>
      </c>
      <c r="AB97" s="259">
        <v>1055381</v>
      </c>
      <c r="AC97" s="259">
        <v>2102002</v>
      </c>
    </row>
    <row r="98" spans="1:29">
      <c r="A98" s="907"/>
      <c r="B98" s="314" t="s">
        <v>300</v>
      </c>
      <c r="C98" s="287">
        <v>8070</v>
      </c>
      <c r="D98" s="287">
        <v>5230</v>
      </c>
      <c r="E98" s="287">
        <v>13300</v>
      </c>
      <c r="F98" s="287">
        <v>152</v>
      </c>
      <c r="G98" s="287">
        <v>316</v>
      </c>
      <c r="H98" s="287">
        <v>468</v>
      </c>
      <c r="I98" s="287">
        <v>80841</v>
      </c>
      <c r="J98" s="287">
        <v>101159</v>
      </c>
      <c r="K98" s="287">
        <v>182000</v>
      </c>
      <c r="L98" s="287">
        <v>754255</v>
      </c>
      <c r="M98" s="287">
        <v>777917</v>
      </c>
      <c r="N98" s="287">
        <v>1532172</v>
      </c>
      <c r="O98" s="287">
        <v>2280</v>
      </c>
      <c r="P98" s="287">
        <v>2251</v>
      </c>
      <c r="Q98" s="287">
        <v>4531</v>
      </c>
      <c r="R98" s="287">
        <v>113266</v>
      </c>
      <c r="S98" s="287">
        <v>72897</v>
      </c>
      <c r="T98" s="287">
        <v>186163</v>
      </c>
      <c r="U98" s="287">
        <v>1281</v>
      </c>
      <c r="V98" s="287">
        <v>1793</v>
      </c>
      <c r="W98" s="287">
        <v>3074</v>
      </c>
      <c r="X98" s="287">
        <v>4495</v>
      </c>
      <c r="Y98" s="287">
        <v>3652</v>
      </c>
      <c r="Z98" s="287">
        <v>8147</v>
      </c>
      <c r="AA98" s="287">
        <v>964640</v>
      </c>
      <c r="AB98" s="287">
        <v>965215</v>
      </c>
      <c r="AC98" s="287">
        <v>1929855</v>
      </c>
    </row>
    <row r="99" spans="1:29">
      <c r="A99" s="907"/>
      <c r="B99" s="314" t="s">
        <v>299</v>
      </c>
      <c r="C99" s="103">
        <v>9103</v>
      </c>
      <c r="D99" s="103">
        <v>5087</v>
      </c>
      <c r="E99" s="105">
        <v>14190</v>
      </c>
      <c r="F99" s="103">
        <v>189</v>
      </c>
      <c r="G99" s="103">
        <v>338</v>
      </c>
      <c r="H99" s="105">
        <v>527</v>
      </c>
      <c r="I99" s="96">
        <v>80937.749361816663</v>
      </c>
      <c r="J99" s="96">
        <v>96783.309504860168</v>
      </c>
      <c r="K99" s="109">
        <v>177721.05886667682</v>
      </c>
      <c r="L99" s="96">
        <v>719930.31147513888</v>
      </c>
      <c r="M99" s="96">
        <v>756748.26757246209</v>
      </c>
      <c r="N99" s="109">
        <v>1476678.579047601</v>
      </c>
      <c r="O99" s="103">
        <v>2182</v>
      </c>
      <c r="P99" s="103">
        <v>2062</v>
      </c>
      <c r="Q99" s="105">
        <v>4244</v>
      </c>
      <c r="R99" s="103">
        <v>121254</v>
      </c>
      <c r="S99" s="103">
        <v>77215</v>
      </c>
      <c r="T99" s="105">
        <v>198469</v>
      </c>
      <c r="U99" s="103">
        <v>2049</v>
      </c>
      <c r="V99" s="103">
        <v>1637</v>
      </c>
      <c r="W99" s="105">
        <v>3686</v>
      </c>
      <c r="X99" s="103">
        <v>3879</v>
      </c>
      <c r="Y99" s="103">
        <v>3112</v>
      </c>
      <c r="Z99" s="105">
        <v>6991</v>
      </c>
      <c r="AA99" s="98">
        <v>939524.06083695556</v>
      </c>
      <c r="AB99" s="98">
        <v>942982.57707732229</v>
      </c>
      <c r="AC99" s="109">
        <v>1882506.6379142778</v>
      </c>
    </row>
    <row r="100" spans="1:29">
      <c r="A100" s="907"/>
      <c r="B100" s="314" t="s">
        <v>298</v>
      </c>
      <c r="C100" s="106">
        <v>6630</v>
      </c>
      <c r="D100" s="106">
        <v>4211</v>
      </c>
      <c r="E100" s="107">
        <v>10841</v>
      </c>
      <c r="F100" s="106">
        <v>198</v>
      </c>
      <c r="G100" s="106">
        <v>329</v>
      </c>
      <c r="H100" s="107">
        <v>527</v>
      </c>
      <c r="I100" s="106">
        <v>82065</v>
      </c>
      <c r="J100" s="106">
        <v>87824</v>
      </c>
      <c r="K100" s="107">
        <v>169889</v>
      </c>
      <c r="L100" s="106">
        <v>697936</v>
      </c>
      <c r="M100" s="106">
        <v>708806</v>
      </c>
      <c r="N100" s="107">
        <v>1406742</v>
      </c>
      <c r="O100" s="106">
        <v>2008</v>
      </c>
      <c r="P100" s="106">
        <v>1884</v>
      </c>
      <c r="Q100" s="107">
        <v>3892</v>
      </c>
      <c r="R100" s="106">
        <v>129732</v>
      </c>
      <c r="S100" s="106">
        <v>75159</v>
      </c>
      <c r="T100" s="107">
        <v>204891</v>
      </c>
      <c r="U100" s="106">
        <v>1953</v>
      </c>
      <c r="V100" s="106">
        <v>1759</v>
      </c>
      <c r="W100" s="107">
        <v>3712</v>
      </c>
      <c r="X100" s="106">
        <v>4406</v>
      </c>
      <c r="Y100" s="106">
        <v>3636</v>
      </c>
      <c r="Z100" s="107">
        <v>8042</v>
      </c>
      <c r="AA100" s="108">
        <v>924928</v>
      </c>
      <c r="AB100" s="108">
        <v>883608</v>
      </c>
      <c r="AC100" s="107">
        <f t="shared" ref="AC100" si="13">AA100+AB100</f>
        <v>1808536</v>
      </c>
    </row>
    <row r="101" spans="1:29">
      <c r="A101" s="907">
        <v>16</v>
      </c>
      <c r="B101" s="324" t="s">
        <v>31</v>
      </c>
      <c r="C101" s="325"/>
      <c r="D101" s="326"/>
      <c r="E101" s="326"/>
      <c r="F101" s="326"/>
      <c r="G101" s="326"/>
      <c r="H101" s="326"/>
      <c r="I101" s="326"/>
      <c r="J101" s="326"/>
      <c r="K101" s="327"/>
      <c r="L101" s="325"/>
      <c r="M101" s="326"/>
      <c r="N101" s="326"/>
      <c r="O101" s="326"/>
      <c r="P101" s="326"/>
      <c r="Q101" s="326"/>
      <c r="R101" s="326"/>
      <c r="S101" s="326"/>
      <c r="T101" s="327"/>
      <c r="U101" s="325"/>
      <c r="V101" s="326"/>
      <c r="W101" s="326"/>
      <c r="X101" s="326"/>
      <c r="Y101" s="326"/>
      <c r="Z101" s="326"/>
      <c r="AA101" s="326"/>
      <c r="AB101" s="326"/>
      <c r="AC101" s="327"/>
    </row>
    <row r="102" spans="1:29">
      <c r="A102" s="907"/>
      <c r="B102" s="314" t="s">
        <v>997</v>
      </c>
      <c r="C102" s="287">
        <v>3184</v>
      </c>
      <c r="D102" s="287">
        <v>5554</v>
      </c>
      <c r="E102" s="287">
        <v>8738</v>
      </c>
      <c r="F102" s="287">
        <v>207</v>
      </c>
      <c r="G102" s="287">
        <v>745</v>
      </c>
      <c r="H102" s="287">
        <v>952</v>
      </c>
      <c r="I102" s="287">
        <v>25672</v>
      </c>
      <c r="J102" s="287">
        <v>80026</v>
      </c>
      <c r="K102" s="287">
        <v>105698</v>
      </c>
      <c r="L102" s="287">
        <v>328404</v>
      </c>
      <c r="M102" s="287">
        <v>464401</v>
      </c>
      <c r="N102" s="287">
        <v>792805</v>
      </c>
      <c r="O102" s="287">
        <v>571</v>
      </c>
      <c r="P102" s="287">
        <v>641</v>
      </c>
      <c r="Q102" s="287">
        <v>1212</v>
      </c>
      <c r="R102" s="287">
        <v>48832</v>
      </c>
      <c r="S102" s="287">
        <v>33114</v>
      </c>
      <c r="T102" s="287">
        <v>81946</v>
      </c>
      <c r="U102" s="287">
        <v>1226</v>
      </c>
      <c r="V102" s="287">
        <v>3429</v>
      </c>
      <c r="W102" s="287">
        <v>4655</v>
      </c>
      <c r="X102" s="287">
        <v>4226</v>
      </c>
      <c r="Y102" s="287">
        <v>5505</v>
      </c>
      <c r="Z102" s="287">
        <v>9731</v>
      </c>
      <c r="AA102" s="287">
        <v>412322</v>
      </c>
      <c r="AB102" s="287">
        <v>593415</v>
      </c>
      <c r="AC102" s="287">
        <v>1005737</v>
      </c>
    </row>
    <row r="103" spans="1:29">
      <c r="A103" s="907"/>
      <c r="B103" s="314" t="s">
        <v>301</v>
      </c>
      <c r="C103" s="259">
        <v>2817</v>
      </c>
      <c r="D103" s="259">
        <v>4687</v>
      </c>
      <c r="E103" s="259">
        <v>7504</v>
      </c>
      <c r="F103" s="259">
        <v>197</v>
      </c>
      <c r="G103" s="259">
        <v>676</v>
      </c>
      <c r="H103" s="259">
        <v>873</v>
      </c>
      <c r="I103" s="259">
        <v>21928</v>
      </c>
      <c r="J103" s="259">
        <v>69228</v>
      </c>
      <c r="K103" s="259">
        <v>91156</v>
      </c>
      <c r="L103" s="259">
        <v>287531</v>
      </c>
      <c r="M103" s="259">
        <v>410502</v>
      </c>
      <c r="N103" s="259">
        <v>698033</v>
      </c>
      <c r="O103" s="259">
        <v>399</v>
      </c>
      <c r="P103" s="259">
        <v>467</v>
      </c>
      <c r="Q103" s="259">
        <v>866</v>
      </c>
      <c r="R103" s="259">
        <v>41458</v>
      </c>
      <c r="S103" s="259">
        <v>30502</v>
      </c>
      <c r="T103" s="259">
        <v>71960</v>
      </c>
      <c r="U103" s="259">
        <v>780</v>
      </c>
      <c r="V103" s="259">
        <v>2510</v>
      </c>
      <c r="W103" s="259">
        <v>3290</v>
      </c>
      <c r="X103" s="259">
        <v>3701</v>
      </c>
      <c r="Y103" s="259">
        <v>4094</v>
      </c>
      <c r="Z103" s="259">
        <v>7795</v>
      </c>
      <c r="AA103" s="259">
        <v>358811</v>
      </c>
      <c r="AB103" s="259">
        <v>522666</v>
      </c>
      <c r="AC103" s="259">
        <v>881477</v>
      </c>
    </row>
    <row r="104" spans="1:29">
      <c r="A104" s="907"/>
      <c r="B104" s="314" t="s">
        <v>300</v>
      </c>
      <c r="C104" s="287">
        <v>2503</v>
      </c>
      <c r="D104" s="287">
        <v>4183</v>
      </c>
      <c r="E104" s="287">
        <v>6686</v>
      </c>
      <c r="F104" s="287">
        <v>204</v>
      </c>
      <c r="G104" s="287">
        <v>685</v>
      </c>
      <c r="H104" s="287">
        <v>889</v>
      </c>
      <c r="I104" s="287">
        <v>20891</v>
      </c>
      <c r="J104" s="287">
        <v>64717</v>
      </c>
      <c r="K104" s="287">
        <v>85608</v>
      </c>
      <c r="L104" s="287">
        <v>281525</v>
      </c>
      <c r="M104" s="287">
        <v>397212</v>
      </c>
      <c r="N104" s="287">
        <v>678737</v>
      </c>
      <c r="O104" s="287">
        <v>476</v>
      </c>
      <c r="P104" s="287">
        <v>462</v>
      </c>
      <c r="Q104" s="287">
        <v>938</v>
      </c>
      <c r="R104" s="287">
        <v>36948</v>
      </c>
      <c r="S104" s="287">
        <v>29262</v>
      </c>
      <c r="T104" s="287">
        <v>66210</v>
      </c>
      <c r="U104" s="287">
        <v>857</v>
      </c>
      <c r="V104" s="287">
        <v>2626</v>
      </c>
      <c r="W104" s="287">
        <v>3483</v>
      </c>
      <c r="X104" s="287">
        <v>2828</v>
      </c>
      <c r="Y104" s="287">
        <v>2864</v>
      </c>
      <c r="Z104" s="287">
        <v>5692</v>
      </c>
      <c r="AA104" s="287">
        <v>346232</v>
      </c>
      <c r="AB104" s="287">
        <v>502011</v>
      </c>
      <c r="AC104" s="287">
        <v>848243</v>
      </c>
    </row>
    <row r="105" spans="1:29">
      <c r="A105" s="907"/>
      <c r="B105" s="314" t="s">
        <v>299</v>
      </c>
      <c r="C105" s="103">
        <v>2256</v>
      </c>
      <c r="D105" s="103">
        <v>3655</v>
      </c>
      <c r="E105" s="105">
        <v>5911</v>
      </c>
      <c r="F105" s="103">
        <v>280</v>
      </c>
      <c r="G105" s="103">
        <v>630</v>
      </c>
      <c r="H105" s="105">
        <v>910</v>
      </c>
      <c r="I105" s="96">
        <v>19937.435627667954</v>
      </c>
      <c r="J105" s="96">
        <v>60431.771676272299</v>
      </c>
      <c r="K105" s="109">
        <v>80369.207303940246</v>
      </c>
      <c r="L105" s="96">
        <v>276683.30778716237</v>
      </c>
      <c r="M105" s="96">
        <v>392323.28400024667</v>
      </c>
      <c r="N105" s="109">
        <v>669006.59178740904</v>
      </c>
      <c r="O105" s="103">
        <v>639</v>
      </c>
      <c r="P105" s="103">
        <v>422</v>
      </c>
      <c r="Q105" s="105">
        <v>1061</v>
      </c>
      <c r="R105" s="103">
        <v>36183</v>
      </c>
      <c r="S105" s="103">
        <v>30690</v>
      </c>
      <c r="T105" s="105">
        <v>66873</v>
      </c>
      <c r="U105" s="103">
        <v>740</v>
      </c>
      <c r="V105" s="103">
        <v>2918</v>
      </c>
      <c r="W105" s="105">
        <v>3658</v>
      </c>
      <c r="X105" s="103">
        <v>2252</v>
      </c>
      <c r="Y105" s="103">
        <v>2159</v>
      </c>
      <c r="Z105" s="105">
        <v>4411</v>
      </c>
      <c r="AA105" s="98">
        <v>338970.7434148303</v>
      </c>
      <c r="AB105" s="98">
        <v>493229.05567651894</v>
      </c>
      <c r="AC105" s="109">
        <v>832199.79909134936</v>
      </c>
    </row>
    <row r="106" spans="1:29">
      <c r="A106" s="907"/>
      <c r="B106" s="314" t="s">
        <v>298</v>
      </c>
      <c r="C106" s="106">
        <v>2185</v>
      </c>
      <c r="D106" s="106">
        <v>3121</v>
      </c>
      <c r="E106" s="107">
        <v>5306</v>
      </c>
      <c r="F106" s="106">
        <v>165</v>
      </c>
      <c r="G106" s="106">
        <v>569</v>
      </c>
      <c r="H106" s="107">
        <v>734</v>
      </c>
      <c r="I106" s="106">
        <v>21369</v>
      </c>
      <c r="J106" s="106">
        <v>57243</v>
      </c>
      <c r="K106" s="107">
        <v>78612</v>
      </c>
      <c r="L106" s="106">
        <v>273120</v>
      </c>
      <c r="M106" s="106">
        <v>368794</v>
      </c>
      <c r="N106" s="107">
        <v>641914</v>
      </c>
      <c r="O106" s="106">
        <v>244</v>
      </c>
      <c r="P106" s="106">
        <v>263</v>
      </c>
      <c r="Q106" s="107">
        <v>507</v>
      </c>
      <c r="R106" s="106">
        <v>34801</v>
      </c>
      <c r="S106" s="106">
        <v>28389</v>
      </c>
      <c r="T106" s="107">
        <v>63190</v>
      </c>
      <c r="U106" s="106">
        <v>726</v>
      </c>
      <c r="V106" s="106">
        <v>2186</v>
      </c>
      <c r="W106" s="107">
        <v>2912</v>
      </c>
      <c r="X106" s="106">
        <v>2488</v>
      </c>
      <c r="Y106" s="106">
        <v>2389</v>
      </c>
      <c r="Z106" s="107">
        <v>4877</v>
      </c>
      <c r="AA106" s="108">
        <v>335098</v>
      </c>
      <c r="AB106" s="108">
        <v>462954</v>
      </c>
      <c r="AC106" s="107">
        <f t="shared" ref="AC106" si="14">AA106+AB106</f>
        <v>798052</v>
      </c>
    </row>
    <row r="107" spans="1:29">
      <c r="A107" s="1156">
        <v>17</v>
      </c>
      <c r="B107" s="324" t="s">
        <v>172</v>
      </c>
      <c r="C107" s="328"/>
      <c r="D107" s="329"/>
      <c r="E107" s="329"/>
      <c r="F107" s="329"/>
      <c r="G107" s="329"/>
      <c r="H107" s="329"/>
      <c r="I107" s="329"/>
      <c r="J107" s="287"/>
      <c r="K107" s="330"/>
      <c r="L107" s="328"/>
      <c r="M107" s="329"/>
      <c r="N107" s="329"/>
      <c r="O107" s="329"/>
      <c r="P107" s="329"/>
      <c r="Q107" s="329"/>
      <c r="R107" s="329"/>
      <c r="S107" s="329"/>
      <c r="T107" s="330"/>
      <c r="U107" s="328"/>
      <c r="V107" s="329"/>
      <c r="W107" s="329"/>
      <c r="X107" s="329"/>
      <c r="Y107" s="329"/>
      <c r="Z107" s="329"/>
      <c r="AA107" s="329"/>
      <c r="AB107" s="329"/>
      <c r="AC107" s="330"/>
    </row>
    <row r="108" spans="1:29">
      <c r="A108" s="1157"/>
      <c r="B108" s="314" t="s">
        <v>997</v>
      </c>
      <c r="C108" s="287">
        <v>6</v>
      </c>
      <c r="D108" s="287">
        <v>2</v>
      </c>
      <c r="E108" s="287">
        <v>8</v>
      </c>
      <c r="F108" s="287">
        <v>0</v>
      </c>
      <c r="G108" s="287">
        <v>0</v>
      </c>
      <c r="H108" s="287">
        <v>0</v>
      </c>
      <c r="I108" s="287">
        <v>70</v>
      </c>
      <c r="J108" s="287">
        <v>23</v>
      </c>
      <c r="K108" s="287">
        <v>93</v>
      </c>
      <c r="L108" s="287">
        <v>740</v>
      </c>
      <c r="M108" s="287">
        <v>1738</v>
      </c>
      <c r="N108" s="287">
        <v>2478</v>
      </c>
      <c r="O108" s="287">
        <v>0</v>
      </c>
      <c r="P108" s="287">
        <v>0</v>
      </c>
      <c r="Q108" s="287">
        <v>0</v>
      </c>
      <c r="R108" s="287">
        <v>245</v>
      </c>
      <c r="S108" s="287">
        <v>185</v>
      </c>
      <c r="T108" s="287">
        <v>430</v>
      </c>
      <c r="U108" s="287">
        <v>0</v>
      </c>
      <c r="V108" s="287">
        <v>0</v>
      </c>
      <c r="W108" s="287">
        <v>0</v>
      </c>
      <c r="X108" s="287">
        <v>47</v>
      </c>
      <c r="Y108" s="287">
        <v>91</v>
      </c>
      <c r="Z108" s="287">
        <v>138</v>
      </c>
      <c r="AA108" s="287">
        <v>1108</v>
      </c>
      <c r="AB108" s="287">
        <v>2039</v>
      </c>
      <c r="AC108" s="287">
        <v>3147</v>
      </c>
    </row>
    <row r="109" spans="1:29">
      <c r="A109" s="1158"/>
      <c r="B109" s="314" t="s">
        <v>301</v>
      </c>
      <c r="C109" s="259">
        <v>6</v>
      </c>
      <c r="D109" s="259">
        <v>2</v>
      </c>
      <c r="E109" s="259">
        <v>8</v>
      </c>
      <c r="F109" s="259">
        <v>0</v>
      </c>
      <c r="G109" s="259">
        <v>0</v>
      </c>
      <c r="H109" s="259">
        <v>0</v>
      </c>
      <c r="I109" s="259">
        <v>26</v>
      </c>
      <c r="J109" s="259">
        <v>28</v>
      </c>
      <c r="K109" s="259">
        <v>54</v>
      </c>
      <c r="L109" s="259">
        <v>798</v>
      </c>
      <c r="M109" s="259">
        <v>1746</v>
      </c>
      <c r="N109" s="259">
        <v>2544</v>
      </c>
      <c r="O109" s="259">
        <v>0</v>
      </c>
      <c r="P109" s="259">
        <v>0</v>
      </c>
      <c r="Q109" s="259">
        <v>0</v>
      </c>
      <c r="R109" s="259">
        <v>112</v>
      </c>
      <c r="S109" s="259">
        <v>24</v>
      </c>
      <c r="T109" s="259">
        <v>136</v>
      </c>
      <c r="U109" s="259">
        <v>0</v>
      </c>
      <c r="V109" s="259">
        <v>0</v>
      </c>
      <c r="W109" s="259">
        <v>0</v>
      </c>
      <c r="X109" s="259">
        <v>57</v>
      </c>
      <c r="Y109" s="259">
        <v>98</v>
      </c>
      <c r="Z109" s="259">
        <v>155</v>
      </c>
      <c r="AA109" s="259">
        <v>999</v>
      </c>
      <c r="AB109" s="259">
        <v>1898</v>
      </c>
      <c r="AC109" s="259">
        <v>2897</v>
      </c>
    </row>
    <row r="110" spans="1:29">
      <c r="A110" s="907">
        <v>18</v>
      </c>
      <c r="B110" s="324" t="s">
        <v>32</v>
      </c>
      <c r="C110" s="325"/>
      <c r="D110" s="326"/>
      <c r="E110" s="326"/>
      <c r="F110" s="326"/>
      <c r="G110" s="326"/>
      <c r="H110" s="326"/>
      <c r="I110" s="326"/>
      <c r="J110" s="103"/>
      <c r="K110" s="327"/>
      <c r="L110" s="325"/>
      <c r="M110" s="326"/>
      <c r="N110" s="326"/>
      <c r="O110" s="326"/>
      <c r="P110" s="326"/>
      <c r="Q110" s="326"/>
      <c r="R110" s="326"/>
      <c r="S110" s="326"/>
      <c r="T110" s="327"/>
      <c r="U110" s="325"/>
      <c r="V110" s="326"/>
      <c r="W110" s="326"/>
      <c r="X110" s="326"/>
      <c r="Y110" s="326"/>
      <c r="Z110" s="326"/>
      <c r="AA110" s="326"/>
      <c r="AB110" s="326"/>
      <c r="AC110" s="327"/>
    </row>
    <row r="111" spans="1:29">
      <c r="A111" s="907"/>
      <c r="B111" s="314" t="s">
        <v>997</v>
      </c>
      <c r="C111" s="287">
        <v>0</v>
      </c>
      <c r="D111" s="287">
        <v>0</v>
      </c>
      <c r="E111" s="287">
        <v>0</v>
      </c>
      <c r="F111" s="287">
        <v>0</v>
      </c>
      <c r="G111" s="287">
        <v>0</v>
      </c>
      <c r="H111" s="287">
        <v>0</v>
      </c>
      <c r="I111" s="287">
        <v>0</v>
      </c>
      <c r="J111" s="287">
        <v>26</v>
      </c>
      <c r="K111" s="287">
        <v>26</v>
      </c>
      <c r="L111" s="287">
        <v>133</v>
      </c>
      <c r="M111" s="287">
        <v>401</v>
      </c>
      <c r="N111" s="287">
        <v>534</v>
      </c>
      <c r="O111" s="287">
        <v>0</v>
      </c>
      <c r="P111" s="287">
        <v>0</v>
      </c>
      <c r="Q111" s="287">
        <v>0</v>
      </c>
      <c r="R111" s="287">
        <v>0</v>
      </c>
      <c r="S111" s="287">
        <v>0</v>
      </c>
      <c r="T111" s="287">
        <v>0</v>
      </c>
      <c r="U111" s="287">
        <v>0</v>
      </c>
      <c r="V111" s="287">
        <v>0</v>
      </c>
      <c r="W111" s="287">
        <v>0</v>
      </c>
      <c r="X111" s="287">
        <v>0</v>
      </c>
      <c r="Y111" s="287">
        <v>0</v>
      </c>
      <c r="Z111" s="287">
        <v>0</v>
      </c>
      <c r="AA111" s="287">
        <v>133</v>
      </c>
      <c r="AB111" s="287">
        <v>427</v>
      </c>
      <c r="AC111" s="287">
        <v>560</v>
      </c>
    </row>
    <row r="112" spans="1:29">
      <c r="A112" s="907"/>
      <c r="B112" s="314" t="s">
        <v>301</v>
      </c>
      <c r="C112" s="259">
        <v>0</v>
      </c>
      <c r="D112" s="259">
        <v>0</v>
      </c>
      <c r="E112" s="259">
        <v>0</v>
      </c>
      <c r="F112" s="259">
        <v>0</v>
      </c>
      <c r="G112" s="259">
        <v>0</v>
      </c>
      <c r="H112" s="259">
        <v>0</v>
      </c>
      <c r="I112" s="259">
        <v>0</v>
      </c>
      <c r="J112" s="259">
        <v>26</v>
      </c>
      <c r="K112" s="259">
        <v>26</v>
      </c>
      <c r="L112" s="259">
        <v>133</v>
      </c>
      <c r="M112" s="259">
        <v>401</v>
      </c>
      <c r="N112" s="259">
        <v>534</v>
      </c>
      <c r="O112" s="259">
        <v>0</v>
      </c>
      <c r="P112" s="259">
        <v>0</v>
      </c>
      <c r="Q112" s="259">
        <v>0</v>
      </c>
      <c r="R112" s="259">
        <v>0</v>
      </c>
      <c r="S112" s="259">
        <v>0</v>
      </c>
      <c r="T112" s="259">
        <v>0</v>
      </c>
      <c r="U112" s="259">
        <v>0</v>
      </c>
      <c r="V112" s="259">
        <v>0</v>
      </c>
      <c r="W112" s="259">
        <v>0</v>
      </c>
      <c r="X112" s="259">
        <v>0</v>
      </c>
      <c r="Y112" s="259">
        <v>0</v>
      </c>
      <c r="Z112" s="259">
        <v>0</v>
      </c>
      <c r="AA112" s="259">
        <v>133</v>
      </c>
      <c r="AB112" s="259">
        <v>427</v>
      </c>
      <c r="AC112" s="259">
        <v>560</v>
      </c>
    </row>
    <row r="113" spans="1:29">
      <c r="A113" s="907"/>
      <c r="B113" s="314" t="s">
        <v>300</v>
      </c>
      <c r="C113" s="287">
        <v>0</v>
      </c>
      <c r="D113" s="287">
        <v>0</v>
      </c>
      <c r="E113" s="287">
        <v>0</v>
      </c>
      <c r="F113" s="287">
        <v>0</v>
      </c>
      <c r="G113" s="287">
        <v>0</v>
      </c>
      <c r="H113" s="287">
        <v>0</v>
      </c>
      <c r="I113" s="287">
        <v>0</v>
      </c>
      <c r="J113" s="103">
        <v>26</v>
      </c>
      <c r="K113" s="287">
        <v>26</v>
      </c>
      <c r="L113" s="287">
        <v>127</v>
      </c>
      <c r="M113" s="287">
        <v>392</v>
      </c>
      <c r="N113" s="287">
        <v>519</v>
      </c>
      <c r="O113" s="287">
        <v>0</v>
      </c>
      <c r="P113" s="287">
        <v>0</v>
      </c>
      <c r="Q113" s="287">
        <v>0</v>
      </c>
      <c r="R113" s="287">
        <v>0</v>
      </c>
      <c r="S113" s="287">
        <v>0</v>
      </c>
      <c r="T113" s="287">
        <v>0</v>
      </c>
      <c r="U113" s="287">
        <v>0</v>
      </c>
      <c r="V113" s="287">
        <v>0</v>
      </c>
      <c r="W113" s="287">
        <v>0</v>
      </c>
      <c r="X113" s="287">
        <v>0</v>
      </c>
      <c r="Y113" s="287">
        <v>0</v>
      </c>
      <c r="Z113" s="287">
        <v>0</v>
      </c>
      <c r="AA113" s="287">
        <v>127</v>
      </c>
      <c r="AB113" s="287">
        <v>418</v>
      </c>
      <c r="AC113" s="287">
        <v>545</v>
      </c>
    </row>
    <row r="114" spans="1:29">
      <c r="A114" s="907"/>
      <c r="B114" s="314" t="s">
        <v>299</v>
      </c>
      <c r="C114" s="103">
        <v>0</v>
      </c>
      <c r="D114" s="103">
        <v>0</v>
      </c>
      <c r="E114" s="105">
        <v>0</v>
      </c>
      <c r="F114" s="103">
        <v>0</v>
      </c>
      <c r="G114" s="103">
        <v>0</v>
      </c>
      <c r="H114" s="105">
        <v>0</v>
      </c>
      <c r="I114" s="103">
        <v>4</v>
      </c>
      <c r="J114" s="103">
        <v>33</v>
      </c>
      <c r="K114" s="105">
        <v>37</v>
      </c>
      <c r="L114" s="103">
        <v>112</v>
      </c>
      <c r="M114" s="103">
        <v>403</v>
      </c>
      <c r="N114" s="105">
        <v>515</v>
      </c>
      <c r="O114" s="103">
        <v>0</v>
      </c>
      <c r="P114" s="103">
        <v>0</v>
      </c>
      <c r="Q114" s="105">
        <v>0</v>
      </c>
      <c r="R114" s="103">
        <v>0</v>
      </c>
      <c r="S114" s="103">
        <v>0</v>
      </c>
      <c r="T114" s="105">
        <v>0</v>
      </c>
      <c r="U114" s="103">
        <v>0</v>
      </c>
      <c r="V114" s="103">
        <v>0</v>
      </c>
      <c r="W114" s="105">
        <v>0</v>
      </c>
      <c r="X114" s="103">
        <v>0</v>
      </c>
      <c r="Y114" s="103">
        <v>0</v>
      </c>
      <c r="Z114" s="105">
        <v>0</v>
      </c>
      <c r="AA114" s="95">
        <v>116</v>
      </c>
      <c r="AB114" s="95">
        <v>436</v>
      </c>
      <c r="AC114" s="105">
        <v>552</v>
      </c>
    </row>
    <row r="115" spans="1:29">
      <c r="A115" s="907"/>
      <c r="B115" s="314" t="s">
        <v>298</v>
      </c>
      <c r="C115" s="106">
        <v>0</v>
      </c>
      <c r="D115" s="106">
        <v>0</v>
      </c>
      <c r="E115" s="107">
        <v>0</v>
      </c>
      <c r="F115" s="106">
        <v>0</v>
      </c>
      <c r="G115" s="106">
        <v>0</v>
      </c>
      <c r="H115" s="107">
        <v>0</v>
      </c>
      <c r="I115" s="106">
        <v>1</v>
      </c>
      <c r="J115" s="106">
        <v>12</v>
      </c>
      <c r="K115" s="107">
        <v>13</v>
      </c>
      <c r="L115" s="106">
        <v>148</v>
      </c>
      <c r="M115" s="106">
        <v>363</v>
      </c>
      <c r="N115" s="107">
        <v>511</v>
      </c>
      <c r="O115" s="106">
        <v>0</v>
      </c>
      <c r="P115" s="106">
        <v>0</v>
      </c>
      <c r="Q115" s="107">
        <v>0</v>
      </c>
      <c r="R115" s="106">
        <v>0</v>
      </c>
      <c r="S115" s="106">
        <v>0</v>
      </c>
      <c r="T115" s="107">
        <v>0</v>
      </c>
      <c r="U115" s="106">
        <v>0</v>
      </c>
      <c r="V115" s="106">
        <v>0</v>
      </c>
      <c r="W115" s="107">
        <v>0</v>
      </c>
      <c r="X115" s="106">
        <v>0</v>
      </c>
      <c r="Y115" s="106">
        <v>0</v>
      </c>
      <c r="Z115" s="107">
        <v>0</v>
      </c>
      <c r="AA115" s="108">
        <v>149</v>
      </c>
      <c r="AB115" s="108">
        <v>375</v>
      </c>
      <c r="AC115" s="107">
        <f t="shared" ref="AC115" si="15">AA115+AB115</f>
        <v>524</v>
      </c>
    </row>
    <row r="116" spans="1:29">
      <c r="A116" s="907">
        <v>19</v>
      </c>
      <c r="B116" s="324" t="s">
        <v>33</v>
      </c>
      <c r="C116" s="325"/>
      <c r="D116" s="326"/>
      <c r="E116" s="326"/>
      <c r="F116" s="326"/>
      <c r="G116" s="326"/>
      <c r="H116" s="326"/>
      <c r="I116" s="326"/>
      <c r="J116" s="326"/>
      <c r="K116" s="327"/>
      <c r="L116" s="325"/>
      <c r="M116" s="326"/>
      <c r="N116" s="326"/>
      <c r="O116" s="326"/>
      <c r="P116" s="326"/>
      <c r="Q116" s="326"/>
      <c r="R116" s="326"/>
      <c r="S116" s="326"/>
      <c r="T116" s="327"/>
      <c r="U116" s="325"/>
      <c r="V116" s="326"/>
      <c r="W116" s="326"/>
      <c r="X116" s="326"/>
      <c r="Y116" s="326"/>
      <c r="Z116" s="326"/>
      <c r="AA116" s="326"/>
      <c r="AB116" s="326"/>
      <c r="AC116" s="327"/>
    </row>
    <row r="117" spans="1:29">
      <c r="A117" s="907"/>
      <c r="B117" s="314" t="s">
        <v>997</v>
      </c>
      <c r="C117" s="287">
        <v>3676</v>
      </c>
      <c r="D117" s="287">
        <v>2477</v>
      </c>
      <c r="E117" s="287">
        <v>6153</v>
      </c>
      <c r="F117" s="287">
        <v>91</v>
      </c>
      <c r="G117" s="287">
        <v>58</v>
      </c>
      <c r="H117" s="287">
        <v>149</v>
      </c>
      <c r="I117" s="287">
        <v>148845</v>
      </c>
      <c r="J117" s="287">
        <v>175910</v>
      </c>
      <c r="K117" s="287">
        <v>324755</v>
      </c>
      <c r="L117" s="287">
        <v>998782</v>
      </c>
      <c r="M117" s="287">
        <v>903915</v>
      </c>
      <c r="N117" s="287">
        <v>1902697</v>
      </c>
      <c r="O117" s="287">
        <v>20339</v>
      </c>
      <c r="P117" s="287">
        <v>19119</v>
      </c>
      <c r="Q117" s="287">
        <v>39458</v>
      </c>
      <c r="R117" s="287">
        <v>102146</v>
      </c>
      <c r="S117" s="287">
        <v>54906</v>
      </c>
      <c r="T117" s="287">
        <v>157052</v>
      </c>
      <c r="U117" s="287">
        <v>2269</v>
      </c>
      <c r="V117" s="287">
        <v>1258</v>
      </c>
      <c r="W117" s="287">
        <v>3527</v>
      </c>
      <c r="X117" s="287">
        <v>16402</v>
      </c>
      <c r="Y117" s="287">
        <v>13083</v>
      </c>
      <c r="Z117" s="287">
        <v>29485</v>
      </c>
      <c r="AA117" s="287">
        <v>1292550</v>
      </c>
      <c r="AB117" s="287">
        <v>1170726</v>
      </c>
      <c r="AC117" s="287">
        <v>2463276</v>
      </c>
    </row>
    <row r="118" spans="1:29">
      <c r="A118" s="907"/>
      <c r="B118" s="314" t="s">
        <v>301</v>
      </c>
      <c r="C118" s="259">
        <v>3006</v>
      </c>
      <c r="D118" s="259">
        <v>2441</v>
      </c>
      <c r="E118" s="259">
        <v>5447</v>
      </c>
      <c r="F118" s="259">
        <v>427</v>
      </c>
      <c r="G118" s="259">
        <v>449</v>
      </c>
      <c r="H118" s="259">
        <v>876</v>
      </c>
      <c r="I118" s="259">
        <v>116350</v>
      </c>
      <c r="J118" s="259">
        <v>150926</v>
      </c>
      <c r="K118" s="259">
        <v>267276</v>
      </c>
      <c r="L118" s="259">
        <v>825452</v>
      </c>
      <c r="M118" s="259">
        <v>753608</v>
      </c>
      <c r="N118" s="259">
        <v>1579060</v>
      </c>
      <c r="O118" s="259">
        <v>16921</v>
      </c>
      <c r="P118" s="259">
        <v>19014</v>
      </c>
      <c r="Q118" s="259">
        <v>35935</v>
      </c>
      <c r="R118" s="259">
        <v>74612</v>
      </c>
      <c r="S118" s="259">
        <v>42157</v>
      </c>
      <c r="T118" s="259">
        <v>116769</v>
      </c>
      <c r="U118" s="259">
        <v>845</v>
      </c>
      <c r="V118" s="259">
        <v>837</v>
      </c>
      <c r="W118" s="259">
        <v>1682</v>
      </c>
      <c r="X118" s="259">
        <v>10498</v>
      </c>
      <c r="Y118" s="259">
        <v>8326</v>
      </c>
      <c r="Z118" s="259">
        <v>18824</v>
      </c>
      <c r="AA118" s="259">
        <v>1048111</v>
      </c>
      <c r="AB118" s="259">
        <v>977758</v>
      </c>
      <c r="AC118" s="259">
        <v>2025869</v>
      </c>
    </row>
    <row r="119" spans="1:29">
      <c r="A119" s="907"/>
      <c r="B119" s="314" t="s">
        <v>300</v>
      </c>
      <c r="C119" s="287">
        <v>2383</v>
      </c>
      <c r="D119" s="287">
        <v>1710</v>
      </c>
      <c r="E119" s="287">
        <v>4093</v>
      </c>
      <c r="F119" s="287">
        <v>264</v>
      </c>
      <c r="G119" s="287">
        <v>379</v>
      </c>
      <c r="H119" s="287">
        <v>643</v>
      </c>
      <c r="I119" s="287">
        <v>90434</v>
      </c>
      <c r="J119" s="287">
        <v>112362</v>
      </c>
      <c r="K119" s="287">
        <v>202796</v>
      </c>
      <c r="L119" s="287">
        <v>719279</v>
      </c>
      <c r="M119" s="287">
        <v>648370</v>
      </c>
      <c r="N119" s="287">
        <v>1367649</v>
      </c>
      <c r="O119" s="287">
        <v>18203</v>
      </c>
      <c r="P119" s="287">
        <v>20074</v>
      </c>
      <c r="Q119" s="287">
        <v>38277</v>
      </c>
      <c r="R119" s="287">
        <v>72142</v>
      </c>
      <c r="S119" s="287">
        <v>43251</v>
      </c>
      <c r="T119" s="287">
        <v>115393</v>
      </c>
      <c r="U119" s="287">
        <v>1253</v>
      </c>
      <c r="V119" s="287">
        <v>673</v>
      </c>
      <c r="W119" s="287">
        <v>1926</v>
      </c>
      <c r="X119" s="287">
        <v>8300</v>
      </c>
      <c r="Y119" s="287">
        <v>6086</v>
      </c>
      <c r="Z119" s="287">
        <v>14386</v>
      </c>
      <c r="AA119" s="287">
        <v>912258</v>
      </c>
      <c r="AB119" s="287">
        <v>832905</v>
      </c>
      <c r="AC119" s="287">
        <v>1745163</v>
      </c>
    </row>
    <row r="120" spans="1:29">
      <c r="A120" s="907"/>
      <c r="B120" s="314" t="s">
        <v>299</v>
      </c>
      <c r="C120" s="103">
        <v>2427</v>
      </c>
      <c r="D120" s="103">
        <v>1558</v>
      </c>
      <c r="E120" s="105">
        <v>3985</v>
      </c>
      <c r="F120" s="103">
        <v>299</v>
      </c>
      <c r="G120" s="103">
        <v>466</v>
      </c>
      <c r="H120" s="105">
        <v>765</v>
      </c>
      <c r="I120" s="96">
        <v>83110.90634232352</v>
      </c>
      <c r="J120" s="96">
        <v>99069.116163813436</v>
      </c>
      <c r="K120" s="109">
        <v>182180.02250613697</v>
      </c>
      <c r="L120" s="96">
        <v>700004.54182277003</v>
      </c>
      <c r="M120" s="96">
        <v>604738.29455067066</v>
      </c>
      <c r="N120" s="109">
        <v>1304742.8363734407</v>
      </c>
      <c r="O120" s="103">
        <v>25153</v>
      </c>
      <c r="P120" s="103">
        <v>29328</v>
      </c>
      <c r="Q120" s="105">
        <v>54481</v>
      </c>
      <c r="R120" s="103">
        <v>93594</v>
      </c>
      <c r="S120" s="103">
        <v>53399</v>
      </c>
      <c r="T120" s="105">
        <v>146993</v>
      </c>
      <c r="U120" s="103">
        <v>1224</v>
      </c>
      <c r="V120" s="103">
        <v>819</v>
      </c>
      <c r="W120" s="105">
        <v>2043</v>
      </c>
      <c r="X120" s="103">
        <v>6118</v>
      </c>
      <c r="Y120" s="103">
        <v>3859</v>
      </c>
      <c r="Z120" s="105">
        <v>9977</v>
      </c>
      <c r="AA120" s="98">
        <v>911930.44816509355</v>
      </c>
      <c r="AB120" s="98">
        <v>793236.41071448405</v>
      </c>
      <c r="AC120" s="109">
        <v>1705166.8588795776</v>
      </c>
    </row>
    <row r="121" spans="1:29">
      <c r="A121" s="907"/>
      <c r="B121" s="314" t="s">
        <v>298</v>
      </c>
      <c r="C121" s="106">
        <v>1988</v>
      </c>
      <c r="D121" s="106">
        <v>1284</v>
      </c>
      <c r="E121" s="107">
        <v>3272</v>
      </c>
      <c r="F121" s="106">
        <v>336</v>
      </c>
      <c r="G121" s="106">
        <v>547</v>
      </c>
      <c r="H121" s="107">
        <v>883</v>
      </c>
      <c r="I121" s="106">
        <v>79470</v>
      </c>
      <c r="J121" s="106">
        <v>92331</v>
      </c>
      <c r="K121" s="107">
        <v>171801</v>
      </c>
      <c r="L121" s="106">
        <v>678062</v>
      </c>
      <c r="M121" s="106">
        <v>562793</v>
      </c>
      <c r="N121" s="107">
        <v>1240855</v>
      </c>
      <c r="O121" s="106">
        <v>23552</v>
      </c>
      <c r="P121" s="106">
        <v>26292</v>
      </c>
      <c r="Q121" s="107">
        <v>49844</v>
      </c>
      <c r="R121" s="106">
        <v>90285</v>
      </c>
      <c r="S121" s="106">
        <v>48774</v>
      </c>
      <c r="T121" s="107">
        <v>139059</v>
      </c>
      <c r="U121" s="106">
        <v>1306</v>
      </c>
      <c r="V121" s="106">
        <v>889</v>
      </c>
      <c r="W121" s="107">
        <v>2195</v>
      </c>
      <c r="X121" s="106">
        <v>4732</v>
      </c>
      <c r="Y121" s="106">
        <v>3163</v>
      </c>
      <c r="Z121" s="107">
        <v>7895</v>
      </c>
      <c r="AA121" s="108">
        <v>879731</v>
      </c>
      <c r="AB121" s="108">
        <v>736073</v>
      </c>
      <c r="AC121" s="107">
        <f t="shared" ref="AC121" si="16">AA121+AB121</f>
        <v>1615804</v>
      </c>
    </row>
    <row r="122" spans="1:29">
      <c r="A122" s="907">
        <v>20</v>
      </c>
      <c r="B122" s="324" t="s">
        <v>34</v>
      </c>
      <c r="C122" s="325"/>
      <c r="D122" s="326"/>
      <c r="E122" s="326"/>
      <c r="F122" s="326"/>
      <c r="G122" s="326"/>
      <c r="H122" s="326"/>
      <c r="I122" s="326"/>
      <c r="J122" s="326"/>
      <c r="K122" s="327"/>
      <c r="L122" s="325"/>
      <c r="M122" s="326"/>
      <c r="N122" s="326"/>
      <c r="O122" s="326"/>
      <c r="P122" s="326"/>
      <c r="Q122" s="326"/>
      <c r="R122" s="326"/>
      <c r="S122" s="326"/>
      <c r="T122" s="327"/>
      <c r="U122" s="325"/>
      <c r="V122" s="326"/>
      <c r="W122" s="326"/>
      <c r="X122" s="326"/>
      <c r="Y122" s="326"/>
      <c r="Z122" s="326"/>
      <c r="AA122" s="326"/>
      <c r="AB122" s="326"/>
      <c r="AC122" s="327"/>
    </row>
    <row r="123" spans="1:29">
      <c r="A123" s="907"/>
      <c r="B123" s="314" t="s">
        <v>997</v>
      </c>
      <c r="C123" s="287">
        <v>9358</v>
      </c>
      <c r="D123" s="287">
        <v>6393</v>
      </c>
      <c r="E123" s="287">
        <v>15751</v>
      </c>
      <c r="F123" s="287">
        <v>385</v>
      </c>
      <c r="G123" s="287">
        <v>349</v>
      </c>
      <c r="H123" s="287">
        <v>734</v>
      </c>
      <c r="I123" s="287">
        <v>188587</v>
      </c>
      <c r="J123" s="287">
        <v>206097</v>
      </c>
      <c r="K123" s="287">
        <v>394684</v>
      </c>
      <c r="L123" s="287">
        <v>1581859</v>
      </c>
      <c r="M123" s="287">
        <v>1341819</v>
      </c>
      <c r="N123" s="287">
        <v>2923678</v>
      </c>
      <c r="O123" s="287">
        <v>8734</v>
      </c>
      <c r="P123" s="287">
        <v>6625</v>
      </c>
      <c r="Q123" s="287">
        <v>15359</v>
      </c>
      <c r="R123" s="287">
        <v>215795</v>
      </c>
      <c r="S123" s="287">
        <v>145439</v>
      </c>
      <c r="T123" s="287">
        <v>361234</v>
      </c>
      <c r="U123" s="287">
        <v>4706</v>
      </c>
      <c r="V123" s="287">
        <v>4266</v>
      </c>
      <c r="W123" s="287">
        <v>8972</v>
      </c>
      <c r="X123" s="287">
        <v>8314</v>
      </c>
      <c r="Y123" s="287">
        <v>7527</v>
      </c>
      <c r="Z123" s="287">
        <v>15841</v>
      </c>
      <c r="AA123" s="287">
        <v>2017738</v>
      </c>
      <c r="AB123" s="287">
        <v>1718515</v>
      </c>
      <c r="AC123" s="287">
        <v>3736253</v>
      </c>
    </row>
    <row r="124" spans="1:29">
      <c r="A124" s="907"/>
      <c r="B124" s="314" t="s">
        <v>301</v>
      </c>
      <c r="C124" s="259">
        <v>7122</v>
      </c>
      <c r="D124" s="259">
        <v>4861</v>
      </c>
      <c r="E124" s="259">
        <v>11983</v>
      </c>
      <c r="F124" s="259">
        <v>760</v>
      </c>
      <c r="G124" s="259">
        <v>716</v>
      </c>
      <c r="H124" s="259">
        <v>1476</v>
      </c>
      <c r="I124" s="259">
        <v>184339</v>
      </c>
      <c r="J124" s="259">
        <v>215963</v>
      </c>
      <c r="K124" s="259">
        <v>400302</v>
      </c>
      <c r="L124" s="259">
        <v>1504364</v>
      </c>
      <c r="M124" s="259">
        <v>1341482</v>
      </c>
      <c r="N124" s="259">
        <v>2845846</v>
      </c>
      <c r="O124" s="259">
        <v>9129</v>
      </c>
      <c r="P124" s="259">
        <v>7369</v>
      </c>
      <c r="Q124" s="259">
        <v>16498</v>
      </c>
      <c r="R124" s="259">
        <v>165508</v>
      </c>
      <c r="S124" s="259">
        <v>129520</v>
      </c>
      <c r="T124" s="259">
        <v>295028</v>
      </c>
      <c r="U124" s="259">
        <v>6100</v>
      </c>
      <c r="V124" s="259">
        <v>6516</v>
      </c>
      <c r="W124" s="259">
        <v>12616</v>
      </c>
      <c r="X124" s="259">
        <v>8085</v>
      </c>
      <c r="Y124" s="259">
        <v>7837</v>
      </c>
      <c r="Z124" s="259">
        <v>15922</v>
      </c>
      <c r="AA124" s="259">
        <v>1885407</v>
      </c>
      <c r="AB124" s="259">
        <v>1714264</v>
      </c>
      <c r="AC124" s="259">
        <v>3599671</v>
      </c>
    </row>
    <row r="125" spans="1:29">
      <c r="A125" s="907"/>
      <c r="B125" s="314" t="s">
        <v>300</v>
      </c>
      <c r="C125" s="287">
        <v>4923</v>
      </c>
      <c r="D125" s="287">
        <v>3873</v>
      </c>
      <c r="E125" s="287">
        <v>8796</v>
      </c>
      <c r="F125" s="287">
        <v>1007</v>
      </c>
      <c r="G125" s="287">
        <v>1165</v>
      </c>
      <c r="H125" s="287">
        <v>2172</v>
      </c>
      <c r="I125" s="287">
        <v>177933</v>
      </c>
      <c r="J125" s="287">
        <v>205550</v>
      </c>
      <c r="K125" s="287">
        <v>383483</v>
      </c>
      <c r="L125" s="287">
        <v>1504130</v>
      </c>
      <c r="M125" s="287">
        <v>1321255</v>
      </c>
      <c r="N125" s="287">
        <v>2825385</v>
      </c>
      <c r="O125" s="287">
        <v>8490</v>
      </c>
      <c r="P125" s="287">
        <v>6404</v>
      </c>
      <c r="Q125" s="287">
        <v>14894</v>
      </c>
      <c r="R125" s="287">
        <v>198942</v>
      </c>
      <c r="S125" s="287">
        <v>130061</v>
      </c>
      <c r="T125" s="287">
        <v>329003</v>
      </c>
      <c r="U125" s="287">
        <v>6034</v>
      </c>
      <c r="V125" s="287">
        <v>5978</v>
      </c>
      <c r="W125" s="287">
        <v>12012</v>
      </c>
      <c r="X125" s="287">
        <v>7053</v>
      </c>
      <c r="Y125" s="287">
        <v>6470</v>
      </c>
      <c r="Z125" s="287">
        <v>13523</v>
      </c>
      <c r="AA125" s="287">
        <v>1908512</v>
      </c>
      <c r="AB125" s="287">
        <v>1680756</v>
      </c>
      <c r="AC125" s="287">
        <v>3589268</v>
      </c>
    </row>
    <row r="126" spans="1:29">
      <c r="A126" s="907"/>
      <c r="B126" s="314" t="s">
        <v>299</v>
      </c>
      <c r="C126" s="103">
        <v>5365</v>
      </c>
      <c r="D126" s="103">
        <v>3841</v>
      </c>
      <c r="E126" s="105">
        <v>9206</v>
      </c>
      <c r="F126" s="103">
        <v>1176</v>
      </c>
      <c r="G126" s="103">
        <v>1245</v>
      </c>
      <c r="H126" s="105">
        <v>2421</v>
      </c>
      <c r="I126" s="96">
        <v>159619.55704424754</v>
      </c>
      <c r="J126" s="96">
        <v>172083.06880900724</v>
      </c>
      <c r="K126" s="109">
        <v>331702.62585325481</v>
      </c>
      <c r="L126" s="96">
        <v>1443382.386085392</v>
      </c>
      <c r="M126" s="96">
        <v>1282846.6642717505</v>
      </c>
      <c r="N126" s="109">
        <v>2726229.0503571425</v>
      </c>
      <c r="O126" s="103">
        <v>8586</v>
      </c>
      <c r="P126" s="103">
        <v>6051</v>
      </c>
      <c r="Q126" s="105">
        <v>14637</v>
      </c>
      <c r="R126" s="103">
        <v>189102</v>
      </c>
      <c r="S126" s="103">
        <v>117068</v>
      </c>
      <c r="T126" s="105">
        <v>306170</v>
      </c>
      <c r="U126" s="103">
        <v>5385</v>
      </c>
      <c r="V126" s="103">
        <v>4725</v>
      </c>
      <c r="W126" s="105">
        <v>10110</v>
      </c>
      <c r="X126" s="103">
        <v>6076</v>
      </c>
      <c r="Y126" s="103">
        <v>5868</v>
      </c>
      <c r="Z126" s="105">
        <v>11944</v>
      </c>
      <c r="AA126" s="98">
        <v>1818691.9431296396</v>
      </c>
      <c r="AB126" s="98">
        <v>1593727.7330807578</v>
      </c>
      <c r="AC126" s="109">
        <v>3412419.6762103974</v>
      </c>
    </row>
    <row r="127" spans="1:29">
      <c r="A127" s="907"/>
      <c r="B127" s="314" t="s">
        <v>298</v>
      </c>
      <c r="C127" s="106">
        <v>4382</v>
      </c>
      <c r="D127" s="106">
        <v>3146</v>
      </c>
      <c r="E127" s="107">
        <v>7528</v>
      </c>
      <c r="F127" s="106">
        <v>1300</v>
      </c>
      <c r="G127" s="106">
        <v>1360</v>
      </c>
      <c r="H127" s="107">
        <v>2660</v>
      </c>
      <c r="I127" s="106">
        <v>160932</v>
      </c>
      <c r="J127" s="106">
        <v>157145</v>
      </c>
      <c r="K127" s="107">
        <v>318077</v>
      </c>
      <c r="L127" s="106">
        <v>1429213</v>
      </c>
      <c r="M127" s="106">
        <v>1213913</v>
      </c>
      <c r="N127" s="107">
        <v>2643126</v>
      </c>
      <c r="O127" s="106">
        <v>8742</v>
      </c>
      <c r="P127" s="106">
        <v>5593</v>
      </c>
      <c r="Q127" s="107">
        <v>14335</v>
      </c>
      <c r="R127" s="106">
        <v>198783</v>
      </c>
      <c r="S127" s="106">
        <v>112369</v>
      </c>
      <c r="T127" s="107">
        <v>311152</v>
      </c>
      <c r="U127" s="106">
        <v>5096</v>
      </c>
      <c r="V127" s="106">
        <v>4411</v>
      </c>
      <c r="W127" s="107">
        <v>9507</v>
      </c>
      <c r="X127" s="106">
        <v>5555</v>
      </c>
      <c r="Y127" s="106">
        <v>5367</v>
      </c>
      <c r="Z127" s="107">
        <v>10922</v>
      </c>
      <c r="AA127" s="108">
        <v>1814003</v>
      </c>
      <c r="AB127" s="108">
        <v>1503304</v>
      </c>
      <c r="AC127" s="107">
        <f t="shared" ref="AC127" si="17">AA127+AB127</f>
        <v>3317307</v>
      </c>
    </row>
    <row r="128" spans="1:29">
      <c r="A128" s="907">
        <v>21</v>
      </c>
      <c r="B128" s="324" t="s">
        <v>35</v>
      </c>
      <c r="C128" s="325"/>
      <c r="D128" s="326"/>
      <c r="E128" s="326"/>
      <c r="F128" s="326"/>
      <c r="G128" s="326"/>
      <c r="H128" s="326"/>
      <c r="I128" s="326"/>
      <c r="J128" s="326"/>
      <c r="K128" s="327"/>
      <c r="L128" s="325"/>
      <c r="M128" s="326"/>
      <c r="N128" s="326"/>
      <c r="O128" s="326"/>
      <c r="P128" s="326"/>
      <c r="Q128" s="326"/>
      <c r="R128" s="326"/>
      <c r="S128" s="326"/>
      <c r="T128" s="327"/>
      <c r="U128" s="325"/>
      <c r="V128" s="326"/>
      <c r="W128" s="326"/>
      <c r="X128" s="326"/>
      <c r="Y128" s="326"/>
      <c r="Z128" s="326"/>
      <c r="AA128" s="326"/>
      <c r="AB128" s="326"/>
      <c r="AC128" s="327"/>
    </row>
    <row r="129" spans="1:29">
      <c r="A129" s="907"/>
      <c r="B129" s="314" t="s">
        <v>997</v>
      </c>
      <c r="C129" s="287">
        <v>624</v>
      </c>
      <c r="D129" s="287">
        <v>569</v>
      </c>
      <c r="E129" s="287">
        <v>1193</v>
      </c>
      <c r="F129" s="287">
        <v>0</v>
      </c>
      <c r="G129" s="287">
        <v>12</v>
      </c>
      <c r="H129" s="287">
        <v>12</v>
      </c>
      <c r="I129" s="287">
        <v>3099</v>
      </c>
      <c r="J129" s="287">
        <v>4070</v>
      </c>
      <c r="K129" s="287">
        <v>7169</v>
      </c>
      <c r="L129" s="287">
        <v>60239</v>
      </c>
      <c r="M129" s="287">
        <v>59595</v>
      </c>
      <c r="N129" s="287">
        <v>119834</v>
      </c>
      <c r="O129" s="287">
        <v>345</v>
      </c>
      <c r="P129" s="287">
        <v>222</v>
      </c>
      <c r="Q129" s="287">
        <v>567</v>
      </c>
      <c r="R129" s="287">
        <v>1615</v>
      </c>
      <c r="S129" s="287">
        <v>2575</v>
      </c>
      <c r="T129" s="287">
        <v>4190</v>
      </c>
      <c r="U129" s="287">
        <v>160</v>
      </c>
      <c r="V129" s="287">
        <v>186</v>
      </c>
      <c r="W129" s="287">
        <v>346</v>
      </c>
      <c r="X129" s="287">
        <v>0</v>
      </c>
      <c r="Y129" s="287">
        <v>0</v>
      </c>
      <c r="Z129" s="287">
        <v>0</v>
      </c>
      <c r="AA129" s="287">
        <v>66082</v>
      </c>
      <c r="AB129" s="287">
        <v>67229</v>
      </c>
      <c r="AC129" s="287">
        <v>133311</v>
      </c>
    </row>
    <row r="130" spans="1:29">
      <c r="A130" s="907"/>
      <c r="B130" s="314" t="s">
        <v>301</v>
      </c>
      <c r="C130" s="259">
        <v>538</v>
      </c>
      <c r="D130" s="259">
        <v>507</v>
      </c>
      <c r="E130" s="259">
        <v>1045</v>
      </c>
      <c r="F130" s="259">
        <v>2</v>
      </c>
      <c r="G130" s="259">
        <v>10</v>
      </c>
      <c r="H130" s="259">
        <v>12</v>
      </c>
      <c r="I130" s="259">
        <v>2744</v>
      </c>
      <c r="J130" s="259">
        <v>3274</v>
      </c>
      <c r="K130" s="259">
        <v>6018</v>
      </c>
      <c r="L130" s="259">
        <v>52759</v>
      </c>
      <c r="M130" s="259">
        <v>54453</v>
      </c>
      <c r="N130" s="259">
        <v>107212</v>
      </c>
      <c r="O130" s="259">
        <v>144</v>
      </c>
      <c r="P130" s="259">
        <v>79</v>
      </c>
      <c r="Q130" s="259">
        <v>223</v>
      </c>
      <c r="R130" s="259">
        <v>1376</v>
      </c>
      <c r="S130" s="259">
        <v>2561</v>
      </c>
      <c r="T130" s="259">
        <v>3937</v>
      </c>
      <c r="U130" s="259">
        <v>55</v>
      </c>
      <c r="V130" s="259">
        <v>90</v>
      </c>
      <c r="W130" s="259">
        <v>145</v>
      </c>
      <c r="X130" s="259">
        <v>0</v>
      </c>
      <c r="Y130" s="259">
        <v>0</v>
      </c>
      <c r="Z130" s="259">
        <v>0</v>
      </c>
      <c r="AA130" s="259">
        <v>57618</v>
      </c>
      <c r="AB130" s="259">
        <v>60974</v>
      </c>
      <c r="AC130" s="259">
        <v>118592</v>
      </c>
    </row>
    <row r="131" spans="1:29">
      <c r="A131" s="907"/>
      <c r="B131" s="314" t="s">
        <v>300</v>
      </c>
      <c r="C131" s="287">
        <v>601</v>
      </c>
      <c r="D131" s="287">
        <v>487</v>
      </c>
      <c r="E131" s="287">
        <v>1088</v>
      </c>
      <c r="F131" s="287">
        <v>1</v>
      </c>
      <c r="G131" s="287">
        <v>10</v>
      </c>
      <c r="H131" s="287">
        <v>11</v>
      </c>
      <c r="I131" s="287">
        <v>2433</v>
      </c>
      <c r="J131" s="287">
        <v>2633</v>
      </c>
      <c r="K131" s="287">
        <v>5066</v>
      </c>
      <c r="L131" s="287">
        <v>46921</v>
      </c>
      <c r="M131" s="287">
        <v>47938</v>
      </c>
      <c r="N131" s="287">
        <v>94859</v>
      </c>
      <c r="O131" s="287">
        <v>106</v>
      </c>
      <c r="P131" s="287">
        <v>77</v>
      </c>
      <c r="Q131" s="287">
        <v>183</v>
      </c>
      <c r="R131" s="287">
        <v>1261</v>
      </c>
      <c r="S131" s="287">
        <v>1768</v>
      </c>
      <c r="T131" s="287">
        <v>3029</v>
      </c>
      <c r="U131" s="287">
        <v>46</v>
      </c>
      <c r="V131" s="287">
        <v>72</v>
      </c>
      <c r="W131" s="287">
        <v>118</v>
      </c>
      <c r="X131" s="287">
        <v>0</v>
      </c>
      <c r="Y131" s="287">
        <v>0</v>
      </c>
      <c r="Z131" s="287">
        <v>0</v>
      </c>
      <c r="AA131" s="287">
        <v>51369</v>
      </c>
      <c r="AB131" s="287">
        <v>52985</v>
      </c>
      <c r="AC131" s="287">
        <v>104354</v>
      </c>
    </row>
    <row r="132" spans="1:29">
      <c r="A132" s="907"/>
      <c r="B132" s="314" t="s">
        <v>299</v>
      </c>
      <c r="C132" s="103">
        <v>332</v>
      </c>
      <c r="D132" s="103">
        <v>314</v>
      </c>
      <c r="E132" s="105">
        <v>646</v>
      </c>
      <c r="F132" s="103">
        <v>0</v>
      </c>
      <c r="G132" s="103">
        <v>7</v>
      </c>
      <c r="H132" s="105">
        <v>7</v>
      </c>
      <c r="I132" s="96">
        <v>1995.0058442846948</v>
      </c>
      <c r="J132" s="96">
        <v>2210.6823511592738</v>
      </c>
      <c r="K132" s="109">
        <v>4205.6881954439687</v>
      </c>
      <c r="L132" s="96">
        <v>43571.869593728305</v>
      </c>
      <c r="M132" s="96">
        <v>47757.413332074699</v>
      </c>
      <c r="N132" s="109">
        <v>91329.282925803011</v>
      </c>
      <c r="O132" s="103">
        <v>96</v>
      </c>
      <c r="P132" s="103">
        <v>40</v>
      </c>
      <c r="Q132" s="105">
        <v>136</v>
      </c>
      <c r="R132" s="103">
        <v>949</v>
      </c>
      <c r="S132" s="103">
        <v>794</v>
      </c>
      <c r="T132" s="105">
        <v>1743</v>
      </c>
      <c r="U132" s="103">
        <v>0</v>
      </c>
      <c r="V132" s="103">
        <v>30</v>
      </c>
      <c r="W132" s="105">
        <v>30</v>
      </c>
      <c r="X132" s="103">
        <v>0</v>
      </c>
      <c r="Y132" s="103">
        <v>0</v>
      </c>
      <c r="Z132" s="105">
        <v>0</v>
      </c>
      <c r="AA132" s="98">
        <v>46943.875438012998</v>
      </c>
      <c r="AB132" s="98">
        <v>51153.095683233973</v>
      </c>
      <c r="AC132" s="109">
        <v>98096.971121246985</v>
      </c>
    </row>
    <row r="133" spans="1:29">
      <c r="A133" s="907"/>
      <c r="B133" s="314" t="s">
        <v>298</v>
      </c>
      <c r="C133" s="106">
        <v>392</v>
      </c>
      <c r="D133" s="106">
        <v>334</v>
      </c>
      <c r="E133" s="107">
        <v>726</v>
      </c>
      <c r="F133" s="106">
        <v>0</v>
      </c>
      <c r="G133" s="106">
        <v>3</v>
      </c>
      <c r="H133" s="107">
        <v>3</v>
      </c>
      <c r="I133" s="106">
        <v>2190</v>
      </c>
      <c r="J133" s="106">
        <v>2041</v>
      </c>
      <c r="K133" s="107">
        <v>4231</v>
      </c>
      <c r="L133" s="106">
        <v>42698</v>
      </c>
      <c r="M133" s="106">
        <v>44860</v>
      </c>
      <c r="N133" s="107">
        <v>87558</v>
      </c>
      <c r="O133" s="106">
        <v>114</v>
      </c>
      <c r="P133" s="106">
        <v>57</v>
      </c>
      <c r="Q133" s="107">
        <v>171</v>
      </c>
      <c r="R133" s="106">
        <v>1020</v>
      </c>
      <c r="S133" s="106">
        <v>764</v>
      </c>
      <c r="T133" s="107">
        <v>1784</v>
      </c>
      <c r="U133" s="106">
        <v>0</v>
      </c>
      <c r="V133" s="106">
        <v>70</v>
      </c>
      <c r="W133" s="107">
        <v>70</v>
      </c>
      <c r="X133" s="106">
        <v>0</v>
      </c>
      <c r="Y133" s="106">
        <v>0</v>
      </c>
      <c r="Z133" s="107">
        <v>0</v>
      </c>
      <c r="AA133" s="108">
        <v>46414</v>
      </c>
      <c r="AB133" s="108">
        <v>48129</v>
      </c>
      <c r="AC133" s="107">
        <f t="shared" ref="AC133" si="18">AA133+AB133</f>
        <v>94543</v>
      </c>
    </row>
    <row r="134" spans="1:29">
      <c r="A134" s="907">
        <v>22</v>
      </c>
      <c r="B134" s="324" t="s">
        <v>36</v>
      </c>
      <c r="C134" s="325"/>
      <c r="D134" s="326"/>
      <c r="E134" s="326"/>
      <c r="F134" s="326"/>
      <c r="G134" s="326"/>
      <c r="H134" s="326"/>
      <c r="I134" s="326"/>
      <c r="J134" s="326"/>
      <c r="K134" s="327"/>
      <c r="L134" s="325"/>
      <c r="M134" s="326"/>
      <c r="N134" s="326"/>
      <c r="O134" s="326"/>
      <c r="P134" s="326"/>
      <c r="Q134" s="326"/>
      <c r="R134" s="326"/>
      <c r="S134" s="326"/>
      <c r="T134" s="327"/>
      <c r="U134" s="325"/>
      <c r="V134" s="326"/>
      <c r="W134" s="326"/>
      <c r="X134" s="326"/>
      <c r="Y134" s="326"/>
      <c r="Z134" s="326"/>
      <c r="AA134" s="326"/>
      <c r="AB134" s="326"/>
      <c r="AC134" s="327"/>
    </row>
    <row r="135" spans="1:29">
      <c r="A135" s="907"/>
      <c r="B135" s="314" t="s">
        <v>997</v>
      </c>
      <c r="C135" s="287">
        <v>469</v>
      </c>
      <c r="D135" s="287">
        <v>364</v>
      </c>
      <c r="E135" s="287">
        <v>833</v>
      </c>
      <c r="F135" s="287">
        <v>0</v>
      </c>
      <c r="G135" s="287">
        <v>0</v>
      </c>
      <c r="H135" s="287">
        <v>0</v>
      </c>
      <c r="I135" s="287">
        <v>3125</v>
      </c>
      <c r="J135" s="287">
        <v>4882</v>
      </c>
      <c r="K135" s="287">
        <v>8007</v>
      </c>
      <c r="L135" s="287">
        <v>35316</v>
      </c>
      <c r="M135" s="287">
        <v>43731</v>
      </c>
      <c r="N135" s="287">
        <v>79047</v>
      </c>
      <c r="O135" s="287">
        <v>42</v>
      </c>
      <c r="P135" s="287">
        <v>37</v>
      </c>
      <c r="Q135" s="287">
        <v>79</v>
      </c>
      <c r="R135" s="287">
        <v>1300</v>
      </c>
      <c r="S135" s="287">
        <v>2194</v>
      </c>
      <c r="T135" s="287">
        <v>3494</v>
      </c>
      <c r="U135" s="287">
        <v>172</v>
      </c>
      <c r="V135" s="287">
        <v>214</v>
      </c>
      <c r="W135" s="287">
        <v>386</v>
      </c>
      <c r="X135" s="287">
        <v>73</v>
      </c>
      <c r="Y135" s="287">
        <v>54</v>
      </c>
      <c r="Z135" s="287">
        <v>127</v>
      </c>
      <c r="AA135" s="287">
        <v>40497</v>
      </c>
      <c r="AB135" s="287">
        <v>51476</v>
      </c>
      <c r="AC135" s="287">
        <v>91973</v>
      </c>
    </row>
    <row r="136" spans="1:29">
      <c r="A136" s="907"/>
      <c r="B136" s="314" t="s">
        <v>301</v>
      </c>
      <c r="C136" s="259">
        <v>492</v>
      </c>
      <c r="D136" s="259">
        <v>378</v>
      </c>
      <c r="E136" s="259">
        <v>870</v>
      </c>
      <c r="F136" s="259">
        <v>10</v>
      </c>
      <c r="G136" s="259">
        <v>23</v>
      </c>
      <c r="H136" s="259">
        <v>33</v>
      </c>
      <c r="I136" s="259">
        <v>2979</v>
      </c>
      <c r="J136" s="259">
        <v>4304</v>
      </c>
      <c r="K136" s="259">
        <v>7283</v>
      </c>
      <c r="L136" s="259">
        <v>32135</v>
      </c>
      <c r="M136" s="259">
        <v>37234</v>
      </c>
      <c r="N136" s="259">
        <v>69369</v>
      </c>
      <c r="O136" s="259">
        <v>32</v>
      </c>
      <c r="P136" s="259">
        <v>37</v>
      </c>
      <c r="Q136" s="259">
        <v>69</v>
      </c>
      <c r="R136" s="259">
        <v>1076</v>
      </c>
      <c r="S136" s="259">
        <v>1637</v>
      </c>
      <c r="T136" s="259">
        <v>2713</v>
      </c>
      <c r="U136" s="259">
        <v>47</v>
      </c>
      <c r="V136" s="259">
        <v>47</v>
      </c>
      <c r="W136" s="259">
        <v>94</v>
      </c>
      <c r="X136" s="259">
        <v>70</v>
      </c>
      <c r="Y136" s="259">
        <v>52</v>
      </c>
      <c r="Z136" s="259">
        <v>122</v>
      </c>
      <c r="AA136" s="259">
        <v>36841</v>
      </c>
      <c r="AB136" s="259">
        <v>43712</v>
      </c>
      <c r="AC136" s="259">
        <v>80553</v>
      </c>
    </row>
    <row r="137" spans="1:29">
      <c r="A137" s="907"/>
      <c r="B137" s="314" t="s">
        <v>300</v>
      </c>
      <c r="C137" s="287">
        <v>475</v>
      </c>
      <c r="D137" s="287">
        <v>678</v>
      </c>
      <c r="E137" s="287">
        <v>1153</v>
      </c>
      <c r="F137" s="287">
        <v>29</v>
      </c>
      <c r="G137" s="287">
        <v>46</v>
      </c>
      <c r="H137" s="287">
        <v>75</v>
      </c>
      <c r="I137" s="287">
        <v>2479</v>
      </c>
      <c r="J137" s="287">
        <v>3772</v>
      </c>
      <c r="K137" s="287">
        <v>6251</v>
      </c>
      <c r="L137" s="287">
        <v>31975</v>
      </c>
      <c r="M137" s="287">
        <v>36789</v>
      </c>
      <c r="N137" s="287">
        <v>68764</v>
      </c>
      <c r="O137" s="287">
        <v>26</v>
      </c>
      <c r="P137" s="287">
        <v>11</v>
      </c>
      <c r="Q137" s="287">
        <v>37</v>
      </c>
      <c r="R137" s="287">
        <v>1083</v>
      </c>
      <c r="S137" s="287">
        <v>1719</v>
      </c>
      <c r="T137" s="287">
        <v>2802</v>
      </c>
      <c r="U137" s="287">
        <v>0</v>
      </c>
      <c r="V137" s="287">
        <v>0</v>
      </c>
      <c r="W137" s="287">
        <v>0</v>
      </c>
      <c r="X137" s="287">
        <v>52</v>
      </c>
      <c r="Y137" s="287">
        <v>42</v>
      </c>
      <c r="Z137" s="287">
        <v>94</v>
      </c>
      <c r="AA137" s="287">
        <v>36119</v>
      </c>
      <c r="AB137" s="287">
        <v>43057</v>
      </c>
      <c r="AC137" s="287">
        <v>79176</v>
      </c>
    </row>
    <row r="138" spans="1:29">
      <c r="A138" s="907"/>
      <c r="B138" s="314" t="s">
        <v>299</v>
      </c>
      <c r="C138" s="103">
        <v>466</v>
      </c>
      <c r="D138" s="103">
        <v>513</v>
      </c>
      <c r="E138" s="105">
        <v>979</v>
      </c>
      <c r="F138" s="103">
        <v>29</v>
      </c>
      <c r="G138" s="103">
        <v>57</v>
      </c>
      <c r="H138" s="105">
        <v>86</v>
      </c>
      <c r="I138" s="96">
        <v>2352.6169960883171</v>
      </c>
      <c r="J138" s="96">
        <v>3120.526674096649</v>
      </c>
      <c r="K138" s="109">
        <v>5473.143670184967</v>
      </c>
      <c r="L138" s="96">
        <v>31670.096490820324</v>
      </c>
      <c r="M138" s="96">
        <v>34496.56319698006</v>
      </c>
      <c r="N138" s="109">
        <v>66166.659687800377</v>
      </c>
      <c r="O138" s="103">
        <v>17</v>
      </c>
      <c r="P138" s="103">
        <v>32</v>
      </c>
      <c r="Q138" s="105">
        <v>49</v>
      </c>
      <c r="R138" s="103">
        <v>873</v>
      </c>
      <c r="S138" s="103">
        <v>1436</v>
      </c>
      <c r="T138" s="105">
        <v>2309</v>
      </c>
      <c r="U138" s="103">
        <v>5</v>
      </c>
      <c r="V138" s="103">
        <v>73</v>
      </c>
      <c r="W138" s="105">
        <v>78</v>
      </c>
      <c r="X138" s="103">
        <v>40</v>
      </c>
      <c r="Y138" s="103">
        <v>27</v>
      </c>
      <c r="Z138" s="105">
        <v>67</v>
      </c>
      <c r="AA138" s="98">
        <v>35452.713486908644</v>
      </c>
      <c r="AB138" s="98">
        <v>39755.089871076707</v>
      </c>
      <c r="AC138" s="109">
        <v>75207.803357985336</v>
      </c>
    </row>
    <row r="139" spans="1:29">
      <c r="A139" s="907"/>
      <c r="B139" s="314" t="s">
        <v>298</v>
      </c>
      <c r="C139" s="106">
        <v>471</v>
      </c>
      <c r="D139" s="106">
        <v>492</v>
      </c>
      <c r="E139" s="107">
        <v>963</v>
      </c>
      <c r="F139" s="106">
        <v>108</v>
      </c>
      <c r="G139" s="106">
        <v>137</v>
      </c>
      <c r="H139" s="107">
        <v>245</v>
      </c>
      <c r="I139" s="106">
        <v>2100</v>
      </c>
      <c r="J139" s="106">
        <v>2855</v>
      </c>
      <c r="K139" s="107">
        <v>4955</v>
      </c>
      <c r="L139" s="106">
        <v>31345</v>
      </c>
      <c r="M139" s="106">
        <v>31952</v>
      </c>
      <c r="N139" s="107">
        <v>63297</v>
      </c>
      <c r="O139" s="106">
        <v>34</v>
      </c>
      <c r="P139" s="106">
        <v>33</v>
      </c>
      <c r="Q139" s="107">
        <v>67</v>
      </c>
      <c r="R139" s="106">
        <v>819</v>
      </c>
      <c r="S139" s="106">
        <v>1147</v>
      </c>
      <c r="T139" s="107">
        <v>1966</v>
      </c>
      <c r="U139" s="106">
        <v>0</v>
      </c>
      <c r="V139" s="106">
        <v>0</v>
      </c>
      <c r="W139" s="107">
        <v>0</v>
      </c>
      <c r="X139" s="106">
        <v>21</v>
      </c>
      <c r="Y139" s="106">
        <v>17</v>
      </c>
      <c r="Z139" s="107">
        <v>38</v>
      </c>
      <c r="AA139" s="108">
        <v>34898</v>
      </c>
      <c r="AB139" s="108">
        <v>36633</v>
      </c>
      <c r="AC139" s="107">
        <f t="shared" ref="AC139" si="19">AA139+AB139</f>
        <v>71531</v>
      </c>
    </row>
    <row r="140" spans="1:29">
      <c r="A140" s="907">
        <v>23</v>
      </c>
      <c r="B140" s="324" t="s">
        <v>37</v>
      </c>
      <c r="C140" s="325"/>
      <c r="D140" s="326"/>
      <c r="E140" s="326"/>
      <c r="F140" s="326"/>
      <c r="G140" s="326"/>
      <c r="H140" s="326"/>
      <c r="I140" s="326"/>
      <c r="J140" s="326"/>
      <c r="K140" s="327"/>
      <c r="L140" s="325"/>
      <c r="M140" s="326"/>
      <c r="N140" s="326"/>
      <c r="O140" s="326"/>
      <c r="P140" s="326"/>
      <c r="Q140" s="326"/>
      <c r="R140" s="326"/>
      <c r="S140" s="326"/>
      <c r="T140" s="327"/>
      <c r="U140" s="325"/>
      <c r="V140" s="326"/>
      <c r="W140" s="326"/>
      <c r="X140" s="326"/>
      <c r="Y140" s="326"/>
      <c r="Z140" s="326"/>
      <c r="AA140" s="326"/>
      <c r="AB140" s="326"/>
      <c r="AC140" s="327"/>
    </row>
    <row r="141" spans="1:29">
      <c r="A141" s="907"/>
      <c r="B141" s="314" t="s">
        <v>997</v>
      </c>
      <c r="C141" s="287">
        <v>551</v>
      </c>
      <c r="D141" s="287">
        <v>436</v>
      </c>
      <c r="E141" s="287">
        <v>987</v>
      </c>
      <c r="F141" s="287">
        <v>56</v>
      </c>
      <c r="G141" s="287">
        <v>59</v>
      </c>
      <c r="H141" s="287">
        <v>115</v>
      </c>
      <c r="I141" s="287">
        <v>1127</v>
      </c>
      <c r="J141" s="287">
        <v>1313</v>
      </c>
      <c r="K141" s="287">
        <v>2440</v>
      </c>
      <c r="L141" s="287">
        <v>13723</v>
      </c>
      <c r="M141" s="287">
        <v>12815</v>
      </c>
      <c r="N141" s="287">
        <v>26538</v>
      </c>
      <c r="O141" s="287">
        <v>0</v>
      </c>
      <c r="P141" s="287">
        <v>0</v>
      </c>
      <c r="Q141" s="287">
        <v>0</v>
      </c>
      <c r="R141" s="287">
        <v>698</v>
      </c>
      <c r="S141" s="287">
        <v>1435</v>
      </c>
      <c r="T141" s="287">
        <v>2133</v>
      </c>
      <c r="U141" s="287">
        <v>0</v>
      </c>
      <c r="V141" s="287">
        <v>20</v>
      </c>
      <c r="W141" s="287">
        <v>20</v>
      </c>
      <c r="X141" s="287">
        <v>29</v>
      </c>
      <c r="Y141" s="287">
        <v>23</v>
      </c>
      <c r="Z141" s="287">
        <v>52</v>
      </c>
      <c r="AA141" s="287">
        <v>16184</v>
      </c>
      <c r="AB141" s="287">
        <v>16101</v>
      </c>
      <c r="AC141" s="287">
        <v>32285</v>
      </c>
    </row>
    <row r="142" spans="1:29">
      <c r="A142" s="907"/>
      <c r="B142" s="314" t="s">
        <v>301</v>
      </c>
      <c r="C142" s="259">
        <v>479</v>
      </c>
      <c r="D142" s="259">
        <v>388</v>
      </c>
      <c r="E142" s="259">
        <v>867</v>
      </c>
      <c r="F142" s="259">
        <v>75</v>
      </c>
      <c r="G142" s="259">
        <v>77</v>
      </c>
      <c r="H142" s="259">
        <v>152</v>
      </c>
      <c r="I142" s="259">
        <v>1143</v>
      </c>
      <c r="J142" s="259">
        <v>1173</v>
      </c>
      <c r="K142" s="259">
        <v>2316</v>
      </c>
      <c r="L142" s="259">
        <v>10938</v>
      </c>
      <c r="M142" s="259">
        <v>9351</v>
      </c>
      <c r="N142" s="259">
        <v>20289</v>
      </c>
      <c r="O142" s="259">
        <v>0</v>
      </c>
      <c r="P142" s="259">
        <v>0</v>
      </c>
      <c r="Q142" s="259">
        <v>0</v>
      </c>
      <c r="R142" s="259">
        <v>649</v>
      </c>
      <c r="S142" s="259">
        <v>1213</v>
      </c>
      <c r="T142" s="259">
        <v>1862</v>
      </c>
      <c r="U142" s="259">
        <v>304</v>
      </c>
      <c r="V142" s="259">
        <v>159</v>
      </c>
      <c r="W142" s="259">
        <v>463</v>
      </c>
      <c r="X142" s="259">
        <v>47</v>
      </c>
      <c r="Y142" s="259">
        <v>26</v>
      </c>
      <c r="Z142" s="259">
        <v>73</v>
      </c>
      <c r="AA142" s="259">
        <v>13635</v>
      </c>
      <c r="AB142" s="259">
        <v>12387</v>
      </c>
      <c r="AC142" s="259">
        <v>26022</v>
      </c>
    </row>
    <row r="143" spans="1:29">
      <c r="A143" s="907"/>
      <c r="B143" s="314" t="s">
        <v>300</v>
      </c>
      <c r="C143" s="287">
        <v>415</v>
      </c>
      <c r="D143" s="287">
        <v>368</v>
      </c>
      <c r="E143" s="287">
        <v>783</v>
      </c>
      <c r="F143" s="287">
        <v>77</v>
      </c>
      <c r="G143" s="287">
        <v>112</v>
      </c>
      <c r="H143" s="287">
        <v>189</v>
      </c>
      <c r="I143" s="287">
        <v>1217</v>
      </c>
      <c r="J143" s="287">
        <v>1174</v>
      </c>
      <c r="K143" s="287">
        <v>2391</v>
      </c>
      <c r="L143" s="287">
        <v>10794</v>
      </c>
      <c r="M143" s="287">
        <v>9069</v>
      </c>
      <c r="N143" s="287">
        <v>19863</v>
      </c>
      <c r="O143" s="287">
        <v>0</v>
      </c>
      <c r="P143" s="287">
        <v>0</v>
      </c>
      <c r="Q143" s="287">
        <v>0</v>
      </c>
      <c r="R143" s="287">
        <v>666</v>
      </c>
      <c r="S143" s="287">
        <v>1138</v>
      </c>
      <c r="T143" s="287">
        <v>1804</v>
      </c>
      <c r="U143" s="287">
        <v>285</v>
      </c>
      <c r="V143" s="287">
        <v>171</v>
      </c>
      <c r="W143" s="287">
        <v>456</v>
      </c>
      <c r="X143" s="287">
        <v>66</v>
      </c>
      <c r="Y143" s="287">
        <v>44</v>
      </c>
      <c r="Z143" s="287">
        <v>110</v>
      </c>
      <c r="AA143" s="287">
        <v>13520</v>
      </c>
      <c r="AB143" s="287">
        <v>12076</v>
      </c>
      <c r="AC143" s="287">
        <v>25596</v>
      </c>
    </row>
    <row r="144" spans="1:29">
      <c r="A144" s="907"/>
      <c r="B144" s="314" t="s">
        <v>299</v>
      </c>
      <c r="C144" s="103">
        <v>347</v>
      </c>
      <c r="D144" s="103">
        <v>296</v>
      </c>
      <c r="E144" s="105">
        <v>643</v>
      </c>
      <c r="F144" s="103">
        <v>71</v>
      </c>
      <c r="G144" s="103">
        <v>75</v>
      </c>
      <c r="H144" s="105">
        <v>146</v>
      </c>
      <c r="I144" s="103">
        <v>1168</v>
      </c>
      <c r="J144" s="103">
        <v>1183</v>
      </c>
      <c r="K144" s="105">
        <v>2351</v>
      </c>
      <c r="L144" s="103">
        <v>10263</v>
      </c>
      <c r="M144" s="103">
        <v>8879</v>
      </c>
      <c r="N144" s="105">
        <v>19142</v>
      </c>
      <c r="O144" s="103">
        <v>0</v>
      </c>
      <c r="P144" s="103">
        <v>0</v>
      </c>
      <c r="Q144" s="105">
        <v>0</v>
      </c>
      <c r="R144" s="103">
        <v>609</v>
      </c>
      <c r="S144" s="103">
        <v>1124</v>
      </c>
      <c r="T144" s="105">
        <v>1733</v>
      </c>
      <c r="U144" s="103">
        <v>190</v>
      </c>
      <c r="V144" s="103">
        <v>143</v>
      </c>
      <c r="W144" s="105">
        <v>333</v>
      </c>
      <c r="X144" s="103">
        <v>66</v>
      </c>
      <c r="Y144" s="103">
        <v>37</v>
      </c>
      <c r="Z144" s="105">
        <v>103</v>
      </c>
      <c r="AA144" s="95">
        <v>12714</v>
      </c>
      <c r="AB144" s="95">
        <v>11737</v>
      </c>
      <c r="AC144" s="105">
        <v>24451</v>
      </c>
    </row>
    <row r="145" spans="1:29">
      <c r="A145" s="907"/>
      <c r="B145" s="314" t="s">
        <v>298</v>
      </c>
      <c r="C145" s="106">
        <v>362</v>
      </c>
      <c r="D145" s="106">
        <v>256</v>
      </c>
      <c r="E145" s="107">
        <v>618</v>
      </c>
      <c r="F145" s="106">
        <v>82</v>
      </c>
      <c r="G145" s="106">
        <v>95</v>
      </c>
      <c r="H145" s="107">
        <v>177</v>
      </c>
      <c r="I145" s="106">
        <v>1076</v>
      </c>
      <c r="J145" s="106">
        <v>1045</v>
      </c>
      <c r="K145" s="107">
        <v>2121</v>
      </c>
      <c r="L145" s="106">
        <v>11030</v>
      </c>
      <c r="M145" s="106">
        <v>9661</v>
      </c>
      <c r="N145" s="107">
        <v>20691</v>
      </c>
      <c r="O145" s="106">
        <v>0</v>
      </c>
      <c r="P145" s="106">
        <v>0</v>
      </c>
      <c r="Q145" s="107">
        <v>0</v>
      </c>
      <c r="R145" s="106">
        <v>619</v>
      </c>
      <c r="S145" s="106">
        <v>1151</v>
      </c>
      <c r="T145" s="107">
        <v>1770</v>
      </c>
      <c r="U145" s="106">
        <v>0</v>
      </c>
      <c r="V145" s="106">
        <v>0</v>
      </c>
      <c r="W145" s="107">
        <v>0</v>
      </c>
      <c r="X145" s="106">
        <v>56</v>
      </c>
      <c r="Y145" s="106">
        <v>36</v>
      </c>
      <c r="Z145" s="107">
        <v>92</v>
      </c>
      <c r="AA145" s="108">
        <v>13225</v>
      </c>
      <c r="AB145" s="108">
        <v>12244</v>
      </c>
      <c r="AC145" s="107">
        <f t="shared" ref="AC145" si="20">AA145+AB145</f>
        <v>25469</v>
      </c>
    </row>
    <row r="146" spans="1:29">
      <c r="A146" s="907">
        <v>24</v>
      </c>
      <c r="B146" s="324" t="s">
        <v>38</v>
      </c>
      <c r="C146" s="325"/>
      <c r="D146" s="326"/>
      <c r="E146" s="326"/>
      <c r="F146" s="326"/>
      <c r="G146" s="326"/>
      <c r="H146" s="326"/>
      <c r="I146" s="326"/>
      <c r="J146" s="326"/>
      <c r="K146" s="327"/>
      <c r="L146" s="325"/>
      <c r="M146" s="326"/>
      <c r="N146" s="326"/>
      <c r="O146" s="326"/>
      <c r="P146" s="326"/>
      <c r="Q146" s="326"/>
      <c r="R146" s="326"/>
      <c r="S146" s="326"/>
      <c r="T146" s="327"/>
      <c r="U146" s="325"/>
      <c r="V146" s="326"/>
      <c r="W146" s="326"/>
      <c r="X146" s="326"/>
      <c r="Y146" s="326"/>
      <c r="Z146" s="326"/>
      <c r="AA146" s="326"/>
      <c r="AB146" s="326"/>
      <c r="AC146" s="327"/>
    </row>
    <row r="147" spans="1:29">
      <c r="A147" s="907"/>
      <c r="B147" s="314" t="s">
        <v>997</v>
      </c>
      <c r="C147" s="287">
        <v>279</v>
      </c>
      <c r="D147" s="287">
        <v>314</v>
      </c>
      <c r="E147" s="287">
        <v>593</v>
      </c>
      <c r="F147" s="287">
        <v>23</v>
      </c>
      <c r="G147" s="287">
        <v>30</v>
      </c>
      <c r="H147" s="287">
        <v>53</v>
      </c>
      <c r="I147" s="287">
        <v>2077</v>
      </c>
      <c r="J147" s="287">
        <v>2865</v>
      </c>
      <c r="K147" s="287">
        <v>4942</v>
      </c>
      <c r="L147" s="287">
        <v>17094</v>
      </c>
      <c r="M147" s="287">
        <v>18734</v>
      </c>
      <c r="N147" s="287">
        <v>35828</v>
      </c>
      <c r="O147" s="287">
        <v>0</v>
      </c>
      <c r="P147" s="287">
        <v>19</v>
      </c>
      <c r="Q147" s="287">
        <v>19</v>
      </c>
      <c r="R147" s="287">
        <v>841</v>
      </c>
      <c r="S147" s="287">
        <v>1172</v>
      </c>
      <c r="T147" s="287">
        <v>2013</v>
      </c>
      <c r="U147" s="287">
        <v>98</v>
      </c>
      <c r="V147" s="287">
        <v>99</v>
      </c>
      <c r="W147" s="287">
        <v>197</v>
      </c>
      <c r="X147" s="287">
        <v>6</v>
      </c>
      <c r="Y147" s="287">
        <v>0</v>
      </c>
      <c r="Z147" s="287">
        <v>6</v>
      </c>
      <c r="AA147" s="287">
        <v>20418</v>
      </c>
      <c r="AB147" s="287">
        <v>23233</v>
      </c>
      <c r="AC147" s="287">
        <v>43651</v>
      </c>
    </row>
    <row r="148" spans="1:29">
      <c r="A148" s="907"/>
      <c r="B148" s="314" t="s">
        <v>301</v>
      </c>
      <c r="C148" s="259">
        <v>270</v>
      </c>
      <c r="D148" s="259">
        <v>307</v>
      </c>
      <c r="E148" s="259">
        <v>577</v>
      </c>
      <c r="F148" s="259">
        <v>10</v>
      </c>
      <c r="G148" s="259">
        <v>28</v>
      </c>
      <c r="H148" s="259">
        <v>38</v>
      </c>
      <c r="I148" s="259">
        <v>1346</v>
      </c>
      <c r="J148" s="259">
        <v>2205</v>
      </c>
      <c r="K148" s="259">
        <v>3551</v>
      </c>
      <c r="L148" s="259">
        <v>16442</v>
      </c>
      <c r="M148" s="259">
        <v>18743</v>
      </c>
      <c r="N148" s="259">
        <v>35185</v>
      </c>
      <c r="O148" s="259">
        <v>23</v>
      </c>
      <c r="P148" s="259">
        <v>95</v>
      </c>
      <c r="Q148" s="259">
        <v>118</v>
      </c>
      <c r="R148" s="259">
        <v>827</v>
      </c>
      <c r="S148" s="259">
        <v>963</v>
      </c>
      <c r="T148" s="259">
        <v>1790</v>
      </c>
      <c r="U148" s="259">
        <v>17</v>
      </c>
      <c r="V148" s="259">
        <v>21</v>
      </c>
      <c r="W148" s="259">
        <v>38</v>
      </c>
      <c r="X148" s="259">
        <v>6</v>
      </c>
      <c r="Y148" s="259">
        <v>0</v>
      </c>
      <c r="Z148" s="259">
        <v>6</v>
      </c>
      <c r="AA148" s="259">
        <v>18941</v>
      </c>
      <c r="AB148" s="259">
        <v>22362</v>
      </c>
      <c r="AC148" s="259">
        <v>41303</v>
      </c>
    </row>
    <row r="149" spans="1:29">
      <c r="A149" s="907"/>
      <c r="B149" s="314" t="s">
        <v>300</v>
      </c>
      <c r="C149" s="287">
        <v>235</v>
      </c>
      <c r="D149" s="287">
        <v>257</v>
      </c>
      <c r="E149" s="287">
        <v>492</v>
      </c>
      <c r="F149" s="287">
        <v>6</v>
      </c>
      <c r="G149" s="287">
        <v>12</v>
      </c>
      <c r="H149" s="287">
        <v>18</v>
      </c>
      <c r="I149" s="287">
        <v>1299</v>
      </c>
      <c r="J149" s="287">
        <v>1996</v>
      </c>
      <c r="K149" s="287">
        <v>3295</v>
      </c>
      <c r="L149" s="287">
        <v>16205</v>
      </c>
      <c r="M149" s="287">
        <v>17857</v>
      </c>
      <c r="N149" s="287">
        <v>34062</v>
      </c>
      <c r="O149" s="287">
        <v>21</v>
      </c>
      <c r="P149" s="287">
        <v>67</v>
      </c>
      <c r="Q149" s="287">
        <v>88</v>
      </c>
      <c r="R149" s="287">
        <v>914</v>
      </c>
      <c r="S149" s="287">
        <v>769</v>
      </c>
      <c r="T149" s="287">
        <v>1683</v>
      </c>
      <c r="U149" s="287">
        <v>69</v>
      </c>
      <c r="V149" s="287">
        <v>59</v>
      </c>
      <c r="W149" s="287">
        <v>128</v>
      </c>
      <c r="X149" s="287">
        <v>15</v>
      </c>
      <c r="Y149" s="287">
        <v>0</v>
      </c>
      <c r="Z149" s="287">
        <v>15</v>
      </c>
      <c r="AA149" s="287">
        <v>18764</v>
      </c>
      <c r="AB149" s="287">
        <v>21017</v>
      </c>
      <c r="AC149" s="287">
        <v>39781</v>
      </c>
    </row>
    <row r="150" spans="1:29">
      <c r="A150" s="907"/>
      <c r="B150" s="314" t="s">
        <v>299</v>
      </c>
      <c r="C150" s="103">
        <v>222</v>
      </c>
      <c r="D150" s="103">
        <v>201</v>
      </c>
      <c r="E150" s="105">
        <v>423</v>
      </c>
      <c r="F150" s="103">
        <v>11</v>
      </c>
      <c r="G150" s="103">
        <v>23</v>
      </c>
      <c r="H150" s="105">
        <v>34</v>
      </c>
      <c r="I150" s="103">
        <v>979</v>
      </c>
      <c r="J150" s="103">
        <v>1444</v>
      </c>
      <c r="K150" s="105">
        <v>2423</v>
      </c>
      <c r="L150" s="103">
        <v>15678</v>
      </c>
      <c r="M150" s="103">
        <v>16947</v>
      </c>
      <c r="N150" s="105">
        <v>32625</v>
      </c>
      <c r="O150" s="103">
        <v>10</v>
      </c>
      <c r="P150" s="103">
        <v>52</v>
      </c>
      <c r="Q150" s="105">
        <v>62</v>
      </c>
      <c r="R150" s="103">
        <v>691</v>
      </c>
      <c r="S150" s="103">
        <v>637</v>
      </c>
      <c r="T150" s="105">
        <v>1328</v>
      </c>
      <c r="U150" s="103">
        <v>55</v>
      </c>
      <c r="V150" s="103">
        <v>45</v>
      </c>
      <c r="W150" s="105">
        <v>100</v>
      </c>
      <c r="X150" s="103">
        <v>15</v>
      </c>
      <c r="Y150" s="103">
        <v>0</v>
      </c>
      <c r="Z150" s="105">
        <v>15</v>
      </c>
      <c r="AA150" s="95">
        <v>17661</v>
      </c>
      <c r="AB150" s="95">
        <v>19349</v>
      </c>
      <c r="AC150" s="105">
        <v>37010</v>
      </c>
    </row>
    <row r="151" spans="1:29">
      <c r="A151" s="907"/>
      <c r="B151" s="314" t="s">
        <v>298</v>
      </c>
      <c r="C151" s="106">
        <v>94</v>
      </c>
      <c r="D151" s="106">
        <v>138</v>
      </c>
      <c r="E151" s="107">
        <v>232</v>
      </c>
      <c r="F151" s="106">
        <v>1</v>
      </c>
      <c r="G151" s="106">
        <v>9</v>
      </c>
      <c r="H151" s="107">
        <v>10</v>
      </c>
      <c r="I151" s="106">
        <v>951</v>
      </c>
      <c r="J151" s="106">
        <v>1403</v>
      </c>
      <c r="K151" s="107">
        <v>2354</v>
      </c>
      <c r="L151" s="106">
        <v>14901</v>
      </c>
      <c r="M151" s="106">
        <v>15810</v>
      </c>
      <c r="N151" s="107">
        <v>30711</v>
      </c>
      <c r="O151" s="106">
        <v>13</v>
      </c>
      <c r="P151" s="106">
        <v>57</v>
      </c>
      <c r="Q151" s="107">
        <v>70</v>
      </c>
      <c r="R151" s="106">
        <v>785</v>
      </c>
      <c r="S151" s="106">
        <v>865</v>
      </c>
      <c r="T151" s="107">
        <v>1650</v>
      </c>
      <c r="U151" s="106">
        <v>43</v>
      </c>
      <c r="V151" s="106">
        <v>35</v>
      </c>
      <c r="W151" s="107">
        <v>78</v>
      </c>
      <c r="X151" s="106">
        <v>15</v>
      </c>
      <c r="Y151" s="106">
        <v>0</v>
      </c>
      <c r="Z151" s="107">
        <v>15</v>
      </c>
      <c r="AA151" s="108">
        <v>16803</v>
      </c>
      <c r="AB151" s="108">
        <v>18317</v>
      </c>
      <c r="AC151" s="107">
        <f t="shared" ref="AC151" si="21">AA151+AB151</f>
        <v>35120</v>
      </c>
    </row>
    <row r="152" spans="1:29">
      <c r="A152" s="907">
        <v>25</v>
      </c>
      <c r="B152" s="324" t="s">
        <v>39</v>
      </c>
      <c r="C152" s="325"/>
      <c r="D152" s="326"/>
      <c r="E152" s="326"/>
      <c r="F152" s="326"/>
      <c r="G152" s="326"/>
      <c r="H152" s="326"/>
      <c r="I152" s="326"/>
      <c r="J152" s="326"/>
      <c r="K152" s="327"/>
      <c r="L152" s="325"/>
      <c r="M152" s="326"/>
      <c r="N152" s="326"/>
      <c r="O152" s="326"/>
      <c r="P152" s="326"/>
      <c r="Q152" s="326"/>
      <c r="R152" s="326"/>
      <c r="S152" s="326"/>
      <c r="T152" s="327"/>
      <c r="U152" s="325"/>
      <c r="V152" s="326"/>
      <c r="W152" s="326"/>
      <c r="X152" s="326"/>
      <c r="Y152" s="326"/>
      <c r="Z152" s="326"/>
      <c r="AA152" s="326"/>
      <c r="AB152" s="326"/>
      <c r="AC152" s="327"/>
    </row>
    <row r="153" spans="1:29">
      <c r="A153" s="907"/>
      <c r="B153" s="314" t="s">
        <v>997</v>
      </c>
      <c r="C153" s="287">
        <v>1947</v>
      </c>
      <c r="D153" s="287">
        <v>1324</v>
      </c>
      <c r="E153" s="287">
        <v>3271</v>
      </c>
      <c r="F153" s="287">
        <v>352</v>
      </c>
      <c r="G153" s="287">
        <v>378</v>
      </c>
      <c r="H153" s="287">
        <v>730</v>
      </c>
      <c r="I153" s="287">
        <v>38709</v>
      </c>
      <c r="J153" s="287">
        <v>36806</v>
      </c>
      <c r="K153" s="287">
        <v>75515</v>
      </c>
      <c r="L153" s="287">
        <v>353485</v>
      </c>
      <c r="M153" s="287">
        <v>354989</v>
      </c>
      <c r="N153" s="287">
        <v>708474</v>
      </c>
      <c r="O153" s="287">
        <v>1480</v>
      </c>
      <c r="P153" s="287">
        <v>866</v>
      </c>
      <c r="Q153" s="287">
        <v>2346</v>
      </c>
      <c r="R153" s="287">
        <v>92556</v>
      </c>
      <c r="S153" s="287">
        <v>40654</v>
      </c>
      <c r="T153" s="287">
        <v>133210</v>
      </c>
      <c r="U153" s="287">
        <v>1321</v>
      </c>
      <c r="V153" s="287">
        <v>2268</v>
      </c>
      <c r="W153" s="287">
        <v>3589</v>
      </c>
      <c r="X153" s="287">
        <v>5929</v>
      </c>
      <c r="Y153" s="287">
        <v>6369</v>
      </c>
      <c r="Z153" s="287">
        <v>12298</v>
      </c>
      <c r="AA153" s="287">
        <v>495779</v>
      </c>
      <c r="AB153" s="287">
        <v>443654</v>
      </c>
      <c r="AC153" s="287">
        <v>939433</v>
      </c>
    </row>
    <row r="154" spans="1:29">
      <c r="A154" s="907"/>
      <c r="B154" s="314" t="s">
        <v>301</v>
      </c>
      <c r="C154" s="259">
        <v>1923</v>
      </c>
      <c r="D154" s="259">
        <v>1423</v>
      </c>
      <c r="E154" s="259">
        <v>3346</v>
      </c>
      <c r="F154" s="259">
        <v>419</v>
      </c>
      <c r="G154" s="259">
        <v>584</v>
      </c>
      <c r="H154" s="259">
        <v>1003</v>
      </c>
      <c r="I154" s="259">
        <v>35798</v>
      </c>
      <c r="J154" s="259">
        <v>34649</v>
      </c>
      <c r="K154" s="259">
        <v>70447</v>
      </c>
      <c r="L154" s="259">
        <v>363971</v>
      </c>
      <c r="M154" s="259">
        <v>353662</v>
      </c>
      <c r="N154" s="259">
        <v>717633</v>
      </c>
      <c r="O154" s="259">
        <v>649</v>
      </c>
      <c r="P154" s="259">
        <v>435</v>
      </c>
      <c r="Q154" s="259">
        <v>1084</v>
      </c>
      <c r="R154" s="259">
        <v>88758</v>
      </c>
      <c r="S154" s="259">
        <v>34198</v>
      </c>
      <c r="T154" s="259">
        <v>122956</v>
      </c>
      <c r="U154" s="259">
        <v>3383</v>
      </c>
      <c r="V154" s="259">
        <v>5735</v>
      </c>
      <c r="W154" s="259">
        <v>9118</v>
      </c>
      <c r="X154" s="259">
        <v>4452</v>
      </c>
      <c r="Y154" s="259">
        <v>4458</v>
      </c>
      <c r="Z154" s="259">
        <v>8910</v>
      </c>
      <c r="AA154" s="259">
        <v>499353</v>
      </c>
      <c r="AB154" s="259">
        <v>435144</v>
      </c>
      <c r="AC154" s="259">
        <v>934497</v>
      </c>
    </row>
    <row r="155" spans="1:29">
      <c r="A155" s="907"/>
      <c r="B155" s="314" t="s">
        <v>300</v>
      </c>
      <c r="C155" s="287">
        <v>2052</v>
      </c>
      <c r="D155" s="287">
        <v>1670</v>
      </c>
      <c r="E155" s="287">
        <v>3722</v>
      </c>
      <c r="F155" s="287">
        <v>523</v>
      </c>
      <c r="G155" s="287">
        <v>638</v>
      </c>
      <c r="H155" s="287">
        <v>1161</v>
      </c>
      <c r="I155" s="287">
        <v>31016</v>
      </c>
      <c r="J155" s="287">
        <v>30870</v>
      </c>
      <c r="K155" s="287">
        <v>61886</v>
      </c>
      <c r="L155" s="287">
        <v>394120</v>
      </c>
      <c r="M155" s="287">
        <v>357910</v>
      </c>
      <c r="N155" s="287">
        <v>752030</v>
      </c>
      <c r="O155" s="287">
        <v>556</v>
      </c>
      <c r="P155" s="287">
        <v>367</v>
      </c>
      <c r="Q155" s="287">
        <v>923</v>
      </c>
      <c r="R155" s="287">
        <v>93290</v>
      </c>
      <c r="S155" s="287">
        <v>32225</v>
      </c>
      <c r="T155" s="287">
        <v>125515</v>
      </c>
      <c r="U155" s="287">
        <v>4284</v>
      </c>
      <c r="V155" s="287">
        <v>5775</v>
      </c>
      <c r="W155" s="287">
        <v>10059</v>
      </c>
      <c r="X155" s="287">
        <v>3805</v>
      </c>
      <c r="Y155" s="287">
        <v>3945</v>
      </c>
      <c r="Z155" s="287">
        <v>7750</v>
      </c>
      <c r="AA155" s="287">
        <v>529646</v>
      </c>
      <c r="AB155" s="287">
        <v>433400</v>
      </c>
      <c r="AC155" s="287">
        <v>963046</v>
      </c>
    </row>
    <row r="156" spans="1:29">
      <c r="A156" s="907"/>
      <c r="B156" s="314" t="s">
        <v>299</v>
      </c>
      <c r="C156" s="103">
        <v>1671</v>
      </c>
      <c r="D156" s="103">
        <v>1311</v>
      </c>
      <c r="E156" s="105">
        <v>2982</v>
      </c>
      <c r="F156" s="103">
        <v>404</v>
      </c>
      <c r="G156" s="103">
        <v>676</v>
      </c>
      <c r="H156" s="105">
        <v>1080</v>
      </c>
      <c r="I156" s="96">
        <v>27039.977446761455</v>
      </c>
      <c r="J156" s="96">
        <v>28156.310809879593</v>
      </c>
      <c r="K156" s="109">
        <v>55196.288256641055</v>
      </c>
      <c r="L156" s="96">
        <v>390228.06574580353</v>
      </c>
      <c r="M156" s="96">
        <v>375364.24935944739</v>
      </c>
      <c r="N156" s="109">
        <v>765592.31510525092</v>
      </c>
      <c r="O156" s="103">
        <v>621</v>
      </c>
      <c r="P156" s="103">
        <v>341</v>
      </c>
      <c r="Q156" s="105">
        <v>962</v>
      </c>
      <c r="R156" s="103">
        <v>89685</v>
      </c>
      <c r="S156" s="103">
        <v>30068</v>
      </c>
      <c r="T156" s="105">
        <v>119753</v>
      </c>
      <c r="U156" s="103">
        <v>2975</v>
      </c>
      <c r="V156" s="103">
        <v>4498</v>
      </c>
      <c r="W156" s="105">
        <v>7473</v>
      </c>
      <c r="X156" s="103">
        <v>3459</v>
      </c>
      <c r="Y156" s="103">
        <v>3128</v>
      </c>
      <c r="Z156" s="105">
        <v>6587</v>
      </c>
      <c r="AA156" s="98">
        <v>516083.04319256498</v>
      </c>
      <c r="AB156" s="98">
        <v>443542.56016932696</v>
      </c>
      <c r="AC156" s="109">
        <v>959625.60336189193</v>
      </c>
    </row>
    <row r="157" spans="1:29">
      <c r="A157" s="907"/>
      <c r="B157" s="314" t="s">
        <v>298</v>
      </c>
      <c r="C157" s="106">
        <v>1388</v>
      </c>
      <c r="D157" s="106">
        <v>1086</v>
      </c>
      <c r="E157" s="107">
        <v>2474</v>
      </c>
      <c r="F157" s="106">
        <v>471</v>
      </c>
      <c r="G157" s="106">
        <v>777</v>
      </c>
      <c r="H157" s="107">
        <v>1248</v>
      </c>
      <c r="I157" s="106">
        <v>25600</v>
      </c>
      <c r="J157" s="106">
        <v>23957</v>
      </c>
      <c r="K157" s="107">
        <v>49557</v>
      </c>
      <c r="L157" s="106">
        <v>385789</v>
      </c>
      <c r="M157" s="106">
        <v>354689</v>
      </c>
      <c r="N157" s="107">
        <v>740478</v>
      </c>
      <c r="O157" s="106">
        <v>438</v>
      </c>
      <c r="P157" s="106">
        <v>160</v>
      </c>
      <c r="Q157" s="107">
        <v>598</v>
      </c>
      <c r="R157" s="106">
        <v>89698</v>
      </c>
      <c r="S157" s="106">
        <v>29650</v>
      </c>
      <c r="T157" s="107">
        <v>119348</v>
      </c>
      <c r="U157" s="106">
        <v>3773</v>
      </c>
      <c r="V157" s="106">
        <v>5598</v>
      </c>
      <c r="W157" s="107">
        <v>9371</v>
      </c>
      <c r="X157" s="106">
        <v>2835</v>
      </c>
      <c r="Y157" s="106">
        <v>2491</v>
      </c>
      <c r="Z157" s="107">
        <v>5326</v>
      </c>
      <c r="AA157" s="108">
        <v>509992</v>
      </c>
      <c r="AB157" s="108">
        <v>418408</v>
      </c>
      <c r="AC157" s="107">
        <f t="shared" ref="AC157" si="22">AA157+AB157</f>
        <v>928400</v>
      </c>
    </row>
    <row r="158" spans="1:29">
      <c r="A158" s="907">
        <v>26</v>
      </c>
      <c r="B158" s="324" t="s">
        <v>40</v>
      </c>
      <c r="C158" s="325"/>
      <c r="D158" s="326"/>
      <c r="E158" s="326"/>
      <c r="F158" s="326"/>
      <c r="G158" s="326"/>
      <c r="H158" s="326"/>
      <c r="I158" s="326"/>
      <c r="J158" s="326"/>
      <c r="K158" s="327"/>
      <c r="L158" s="325"/>
      <c r="M158" s="326"/>
      <c r="N158" s="326"/>
      <c r="O158" s="326"/>
      <c r="P158" s="326"/>
      <c r="Q158" s="326"/>
      <c r="R158" s="326"/>
      <c r="S158" s="326"/>
      <c r="T158" s="327"/>
      <c r="U158" s="325"/>
      <c r="V158" s="326"/>
      <c r="W158" s="326"/>
      <c r="X158" s="326"/>
      <c r="Y158" s="326"/>
      <c r="Z158" s="326"/>
      <c r="AA158" s="326"/>
      <c r="AB158" s="326"/>
      <c r="AC158" s="327"/>
    </row>
    <row r="159" spans="1:29">
      <c r="A159" s="907"/>
      <c r="B159" s="314" t="s">
        <v>997</v>
      </c>
      <c r="C159" s="287">
        <v>271</v>
      </c>
      <c r="D159" s="287">
        <v>325</v>
      </c>
      <c r="E159" s="287">
        <v>596</v>
      </c>
      <c r="F159" s="287">
        <v>0</v>
      </c>
      <c r="G159" s="287">
        <v>2</v>
      </c>
      <c r="H159" s="287">
        <v>2</v>
      </c>
      <c r="I159" s="287">
        <v>5386</v>
      </c>
      <c r="J159" s="287">
        <v>7009</v>
      </c>
      <c r="K159" s="287">
        <v>12395</v>
      </c>
      <c r="L159" s="287">
        <v>26497</v>
      </c>
      <c r="M159" s="287">
        <v>32765</v>
      </c>
      <c r="N159" s="287">
        <v>59262</v>
      </c>
      <c r="O159" s="287">
        <v>15</v>
      </c>
      <c r="P159" s="287">
        <v>16</v>
      </c>
      <c r="Q159" s="287">
        <v>31</v>
      </c>
      <c r="R159" s="287">
        <v>2806</v>
      </c>
      <c r="S159" s="287">
        <v>1056</v>
      </c>
      <c r="T159" s="287">
        <v>3862</v>
      </c>
      <c r="U159" s="287">
        <v>1</v>
      </c>
      <c r="V159" s="287">
        <v>6</v>
      </c>
      <c r="W159" s="287">
        <v>7</v>
      </c>
      <c r="X159" s="287">
        <v>354</v>
      </c>
      <c r="Y159" s="287">
        <v>381</v>
      </c>
      <c r="Z159" s="287">
        <v>735</v>
      </c>
      <c r="AA159" s="287">
        <v>35330</v>
      </c>
      <c r="AB159" s="287">
        <v>41560</v>
      </c>
      <c r="AC159" s="287">
        <v>76890</v>
      </c>
    </row>
    <row r="160" spans="1:29">
      <c r="A160" s="907"/>
      <c r="B160" s="314" t="s">
        <v>301</v>
      </c>
      <c r="C160" s="259">
        <v>291</v>
      </c>
      <c r="D160" s="259">
        <v>217</v>
      </c>
      <c r="E160" s="259">
        <v>508</v>
      </c>
      <c r="F160" s="259">
        <v>21</v>
      </c>
      <c r="G160" s="259">
        <v>46</v>
      </c>
      <c r="H160" s="259">
        <v>67</v>
      </c>
      <c r="I160" s="259">
        <v>4134</v>
      </c>
      <c r="J160" s="259">
        <v>5473</v>
      </c>
      <c r="K160" s="259">
        <v>9607</v>
      </c>
      <c r="L160" s="259">
        <v>22863</v>
      </c>
      <c r="M160" s="259">
        <v>28309</v>
      </c>
      <c r="N160" s="259">
        <v>51172</v>
      </c>
      <c r="O160" s="259">
        <v>52</v>
      </c>
      <c r="P160" s="259">
        <v>54</v>
      </c>
      <c r="Q160" s="259">
        <v>106</v>
      </c>
      <c r="R160" s="259">
        <v>2866</v>
      </c>
      <c r="S160" s="259">
        <v>1122</v>
      </c>
      <c r="T160" s="259">
        <v>3988</v>
      </c>
      <c r="U160" s="259">
        <v>0</v>
      </c>
      <c r="V160" s="259">
        <v>0</v>
      </c>
      <c r="W160" s="259">
        <v>0</v>
      </c>
      <c r="X160" s="259">
        <v>532</v>
      </c>
      <c r="Y160" s="259">
        <v>492</v>
      </c>
      <c r="Z160" s="259">
        <v>1024</v>
      </c>
      <c r="AA160" s="259">
        <v>30759</v>
      </c>
      <c r="AB160" s="259">
        <v>35713</v>
      </c>
      <c r="AC160" s="259">
        <v>66472</v>
      </c>
    </row>
    <row r="161" spans="1:29">
      <c r="A161" s="907"/>
      <c r="B161" s="314" t="s">
        <v>300</v>
      </c>
      <c r="C161" s="287">
        <v>510</v>
      </c>
      <c r="D161" s="287">
        <v>292</v>
      </c>
      <c r="E161" s="287">
        <v>802</v>
      </c>
      <c r="F161" s="287">
        <v>12</v>
      </c>
      <c r="G161" s="287">
        <v>54</v>
      </c>
      <c r="H161" s="287">
        <v>66</v>
      </c>
      <c r="I161" s="287">
        <v>3788</v>
      </c>
      <c r="J161" s="287">
        <v>4928</v>
      </c>
      <c r="K161" s="287">
        <v>8716</v>
      </c>
      <c r="L161" s="287">
        <v>23585</v>
      </c>
      <c r="M161" s="287">
        <v>28067</v>
      </c>
      <c r="N161" s="287">
        <v>51652</v>
      </c>
      <c r="O161" s="287">
        <v>97</v>
      </c>
      <c r="P161" s="287">
        <v>71</v>
      </c>
      <c r="Q161" s="287">
        <v>168</v>
      </c>
      <c r="R161" s="287">
        <v>2803</v>
      </c>
      <c r="S161" s="287">
        <v>1239</v>
      </c>
      <c r="T161" s="287">
        <v>4042</v>
      </c>
      <c r="U161" s="287">
        <v>7</v>
      </c>
      <c r="V161" s="287">
        <v>6</v>
      </c>
      <c r="W161" s="287">
        <v>13</v>
      </c>
      <c r="X161" s="287">
        <v>505</v>
      </c>
      <c r="Y161" s="287">
        <v>458</v>
      </c>
      <c r="Z161" s="287">
        <v>963</v>
      </c>
      <c r="AA161" s="287">
        <v>31307</v>
      </c>
      <c r="AB161" s="287">
        <v>35115</v>
      </c>
      <c r="AC161" s="287">
        <v>66422</v>
      </c>
    </row>
    <row r="162" spans="1:29">
      <c r="A162" s="907"/>
      <c r="B162" s="314" t="s">
        <v>299</v>
      </c>
      <c r="C162" s="103">
        <v>522</v>
      </c>
      <c r="D162" s="103">
        <v>254</v>
      </c>
      <c r="E162" s="105">
        <v>776</v>
      </c>
      <c r="F162" s="103">
        <v>13</v>
      </c>
      <c r="G162" s="103">
        <v>53</v>
      </c>
      <c r="H162" s="105">
        <v>66</v>
      </c>
      <c r="I162" s="96">
        <v>3646.6215759206261</v>
      </c>
      <c r="J162" s="96">
        <v>4343.3965023965957</v>
      </c>
      <c r="K162" s="109">
        <v>7990.0180783172218</v>
      </c>
      <c r="L162" s="96">
        <v>20473.263168610643</v>
      </c>
      <c r="M162" s="96">
        <v>25118.343273479575</v>
      </c>
      <c r="N162" s="109">
        <v>45591.606442090218</v>
      </c>
      <c r="O162" s="103">
        <v>63</v>
      </c>
      <c r="P162" s="103">
        <v>58</v>
      </c>
      <c r="Q162" s="105">
        <v>121</v>
      </c>
      <c r="R162" s="103">
        <v>3121</v>
      </c>
      <c r="S162" s="103">
        <v>1355</v>
      </c>
      <c r="T162" s="105">
        <v>4476</v>
      </c>
      <c r="U162" s="103">
        <v>15</v>
      </c>
      <c r="V162" s="103">
        <v>1</v>
      </c>
      <c r="W162" s="105">
        <v>16</v>
      </c>
      <c r="X162" s="103">
        <v>656</v>
      </c>
      <c r="Y162" s="103">
        <v>581</v>
      </c>
      <c r="Z162" s="105">
        <v>1237</v>
      </c>
      <c r="AA162" s="98">
        <v>28479.884744531271</v>
      </c>
      <c r="AB162" s="98">
        <v>31763.739775876173</v>
      </c>
      <c r="AC162" s="109">
        <v>60243.624520407437</v>
      </c>
    </row>
    <row r="163" spans="1:29">
      <c r="A163" s="907"/>
      <c r="B163" s="314" t="s">
        <v>298</v>
      </c>
      <c r="C163" s="106">
        <v>604</v>
      </c>
      <c r="D163" s="106">
        <v>334</v>
      </c>
      <c r="E163" s="107">
        <v>938</v>
      </c>
      <c r="F163" s="106">
        <v>19</v>
      </c>
      <c r="G163" s="106">
        <v>61</v>
      </c>
      <c r="H163" s="107">
        <v>80</v>
      </c>
      <c r="I163" s="106">
        <v>3719</v>
      </c>
      <c r="J163" s="106">
        <v>4030</v>
      </c>
      <c r="K163" s="107">
        <v>7749</v>
      </c>
      <c r="L163" s="106">
        <v>19615</v>
      </c>
      <c r="M163" s="106">
        <v>23516</v>
      </c>
      <c r="N163" s="107">
        <v>43131</v>
      </c>
      <c r="O163" s="106">
        <v>140</v>
      </c>
      <c r="P163" s="106">
        <v>89</v>
      </c>
      <c r="Q163" s="107">
        <v>229</v>
      </c>
      <c r="R163" s="106">
        <v>3110</v>
      </c>
      <c r="S163" s="106">
        <v>1194</v>
      </c>
      <c r="T163" s="107">
        <v>4304</v>
      </c>
      <c r="U163" s="106">
        <v>0</v>
      </c>
      <c r="V163" s="106">
        <v>2</v>
      </c>
      <c r="W163" s="107">
        <v>2</v>
      </c>
      <c r="X163" s="106">
        <v>614</v>
      </c>
      <c r="Y163" s="106">
        <v>532</v>
      </c>
      <c r="Z163" s="107">
        <v>1146</v>
      </c>
      <c r="AA163" s="108">
        <v>27821</v>
      </c>
      <c r="AB163" s="108">
        <v>29758</v>
      </c>
      <c r="AC163" s="107">
        <f t="shared" ref="AC163" si="23">AA163+AB163</f>
        <v>57579</v>
      </c>
    </row>
    <row r="164" spans="1:29">
      <c r="A164" s="907">
        <v>27</v>
      </c>
      <c r="B164" s="331" t="s">
        <v>41</v>
      </c>
      <c r="C164" s="332"/>
      <c r="D164" s="310"/>
      <c r="E164" s="310"/>
      <c r="F164" s="310"/>
      <c r="G164" s="310"/>
      <c r="H164" s="310"/>
      <c r="I164" s="310"/>
      <c r="J164" s="310"/>
      <c r="K164" s="311"/>
      <c r="L164" s="332"/>
      <c r="M164" s="310"/>
      <c r="N164" s="310"/>
      <c r="O164" s="310"/>
      <c r="P164" s="310"/>
      <c r="Q164" s="310"/>
      <c r="R164" s="310"/>
      <c r="S164" s="310"/>
      <c r="T164" s="311"/>
      <c r="U164" s="332"/>
      <c r="V164" s="310"/>
      <c r="W164" s="310"/>
      <c r="X164" s="310"/>
      <c r="Y164" s="310"/>
      <c r="Z164" s="310"/>
      <c r="AA164" s="310"/>
      <c r="AB164" s="310"/>
      <c r="AC164" s="311"/>
    </row>
    <row r="165" spans="1:29">
      <c r="A165" s="907"/>
      <c r="B165" s="314" t="s">
        <v>997</v>
      </c>
      <c r="C165" s="287">
        <v>4628</v>
      </c>
      <c r="D165" s="287">
        <v>4938</v>
      </c>
      <c r="E165" s="287">
        <v>9566</v>
      </c>
      <c r="F165" s="287">
        <v>142</v>
      </c>
      <c r="G165" s="287">
        <v>169</v>
      </c>
      <c r="H165" s="287">
        <v>311</v>
      </c>
      <c r="I165" s="287">
        <v>30225</v>
      </c>
      <c r="J165" s="287">
        <v>48376</v>
      </c>
      <c r="K165" s="287">
        <v>78601</v>
      </c>
      <c r="L165" s="287">
        <v>279028</v>
      </c>
      <c r="M165" s="287">
        <v>272962</v>
      </c>
      <c r="N165" s="287">
        <v>551990</v>
      </c>
      <c r="O165" s="287">
        <v>1514</v>
      </c>
      <c r="P165" s="287">
        <v>2207</v>
      </c>
      <c r="Q165" s="287">
        <v>3721</v>
      </c>
      <c r="R165" s="287">
        <v>48748</v>
      </c>
      <c r="S165" s="287">
        <v>37553</v>
      </c>
      <c r="T165" s="287">
        <v>86301</v>
      </c>
      <c r="U165" s="287">
        <v>603</v>
      </c>
      <c r="V165" s="287">
        <v>691</v>
      </c>
      <c r="W165" s="287">
        <v>1294</v>
      </c>
      <c r="X165" s="287">
        <v>8499</v>
      </c>
      <c r="Y165" s="287">
        <v>9348</v>
      </c>
      <c r="Z165" s="287">
        <v>17847</v>
      </c>
      <c r="AA165" s="287">
        <v>373387</v>
      </c>
      <c r="AB165" s="287">
        <v>376244</v>
      </c>
      <c r="AC165" s="287">
        <v>749631</v>
      </c>
    </row>
    <row r="166" spans="1:29">
      <c r="A166" s="907"/>
      <c r="B166" s="314" t="s">
        <v>301</v>
      </c>
      <c r="C166" s="259">
        <v>4111</v>
      </c>
      <c r="D166" s="259">
        <v>4888</v>
      </c>
      <c r="E166" s="259">
        <v>8999</v>
      </c>
      <c r="F166" s="259">
        <v>307</v>
      </c>
      <c r="G166" s="259">
        <v>315</v>
      </c>
      <c r="H166" s="259">
        <v>622</v>
      </c>
      <c r="I166" s="259">
        <v>30990</v>
      </c>
      <c r="J166" s="259">
        <v>57741</v>
      </c>
      <c r="K166" s="259">
        <v>88731</v>
      </c>
      <c r="L166" s="259">
        <v>289293</v>
      </c>
      <c r="M166" s="259">
        <v>302541</v>
      </c>
      <c r="N166" s="259">
        <v>591834</v>
      </c>
      <c r="O166" s="259">
        <v>2144</v>
      </c>
      <c r="P166" s="259">
        <v>3195</v>
      </c>
      <c r="Q166" s="259">
        <v>5339</v>
      </c>
      <c r="R166" s="259">
        <v>59507</v>
      </c>
      <c r="S166" s="259">
        <v>35448</v>
      </c>
      <c r="T166" s="259">
        <v>94955</v>
      </c>
      <c r="U166" s="259">
        <v>571</v>
      </c>
      <c r="V166" s="259">
        <v>897</v>
      </c>
      <c r="W166" s="259">
        <v>1468</v>
      </c>
      <c r="X166" s="259">
        <v>6459</v>
      </c>
      <c r="Y166" s="259">
        <v>7025</v>
      </c>
      <c r="Z166" s="259">
        <v>13484</v>
      </c>
      <c r="AA166" s="259">
        <v>393382</v>
      </c>
      <c r="AB166" s="259">
        <v>412050</v>
      </c>
      <c r="AC166" s="259">
        <v>805432</v>
      </c>
    </row>
    <row r="167" spans="1:29">
      <c r="A167" s="907"/>
      <c r="B167" s="314" t="s">
        <v>300</v>
      </c>
      <c r="C167" s="287">
        <v>4382</v>
      </c>
      <c r="D167" s="287">
        <v>4713</v>
      </c>
      <c r="E167" s="287">
        <v>9095</v>
      </c>
      <c r="F167" s="287">
        <v>369</v>
      </c>
      <c r="G167" s="287">
        <v>367</v>
      </c>
      <c r="H167" s="287">
        <v>736</v>
      </c>
      <c r="I167" s="287">
        <v>30100</v>
      </c>
      <c r="J167" s="287">
        <v>61071</v>
      </c>
      <c r="K167" s="287">
        <v>91171</v>
      </c>
      <c r="L167" s="287">
        <v>304502</v>
      </c>
      <c r="M167" s="287">
        <v>351837</v>
      </c>
      <c r="N167" s="287">
        <v>656339</v>
      </c>
      <c r="O167" s="287">
        <v>2383</v>
      </c>
      <c r="P167" s="287">
        <v>3478</v>
      </c>
      <c r="Q167" s="287">
        <v>5861</v>
      </c>
      <c r="R167" s="287">
        <v>64683</v>
      </c>
      <c r="S167" s="287">
        <v>37704</v>
      </c>
      <c r="T167" s="287">
        <v>102387</v>
      </c>
      <c r="U167" s="287">
        <v>577</v>
      </c>
      <c r="V167" s="287">
        <v>986</v>
      </c>
      <c r="W167" s="287">
        <v>1563</v>
      </c>
      <c r="X167" s="287">
        <v>6354</v>
      </c>
      <c r="Y167" s="287">
        <v>5603</v>
      </c>
      <c r="Z167" s="287">
        <v>11957</v>
      </c>
      <c r="AA167" s="287">
        <v>413350</v>
      </c>
      <c r="AB167" s="287">
        <v>465759</v>
      </c>
      <c r="AC167" s="287">
        <v>879109</v>
      </c>
    </row>
    <row r="168" spans="1:29">
      <c r="A168" s="907"/>
      <c r="B168" s="314" t="s">
        <v>299</v>
      </c>
      <c r="C168" s="103">
        <v>3054</v>
      </c>
      <c r="D168" s="103">
        <v>3823</v>
      </c>
      <c r="E168" s="105">
        <v>6877</v>
      </c>
      <c r="F168" s="103">
        <v>389</v>
      </c>
      <c r="G168" s="103">
        <v>513</v>
      </c>
      <c r="H168" s="105">
        <v>902</v>
      </c>
      <c r="I168" s="96">
        <v>34968.826149717264</v>
      </c>
      <c r="J168" s="96">
        <v>72263.528931813053</v>
      </c>
      <c r="K168" s="109">
        <v>107232.3550815303</v>
      </c>
      <c r="L168" s="96">
        <v>335219.71957293572</v>
      </c>
      <c r="M168" s="96">
        <v>339527.93994120578</v>
      </c>
      <c r="N168" s="109">
        <v>674747.6595141415</v>
      </c>
      <c r="O168" s="103">
        <v>2894</v>
      </c>
      <c r="P168" s="103">
        <v>4052</v>
      </c>
      <c r="Q168" s="105">
        <v>6946</v>
      </c>
      <c r="R168" s="103">
        <v>81331</v>
      </c>
      <c r="S168" s="103">
        <v>44775</v>
      </c>
      <c r="T168" s="105">
        <v>126106</v>
      </c>
      <c r="U168" s="103">
        <v>391</v>
      </c>
      <c r="V168" s="103">
        <v>893</v>
      </c>
      <c r="W168" s="105">
        <v>1284</v>
      </c>
      <c r="X168" s="103">
        <v>5416</v>
      </c>
      <c r="Y168" s="103">
        <v>4495</v>
      </c>
      <c r="Z168" s="105">
        <v>9911</v>
      </c>
      <c r="AA168" s="98">
        <v>463663.54572265298</v>
      </c>
      <c r="AB168" s="98">
        <v>470342.46887301886</v>
      </c>
      <c r="AC168" s="109">
        <v>934006.01459567179</v>
      </c>
    </row>
    <row r="169" spans="1:29">
      <c r="A169" s="907"/>
      <c r="B169" s="314" t="s">
        <v>298</v>
      </c>
      <c r="C169" s="106">
        <v>3151</v>
      </c>
      <c r="D169" s="106">
        <v>3692</v>
      </c>
      <c r="E169" s="107">
        <v>6843</v>
      </c>
      <c r="F169" s="106">
        <v>509</v>
      </c>
      <c r="G169" s="106">
        <v>714</v>
      </c>
      <c r="H169" s="107">
        <v>1223</v>
      </c>
      <c r="I169" s="106">
        <v>30003</v>
      </c>
      <c r="J169" s="106">
        <v>66793</v>
      </c>
      <c r="K169" s="107">
        <v>96796</v>
      </c>
      <c r="L169" s="106">
        <v>312815</v>
      </c>
      <c r="M169" s="106">
        <v>301284</v>
      </c>
      <c r="N169" s="107">
        <v>614099</v>
      </c>
      <c r="O169" s="106">
        <v>2586</v>
      </c>
      <c r="P169" s="106">
        <v>3698</v>
      </c>
      <c r="Q169" s="107">
        <v>6284</v>
      </c>
      <c r="R169" s="106">
        <v>87281</v>
      </c>
      <c r="S169" s="106">
        <v>41331</v>
      </c>
      <c r="T169" s="107">
        <v>128612</v>
      </c>
      <c r="U169" s="106">
        <v>692</v>
      </c>
      <c r="V169" s="106">
        <v>1184</v>
      </c>
      <c r="W169" s="107">
        <v>1876</v>
      </c>
      <c r="X169" s="106">
        <v>4489</v>
      </c>
      <c r="Y169" s="106">
        <v>3822</v>
      </c>
      <c r="Z169" s="107">
        <v>8311</v>
      </c>
      <c r="AA169" s="108">
        <v>441526</v>
      </c>
      <c r="AB169" s="108">
        <v>422518</v>
      </c>
      <c r="AC169" s="107">
        <f t="shared" ref="AC169" si="24">AA169+AB169</f>
        <v>864044</v>
      </c>
    </row>
    <row r="170" spans="1:29">
      <c r="A170" s="907">
        <v>28</v>
      </c>
      <c r="B170" s="324" t="s">
        <v>42</v>
      </c>
      <c r="C170" s="325"/>
      <c r="D170" s="326"/>
      <c r="E170" s="326"/>
      <c r="F170" s="326"/>
      <c r="G170" s="326"/>
      <c r="H170" s="326"/>
      <c r="I170" s="326"/>
      <c r="J170" s="326"/>
      <c r="K170" s="327"/>
      <c r="L170" s="325"/>
      <c r="M170" s="326"/>
      <c r="N170" s="326"/>
      <c r="O170" s="326"/>
      <c r="P170" s="326"/>
      <c r="Q170" s="326"/>
      <c r="R170" s="326"/>
      <c r="S170" s="326"/>
      <c r="T170" s="327"/>
      <c r="U170" s="325"/>
      <c r="V170" s="326"/>
      <c r="W170" s="326"/>
      <c r="X170" s="326"/>
      <c r="Y170" s="326"/>
      <c r="Z170" s="326"/>
      <c r="AA170" s="326"/>
      <c r="AB170" s="326"/>
      <c r="AC170" s="327"/>
    </row>
    <row r="171" spans="1:29">
      <c r="A171" s="907"/>
      <c r="B171" s="314" t="s">
        <v>997</v>
      </c>
      <c r="C171" s="287">
        <v>6588</v>
      </c>
      <c r="D171" s="287">
        <v>6379</v>
      </c>
      <c r="E171" s="287">
        <v>12967</v>
      </c>
      <c r="F171" s="287">
        <v>166</v>
      </c>
      <c r="G171" s="287">
        <v>104</v>
      </c>
      <c r="H171" s="287">
        <v>270</v>
      </c>
      <c r="I171" s="287">
        <v>66114</v>
      </c>
      <c r="J171" s="287">
        <v>105900</v>
      </c>
      <c r="K171" s="287">
        <v>172014</v>
      </c>
      <c r="L171" s="287">
        <v>922456</v>
      </c>
      <c r="M171" s="287">
        <v>877498</v>
      </c>
      <c r="N171" s="287">
        <v>1799954</v>
      </c>
      <c r="O171" s="287">
        <v>4150</v>
      </c>
      <c r="P171" s="287">
        <v>3099</v>
      </c>
      <c r="Q171" s="287">
        <v>7249</v>
      </c>
      <c r="R171" s="287">
        <v>76632</v>
      </c>
      <c r="S171" s="287">
        <v>31699</v>
      </c>
      <c r="T171" s="287">
        <v>108331</v>
      </c>
      <c r="U171" s="287">
        <v>3930</v>
      </c>
      <c r="V171" s="287">
        <v>3916</v>
      </c>
      <c r="W171" s="287">
        <v>7846</v>
      </c>
      <c r="X171" s="287">
        <v>49141</v>
      </c>
      <c r="Y171" s="287">
        <v>43916</v>
      </c>
      <c r="Z171" s="287">
        <v>93057</v>
      </c>
      <c r="AA171" s="287">
        <v>1129177</v>
      </c>
      <c r="AB171" s="287">
        <v>1072511</v>
      </c>
      <c r="AC171" s="287">
        <v>2201688</v>
      </c>
    </row>
    <row r="172" spans="1:29">
      <c r="A172" s="907"/>
      <c r="B172" s="314" t="s">
        <v>301</v>
      </c>
      <c r="C172" s="259">
        <v>5478</v>
      </c>
      <c r="D172" s="259">
        <v>5372</v>
      </c>
      <c r="E172" s="259">
        <v>10850</v>
      </c>
      <c r="F172" s="259">
        <v>261</v>
      </c>
      <c r="G172" s="259">
        <v>203</v>
      </c>
      <c r="H172" s="259">
        <v>464</v>
      </c>
      <c r="I172" s="259">
        <v>79931</v>
      </c>
      <c r="J172" s="259">
        <v>107686</v>
      </c>
      <c r="K172" s="259">
        <v>187617</v>
      </c>
      <c r="L172" s="259">
        <v>837759</v>
      </c>
      <c r="M172" s="259">
        <v>823253</v>
      </c>
      <c r="N172" s="259">
        <v>1661012</v>
      </c>
      <c r="O172" s="259">
        <v>3012</v>
      </c>
      <c r="P172" s="259">
        <v>2578</v>
      </c>
      <c r="Q172" s="259">
        <v>5590</v>
      </c>
      <c r="R172" s="259">
        <v>73593</v>
      </c>
      <c r="S172" s="259">
        <v>26205</v>
      </c>
      <c r="T172" s="259">
        <v>99798</v>
      </c>
      <c r="U172" s="259">
        <v>4678</v>
      </c>
      <c r="V172" s="259">
        <v>5390</v>
      </c>
      <c r="W172" s="259">
        <v>10068</v>
      </c>
      <c r="X172" s="259">
        <v>29964</v>
      </c>
      <c r="Y172" s="259">
        <v>24607</v>
      </c>
      <c r="Z172" s="259">
        <v>54571</v>
      </c>
      <c r="AA172" s="259">
        <v>1034676</v>
      </c>
      <c r="AB172" s="259">
        <v>995294</v>
      </c>
      <c r="AC172" s="259">
        <v>2029970</v>
      </c>
    </row>
    <row r="173" spans="1:29">
      <c r="A173" s="907"/>
      <c r="B173" s="314" t="s">
        <v>300</v>
      </c>
      <c r="C173" s="287">
        <v>5296</v>
      </c>
      <c r="D173" s="287">
        <v>5145</v>
      </c>
      <c r="E173" s="287">
        <v>10441</v>
      </c>
      <c r="F173" s="287">
        <v>116</v>
      </c>
      <c r="G173" s="287">
        <v>160</v>
      </c>
      <c r="H173" s="287">
        <v>276</v>
      </c>
      <c r="I173" s="287">
        <v>55450</v>
      </c>
      <c r="J173" s="287">
        <v>88245</v>
      </c>
      <c r="K173" s="287">
        <v>143695</v>
      </c>
      <c r="L173" s="287">
        <v>834092</v>
      </c>
      <c r="M173" s="287">
        <v>819343</v>
      </c>
      <c r="N173" s="287">
        <v>1653435</v>
      </c>
      <c r="O173" s="287">
        <v>2689</v>
      </c>
      <c r="P173" s="287">
        <v>2233</v>
      </c>
      <c r="Q173" s="287">
        <v>4922</v>
      </c>
      <c r="R173" s="287">
        <v>73456</v>
      </c>
      <c r="S173" s="287">
        <v>21307</v>
      </c>
      <c r="T173" s="287">
        <v>94763</v>
      </c>
      <c r="U173" s="287">
        <v>3401</v>
      </c>
      <c r="V173" s="287">
        <v>4632</v>
      </c>
      <c r="W173" s="287">
        <v>8033</v>
      </c>
      <c r="X173" s="287">
        <v>16104</v>
      </c>
      <c r="Y173" s="287">
        <v>12310</v>
      </c>
      <c r="Z173" s="287">
        <v>28414</v>
      </c>
      <c r="AA173" s="287">
        <v>990604</v>
      </c>
      <c r="AB173" s="287">
        <v>953375</v>
      </c>
      <c r="AC173" s="287">
        <v>1943979</v>
      </c>
    </row>
    <row r="174" spans="1:29">
      <c r="A174" s="907"/>
      <c r="B174" s="314" t="s">
        <v>299</v>
      </c>
      <c r="C174" s="103">
        <v>3925</v>
      </c>
      <c r="D174" s="103">
        <v>4054</v>
      </c>
      <c r="E174" s="105">
        <v>7979</v>
      </c>
      <c r="F174" s="103">
        <v>173</v>
      </c>
      <c r="G174" s="103">
        <v>182</v>
      </c>
      <c r="H174" s="105">
        <v>355</v>
      </c>
      <c r="I174" s="96">
        <v>57743.371705146958</v>
      </c>
      <c r="J174" s="96">
        <v>84108.690074861152</v>
      </c>
      <c r="K174" s="109">
        <v>141852.06178000811</v>
      </c>
      <c r="L174" s="96">
        <v>784493.31903304509</v>
      </c>
      <c r="M174" s="96">
        <v>712335.61857225199</v>
      </c>
      <c r="N174" s="109">
        <v>1496828.9376052972</v>
      </c>
      <c r="O174" s="103">
        <v>3175</v>
      </c>
      <c r="P174" s="103">
        <v>2330</v>
      </c>
      <c r="Q174" s="105">
        <v>5505</v>
      </c>
      <c r="R174" s="103">
        <v>84152</v>
      </c>
      <c r="S174" s="103">
        <v>21093</v>
      </c>
      <c r="T174" s="105">
        <v>105245</v>
      </c>
      <c r="U174" s="103">
        <v>3014</v>
      </c>
      <c r="V174" s="103">
        <v>4291</v>
      </c>
      <c r="W174" s="105">
        <v>7305</v>
      </c>
      <c r="X174" s="103">
        <v>7478</v>
      </c>
      <c r="Y174" s="103">
        <v>5588</v>
      </c>
      <c r="Z174" s="105">
        <v>13066</v>
      </c>
      <c r="AA174" s="98">
        <v>944153.69073819206</v>
      </c>
      <c r="AB174" s="98">
        <v>833982.30864711315</v>
      </c>
      <c r="AC174" s="109">
        <v>1778135.9993853052</v>
      </c>
    </row>
    <row r="175" spans="1:29">
      <c r="A175" s="907"/>
      <c r="B175" s="288" t="s">
        <v>298</v>
      </c>
      <c r="C175" s="106">
        <v>3672</v>
      </c>
      <c r="D175" s="106">
        <v>3338</v>
      </c>
      <c r="E175" s="107">
        <v>7010</v>
      </c>
      <c r="F175" s="106">
        <v>420</v>
      </c>
      <c r="G175" s="106">
        <v>191</v>
      </c>
      <c r="H175" s="107">
        <v>611</v>
      </c>
      <c r="I175" s="106">
        <v>46278</v>
      </c>
      <c r="J175" s="106">
        <v>70062</v>
      </c>
      <c r="K175" s="107">
        <v>116340</v>
      </c>
      <c r="L175" s="106">
        <v>758502</v>
      </c>
      <c r="M175" s="106">
        <v>662449</v>
      </c>
      <c r="N175" s="107">
        <v>1420951</v>
      </c>
      <c r="O175" s="106">
        <v>2826</v>
      </c>
      <c r="P175" s="106">
        <v>2030</v>
      </c>
      <c r="Q175" s="107">
        <v>4856</v>
      </c>
      <c r="R175" s="106">
        <v>76549</v>
      </c>
      <c r="S175" s="106">
        <v>15578</v>
      </c>
      <c r="T175" s="107">
        <v>92127</v>
      </c>
      <c r="U175" s="106">
        <v>2725</v>
      </c>
      <c r="V175" s="106">
        <v>4118</v>
      </c>
      <c r="W175" s="107">
        <v>6843</v>
      </c>
      <c r="X175" s="106">
        <v>5875</v>
      </c>
      <c r="Y175" s="106">
        <v>4238</v>
      </c>
      <c r="Z175" s="107">
        <v>10113</v>
      </c>
      <c r="AA175" s="108">
        <v>896847</v>
      </c>
      <c r="AB175" s="108">
        <v>762004</v>
      </c>
      <c r="AC175" s="107">
        <f t="shared" ref="AC175" si="25">AA175+AB175</f>
        <v>1658851</v>
      </c>
    </row>
    <row r="176" spans="1:29">
      <c r="A176" s="907">
        <v>29</v>
      </c>
      <c r="B176" s="324" t="s">
        <v>43</v>
      </c>
      <c r="C176" s="325"/>
      <c r="D176" s="326"/>
      <c r="E176" s="326"/>
      <c r="F176" s="326"/>
      <c r="G176" s="326"/>
      <c r="H176" s="326"/>
      <c r="I176" s="326"/>
      <c r="J176" s="326"/>
      <c r="K176" s="327"/>
      <c r="L176" s="325"/>
      <c r="M176" s="326"/>
      <c r="N176" s="326"/>
      <c r="O176" s="326"/>
      <c r="P176" s="326"/>
      <c r="Q176" s="326"/>
      <c r="R176" s="326"/>
      <c r="S176" s="326"/>
      <c r="T176" s="327"/>
      <c r="U176" s="325"/>
      <c r="V176" s="326"/>
      <c r="W176" s="326"/>
      <c r="X176" s="326"/>
      <c r="Y176" s="326"/>
      <c r="Z176" s="326"/>
      <c r="AA176" s="326"/>
      <c r="AB176" s="326"/>
      <c r="AC176" s="327"/>
    </row>
    <row r="177" spans="1:29">
      <c r="A177" s="907"/>
      <c r="B177" s="314" t="s">
        <v>997</v>
      </c>
      <c r="C177" s="287">
        <v>115</v>
      </c>
      <c r="D177" s="287">
        <v>80</v>
      </c>
      <c r="E177" s="287">
        <v>195</v>
      </c>
      <c r="F177" s="287">
        <v>34</v>
      </c>
      <c r="G177" s="287">
        <v>30</v>
      </c>
      <c r="H177" s="287">
        <v>64</v>
      </c>
      <c r="I177" s="287">
        <v>1633</v>
      </c>
      <c r="J177" s="287">
        <v>2312</v>
      </c>
      <c r="K177" s="287">
        <v>3945</v>
      </c>
      <c r="L177" s="287">
        <v>10347</v>
      </c>
      <c r="M177" s="287">
        <v>10389</v>
      </c>
      <c r="N177" s="287">
        <v>20736</v>
      </c>
      <c r="O177" s="287">
        <v>0</v>
      </c>
      <c r="P177" s="287">
        <v>0</v>
      </c>
      <c r="Q177" s="287">
        <v>0</v>
      </c>
      <c r="R177" s="287">
        <v>1072</v>
      </c>
      <c r="S177" s="287">
        <v>1141</v>
      </c>
      <c r="T177" s="287">
        <v>2213</v>
      </c>
      <c r="U177" s="287">
        <v>61</v>
      </c>
      <c r="V177" s="287">
        <v>11</v>
      </c>
      <c r="W177" s="287">
        <v>72</v>
      </c>
      <c r="X177" s="287">
        <v>153</v>
      </c>
      <c r="Y177" s="287">
        <v>222</v>
      </c>
      <c r="Z177" s="287">
        <v>375</v>
      </c>
      <c r="AA177" s="287">
        <v>13415</v>
      </c>
      <c r="AB177" s="287">
        <v>14185</v>
      </c>
      <c r="AC177" s="287">
        <v>27600</v>
      </c>
    </row>
    <row r="178" spans="1:29">
      <c r="A178" s="907"/>
      <c r="B178" s="314" t="s">
        <v>301</v>
      </c>
      <c r="C178" s="259">
        <v>215</v>
      </c>
      <c r="D178" s="259">
        <v>195</v>
      </c>
      <c r="E178" s="259">
        <v>410</v>
      </c>
      <c r="F178" s="259">
        <v>43</v>
      </c>
      <c r="G178" s="259">
        <v>44</v>
      </c>
      <c r="H178" s="259">
        <v>87</v>
      </c>
      <c r="I178" s="259">
        <v>1190</v>
      </c>
      <c r="J178" s="259">
        <v>1540</v>
      </c>
      <c r="K178" s="259">
        <v>2730</v>
      </c>
      <c r="L178" s="259">
        <v>8412</v>
      </c>
      <c r="M178" s="259">
        <v>9660</v>
      </c>
      <c r="N178" s="259">
        <v>18072</v>
      </c>
      <c r="O178" s="259">
        <v>0</v>
      </c>
      <c r="P178" s="259">
        <v>0</v>
      </c>
      <c r="Q178" s="259">
        <v>0</v>
      </c>
      <c r="R178" s="259">
        <v>1015</v>
      </c>
      <c r="S178" s="259">
        <v>1053</v>
      </c>
      <c r="T178" s="259">
        <v>2068</v>
      </c>
      <c r="U178" s="259">
        <v>34</v>
      </c>
      <c r="V178" s="259">
        <v>6</v>
      </c>
      <c r="W178" s="259">
        <v>40</v>
      </c>
      <c r="X178" s="259">
        <v>120</v>
      </c>
      <c r="Y178" s="259">
        <v>198</v>
      </c>
      <c r="Z178" s="259">
        <v>318</v>
      </c>
      <c r="AA178" s="259">
        <v>11029</v>
      </c>
      <c r="AB178" s="259">
        <v>12696</v>
      </c>
      <c r="AC178" s="259">
        <v>23725</v>
      </c>
    </row>
    <row r="179" spans="1:29">
      <c r="A179" s="907"/>
      <c r="B179" s="314" t="s">
        <v>300</v>
      </c>
      <c r="C179" s="287">
        <v>211</v>
      </c>
      <c r="D179" s="287">
        <v>188</v>
      </c>
      <c r="E179" s="287">
        <v>399</v>
      </c>
      <c r="F179" s="287">
        <v>37</v>
      </c>
      <c r="G179" s="287">
        <v>42</v>
      </c>
      <c r="H179" s="287">
        <v>79</v>
      </c>
      <c r="I179" s="287">
        <v>1061</v>
      </c>
      <c r="J179" s="287">
        <v>1264</v>
      </c>
      <c r="K179" s="287">
        <v>2325</v>
      </c>
      <c r="L179" s="287">
        <v>8156</v>
      </c>
      <c r="M179" s="287">
        <v>9367</v>
      </c>
      <c r="N179" s="287">
        <v>17523</v>
      </c>
      <c r="O179" s="287">
        <v>0</v>
      </c>
      <c r="P179" s="287">
        <v>0</v>
      </c>
      <c r="Q179" s="287">
        <v>0</v>
      </c>
      <c r="R179" s="287">
        <v>1016</v>
      </c>
      <c r="S179" s="287">
        <v>1024</v>
      </c>
      <c r="T179" s="287">
        <v>2040</v>
      </c>
      <c r="U179" s="287">
        <v>37</v>
      </c>
      <c r="V179" s="287">
        <v>10</v>
      </c>
      <c r="W179" s="287">
        <v>47</v>
      </c>
      <c r="X179" s="287">
        <v>110</v>
      </c>
      <c r="Y179" s="287">
        <v>185</v>
      </c>
      <c r="Z179" s="287">
        <v>295</v>
      </c>
      <c r="AA179" s="287">
        <v>10628</v>
      </c>
      <c r="AB179" s="287">
        <v>12080</v>
      </c>
      <c r="AC179" s="287">
        <v>22708</v>
      </c>
    </row>
    <row r="180" spans="1:29">
      <c r="A180" s="907"/>
      <c r="B180" s="314" t="s">
        <v>299</v>
      </c>
      <c r="C180" s="103">
        <v>77</v>
      </c>
      <c r="D180" s="103">
        <v>53</v>
      </c>
      <c r="E180" s="105">
        <v>130</v>
      </c>
      <c r="F180" s="103">
        <v>9</v>
      </c>
      <c r="G180" s="103">
        <v>17</v>
      </c>
      <c r="H180" s="105">
        <v>26</v>
      </c>
      <c r="I180" s="96">
        <v>1001.5255862399313</v>
      </c>
      <c r="J180" s="96">
        <v>1376.1687979276207</v>
      </c>
      <c r="K180" s="109">
        <v>2377.694384167552</v>
      </c>
      <c r="L180" s="96">
        <v>7129.2705217815437</v>
      </c>
      <c r="M180" s="96">
        <v>8897.4102397508395</v>
      </c>
      <c r="N180" s="109">
        <v>16026.680761532381</v>
      </c>
      <c r="O180" s="103">
        <v>0</v>
      </c>
      <c r="P180" s="103">
        <v>0</v>
      </c>
      <c r="Q180" s="105">
        <v>0</v>
      </c>
      <c r="R180" s="103">
        <v>900</v>
      </c>
      <c r="S180" s="103">
        <v>952</v>
      </c>
      <c r="T180" s="105">
        <v>1852</v>
      </c>
      <c r="U180" s="103">
        <v>6</v>
      </c>
      <c r="V180" s="103">
        <v>14</v>
      </c>
      <c r="W180" s="105">
        <v>20</v>
      </c>
      <c r="X180" s="103">
        <v>117</v>
      </c>
      <c r="Y180" s="103">
        <v>177</v>
      </c>
      <c r="Z180" s="105">
        <v>294</v>
      </c>
      <c r="AA180" s="98">
        <v>9239.7961080214754</v>
      </c>
      <c r="AB180" s="98">
        <v>11486.579037678461</v>
      </c>
      <c r="AC180" s="109">
        <v>20726.375145699934</v>
      </c>
    </row>
    <row r="181" spans="1:29">
      <c r="A181" s="907"/>
      <c r="B181" s="288" t="s">
        <v>298</v>
      </c>
      <c r="C181" s="106">
        <v>107</v>
      </c>
      <c r="D181" s="106">
        <v>89</v>
      </c>
      <c r="E181" s="107">
        <v>196</v>
      </c>
      <c r="F181" s="106">
        <v>72</v>
      </c>
      <c r="G181" s="106">
        <v>75</v>
      </c>
      <c r="H181" s="107">
        <v>147</v>
      </c>
      <c r="I181" s="106">
        <v>774</v>
      </c>
      <c r="J181" s="106">
        <v>1031</v>
      </c>
      <c r="K181" s="107">
        <v>1805</v>
      </c>
      <c r="L181" s="106">
        <v>6699</v>
      </c>
      <c r="M181" s="106">
        <v>7760</v>
      </c>
      <c r="N181" s="107">
        <v>14459</v>
      </c>
      <c r="O181" s="106">
        <v>0</v>
      </c>
      <c r="P181" s="106">
        <v>0</v>
      </c>
      <c r="Q181" s="107">
        <v>0</v>
      </c>
      <c r="R181" s="106">
        <v>816</v>
      </c>
      <c r="S181" s="106">
        <v>675</v>
      </c>
      <c r="T181" s="107">
        <v>1491</v>
      </c>
      <c r="U181" s="106">
        <v>9</v>
      </c>
      <c r="V181" s="106">
        <v>37</v>
      </c>
      <c r="W181" s="107">
        <v>46</v>
      </c>
      <c r="X181" s="106">
        <v>153</v>
      </c>
      <c r="Y181" s="106">
        <v>184</v>
      </c>
      <c r="Z181" s="107">
        <v>337</v>
      </c>
      <c r="AA181" s="108">
        <v>8630</v>
      </c>
      <c r="AB181" s="108">
        <v>9851</v>
      </c>
      <c r="AC181" s="107">
        <f t="shared" ref="AC181" si="26">AA181+AB181</f>
        <v>18481</v>
      </c>
    </row>
    <row r="182" spans="1:29">
      <c r="A182" s="907">
        <v>30</v>
      </c>
      <c r="B182" s="324" t="s">
        <v>44</v>
      </c>
      <c r="C182" s="325"/>
      <c r="D182" s="326"/>
      <c r="E182" s="326"/>
      <c r="F182" s="326"/>
      <c r="G182" s="326"/>
      <c r="H182" s="326"/>
      <c r="I182" s="326"/>
      <c r="J182" s="326"/>
      <c r="K182" s="327"/>
      <c r="L182" s="325"/>
      <c r="M182" s="326"/>
      <c r="N182" s="326"/>
      <c r="O182" s="326"/>
      <c r="P182" s="326"/>
      <c r="Q182" s="326"/>
      <c r="R182" s="326"/>
      <c r="S182" s="326"/>
      <c r="T182" s="327"/>
      <c r="U182" s="325"/>
      <c r="V182" s="326"/>
      <c r="W182" s="326"/>
      <c r="X182" s="326"/>
      <c r="Y182" s="326"/>
      <c r="Z182" s="326"/>
      <c r="AA182" s="326"/>
      <c r="AB182" s="326"/>
      <c r="AC182" s="327"/>
    </row>
    <row r="183" spans="1:29">
      <c r="A183" s="907"/>
      <c r="B183" s="314" t="s">
        <v>997</v>
      </c>
      <c r="C183" s="287">
        <v>17443</v>
      </c>
      <c r="D183" s="287">
        <v>16968</v>
      </c>
      <c r="E183" s="287">
        <v>34411</v>
      </c>
      <c r="F183" s="287">
        <v>1696</v>
      </c>
      <c r="G183" s="287">
        <v>5007</v>
      </c>
      <c r="H183" s="287">
        <v>6703</v>
      </c>
      <c r="I183" s="287">
        <v>106868</v>
      </c>
      <c r="J183" s="287">
        <v>175312</v>
      </c>
      <c r="K183" s="287">
        <v>282180</v>
      </c>
      <c r="L183" s="287">
        <v>1091024</v>
      </c>
      <c r="M183" s="287">
        <v>1186072</v>
      </c>
      <c r="N183" s="287">
        <v>2277096</v>
      </c>
      <c r="O183" s="287">
        <v>1232</v>
      </c>
      <c r="P183" s="287">
        <v>1292</v>
      </c>
      <c r="Q183" s="287">
        <v>2524</v>
      </c>
      <c r="R183" s="287">
        <v>238219</v>
      </c>
      <c r="S183" s="287">
        <v>50394</v>
      </c>
      <c r="T183" s="287">
        <v>288613</v>
      </c>
      <c r="U183" s="287">
        <v>2574</v>
      </c>
      <c r="V183" s="287">
        <v>4848</v>
      </c>
      <c r="W183" s="287">
        <v>7422</v>
      </c>
      <c r="X183" s="287">
        <v>11859</v>
      </c>
      <c r="Y183" s="287">
        <v>11193</v>
      </c>
      <c r="Z183" s="287">
        <v>23052</v>
      </c>
      <c r="AA183" s="287">
        <v>1470915</v>
      </c>
      <c r="AB183" s="287">
        <v>1451086</v>
      </c>
      <c r="AC183" s="287">
        <v>2922001</v>
      </c>
    </row>
    <row r="184" spans="1:29">
      <c r="A184" s="907"/>
      <c r="B184" s="314" t="s">
        <v>301</v>
      </c>
      <c r="C184" s="259">
        <v>15816</v>
      </c>
      <c r="D184" s="259">
        <v>14823</v>
      </c>
      <c r="E184" s="259">
        <v>30639</v>
      </c>
      <c r="F184" s="259">
        <v>2457</v>
      </c>
      <c r="G184" s="259">
        <v>7298</v>
      </c>
      <c r="H184" s="259">
        <v>9755</v>
      </c>
      <c r="I184" s="259">
        <v>101932</v>
      </c>
      <c r="J184" s="259">
        <v>180859</v>
      </c>
      <c r="K184" s="259">
        <v>282791</v>
      </c>
      <c r="L184" s="259">
        <v>1094717</v>
      </c>
      <c r="M184" s="259">
        <v>1194788</v>
      </c>
      <c r="N184" s="259">
        <v>2289505</v>
      </c>
      <c r="O184" s="259">
        <v>1365</v>
      </c>
      <c r="P184" s="259">
        <v>1751</v>
      </c>
      <c r="Q184" s="259">
        <v>3116</v>
      </c>
      <c r="R184" s="259">
        <v>279043</v>
      </c>
      <c r="S184" s="259">
        <v>55406</v>
      </c>
      <c r="T184" s="259">
        <v>334449</v>
      </c>
      <c r="U184" s="259">
        <v>3921</v>
      </c>
      <c r="V184" s="259">
        <v>6572</v>
      </c>
      <c r="W184" s="259">
        <v>10493</v>
      </c>
      <c r="X184" s="259">
        <v>11312</v>
      </c>
      <c r="Y184" s="259">
        <v>10429</v>
      </c>
      <c r="Z184" s="259">
        <v>21741</v>
      </c>
      <c r="AA184" s="259">
        <v>1510563</v>
      </c>
      <c r="AB184" s="259">
        <v>1471926</v>
      </c>
      <c r="AC184" s="259">
        <v>2982489</v>
      </c>
    </row>
    <row r="185" spans="1:29">
      <c r="A185" s="907"/>
      <c r="B185" s="314" t="s">
        <v>300</v>
      </c>
      <c r="C185" s="287">
        <v>13699</v>
      </c>
      <c r="D185" s="287">
        <v>12121</v>
      </c>
      <c r="E185" s="287">
        <v>25820</v>
      </c>
      <c r="F185" s="287">
        <v>3281</v>
      </c>
      <c r="G185" s="287">
        <v>9144</v>
      </c>
      <c r="H185" s="287">
        <v>12425</v>
      </c>
      <c r="I185" s="287">
        <v>110199</v>
      </c>
      <c r="J185" s="287">
        <v>193722</v>
      </c>
      <c r="K185" s="287">
        <v>303921</v>
      </c>
      <c r="L185" s="287">
        <v>1085926</v>
      </c>
      <c r="M185" s="287">
        <v>1178654</v>
      </c>
      <c r="N185" s="287">
        <v>2264580</v>
      </c>
      <c r="O185" s="287">
        <v>1515</v>
      </c>
      <c r="P185" s="287">
        <v>1873</v>
      </c>
      <c r="Q185" s="287">
        <v>3388</v>
      </c>
      <c r="R185" s="287">
        <v>308429</v>
      </c>
      <c r="S185" s="287">
        <v>58445</v>
      </c>
      <c r="T185" s="287">
        <v>366874</v>
      </c>
      <c r="U185" s="287">
        <v>3496</v>
      </c>
      <c r="V185" s="287">
        <v>6747</v>
      </c>
      <c r="W185" s="287">
        <v>10243</v>
      </c>
      <c r="X185" s="287">
        <v>10871</v>
      </c>
      <c r="Y185" s="287">
        <v>9442</v>
      </c>
      <c r="Z185" s="287">
        <v>20313</v>
      </c>
      <c r="AA185" s="287">
        <v>1537416</v>
      </c>
      <c r="AB185" s="287">
        <v>1470148</v>
      </c>
      <c r="AC185" s="287">
        <v>3007564</v>
      </c>
    </row>
    <row r="186" spans="1:29">
      <c r="A186" s="907"/>
      <c r="B186" s="314" t="s">
        <v>299</v>
      </c>
      <c r="C186" s="103">
        <v>16267</v>
      </c>
      <c r="D186" s="103">
        <v>13511</v>
      </c>
      <c r="E186" s="105">
        <v>29778</v>
      </c>
      <c r="F186" s="103">
        <v>4424</v>
      </c>
      <c r="G186" s="103">
        <v>12755</v>
      </c>
      <c r="H186" s="105">
        <v>17179</v>
      </c>
      <c r="I186" s="96">
        <v>98084.635275933455</v>
      </c>
      <c r="J186" s="96">
        <v>173485.97833341575</v>
      </c>
      <c r="K186" s="109">
        <v>271570.61360934924</v>
      </c>
      <c r="L186" s="96">
        <v>1072395.2952759322</v>
      </c>
      <c r="M186" s="96">
        <v>1177662.0367209937</v>
      </c>
      <c r="N186" s="109">
        <v>2250057.3319969256</v>
      </c>
      <c r="O186" s="103">
        <v>1605</v>
      </c>
      <c r="P186" s="103">
        <v>1913</v>
      </c>
      <c r="Q186" s="105">
        <v>3518</v>
      </c>
      <c r="R186" s="103">
        <v>313156</v>
      </c>
      <c r="S186" s="103">
        <v>62768</v>
      </c>
      <c r="T186" s="105">
        <v>375924</v>
      </c>
      <c r="U186" s="103">
        <v>2736</v>
      </c>
      <c r="V186" s="103">
        <v>7326</v>
      </c>
      <c r="W186" s="105">
        <v>10062</v>
      </c>
      <c r="X186" s="103">
        <v>9199</v>
      </c>
      <c r="Y186" s="103">
        <v>7843</v>
      </c>
      <c r="Z186" s="105">
        <v>17042</v>
      </c>
      <c r="AA186" s="98">
        <v>1517866.9305518656</v>
      </c>
      <c r="AB186" s="95">
        <v>1457264.0150544094</v>
      </c>
      <c r="AC186" s="109">
        <v>2975130.945606275</v>
      </c>
    </row>
    <row r="187" spans="1:29">
      <c r="A187" s="907"/>
      <c r="B187" s="288" t="s">
        <v>298</v>
      </c>
      <c r="C187" s="106">
        <v>16363</v>
      </c>
      <c r="D187" s="106">
        <v>12321</v>
      </c>
      <c r="E187" s="107">
        <v>28684</v>
      </c>
      <c r="F187" s="106">
        <v>5850</v>
      </c>
      <c r="G187" s="106">
        <v>14811</v>
      </c>
      <c r="H187" s="107">
        <v>20661</v>
      </c>
      <c r="I187" s="106">
        <v>100277</v>
      </c>
      <c r="J187" s="106">
        <v>163173</v>
      </c>
      <c r="K187" s="107">
        <v>263450</v>
      </c>
      <c r="L187" s="106">
        <v>1041425</v>
      </c>
      <c r="M187" s="106">
        <v>1096983</v>
      </c>
      <c r="N187" s="107">
        <v>2138408</v>
      </c>
      <c r="O187" s="106">
        <v>2048</v>
      </c>
      <c r="P187" s="106">
        <v>1686</v>
      </c>
      <c r="Q187" s="107">
        <v>3734</v>
      </c>
      <c r="R187" s="106">
        <v>323116</v>
      </c>
      <c r="S187" s="106">
        <v>66461</v>
      </c>
      <c r="T187" s="107">
        <v>389577</v>
      </c>
      <c r="U187" s="106">
        <v>2401</v>
      </c>
      <c r="V187" s="106">
        <v>9088</v>
      </c>
      <c r="W187" s="107">
        <v>11489</v>
      </c>
      <c r="X187" s="106">
        <v>8115</v>
      </c>
      <c r="Y187" s="106">
        <v>6655</v>
      </c>
      <c r="Z187" s="107">
        <v>14770</v>
      </c>
      <c r="AA187" s="108">
        <v>1499595</v>
      </c>
      <c r="AB187" s="108">
        <v>1371178</v>
      </c>
      <c r="AC187" s="107">
        <f t="shared" ref="AC187" si="27">AA187+AB187</f>
        <v>2870773</v>
      </c>
    </row>
    <row r="188" spans="1:29">
      <c r="A188" s="907">
        <v>31</v>
      </c>
      <c r="B188" s="324" t="s">
        <v>142</v>
      </c>
      <c r="C188" s="325"/>
      <c r="D188" s="326"/>
      <c r="E188" s="326"/>
      <c r="F188" s="326"/>
      <c r="G188" s="326"/>
      <c r="H188" s="326"/>
      <c r="I188" s="326"/>
      <c r="J188" s="326"/>
      <c r="K188" s="327"/>
      <c r="L188" s="325"/>
      <c r="M188" s="326"/>
      <c r="N188" s="326"/>
      <c r="O188" s="326"/>
      <c r="P188" s="326"/>
      <c r="Q188" s="326"/>
      <c r="R188" s="326"/>
      <c r="S188" s="326"/>
      <c r="T188" s="327"/>
      <c r="U188" s="325"/>
      <c r="V188" s="326"/>
      <c r="W188" s="326"/>
      <c r="X188" s="326"/>
      <c r="Y188" s="326"/>
      <c r="Z188" s="326"/>
      <c r="AA188" s="326"/>
      <c r="AB188" s="326"/>
      <c r="AC188" s="327"/>
    </row>
    <row r="189" spans="1:29">
      <c r="A189" s="907"/>
      <c r="B189" s="314" t="s">
        <v>997</v>
      </c>
      <c r="C189" s="287">
        <v>4228</v>
      </c>
      <c r="D189" s="287">
        <v>2487</v>
      </c>
      <c r="E189" s="287">
        <v>6715</v>
      </c>
      <c r="F189" s="287">
        <v>106</v>
      </c>
      <c r="G189" s="287">
        <v>74</v>
      </c>
      <c r="H189" s="287">
        <v>180</v>
      </c>
      <c r="I189" s="287">
        <v>68545</v>
      </c>
      <c r="J189" s="287">
        <v>87864</v>
      </c>
      <c r="K189" s="287">
        <v>156409</v>
      </c>
      <c r="L189" s="287">
        <v>561388</v>
      </c>
      <c r="M189" s="287">
        <v>593419</v>
      </c>
      <c r="N189" s="287">
        <v>1154807</v>
      </c>
      <c r="O189" s="287">
        <v>2111</v>
      </c>
      <c r="P189" s="287">
        <v>1740</v>
      </c>
      <c r="Q189" s="287">
        <v>3851</v>
      </c>
      <c r="R189" s="287">
        <v>55384</v>
      </c>
      <c r="S189" s="287">
        <v>42988</v>
      </c>
      <c r="T189" s="287">
        <v>98372</v>
      </c>
      <c r="U189" s="287">
        <v>858</v>
      </c>
      <c r="V189" s="287">
        <v>1017</v>
      </c>
      <c r="W189" s="287">
        <v>1875</v>
      </c>
      <c r="X189" s="287">
        <v>3866</v>
      </c>
      <c r="Y189" s="287">
        <v>2792</v>
      </c>
      <c r="Z189" s="287">
        <v>6658</v>
      </c>
      <c r="AA189" s="287">
        <v>696486</v>
      </c>
      <c r="AB189" s="287">
        <v>732381</v>
      </c>
      <c r="AC189" s="287">
        <v>1428867</v>
      </c>
    </row>
    <row r="190" spans="1:29">
      <c r="A190" s="907"/>
      <c r="B190" s="314" t="s">
        <v>301</v>
      </c>
      <c r="C190" s="259">
        <v>3507</v>
      </c>
      <c r="D190" s="259">
        <v>2001</v>
      </c>
      <c r="E190" s="259">
        <v>5508</v>
      </c>
      <c r="F190" s="259">
        <v>203</v>
      </c>
      <c r="G190" s="259">
        <v>170</v>
      </c>
      <c r="H190" s="259">
        <v>373</v>
      </c>
      <c r="I190" s="259">
        <v>65433</v>
      </c>
      <c r="J190" s="259">
        <v>82606</v>
      </c>
      <c r="K190" s="259">
        <v>148039</v>
      </c>
      <c r="L190" s="259">
        <v>511433</v>
      </c>
      <c r="M190" s="259">
        <v>552425</v>
      </c>
      <c r="N190" s="259">
        <v>1063858</v>
      </c>
      <c r="O190" s="259">
        <v>1628</v>
      </c>
      <c r="P190" s="259">
        <v>1270</v>
      </c>
      <c r="Q190" s="259">
        <v>2898</v>
      </c>
      <c r="R190" s="259">
        <v>60259</v>
      </c>
      <c r="S190" s="259">
        <v>45165</v>
      </c>
      <c r="T190" s="259">
        <v>105424</v>
      </c>
      <c r="U190" s="259">
        <v>686</v>
      </c>
      <c r="V190" s="259">
        <v>825</v>
      </c>
      <c r="W190" s="259">
        <v>1511</v>
      </c>
      <c r="X190" s="259">
        <v>3629</v>
      </c>
      <c r="Y190" s="259">
        <v>2601</v>
      </c>
      <c r="Z190" s="259">
        <v>6230</v>
      </c>
      <c r="AA190" s="259">
        <v>646778</v>
      </c>
      <c r="AB190" s="259">
        <v>687063</v>
      </c>
      <c r="AC190" s="259">
        <v>1333841</v>
      </c>
    </row>
    <row r="191" spans="1:29">
      <c r="A191" s="907"/>
      <c r="B191" s="314" t="s">
        <v>300</v>
      </c>
      <c r="C191" s="287">
        <v>2191</v>
      </c>
      <c r="D191" s="287">
        <v>1239</v>
      </c>
      <c r="E191" s="287">
        <v>3430</v>
      </c>
      <c r="F191" s="287">
        <v>106</v>
      </c>
      <c r="G191" s="287">
        <v>123</v>
      </c>
      <c r="H191" s="287">
        <v>229</v>
      </c>
      <c r="I191" s="287">
        <v>69250</v>
      </c>
      <c r="J191" s="287">
        <v>85725</v>
      </c>
      <c r="K191" s="287">
        <v>154975</v>
      </c>
      <c r="L191" s="287">
        <v>529253</v>
      </c>
      <c r="M191" s="287">
        <v>559635</v>
      </c>
      <c r="N191" s="287">
        <v>1088888</v>
      </c>
      <c r="O191" s="287">
        <v>1280</v>
      </c>
      <c r="P191" s="287">
        <v>1012</v>
      </c>
      <c r="Q191" s="287">
        <v>2292</v>
      </c>
      <c r="R191" s="287">
        <v>70370</v>
      </c>
      <c r="S191" s="287">
        <v>47463</v>
      </c>
      <c r="T191" s="287">
        <v>117833</v>
      </c>
      <c r="U191" s="287">
        <v>696</v>
      </c>
      <c r="V191" s="287">
        <v>533</v>
      </c>
      <c r="W191" s="287">
        <v>1229</v>
      </c>
      <c r="X191" s="287">
        <v>3113</v>
      </c>
      <c r="Y191" s="287">
        <v>2067</v>
      </c>
      <c r="Z191" s="287">
        <v>5180</v>
      </c>
      <c r="AA191" s="287">
        <v>676259</v>
      </c>
      <c r="AB191" s="287">
        <v>697797</v>
      </c>
      <c r="AC191" s="287">
        <v>1374056</v>
      </c>
    </row>
    <row r="192" spans="1:29">
      <c r="A192" s="907"/>
      <c r="B192" s="314" t="s">
        <v>299</v>
      </c>
      <c r="C192" s="103">
        <v>3252</v>
      </c>
      <c r="D192" s="103">
        <v>1632</v>
      </c>
      <c r="E192" s="105">
        <v>4884</v>
      </c>
      <c r="F192" s="103">
        <v>454</v>
      </c>
      <c r="G192" s="103">
        <v>340</v>
      </c>
      <c r="H192" s="105">
        <v>794</v>
      </c>
      <c r="I192" s="96">
        <v>76279.159475908527</v>
      </c>
      <c r="J192" s="96">
        <v>88296.353393294805</v>
      </c>
      <c r="K192" s="109">
        <v>164575.51286920335</v>
      </c>
      <c r="L192" s="96">
        <v>549751.48245251458</v>
      </c>
      <c r="M192" s="96">
        <v>518250.00452087668</v>
      </c>
      <c r="N192" s="109">
        <v>1068001.4869733914</v>
      </c>
      <c r="O192" s="103">
        <v>1222</v>
      </c>
      <c r="P192" s="103">
        <v>745</v>
      </c>
      <c r="Q192" s="105">
        <v>1967</v>
      </c>
      <c r="R192" s="103">
        <v>77559</v>
      </c>
      <c r="S192" s="103">
        <v>49160</v>
      </c>
      <c r="T192" s="105">
        <v>126719</v>
      </c>
      <c r="U192" s="103">
        <v>73</v>
      </c>
      <c r="V192" s="103">
        <v>455</v>
      </c>
      <c r="W192" s="105">
        <v>528</v>
      </c>
      <c r="X192" s="103">
        <v>2945</v>
      </c>
      <c r="Y192" s="103">
        <v>2005</v>
      </c>
      <c r="Z192" s="105">
        <v>4950</v>
      </c>
      <c r="AA192" s="98">
        <v>711535.64192842308</v>
      </c>
      <c r="AB192" s="98">
        <v>660883.35791417153</v>
      </c>
      <c r="AC192" s="105">
        <v>1372418.9998425948</v>
      </c>
    </row>
    <row r="193" spans="1:29">
      <c r="A193" s="907"/>
      <c r="B193" s="288" t="s">
        <v>298</v>
      </c>
      <c r="C193" s="106">
        <v>2760</v>
      </c>
      <c r="D193" s="106">
        <v>1440</v>
      </c>
      <c r="E193" s="107">
        <v>4200</v>
      </c>
      <c r="F193" s="106">
        <v>384</v>
      </c>
      <c r="G193" s="106">
        <v>230</v>
      </c>
      <c r="H193" s="107">
        <v>614</v>
      </c>
      <c r="I193" s="106">
        <v>84340</v>
      </c>
      <c r="J193" s="106">
        <v>81846</v>
      </c>
      <c r="K193" s="107">
        <v>166186</v>
      </c>
      <c r="L193" s="106">
        <v>566916</v>
      </c>
      <c r="M193" s="106">
        <v>520211</v>
      </c>
      <c r="N193" s="107">
        <v>1087127</v>
      </c>
      <c r="O193" s="106">
        <v>882</v>
      </c>
      <c r="P193" s="106">
        <v>514</v>
      </c>
      <c r="Q193" s="107">
        <v>1396</v>
      </c>
      <c r="R193" s="106">
        <v>79588</v>
      </c>
      <c r="S193" s="106">
        <v>47316</v>
      </c>
      <c r="T193" s="107">
        <v>126904</v>
      </c>
      <c r="U193" s="106">
        <v>226</v>
      </c>
      <c r="V193" s="106">
        <v>627</v>
      </c>
      <c r="W193" s="107">
        <v>853</v>
      </c>
      <c r="X193" s="106">
        <v>2589</v>
      </c>
      <c r="Y193" s="106">
        <v>1760</v>
      </c>
      <c r="Z193" s="107">
        <v>4349</v>
      </c>
      <c r="AA193" s="108">
        <v>737685</v>
      </c>
      <c r="AB193" s="108">
        <v>653944</v>
      </c>
      <c r="AC193" s="107">
        <f t="shared" ref="AC193" si="28">AA193+AB193</f>
        <v>1391629</v>
      </c>
    </row>
    <row r="194" spans="1:29" ht="28">
      <c r="A194" s="907">
        <v>32</v>
      </c>
      <c r="B194" s="333" t="s">
        <v>173</v>
      </c>
      <c r="C194" s="334"/>
      <c r="D194" s="335"/>
      <c r="E194" s="336"/>
      <c r="F194" s="335"/>
      <c r="G194" s="335"/>
      <c r="H194" s="336"/>
      <c r="I194" s="335"/>
      <c r="J194" s="335"/>
      <c r="K194" s="337"/>
      <c r="L194" s="334"/>
      <c r="M194" s="335"/>
      <c r="N194" s="336"/>
      <c r="O194" s="335"/>
      <c r="P194" s="335"/>
      <c r="Q194" s="336"/>
      <c r="R194" s="335"/>
      <c r="S194" s="335"/>
      <c r="T194" s="337"/>
      <c r="U194" s="334"/>
      <c r="V194" s="335"/>
      <c r="W194" s="336"/>
      <c r="X194" s="335"/>
      <c r="Y194" s="335"/>
      <c r="Z194" s="336"/>
      <c r="AA194" s="338"/>
      <c r="AB194" s="338"/>
      <c r="AC194" s="337"/>
    </row>
    <row r="195" spans="1:29">
      <c r="A195" s="907"/>
      <c r="B195" s="288" t="s">
        <v>997</v>
      </c>
      <c r="C195" s="106">
        <v>0</v>
      </c>
      <c r="D195" s="106">
        <v>0</v>
      </c>
      <c r="E195" s="107">
        <v>0</v>
      </c>
      <c r="F195" s="106">
        <v>0</v>
      </c>
      <c r="G195" s="106">
        <v>0</v>
      </c>
      <c r="H195" s="107">
        <v>0</v>
      </c>
      <c r="I195" s="106">
        <v>259</v>
      </c>
      <c r="J195" s="106">
        <v>508</v>
      </c>
      <c r="K195" s="107">
        <v>767</v>
      </c>
      <c r="L195" s="106">
        <v>4020</v>
      </c>
      <c r="M195" s="106">
        <v>4681</v>
      </c>
      <c r="N195" s="107">
        <v>8701</v>
      </c>
      <c r="O195" s="106">
        <v>0</v>
      </c>
      <c r="P195" s="106">
        <v>0</v>
      </c>
      <c r="Q195" s="107">
        <v>0</v>
      </c>
      <c r="R195" s="106">
        <v>1647</v>
      </c>
      <c r="S195" s="106">
        <v>397</v>
      </c>
      <c r="T195" s="107">
        <v>2044</v>
      </c>
      <c r="U195" s="106">
        <v>0</v>
      </c>
      <c r="V195" s="106">
        <v>0</v>
      </c>
      <c r="W195" s="107">
        <v>0</v>
      </c>
      <c r="X195" s="106">
        <v>22</v>
      </c>
      <c r="Y195" s="106">
        <v>36</v>
      </c>
      <c r="Z195" s="107">
        <v>58</v>
      </c>
      <c r="AA195" s="108">
        <v>5948</v>
      </c>
      <c r="AB195" s="108">
        <v>5622</v>
      </c>
      <c r="AC195" s="107">
        <v>11570</v>
      </c>
    </row>
    <row r="196" spans="1:29">
      <c r="A196" s="907"/>
      <c r="B196" s="288" t="s">
        <v>301</v>
      </c>
      <c r="C196" s="106">
        <v>0</v>
      </c>
      <c r="D196" s="106">
        <v>0</v>
      </c>
      <c r="E196" s="107">
        <v>0</v>
      </c>
      <c r="F196" s="106">
        <v>0</v>
      </c>
      <c r="G196" s="106">
        <v>0</v>
      </c>
      <c r="H196" s="107">
        <v>0</v>
      </c>
      <c r="I196" s="106">
        <v>188</v>
      </c>
      <c r="J196" s="106">
        <v>433</v>
      </c>
      <c r="K196" s="107">
        <v>621</v>
      </c>
      <c r="L196" s="106">
        <v>3436</v>
      </c>
      <c r="M196" s="106">
        <v>4165</v>
      </c>
      <c r="N196" s="107">
        <v>7601</v>
      </c>
      <c r="O196" s="106">
        <v>0</v>
      </c>
      <c r="P196" s="106">
        <v>0</v>
      </c>
      <c r="Q196" s="107">
        <v>0</v>
      </c>
      <c r="R196" s="106">
        <v>1685</v>
      </c>
      <c r="S196" s="106">
        <v>381</v>
      </c>
      <c r="T196" s="107">
        <v>2066</v>
      </c>
      <c r="U196" s="106">
        <v>0</v>
      </c>
      <c r="V196" s="106">
        <v>0</v>
      </c>
      <c r="W196" s="107">
        <v>0</v>
      </c>
      <c r="X196" s="106">
        <v>11</v>
      </c>
      <c r="Y196" s="106">
        <v>26</v>
      </c>
      <c r="Z196" s="107">
        <v>37</v>
      </c>
      <c r="AA196" s="108">
        <v>5320</v>
      </c>
      <c r="AB196" s="108">
        <v>5005</v>
      </c>
      <c r="AC196" s="107">
        <v>10325</v>
      </c>
    </row>
    <row r="197" spans="1:29">
      <c r="A197" s="907"/>
      <c r="B197" s="288" t="s">
        <v>300</v>
      </c>
      <c r="C197" s="106">
        <v>0</v>
      </c>
      <c r="D197" s="106">
        <v>0</v>
      </c>
      <c r="E197" s="107">
        <v>0</v>
      </c>
      <c r="F197" s="106">
        <v>0</v>
      </c>
      <c r="G197" s="106">
        <v>0</v>
      </c>
      <c r="H197" s="107">
        <v>0</v>
      </c>
      <c r="I197" s="106">
        <v>175</v>
      </c>
      <c r="J197" s="106">
        <v>308</v>
      </c>
      <c r="K197" s="107">
        <v>483</v>
      </c>
      <c r="L197" s="106">
        <v>3127</v>
      </c>
      <c r="M197" s="106">
        <v>3834</v>
      </c>
      <c r="N197" s="107">
        <v>6961</v>
      </c>
      <c r="O197" s="106">
        <v>0</v>
      </c>
      <c r="P197" s="106">
        <v>0</v>
      </c>
      <c r="Q197" s="107">
        <v>0</v>
      </c>
      <c r="R197" s="106">
        <v>1686</v>
      </c>
      <c r="S197" s="106">
        <v>355</v>
      </c>
      <c r="T197" s="107">
        <v>2041</v>
      </c>
      <c r="U197" s="106">
        <v>0</v>
      </c>
      <c r="V197" s="106">
        <v>0</v>
      </c>
      <c r="W197" s="107">
        <v>0</v>
      </c>
      <c r="X197" s="106">
        <v>6</v>
      </c>
      <c r="Y197" s="106">
        <v>14</v>
      </c>
      <c r="Z197" s="107">
        <v>20</v>
      </c>
      <c r="AA197" s="108">
        <v>4994</v>
      </c>
      <c r="AB197" s="108">
        <v>4511</v>
      </c>
      <c r="AC197" s="107">
        <v>9505</v>
      </c>
    </row>
    <row r="198" spans="1:29">
      <c r="A198" s="907"/>
      <c r="B198" s="288" t="s">
        <v>299</v>
      </c>
      <c r="C198" s="106">
        <v>0</v>
      </c>
      <c r="D198" s="106">
        <v>0</v>
      </c>
      <c r="E198" s="107">
        <v>0</v>
      </c>
      <c r="F198" s="106">
        <v>0</v>
      </c>
      <c r="G198" s="106">
        <v>0</v>
      </c>
      <c r="H198" s="107">
        <v>0</v>
      </c>
      <c r="I198" s="106">
        <v>126</v>
      </c>
      <c r="J198" s="106">
        <v>198</v>
      </c>
      <c r="K198" s="107">
        <v>324</v>
      </c>
      <c r="L198" s="106">
        <v>2707</v>
      </c>
      <c r="M198" s="106">
        <v>3689</v>
      </c>
      <c r="N198" s="107">
        <v>6396</v>
      </c>
      <c r="O198" s="106">
        <v>0</v>
      </c>
      <c r="P198" s="106">
        <v>0</v>
      </c>
      <c r="Q198" s="107">
        <v>0</v>
      </c>
      <c r="R198" s="106">
        <v>1821</v>
      </c>
      <c r="S198" s="106">
        <v>319</v>
      </c>
      <c r="T198" s="107">
        <v>2140</v>
      </c>
      <c r="U198" s="106">
        <v>0</v>
      </c>
      <c r="V198" s="106">
        <v>0</v>
      </c>
      <c r="W198" s="107">
        <v>0</v>
      </c>
      <c r="X198" s="106">
        <v>4</v>
      </c>
      <c r="Y198" s="106">
        <v>2</v>
      </c>
      <c r="Z198" s="107">
        <v>6</v>
      </c>
      <c r="AA198" s="108">
        <v>4658</v>
      </c>
      <c r="AB198" s="108">
        <v>4208</v>
      </c>
      <c r="AC198" s="107">
        <v>8866</v>
      </c>
    </row>
    <row r="199" spans="1:29">
      <c r="A199" s="907"/>
      <c r="B199" s="288" t="s">
        <v>298</v>
      </c>
      <c r="C199" s="106">
        <v>0</v>
      </c>
      <c r="D199" s="106">
        <v>0</v>
      </c>
      <c r="E199" s="107">
        <v>0</v>
      </c>
      <c r="F199" s="106">
        <v>0</v>
      </c>
      <c r="G199" s="106">
        <v>0</v>
      </c>
      <c r="H199" s="107">
        <v>0</v>
      </c>
      <c r="I199" s="106">
        <v>121</v>
      </c>
      <c r="J199" s="106">
        <v>176</v>
      </c>
      <c r="K199" s="107">
        <v>297</v>
      </c>
      <c r="L199" s="106">
        <v>2784</v>
      </c>
      <c r="M199" s="106">
        <v>3422</v>
      </c>
      <c r="N199" s="107">
        <v>6206</v>
      </c>
      <c r="O199" s="106">
        <v>0</v>
      </c>
      <c r="P199" s="106">
        <v>0</v>
      </c>
      <c r="Q199" s="107">
        <v>0</v>
      </c>
      <c r="R199" s="106">
        <v>1938</v>
      </c>
      <c r="S199" s="106">
        <v>285</v>
      </c>
      <c r="T199" s="107">
        <v>2223</v>
      </c>
      <c r="U199" s="106">
        <v>0</v>
      </c>
      <c r="V199" s="106">
        <v>0</v>
      </c>
      <c r="W199" s="107">
        <v>0</v>
      </c>
      <c r="X199" s="106">
        <v>0</v>
      </c>
      <c r="Y199" s="106">
        <v>0</v>
      </c>
      <c r="Z199" s="107">
        <v>0</v>
      </c>
      <c r="AA199" s="108">
        <v>4843</v>
      </c>
      <c r="AB199" s="108">
        <v>3883</v>
      </c>
      <c r="AC199" s="107">
        <v>8726</v>
      </c>
    </row>
    <row r="200" spans="1:29">
      <c r="A200" s="907">
        <v>33</v>
      </c>
      <c r="B200" s="324" t="s">
        <v>45</v>
      </c>
      <c r="C200" s="325"/>
      <c r="D200" s="326"/>
      <c r="E200" s="326"/>
      <c r="F200" s="326"/>
      <c r="G200" s="326"/>
      <c r="H200" s="326"/>
      <c r="I200" s="326"/>
      <c r="J200" s="326"/>
      <c r="K200" s="327"/>
      <c r="L200" s="325"/>
      <c r="M200" s="326"/>
      <c r="N200" s="326"/>
      <c r="O200" s="326"/>
      <c r="P200" s="326"/>
      <c r="Q200" s="326"/>
      <c r="R200" s="326"/>
      <c r="S200" s="326"/>
      <c r="T200" s="327"/>
      <c r="U200" s="325"/>
      <c r="V200" s="326"/>
      <c r="W200" s="326"/>
      <c r="X200" s="326"/>
      <c r="Y200" s="326"/>
      <c r="Z200" s="326"/>
      <c r="AA200" s="326"/>
      <c r="AB200" s="326"/>
      <c r="AC200" s="327"/>
    </row>
    <row r="201" spans="1:29">
      <c r="A201" s="907"/>
      <c r="B201" s="314" t="s">
        <v>997</v>
      </c>
      <c r="C201" s="287">
        <v>452</v>
      </c>
      <c r="D201" s="287">
        <v>220</v>
      </c>
      <c r="E201" s="287">
        <v>672</v>
      </c>
      <c r="F201" s="287">
        <v>2</v>
      </c>
      <c r="G201" s="287">
        <v>10</v>
      </c>
      <c r="H201" s="287">
        <v>12</v>
      </c>
      <c r="I201" s="287">
        <v>2536</v>
      </c>
      <c r="J201" s="287">
        <v>2425</v>
      </c>
      <c r="K201" s="287">
        <v>4961</v>
      </c>
      <c r="L201" s="287">
        <v>35886</v>
      </c>
      <c r="M201" s="287">
        <v>32179</v>
      </c>
      <c r="N201" s="287">
        <v>68065</v>
      </c>
      <c r="O201" s="287">
        <v>47</v>
      </c>
      <c r="P201" s="287">
        <v>107</v>
      </c>
      <c r="Q201" s="287">
        <v>154</v>
      </c>
      <c r="R201" s="287">
        <v>2225</v>
      </c>
      <c r="S201" s="287">
        <v>2603</v>
      </c>
      <c r="T201" s="287">
        <v>4828</v>
      </c>
      <c r="U201" s="287">
        <v>15</v>
      </c>
      <c r="V201" s="287">
        <v>13</v>
      </c>
      <c r="W201" s="287">
        <v>28</v>
      </c>
      <c r="X201" s="287">
        <v>871</v>
      </c>
      <c r="Y201" s="287">
        <v>723</v>
      </c>
      <c r="Z201" s="287">
        <v>1594</v>
      </c>
      <c r="AA201" s="287">
        <v>42034</v>
      </c>
      <c r="AB201" s="287">
        <v>38280</v>
      </c>
      <c r="AC201" s="287">
        <v>80314</v>
      </c>
    </row>
    <row r="202" spans="1:29">
      <c r="A202" s="907"/>
      <c r="B202" s="314" t="s">
        <v>301</v>
      </c>
      <c r="C202" s="259">
        <v>388</v>
      </c>
      <c r="D202" s="259">
        <v>227</v>
      </c>
      <c r="E202" s="259">
        <v>615</v>
      </c>
      <c r="F202" s="259">
        <v>0</v>
      </c>
      <c r="G202" s="259">
        <v>0</v>
      </c>
      <c r="H202" s="259">
        <v>0</v>
      </c>
      <c r="I202" s="259">
        <v>2136</v>
      </c>
      <c r="J202" s="259">
        <v>1932</v>
      </c>
      <c r="K202" s="259">
        <v>4068</v>
      </c>
      <c r="L202" s="259">
        <v>34858</v>
      </c>
      <c r="M202" s="259">
        <v>28462</v>
      </c>
      <c r="N202" s="259">
        <v>63320</v>
      </c>
      <c r="O202" s="259">
        <v>17</v>
      </c>
      <c r="P202" s="259">
        <v>46</v>
      </c>
      <c r="Q202" s="259">
        <v>63</v>
      </c>
      <c r="R202" s="259">
        <v>2256</v>
      </c>
      <c r="S202" s="259">
        <v>2109</v>
      </c>
      <c r="T202" s="259">
        <v>4365</v>
      </c>
      <c r="U202" s="259">
        <v>149</v>
      </c>
      <c r="V202" s="259">
        <v>221</v>
      </c>
      <c r="W202" s="259">
        <v>370</v>
      </c>
      <c r="X202" s="259">
        <v>396</v>
      </c>
      <c r="Y202" s="259">
        <v>242</v>
      </c>
      <c r="Z202" s="259">
        <v>638</v>
      </c>
      <c r="AA202" s="259">
        <v>40200</v>
      </c>
      <c r="AB202" s="259">
        <v>33239</v>
      </c>
      <c r="AC202" s="259">
        <v>73439</v>
      </c>
    </row>
    <row r="203" spans="1:29">
      <c r="A203" s="907"/>
      <c r="B203" s="314" t="s">
        <v>300</v>
      </c>
      <c r="C203" s="287">
        <v>147</v>
      </c>
      <c r="D203" s="287">
        <v>79</v>
      </c>
      <c r="E203" s="287">
        <v>226</v>
      </c>
      <c r="F203" s="287">
        <v>0</v>
      </c>
      <c r="G203" s="287">
        <v>0</v>
      </c>
      <c r="H203" s="287">
        <v>0</v>
      </c>
      <c r="I203" s="287">
        <v>2286</v>
      </c>
      <c r="J203" s="287">
        <v>1867</v>
      </c>
      <c r="K203" s="287">
        <v>4153</v>
      </c>
      <c r="L203" s="287">
        <v>32051</v>
      </c>
      <c r="M203" s="287">
        <v>27988</v>
      </c>
      <c r="N203" s="287">
        <v>60039</v>
      </c>
      <c r="O203" s="287">
        <v>52</v>
      </c>
      <c r="P203" s="287">
        <v>102</v>
      </c>
      <c r="Q203" s="287">
        <v>154</v>
      </c>
      <c r="R203" s="287">
        <v>2312</v>
      </c>
      <c r="S203" s="287">
        <v>1940</v>
      </c>
      <c r="T203" s="287">
        <v>4252</v>
      </c>
      <c r="U203" s="287">
        <v>68</v>
      </c>
      <c r="V203" s="287">
        <v>112</v>
      </c>
      <c r="W203" s="287">
        <v>180</v>
      </c>
      <c r="X203" s="287">
        <v>701</v>
      </c>
      <c r="Y203" s="287">
        <v>427</v>
      </c>
      <c r="Z203" s="287">
        <v>1128</v>
      </c>
      <c r="AA203" s="287">
        <v>37617</v>
      </c>
      <c r="AB203" s="287">
        <v>32515</v>
      </c>
      <c r="AC203" s="287">
        <v>70132</v>
      </c>
    </row>
    <row r="204" spans="1:29">
      <c r="A204" s="907"/>
      <c r="B204" s="314" t="s">
        <v>299</v>
      </c>
      <c r="C204" s="103">
        <v>75</v>
      </c>
      <c r="D204" s="103">
        <v>44</v>
      </c>
      <c r="E204" s="105">
        <v>119</v>
      </c>
      <c r="F204" s="103">
        <v>0</v>
      </c>
      <c r="G204" s="103">
        <v>0</v>
      </c>
      <c r="H204" s="105">
        <v>0</v>
      </c>
      <c r="I204" s="96">
        <v>1673.1709863507785</v>
      </c>
      <c r="J204" s="96">
        <v>1276.4273890851073</v>
      </c>
      <c r="K204" s="109">
        <v>2949.5983754358858</v>
      </c>
      <c r="L204" s="96">
        <v>31857.451037284685</v>
      </c>
      <c r="M204" s="96">
        <v>29014.342280968711</v>
      </c>
      <c r="N204" s="109">
        <v>60871.793318253389</v>
      </c>
      <c r="O204" s="103">
        <v>50</v>
      </c>
      <c r="P204" s="103">
        <v>66</v>
      </c>
      <c r="Q204" s="105">
        <v>116</v>
      </c>
      <c r="R204" s="103">
        <v>2159</v>
      </c>
      <c r="S204" s="103">
        <v>1781</v>
      </c>
      <c r="T204" s="105">
        <v>3940</v>
      </c>
      <c r="U204" s="103">
        <v>114</v>
      </c>
      <c r="V204" s="103">
        <v>108</v>
      </c>
      <c r="W204" s="105">
        <v>222</v>
      </c>
      <c r="X204" s="103">
        <v>563</v>
      </c>
      <c r="Y204" s="103">
        <v>322</v>
      </c>
      <c r="Z204" s="105">
        <v>885</v>
      </c>
      <c r="AA204" s="98">
        <v>36491.622023635464</v>
      </c>
      <c r="AB204" s="98">
        <v>32611.769670053822</v>
      </c>
      <c r="AC204" s="109">
        <v>69103.391693689278</v>
      </c>
    </row>
    <row r="205" spans="1:29">
      <c r="A205" s="907"/>
      <c r="B205" s="288" t="s">
        <v>298</v>
      </c>
      <c r="C205" s="106">
        <v>50</v>
      </c>
      <c r="D205" s="106">
        <v>32</v>
      </c>
      <c r="E205" s="107">
        <v>82</v>
      </c>
      <c r="F205" s="106">
        <v>0</v>
      </c>
      <c r="G205" s="106">
        <v>0</v>
      </c>
      <c r="H205" s="107">
        <v>0</v>
      </c>
      <c r="I205" s="106">
        <v>1858</v>
      </c>
      <c r="J205" s="106">
        <v>1386</v>
      </c>
      <c r="K205" s="107">
        <v>3244</v>
      </c>
      <c r="L205" s="106">
        <v>34293</v>
      </c>
      <c r="M205" s="106">
        <v>29052</v>
      </c>
      <c r="N205" s="107">
        <v>63345</v>
      </c>
      <c r="O205" s="106">
        <v>54</v>
      </c>
      <c r="P205" s="106">
        <v>102</v>
      </c>
      <c r="Q205" s="107">
        <v>156</v>
      </c>
      <c r="R205" s="106">
        <v>2183</v>
      </c>
      <c r="S205" s="106">
        <v>1661</v>
      </c>
      <c r="T205" s="107">
        <v>3844</v>
      </c>
      <c r="U205" s="106">
        <v>142</v>
      </c>
      <c r="V205" s="106">
        <v>80</v>
      </c>
      <c r="W205" s="107">
        <v>222</v>
      </c>
      <c r="X205" s="106">
        <v>272</v>
      </c>
      <c r="Y205" s="106">
        <v>184</v>
      </c>
      <c r="Z205" s="107">
        <v>456</v>
      </c>
      <c r="AA205" s="108">
        <v>38852</v>
      </c>
      <c r="AB205" s="108">
        <v>32497</v>
      </c>
      <c r="AC205" s="107">
        <f t="shared" ref="AC205" si="29">AA205+AB205</f>
        <v>71349</v>
      </c>
    </row>
    <row r="206" spans="1:29">
      <c r="A206" s="907">
        <v>34</v>
      </c>
      <c r="B206" s="324" t="s">
        <v>47</v>
      </c>
      <c r="C206" s="325"/>
      <c r="D206" s="326"/>
      <c r="E206" s="326"/>
      <c r="F206" s="326"/>
      <c r="G206" s="326"/>
      <c r="H206" s="326"/>
      <c r="I206" s="326"/>
      <c r="J206" s="326"/>
      <c r="K206" s="327"/>
      <c r="L206" s="325"/>
      <c r="M206" s="326"/>
      <c r="N206" s="326"/>
      <c r="O206" s="326"/>
      <c r="P206" s="326"/>
      <c r="Q206" s="326"/>
      <c r="R206" s="326"/>
      <c r="S206" s="326"/>
      <c r="T206" s="327"/>
      <c r="U206" s="325"/>
      <c r="V206" s="326"/>
      <c r="W206" s="326"/>
      <c r="X206" s="326"/>
      <c r="Y206" s="326"/>
      <c r="Z206" s="326"/>
      <c r="AA206" s="326"/>
      <c r="AB206" s="326"/>
      <c r="AC206" s="327"/>
    </row>
    <row r="207" spans="1:29">
      <c r="A207" s="907"/>
      <c r="B207" s="314" t="s">
        <v>997</v>
      </c>
      <c r="C207" s="287">
        <v>11560</v>
      </c>
      <c r="D207" s="287">
        <v>8246</v>
      </c>
      <c r="E207" s="287">
        <v>19806</v>
      </c>
      <c r="F207" s="287">
        <v>234</v>
      </c>
      <c r="G207" s="287">
        <v>381</v>
      </c>
      <c r="H207" s="287">
        <v>615</v>
      </c>
      <c r="I207" s="287">
        <v>250456</v>
      </c>
      <c r="J207" s="287">
        <v>332791</v>
      </c>
      <c r="K207" s="287">
        <v>583247</v>
      </c>
      <c r="L207" s="287">
        <v>2781718</v>
      </c>
      <c r="M207" s="287">
        <v>2708037</v>
      </c>
      <c r="N207" s="287">
        <v>5489755</v>
      </c>
      <c r="O207" s="287">
        <v>7063</v>
      </c>
      <c r="P207" s="287">
        <v>5107</v>
      </c>
      <c r="Q207" s="287">
        <v>12170</v>
      </c>
      <c r="R207" s="287">
        <v>213233</v>
      </c>
      <c r="S207" s="287">
        <v>110525</v>
      </c>
      <c r="T207" s="287">
        <v>323758</v>
      </c>
      <c r="U207" s="287">
        <v>7153</v>
      </c>
      <c r="V207" s="287">
        <v>8143</v>
      </c>
      <c r="W207" s="287">
        <v>15296</v>
      </c>
      <c r="X207" s="287">
        <v>32566</v>
      </c>
      <c r="Y207" s="287">
        <v>19340</v>
      </c>
      <c r="Z207" s="287">
        <v>51906</v>
      </c>
      <c r="AA207" s="287">
        <v>3303983</v>
      </c>
      <c r="AB207" s="287">
        <v>3192570</v>
      </c>
      <c r="AC207" s="287">
        <v>6496553</v>
      </c>
    </row>
    <row r="208" spans="1:29">
      <c r="A208" s="907"/>
      <c r="B208" s="314" t="s">
        <v>301</v>
      </c>
      <c r="C208" s="287">
        <v>13693</v>
      </c>
      <c r="D208" s="287">
        <v>10071</v>
      </c>
      <c r="E208" s="287">
        <v>23764</v>
      </c>
      <c r="F208" s="287">
        <v>217</v>
      </c>
      <c r="G208" s="287">
        <v>320</v>
      </c>
      <c r="H208" s="287">
        <v>537</v>
      </c>
      <c r="I208" s="287">
        <v>214150</v>
      </c>
      <c r="J208" s="287">
        <v>311564</v>
      </c>
      <c r="K208" s="287">
        <v>525714</v>
      </c>
      <c r="L208" s="287">
        <v>2594537</v>
      </c>
      <c r="M208" s="287">
        <v>2742207</v>
      </c>
      <c r="N208" s="287">
        <v>5336744</v>
      </c>
      <c r="O208" s="287">
        <v>7380</v>
      </c>
      <c r="P208" s="287">
        <v>5898</v>
      </c>
      <c r="Q208" s="287">
        <v>13278</v>
      </c>
      <c r="R208" s="287">
        <v>196971</v>
      </c>
      <c r="S208" s="287">
        <v>101043</v>
      </c>
      <c r="T208" s="287">
        <v>298014</v>
      </c>
      <c r="U208" s="287">
        <v>9178</v>
      </c>
      <c r="V208" s="287">
        <v>12891</v>
      </c>
      <c r="W208" s="287">
        <v>22069</v>
      </c>
      <c r="X208" s="287">
        <v>26504</v>
      </c>
      <c r="Y208" s="287">
        <v>15133</v>
      </c>
      <c r="Z208" s="287">
        <v>41637</v>
      </c>
      <c r="AA208" s="287">
        <v>3062630</v>
      </c>
      <c r="AB208" s="287">
        <v>3199127</v>
      </c>
      <c r="AC208" s="287">
        <v>6261757</v>
      </c>
    </row>
    <row r="209" spans="1:29">
      <c r="A209" s="907"/>
      <c r="B209" s="314" t="s">
        <v>300</v>
      </c>
      <c r="C209" s="287">
        <v>11715</v>
      </c>
      <c r="D209" s="287">
        <v>7404</v>
      </c>
      <c r="E209" s="287">
        <v>19119</v>
      </c>
      <c r="F209" s="287">
        <v>326</v>
      </c>
      <c r="G209" s="287">
        <v>431</v>
      </c>
      <c r="H209" s="287">
        <v>757</v>
      </c>
      <c r="I209" s="287">
        <v>221599</v>
      </c>
      <c r="J209" s="287">
        <v>309829</v>
      </c>
      <c r="K209" s="287">
        <v>531428</v>
      </c>
      <c r="L209" s="287">
        <v>2607963</v>
      </c>
      <c r="M209" s="287">
        <v>2755880</v>
      </c>
      <c r="N209" s="287">
        <v>5363843</v>
      </c>
      <c r="O209" s="287">
        <v>7722</v>
      </c>
      <c r="P209" s="287">
        <v>5222</v>
      </c>
      <c r="Q209" s="287">
        <v>12944</v>
      </c>
      <c r="R209" s="287">
        <v>177313</v>
      </c>
      <c r="S209" s="287">
        <v>90672</v>
      </c>
      <c r="T209" s="287">
        <v>267985</v>
      </c>
      <c r="U209" s="287">
        <v>16241</v>
      </c>
      <c r="V209" s="287">
        <v>17756</v>
      </c>
      <c r="W209" s="287">
        <v>33997</v>
      </c>
      <c r="X209" s="287">
        <v>21867</v>
      </c>
      <c r="Y209" s="287">
        <v>12337</v>
      </c>
      <c r="Z209" s="287">
        <v>34204</v>
      </c>
      <c r="AA209" s="287">
        <v>3064746</v>
      </c>
      <c r="AB209" s="287">
        <v>3199531</v>
      </c>
      <c r="AC209" s="287">
        <v>6264277</v>
      </c>
    </row>
    <row r="210" spans="1:29">
      <c r="A210" s="907"/>
      <c r="B210" s="314" t="s">
        <v>299</v>
      </c>
      <c r="C210" s="103">
        <v>10069</v>
      </c>
      <c r="D210" s="103">
        <v>5339</v>
      </c>
      <c r="E210" s="105">
        <v>15408</v>
      </c>
      <c r="F210" s="103">
        <v>350</v>
      </c>
      <c r="G210" s="103">
        <v>510</v>
      </c>
      <c r="H210" s="105">
        <v>860</v>
      </c>
      <c r="I210" s="96">
        <v>241832.92901018076</v>
      </c>
      <c r="J210" s="96">
        <v>331579.953279012</v>
      </c>
      <c r="K210" s="109">
        <v>573412.88228919276</v>
      </c>
      <c r="L210" s="96">
        <v>2723791.527862024</v>
      </c>
      <c r="M210" s="96">
        <v>2635229.9824966588</v>
      </c>
      <c r="N210" s="109">
        <v>5359021.5103586828</v>
      </c>
      <c r="O210" s="103">
        <v>9419</v>
      </c>
      <c r="P210" s="103">
        <v>6501</v>
      </c>
      <c r="Q210" s="105">
        <v>15920</v>
      </c>
      <c r="R210" s="103">
        <v>177103</v>
      </c>
      <c r="S210" s="103">
        <v>80266</v>
      </c>
      <c r="T210" s="105">
        <v>257369</v>
      </c>
      <c r="U210" s="103">
        <v>7190</v>
      </c>
      <c r="V210" s="103">
        <v>7525</v>
      </c>
      <c r="W210" s="105">
        <v>14715</v>
      </c>
      <c r="X210" s="103">
        <v>20331</v>
      </c>
      <c r="Y210" s="103">
        <v>11549</v>
      </c>
      <c r="Z210" s="105">
        <v>31880</v>
      </c>
      <c r="AA210" s="98">
        <v>3190086.4568722048</v>
      </c>
      <c r="AB210" s="98">
        <v>3078499.9357756707</v>
      </c>
      <c r="AC210" s="109">
        <v>6268586.3926478755</v>
      </c>
    </row>
    <row r="211" spans="1:29">
      <c r="A211" s="907"/>
      <c r="B211" s="288" t="s">
        <v>298</v>
      </c>
      <c r="C211" s="106">
        <v>8838</v>
      </c>
      <c r="D211" s="106">
        <v>4389</v>
      </c>
      <c r="E211" s="107">
        <v>13227</v>
      </c>
      <c r="F211" s="106">
        <v>370</v>
      </c>
      <c r="G211" s="106">
        <v>502</v>
      </c>
      <c r="H211" s="107">
        <v>872</v>
      </c>
      <c r="I211" s="106">
        <v>229277</v>
      </c>
      <c r="J211" s="106">
        <v>310861</v>
      </c>
      <c r="K211" s="107">
        <v>540138</v>
      </c>
      <c r="L211" s="106">
        <v>2703343</v>
      </c>
      <c r="M211" s="106">
        <v>2474977</v>
      </c>
      <c r="N211" s="107">
        <v>5178320</v>
      </c>
      <c r="O211" s="106">
        <v>10193</v>
      </c>
      <c r="P211" s="106">
        <v>6419</v>
      </c>
      <c r="Q211" s="107">
        <v>16612</v>
      </c>
      <c r="R211" s="106">
        <v>162409</v>
      </c>
      <c r="S211" s="106">
        <v>69093</v>
      </c>
      <c r="T211" s="107">
        <v>231502</v>
      </c>
      <c r="U211" s="106">
        <v>16492</v>
      </c>
      <c r="V211" s="106">
        <v>15338</v>
      </c>
      <c r="W211" s="107">
        <v>31830</v>
      </c>
      <c r="X211" s="106">
        <v>20006</v>
      </c>
      <c r="Y211" s="106">
        <v>10264</v>
      </c>
      <c r="Z211" s="107">
        <v>30270</v>
      </c>
      <c r="AA211" s="108">
        <v>3150928</v>
      </c>
      <c r="AB211" s="108">
        <v>2891843</v>
      </c>
      <c r="AC211" s="107">
        <f t="shared" ref="AC211" si="30">AA211+AB211</f>
        <v>6042771</v>
      </c>
    </row>
    <row r="212" spans="1:29">
      <c r="A212" s="907">
        <v>35</v>
      </c>
      <c r="B212" s="324" t="s">
        <v>46</v>
      </c>
      <c r="C212" s="325"/>
      <c r="D212" s="326"/>
      <c r="E212" s="326"/>
      <c r="F212" s="326"/>
      <c r="G212" s="326"/>
      <c r="H212" s="326"/>
      <c r="I212" s="326"/>
      <c r="J212" s="326"/>
      <c r="K212" s="327"/>
      <c r="L212" s="325"/>
      <c r="M212" s="326"/>
      <c r="N212" s="326"/>
      <c r="O212" s="326"/>
      <c r="P212" s="326"/>
      <c r="Q212" s="326"/>
      <c r="R212" s="326"/>
      <c r="S212" s="326"/>
      <c r="T212" s="327"/>
      <c r="U212" s="325"/>
      <c r="V212" s="326"/>
      <c r="W212" s="326"/>
      <c r="X212" s="326"/>
      <c r="Y212" s="326"/>
      <c r="Z212" s="326"/>
      <c r="AA212" s="326"/>
      <c r="AB212" s="326"/>
      <c r="AC212" s="327"/>
    </row>
    <row r="213" spans="1:29">
      <c r="A213" s="907"/>
      <c r="B213" s="314" t="s">
        <v>997</v>
      </c>
      <c r="C213" s="287">
        <v>4099</v>
      </c>
      <c r="D213" s="287">
        <v>2533</v>
      </c>
      <c r="E213" s="287">
        <v>6632</v>
      </c>
      <c r="F213" s="287">
        <v>4</v>
      </c>
      <c r="G213" s="287">
        <v>1</v>
      </c>
      <c r="H213" s="287">
        <v>5</v>
      </c>
      <c r="I213" s="287">
        <v>31382</v>
      </c>
      <c r="J213" s="287">
        <v>40142</v>
      </c>
      <c r="K213" s="287">
        <v>71524</v>
      </c>
      <c r="L213" s="287">
        <v>194631</v>
      </c>
      <c r="M213" s="287">
        <v>207892</v>
      </c>
      <c r="N213" s="287">
        <v>402523</v>
      </c>
      <c r="O213" s="287">
        <v>772</v>
      </c>
      <c r="P213" s="287">
        <v>917</v>
      </c>
      <c r="Q213" s="287">
        <v>1689</v>
      </c>
      <c r="R213" s="287">
        <v>20453</v>
      </c>
      <c r="S213" s="287">
        <v>7620</v>
      </c>
      <c r="T213" s="287">
        <v>28073</v>
      </c>
      <c r="U213" s="287">
        <v>303</v>
      </c>
      <c r="V213" s="287">
        <v>75</v>
      </c>
      <c r="W213" s="287">
        <v>378</v>
      </c>
      <c r="X213" s="287">
        <v>3951</v>
      </c>
      <c r="Y213" s="287">
        <v>2549</v>
      </c>
      <c r="Z213" s="287">
        <v>6500</v>
      </c>
      <c r="AA213" s="287">
        <v>255595</v>
      </c>
      <c r="AB213" s="287">
        <v>261729</v>
      </c>
      <c r="AC213" s="287">
        <v>517324</v>
      </c>
    </row>
    <row r="214" spans="1:29">
      <c r="A214" s="907"/>
      <c r="B214" s="314" t="s">
        <v>301</v>
      </c>
      <c r="C214" s="259">
        <v>3449</v>
      </c>
      <c r="D214" s="259">
        <v>2019</v>
      </c>
      <c r="E214" s="259">
        <v>5468</v>
      </c>
      <c r="F214" s="259">
        <v>21</v>
      </c>
      <c r="G214" s="259">
        <v>13</v>
      </c>
      <c r="H214" s="259">
        <v>34</v>
      </c>
      <c r="I214" s="259">
        <v>22980</v>
      </c>
      <c r="J214" s="259">
        <v>30380</v>
      </c>
      <c r="K214" s="259">
        <v>53360</v>
      </c>
      <c r="L214" s="259">
        <v>157586</v>
      </c>
      <c r="M214" s="259">
        <v>158781</v>
      </c>
      <c r="N214" s="259">
        <v>316367</v>
      </c>
      <c r="O214" s="259">
        <v>734</v>
      </c>
      <c r="P214" s="259">
        <v>842</v>
      </c>
      <c r="Q214" s="259">
        <v>1576</v>
      </c>
      <c r="R214" s="259">
        <v>21397</v>
      </c>
      <c r="S214" s="259">
        <v>7576</v>
      </c>
      <c r="T214" s="259">
        <v>28973</v>
      </c>
      <c r="U214" s="259">
        <v>292</v>
      </c>
      <c r="V214" s="259">
        <v>55</v>
      </c>
      <c r="W214" s="259">
        <v>347</v>
      </c>
      <c r="X214" s="259">
        <v>3366</v>
      </c>
      <c r="Y214" s="259">
        <v>2286</v>
      </c>
      <c r="Z214" s="259">
        <v>5652</v>
      </c>
      <c r="AA214" s="259">
        <v>209825</v>
      </c>
      <c r="AB214" s="259">
        <v>201952</v>
      </c>
      <c r="AC214" s="259">
        <v>411777</v>
      </c>
    </row>
    <row r="215" spans="1:29">
      <c r="A215" s="907"/>
      <c r="B215" s="314" t="s">
        <v>300</v>
      </c>
      <c r="C215" s="287">
        <v>2903</v>
      </c>
      <c r="D215" s="287">
        <v>1759</v>
      </c>
      <c r="E215" s="287">
        <v>4662</v>
      </c>
      <c r="F215" s="287">
        <v>18</v>
      </c>
      <c r="G215" s="287">
        <v>9</v>
      </c>
      <c r="H215" s="287">
        <v>27</v>
      </c>
      <c r="I215" s="287">
        <v>23575</v>
      </c>
      <c r="J215" s="287">
        <v>28739</v>
      </c>
      <c r="K215" s="287">
        <v>52314</v>
      </c>
      <c r="L215" s="287">
        <v>157059</v>
      </c>
      <c r="M215" s="287">
        <v>155233</v>
      </c>
      <c r="N215" s="287">
        <v>312292</v>
      </c>
      <c r="O215" s="287">
        <v>788</v>
      </c>
      <c r="P215" s="287">
        <v>908</v>
      </c>
      <c r="Q215" s="287">
        <v>1696</v>
      </c>
      <c r="R215" s="287">
        <v>23470</v>
      </c>
      <c r="S215" s="287">
        <v>8387</v>
      </c>
      <c r="T215" s="287">
        <v>31857</v>
      </c>
      <c r="U215" s="287">
        <v>214</v>
      </c>
      <c r="V215" s="287">
        <v>61</v>
      </c>
      <c r="W215" s="287">
        <v>275</v>
      </c>
      <c r="X215" s="287">
        <v>3092</v>
      </c>
      <c r="Y215" s="287">
        <v>1923</v>
      </c>
      <c r="Z215" s="287">
        <v>5015</v>
      </c>
      <c r="AA215" s="287">
        <v>211119</v>
      </c>
      <c r="AB215" s="287">
        <v>197019</v>
      </c>
      <c r="AC215" s="287">
        <v>408138</v>
      </c>
    </row>
    <row r="216" spans="1:29">
      <c r="A216" s="907"/>
      <c r="B216" s="314" t="s">
        <v>299</v>
      </c>
      <c r="C216" s="103">
        <v>2419</v>
      </c>
      <c r="D216" s="103">
        <v>1489</v>
      </c>
      <c r="E216" s="105">
        <v>3908</v>
      </c>
      <c r="F216" s="103">
        <v>11</v>
      </c>
      <c r="G216" s="103">
        <v>5</v>
      </c>
      <c r="H216" s="105">
        <v>16</v>
      </c>
      <c r="I216" s="96">
        <v>21621.180005101087</v>
      </c>
      <c r="J216" s="96">
        <v>26538.191689038154</v>
      </c>
      <c r="K216" s="109">
        <v>48159.371694139249</v>
      </c>
      <c r="L216" s="96">
        <v>144590.69341997942</v>
      </c>
      <c r="M216" s="96">
        <v>149171.32996324659</v>
      </c>
      <c r="N216" s="109">
        <v>293762.02338322601</v>
      </c>
      <c r="O216" s="103">
        <v>660</v>
      </c>
      <c r="P216" s="103">
        <v>504</v>
      </c>
      <c r="Q216" s="105">
        <v>1164</v>
      </c>
      <c r="R216" s="103">
        <v>23891</v>
      </c>
      <c r="S216" s="103">
        <v>8362</v>
      </c>
      <c r="T216" s="105">
        <v>32253</v>
      </c>
      <c r="U216" s="103">
        <v>232</v>
      </c>
      <c r="V216" s="103">
        <v>85</v>
      </c>
      <c r="W216" s="105">
        <v>317</v>
      </c>
      <c r="X216" s="103">
        <v>2638</v>
      </c>
      <c r="Y216" s="103">
        <v>1655</v>
      </c>
      <c r="Z216" s="105">
        <v>4293</v>
      </c>
      <c r="AA216" s="98">
        <v>196062.8734250805</v>
      </c>
      <c r="AB216" s="98">
        <v>187809.52165228475</v>
      </c>
      <c r="AC216" s="109">
        <v>383872.39507736528</v>
      </c>
    </row>
    <row r="217" spans="1:29">
      <c r="A217" s="907"/>
      <c r="B217" s="288" t="s">
        <v>298</v>
      </c>
      <c r="C217" s="106">
        <v>1971</v>
      </c>
      <c r="D217" s="106">
        <v>1204</v>
      </c>
      <c r="E217" s="107">
        <v>3175</v>
      </c>
      <c r="F217" s="106">
        <v>7</v>
      </c>
      <c r="G217" s="106">
        <v>4</v>
      </c>
      <c r="H217" s="107">
        <v>11</v>
      </c>
      <c r="I217" s="106">
        <v>20030</v>
      </c>
      <c r="J217" s="106">
        <v>24165</v>
      </c>
      <c r="K217" s="107">
        <v>44195</v>
      </c>
      <c r="L217" s="106">
        <v>139084</v>
      </c>
      <c r="M217" s="106">
        <v>140816</v>
      </c>
      <c r="N217" s="107">
        <v>279900</v>
      </c>
      <c r="O217" s="106">
        <v>646</v>
      </c>
      <c r="P217" s="106">
        <v>382</v>
      </c>
      <c r="Q217" s="107">
        <v>1028</v>
      </c>
      <c r="R217" s="106">
        <v>24165</v>
      </c>
      <c r="S217" s="106">
        <v>7700</v>
      </c>
      <c r="T217" s="107">
        <v>31865</v>
      </c>
      <c r="U217" s="106">
        <v>198</v>
      </c>
      <c r="V217" s="106">
        <v>59</v>
      </c>
      <c r="W217" s="107">
        <v>257</v>
      </c>
      <c r="X217" s="106">
        <v>2560</v>
      </c>
      <c r="Y217" s="106">
        <v>1577</v>
      </c>
      <c r="Z217" s="107">
        <v>4137</v>
      </c>
      <c r="AA217" s="108">
        <v>188661</v>
      </c>
      <c r="AB217" s="108">
        <v>175907</v>
      </c>
      <c r="AC217" s="107">
        <f t="shared" ref="AC217" si="31">AA217+AB217</f>
        <v>364568</v>
      </c>
    </row>
    <row r="218" spans="1:29">
      <c r="A218" s="907">
        <v>36</v>
      </c>
      <c r="B218" s="324" t="s">
        <v>48</v>
      </c>
      <c r="C218" s="325"/>
      <c r="D218" s="326"/>
      <c r="E218" s="326"/>
      <c r="F218" s="326"/>
      <c r="G218" s="326"/>
      <c r="H218" s="326"/>
      <c r="I218" s="326"/>
      <c r="J218" s="326"/>
      <c r="K218" s="327"/>
      <c r="L218" s="325"/>
      <c r="M218" s="326"/>
      <c r="N218" s="326"/>
      <c r="O218" s="326"/>
      <c r="P218" s="326"/>
      <c r="Q218" s="326"/>
      <c r="R218" s="326"/>
      <c r="S218" s="326"/>
      <c r="T218" s="327"/>
      <c r="U218" s="325"/>
      <c r="V218" s="326"/>
      <c r="W218" s="326"/>
      <c r="X218" s="326"/>
      <c r="Y218" s="326"/>
      <c r="Z218" s="326"/>
      <c r="AA218" s="326"/>
      <c r="AB218" s="326"/>
      <c r="AC218" s="327"/>
    </row>
    <row r="219" spans="1:29">
      <c r="A219" s="907"/>
      <c r="B219" s="314" t="s">
        <v>997</v>
      </c>
      <c r="C219" s="287">
        <v>8757</v>
      </c>
      <c r="D219" s="287">
        <v>5173</v>
      </c>
      <c r="E219" s="287">
        <v>13930</v>
      </c>
      <c r="F219" s="287">
        <v>1003</v>
      </c>
      <c r="G219" s="287">
        <v>963</v>
      </c>
      <c r="H219" s="287">
        <v>1966</v>
      </c>
      <c r="I219" s="287">
        <v>54306</v>
      </c>
      <c r="J219" s="287">
        <v>58050</v>
      </c>
      <c r="K219" s="287">
        <v>112356</v>
      </c>
      <c r="L219" s="287">
        <v>796648</v>
      </c>
      <c r="M219" s="287">
        <v>880729</v>
      </c>
      <c r="N219" s="287">
        <v>1677377</v>
      </c>
      <c r="O219" s="287">
        <v>2461</v>
      </c>
      <c r="P219" s="287">
        <v>1487</v>
      </c>
      <c r="Q219" s="287">
        <v>3948</v>
      </c>
      <c r="R219" s="287">
        <v>116546</v>
      </c>
      <c r="S219" s="287">
        <v>73976</v>
      </c>
      <c r="T219" s="287">
        <v>190522</v>
      </c>
      <c r="U219" s="287">
        <v>2050</v>
      </c>
      <c r="V219" s="287">
        <v>2631</v>
      </c>
      <c r="W219" s="287">
        <v>4681</v>
      </c>
      <c r="X219" s="287">
        <v>9939</v>
      </c>
      <c r="Y219" s="287">
        <v>5418</v>
      </c>
      <c r="Z219" s="287">
        <v>15357</v>
      </c>
      <c r="AA219" s="287">
        <v>991710</v>
      </c>
      <c r="AB219" s="287">
        <v>1028427</v>
      </c>
      <c r="AC219" s="287">
        <v>2020137</v>
      </c>
    </row>
    <row r="220" spans="1:29">
      <c r="A220" s="907"/>
      <c r="B220" s="314" t="s">
        <v>301</v>
      </c>
      <c r="C220" s="259">
        <v>8063</v>
      </c>
      <c r="D220" s="259">
        <v>4773</v>
      </c>
      <c r="E220" s="259">
        <v>12836</v>
      </c>
      <c r="F220" s="259">
        <v>1195</v>
      </c>
      <c r="G220" s="259">
        <v>983</v>
      </c>
      <c r="H220" s="259">
        <v>2178</v>
      </c>
      <c r="I220" s="259">
        <v>43523</v>
      </c>
      <c r="J220" s="259">
        <v>48248</v>
      </c>
      <c r="K220" s="259">
        <v>91771</v>
      </c>
      <c r="L220" s="259">
        <v>792565</v>
      </c>
      <c r="M220" s="259">
        <v>875822</v>
      </c>
      <c r="N220" s="259">
        <v>1668387</v>
      </c>
      <c r="O220" s="259">
        <v>2697</v>
      </c>
      <c r="P220" s="259">
        <v>1508</v>
      </c>
      <c r="Q220" s="259">
        <v>4205</v>
      </c>
      <c r="R220" s="259">
        <v>114411</v>
      </c>
      <c r="S220" s="259">
        <v>58012</v>
      </c>
      <c r="T220" s="259">
        <v>172423</v>
      </c>
      <c r="U220" s="259">
        <v>3583</v>
      </c>
      <c r="V220" s="259">
        <v>3223</v>
      </c>
      <c r="W220" s="259">
        <v>6806</v>
      </c>
      <c r="X220" s="259">
        <v>9336</v>
      </c>
      <c r="Y220" s="259">
        <v>5595</v>
      </c>
      <c r="Z220" s="259">
        <v>14931</v>
      </c>
      <c r="AA220" s="259">
        <v>975373</v>
      </c>
      <c r="AB220" s="259">
        <v>998164</v>
      </c>
      <c r="AC220" s="259">
        <v>1973537</v>
      </c>
    </row>
    <row r="221" spans="1:29">
      <c r="A221" s="907"/>
      <c r="B221" s="314" t="s">
        <v>300</v>
      </c>
      <c r="C221" s="287">
        <v>7161</v>
      </c>
      <c r="D221" s="287">
        <v>4570</v>
      </c>
      <c r="E221" s="287">
        <v>11731</v>
      </c>
      <c r="F221" s="287">
        <v>959</v>
      </c>
      <c r="G221" s="287">
        <v>803</v>
      </c>
      <c r="H221" s="287">
        <v>1762</v>
      </c>
      <c r="I221" s="287">
        <v>41496</v>
      </c>
      <c r="J221" s="287">
        <v>44754</v>
      </c>
      <c r="K221" s="287">
        <v>86250</v>
      </c>
      <c r="L221" s="287">
        <v>776437</v>
      </c>
      <c r="M221" s="287">
        <v>827504</v>
      </c>
      <c r="N221" s="287">
        <v>1603941</v>
      </c>
      <c r="O221" s="287">
        <v>2375</v>
      </c>
      <c r="P221" s="287">
        <v>1715</v>
      </c>
      <c r="Q221" s="287">
        <v>4090</v>
      </c>
      <c r="R221" s="287">
        <v>112901</v>
      </c>
      <c r="S221" s="287">
        <v>54662</v>
      </c>
      <c r="T221" s="287">
        <v>167563</v>
      </c>
      <c r="U221" s="287">
        <v>3009</v>
      </c>
      <c r="V221" s="287">
        <v>3005</v>
      </c>
      <c r="W221" s="287">
        <v>6014</v>
      </c>
      <c r="X221" s="287">
        <v>9144</v>
      </c>
      <c r="Y221" s="287">
        <v>4756</v>
      </c>
      <c r="Z221" s="287">
        <v>13900</v>
      </c>
      <c r="AA221" s="287">
        <v>953482</v>
      </c>
      <c r="AB221" s="287">
        <v>941769</v>
      </c>
      <c r="AC221" s="287">
        <v>1895251</v>
      </c>
    </row>
    <row r="222" spans="1:29">
      <c r="A222" s="907"/>
      <c r="B222" s="314" t="s">
        <v>299</v>
      </c>
      <c r="C222" s="103">
        <v>4690</v>
      </c>
      <c r="D222" s="103">
        <v>2255</v>
      </c>
      <c r="E222" s="105">
        <v>6945</v>
      </c>
      <c r="F222" s="103">
        <v>952</v>
      </c>
      <c r="G222" s="103">
        <v>724</v>
      </c>
      <c r="H222" s="105">
        <v>1676</v>
      </c>
      <c r="I222" s="103">
        <v>38800</v>
      </c>
      <c r="J222" s="103">
        <v>40401</v>
      </c>
      <c r="K222" s="105">
        <v>79201</v>
      </c>
      <c r="L222" s="103">
        <v>779869</v>
      </c>
      <c r="M222" s="103">
        <v>792280</v>
      </c>
      <c r="N222" s="105">
        <v>1572149</v>
      </c>
      <c r="O222" s="103">
        <v>2976</v>
      </c>
      <c r="P222" s="103">
        <v>1778</v>
      </c>
      <c r="Q222" s="105">
        <v>4754</v>
      </c>
      <c r="R222" s="103">
        <v>99316</v>
      </c>
      <c r="S222" s="103">
        <v>45548</v>
      </c>
      <c r="T222" s="105">
        <v>144864</v>
      </c>
      <c r="U222" s="103">
        <v>1852</v>
      </c>
      <c r="V222" s="103">
        <v>2329</v>
      </c>
      <c r="W222" s="105">
        <v>4181</v>
      </c>
      <c r="X222" s="103">
        <v>7089</v>
      </c>
      <c r="Y222" s="103">
        <v>3125</v>
      </c>
      <c r="Z222" s="105">
        <v>10214</v>
      </c>
      <c r="AA222" s="95">
        <v>935544</v>
      </c>
      <c r="AB222" s="95">
        <v>888440</v>
      </c>
      <c r="AC222" s="105">
        <v>1823984</v>
      </c>
    </row>
    <row r="223" spans="1:29">
      <c r="A223" s="907"/>
      <c r="B223" s="288" t="s">
        <v>298</v>
      </c>
      <c r="C223" s="106">
        <v>4338</v>
      </c>
      <c r="D223" s="106">
        <v>2024</v>
      </c>
      <c r="E223" s="107">
        <v>6362</v>
      </c>
      <c r="F223" s="106">
        <v>1049</v>
      </c>
      <c r="G223" s="106">
        <v>753</v>
      </c>
      <c r="H223" s="107">
        <v>1802</v>
      </c>
      <c r="I223" s="106">
        <v>37850</v>
      </c>
      <c r="J223" s="106">
        <v>36105</v>
      </c>
      <c r="K223" s="107">
        <v>73955</v>
      </c>
      <c r="L223" s="106">
        <v>826083</v>
      </c>
      <c r="M223" s="106">
        <v>780950</v>
      </c>
      <c r="N223" s="107">
        <v>1607033</v>
      </c>
      <c r="O223" s="106">
        <v>2444</v>
      </c>
      <c r="P223" s="106">
        <v>1095</v>
      </c>
      <c r="Q223" s="107">
        <v>3539</v>
      </c>
      <c r="R223" s="106">
        <v>87320</v>
      </c>
      <c r="S223" s="106">
        <v>30795</v>
      </c>
      <c r="T223" s="107">
        <v>118115</v>
      </c>
      <c r="U223" s="106">
        <v>2579</v>
      </c>
      <c r="V223" s="106">
        <v>2109</v>
      </c>
      <c r="W223" s="107">
        <v>4688</v>
      </c>
      <c r="X223" s="106">
        <v>6792</v>
      </c>
      <c r="Y223" s="106">
        <v>2682</v>
      </c>
      <c r="Z223" s="107">
        <v>9474</v>
      </c>
      <c r="AA223" s="108">
        <v>968455</v>
      </c>
      <c r="AB223" s="108">
        <v>856513</v>
      </c>
      <c r="AC223" s="107">
        <f t="shared" ref="AC223" si="32">AA223+AB223</f>
        <v>1824968</v>
      </c>
    </row>
  </sheetData>
  <mergeCells count="51"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  <mergeCell ref="A35:A40"/>
    <mergeCell ref="A41:A46"/>
    <mergeCell ref="A47:A52"/>
    <mergeCell ref="A53:A58"/>
    <mergeCell ref="A2:A3"/>
    <mergeCell ref="A5:A10"/>
    <mergeCell ref="A11:A16"/>
    <mergeCell ref="A17:A22"/>
    <mergeCell ref="A23:A28"/>
    <mergeCell ref="A218:A223"/>
    <mergeCell ref="A101:A106"/>
    <mergeCell ref="A107:A109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  <mergeCell ref="A170:A175"/>
    <mergeCell ref="A116:A121"/>
    <mergeCell ref="A122:A127"/>
    <mergeCell ref="A128:A133"/>
    <mergeCell ref="C1:K1"/>
    <mergeCell ref="L1:T1"/>
    <mergeCell ref="U1:AC1"/>
    <mergeCell ref="A206:A211"/>
    <mergeCell ref="A212:A217"/>
    <mergeCell ref="A134:A139"/>
    <mergeCell ref="A140:A145"/>
    <mergeCell ref="A89:A94"/>
    <mergeCell ref="A95:A100"/>
    <mergeCell ref="A110:A115"/>
    <mergeCell ref="A59:A64"/>
    <mergeCell ref="A65:A70"/>
    <mergeCell ref="A71:A76"/>
    <mergeCell ref="A77:A82"/>
    <mergeCell ref="A83:A88"/>
    <mergeCell ref="A29:A34"/>
  </mergeCells>
  <printOptions horizontalCentered="1"/>
  <pageMargins left="0.31496062992126" right="0.511811023622047" top="0.43307086614173201" bottom="0.511811023622047" header="0.27559055118110198" footer="0.23622047244094499"/>
  <pageSetup paperSize="9" scale="69" firstPageNumber="2" pageOrder="overThenDown" orientation="portrait" useFirstPageNumber="1" r:id="rId1"/>
  <headerFooter alignWithMargins="0">
    <oddFooter>&amp;LAISHE 2020-21&amp;CT-44</oddFooter>
  </headerFooter>
  <rowBreaks count="2" manualBreakCount="2">
    <brk id="76" max="28" man="1"/>
    <brk id="151" max="28" man="1"/>
  </rowBreaks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00B050"/>
  </sheetPr>
  <dimension ref="A1:N223"/>
  <sheetViews>
    <sheetView view="pageBreakPreview" zoomScaleSheetLayoutView="100" workbookViewId="0">
      <pane xSplit="2" ySplit="5" topLeftCell="J175" activePane="bottomRight" state="frozen"/>
      <selection activeCell="H31" sqref="H31"/>
      <selection pane="topRight" activeCell="H31" sqref="H31"/>
      <selection pane="bottomLeft" activeCell="H31" sqref="H31"/>
      <selection pane="bottomRight" activeCell="N175" sqref="N175"/>
    </sheetView>
  </sheetViews>
  <sheetFormatPr defaultColWidth="9.1796875" defaultRowHeight="14"/>
  <cols>
    <col min="1" max="1" width="4.26953125" style="427" bestFit="1" customWidth="1"/>
    <col min="2" max="2" width="29" style="349" customWidth="1"/>
    <col min="3" max="14" width="18" style="349" customWidth="1"/>
    <col min="15" max="16384" width="9.1796875" style="349"/>
  </cols>
  <sheetData>
    <row r="1" spans="1:14" ht="23.25" customHeight="1">
      <c r="B1" s="348" t="s">
        <v>312</v>
      </c>
      <c r="C1" s="1164" t="s">
        <v>313</v>
      </c>
      <c r="D1" s="1164"/>
      <c r="E1" s="1164"/>
      <c r="F1" s="1164"/>
      <c r="G1" s="1164"/>
      <c r="H1" s="1164"/>
      <c r="I1" s="1164" t="str">
        <f>C1</f>
        <v>Social Group-wise Enrolment during last 5 years</v>
      </c>
      <c r="J1" s="1164"/>
      <c r="K1" s="1164"/>
      <c r="L1" s="1164"/>
      <c r="M1" s="1164"/>
      <c r="N1" s="1164"/>
    </row>
    <row r="2" spans="1:14" ht="18.75" customHeight="1">
      <c r="A2" s="1159" t="s">
        <v>1050</v>
      </c>
      <c r="B2" s="1168" t="s">
        <v>236</v>
      </c>
      <c r="C2" s="1169" t="s">
        <v>152</v>
      </c>
      <c r="D2" s="1170"/>
      <c r="E2" s="1170"/>
      <c r="F2" s="1169" t="s">
        <v>314</v>
      </c>
      <c r="G2" s="1170"/>
      <c r="H2" s="1170"/>
      <c r="I2" s="1169" t="s">
        <v>315</v>
      </c>
      <c r="J2" s="1170"/>
      <c r="K2" s="1170"/>
      <c r="L2" s="1169" t="s">
        <v>316</v>
      </c>
      <c r="M2" s="1170"/>
      <c r="N2" s="1170"/>
    </row>
    <row r="3" spans="1:14" ht="18.75" customHeight="1">
      <c r="A3" s="1160"/>
      <c r="B3" s="1168"/>
      <c r="C3" s="587" t="s">
        <v>87</v>
      </c>
      <c r="D3" s="587" t="s">
        <v>88</v>
      </c>
      <c r="E3" s="587" t="s">
        <v>309</v>
      </c>
      <c r="F3" s="587" t="s">
        <v>87</v>
      </c>
      <c r="G3" s="587" t="s">
        <v>88</v>
      </c>
      <c r="H3" s="587" t="s">
        <v>309</v>
      </c>
      <c r="I3" s="587" t="s">
        <v>87</v>
      </c>
      <c r="J3" s="587" t="s">
        <v>88</v>
      </c>
      <c r="K3" s="587" t="s">
        <v>309</v>
      </c>
      <c r="L3" s="587" t="s">
        <v>87</v>
      </c>
      <c r="M3" s="587" t="s">
        <v>88</v>
      </c>
      <c r="N3" s="587" t="s">
        <v>309</v>
      </c>
    </row>
    <row r="4" spans="1:14">
      <c r="A4" s="350">
        <v>1</v>
      </c>
      <c r="B4" s="351">
        <v>2</v>
      </c>
      <c r="C4" s="351">
        <v>3</v>
      </c>
      <c r="D4" s="350">
        <v>4</v>
      </c>
      <c r="E4" s="351">
        <v>5</v>
      </c>
      <c r="F4" s="351">
        <v>6</v>
      </c>
      <c r="G4" s="350">
        <v>7</v>
      </c>
      <c r="H4" s="351">
        <v>8</v>
      </c>
      <c r="I4" s="351">
        <v>9</v>
      </c>
      <c r="J4" s="350">
        <v>10</v>
      </c>
      <c r="K4" s="351">
        <v>11</v>
      </c>
      <c r="L4" s="351">
        <v>12</v>
      </c>
      <c r="M4" s="350">
        <v>13</v>
      </c>
    </row>
    <row r="5" spans="1:14">
      <c r="A5" s="909"/>
      <c r="B5" s="352" t="s">
        <v>302</v>
      </c>
      <c r="C5" s="1165"/>
      <c r="D5" s="1166"/>
      <c r="E5" s="1166"/>
      <c r="F5" s="1166"/>
      <c r="G5" s="1166"/>
      <c r="H5" s="1167"/>
      <c r="I5" s="1165"/>
      <c r="J5" s="1166"/>
      <c r="K5" s="1166"/>
      <c r="L5" s="1166"/>
      <c r="M5" s="1166"/>
      <c r="N5" s="1167"/>
    </row>
    <row r="6" spans="1:14">
      <c r="A6" s="909"/>
      <c r="B6" s="353" t="s">
        <v>997</v>
      </c>
      <c r="C6" s="354">
        <v>21237910</v>
      </c>
      <c r="D6" s="354">
        <v>20142803</v>
      </c>
      <c r="E6" s="354">
        <v>41380713</v>
      </c>
      <c r="F6" s="354">
        <v>2993521</v>
      </c>
      <c r="G6" s="354">
        <v>2901179</v>
      </c>
      <c r="H6" s="354">
        <v>5894700</v>
      </c>
      <c r="I6" s="354">
        <v>1191037</v>
      </c>
      <c r="J6" s="354">
        <v>1221032</v>
      </c>
      <c r="K6" s="354">
        <v>2412069</v>
      </c>
      <c r="L6" s="354">
        <v>7533866</v>
      </c>
      <c r="M6" s="354">
        <v>7287671</v>
      </c>
      <c r="N6" s="354">
        <v>14821537</v>
      </c>
    </row>
    <row r="7" spans="1:14">
      <c r="A7" s="909"/>
      <c r="B7" s="353" t="s">
        <v>301</v>
      </c>
      <c r="C7" s="354">
        <v>19643747</v>
      </c>
      <c r="D7" s="354">
        <v>18892612</v>
      </c>
      <c r="E7" s="354">
        <v>38536359</v>
      </c>
      <c r="F7" s="354">
        <v>2854313</v>
      </c>
      <c r="G7" s="354">
        <v>2803359</v>
      </c>
      <c r="H7" s="354">
        <v>5657672</v>
      </c>
      <c r="I7" s="354">
        <v>1072646</v>
      </c>
      <c r="J7" s="354">
        <v>1083463</v>
      </c>
      <c r="K7" s="354">
        <v>2156109</v>
      </c>
      <c r="L7" s="354">
        <v>7202109</v>
      </c>
      <c r="M7" s="354">
        <v>7047005</v>
      </c>
      <c r="N7" s="354">
        <v>14249114</v>
      </c>
    </row>
    <row r="8" spans="1:14">
      <c r="A8" s="909"/>
      <c r="B8" s="353" t="s">
        <v>300</v>
      </c>
      <c r="C8" s="354">
        <v>19209888</v>
      </c>
      <c r="D8" s="354">
        <v>18189500</v>
      </c>
      <c r="E8" s="354">
        <v>37399388</v>
      </c>
      <c r="F8" s="354">
        <v>2835663</v>
      </c>
      <c r="G8" s="354">
        <v>2731415</v>
      </c>
      <c r="H8" s="354">
        <v>5567078</v>
      </c>
      <c r="I8" s="354">
        <v>1052121</v>
      </c>
      <c r="J8" s="354">
        <v>1015627</v>
      </c>
      <c r="K8" s="354">
        <v>2067748</v>
      </c>
      <c r="L8" s="354">
        <v>6909174</v>
      </c>
      <c r="M8" s="354">
        <v>6682820</v>
      </c>
      <c r="N8" s="354">
        <v>13591994</v>
      </c>
    </row>
    <row r="9" spans="1:14">
      <c r="A9" s="909"/>
      <c r="B9" s="353" t="s">
        <v>299</v>
      </c>
      <c r="C9" s="110">
        <v>19204674.913845398</v>
      </c>
      <c r="D9" s="110">
        <v>17437702.669367902</v>
      </c>
      <c r="E9" s="110">
        <v>36642377.5832133</v>
      </c>
      <c r="F9" s="111">
        <v>2774933</v>
      </c>
      <c r="G9" s="111">
        <v>2505428</v>
      </c>
      <c r="H9" s="111">
        <v>5280361</v>
      </c>
      <c r="I9" s="111">
        <v>1001989</v>
      </c>
      <c r="J9" s="111">
        <v>911875</v>
      </c>
      <c r="K9" s="111">
        <v>1913864</v>
      </c>
      <c r="L9" s="111">
        <v>6688668</v>
      </c>
      <c r="M9" s="111">
        <v>6144337</v>
      </c>
      <c r="N9" s="111">
        <v>12833005</v>
      </c>
    </row>
    <row r="10" spans="1:14">
      <c r="A10" s="909"/>
      <c r="B10" s="353" t="s">
        <v>298</v>
      </c>
      <c r="C10" s="354">
        <v>18980595</v>
      </c>
      <c r="D10" s="354">
        <v>16725310</v>
      </c>
      <c r="E10" s="354">
        <v>35705905</v>
      </c>
      <c r="F10" s="354">
        <v>2731689</v>
      </c>
      <c r="G10" s="354">
        <v>2359826</v>
      </c>
      <c r="H10" s="354">
        <v>5091515</v>
      </c>
      <c r="I10" s="354">
        <v>983778</v>
      </c>
      <c r="J10" s="354">
        <v>868597</v>
      </c>
      <c r="K10" s="354">
        <v>1852375</v>
      </c>
      <c r="L10" s="354">
        <v>6520425</v>
      </c>
      <c r="M10" s="354">
        <v>5778884</v>
      </c>
      <c r="N10" s="354">
        <v>12299309</v>
      </c>
    </row>
    <row r="11" spans="1:14">
      <c r="A11" s="907">
        <v>1</v>
      </c>
      <c r="B11" s="355" t="s">
        <v>171</v>
      </c>
      <c r="C11" s="356"/>
      <c r="D11" s="357"/>
      <c r="E11" s="357"/>
      <c r="F11" s="357"/>
      <c r="G11" s="357"/>
      <c r="H11" s="358"/>
      <c r="I11" s="356"/>
      <c r="J11" s="357"/>
      <c r="K11" s="357"/>
      <c r="L11" s="357"/>
      <c r="M11" s="357"/>
      <c r="N11" s="357"/>
    </row>
    <row r="12" spans="1:14">
      <c r="A12" s="907"/>
      <c r="B12" s="353" t="s">
        <v>997</v>
      </c>
      <c r="C12" s="354">
        <v>5534</v>
      </c>
      <c r="D12" s="354">
        <v>6431</v>
      </c>
      <c r="E12" s="354">
        <v>11965</v>
      </c>
      <c r="F12" s="354">
        <v>32</v>
      </c>
      <c r="G12" s="354">
        <v>15</v>
      </c>
      <c r="H12" s="354">
        <v>47</v>
      </c>
      <c r="I12" s="354">
        <v>186</v>
      </c>
      <c r="J12" s="354">
        <v>276</v>
      </c>
      <c r="K12" s="354">
        <v>462</v>
      </c>
      <c r="L12" s="354">
        <v>1581</v>
      </c>
      <c r="M12" s="354">
        <v>1888</v>
      </c>
      <c r="N12" s="354">
        <v>3469</v>
      </c>
    </row>
    <row r="13" spans="1:14">
      <c r="A13" s="907"/>
      <c r="B13" s="353" t="s">
        <v>301</v>
      </c>
      <c r="C13" s="112">
        <v>4532</v>
      </c>
      <c r="D13" s="112">
        <v>5599</v>
      </c>
      <c r="E13" s="112">
        <v>10131</v>
      </c>
      <c r="F13" s="112">
        <v>42</v>
      </c>
      <c r="G13" s="112">
        <v>11</v>
      </c>
      <c r="H13" s="112">
        <v>53</v>
      </c>
      <c r="I13" s="112">
        <v>151</v>
      </c>
      <c r="J13" s="112">
        <v>286</v>
      </c>
      <c r="K13" s="112">
        <v>437</v>
      </c>
      <c r="L13" s="112">
        <v>1122</v>
      </c>
      <c r="M13" s="112">
        <v>1539</v>
      </c>
      <c r="N13" s="112">
        <v>2661</v>
      </c>
    </row>
    <row r="14" spans="1:14">
      <c r="A14" s="907"/>
      <c r="B14" s="353" t="s">
        <v>300</v>
      </c>
      <c r="C14" s="354">
        <v>5103</v>
      </c>
      <c r="D14" s="354">
        <v>6408</v>
      </c>
      <c r="E14" s="354">
        <v>11511</v>
      </c>
      <c r="F14" s="354">
        <v>57</v>
      </c>
      <c r="G14" s="354">
        <v>20</v>
      </c>
      <c r="H14" s="354">
        <v>77</v>
      </c>
      <c r="I14" s="354">
        <v>196</v>
      </c>
      <c r="J14" s="354">
        <v>317</v>
      </c>
      <c r="K14" s="354">
        <v>513</v>
      </c>
      <c r="L14" s="354">
        <v>1395</v>
      </c>
      <c r="M14" s="354">
        <v>1684</v>
      </c>
      <c r="N14" s="354">
        <v>3079</v>
      </c>
    </row>
    <row r="15" spans="1:14">
      <c r="A15" s="907"/>
      <c r="B15" s="353" t="s">
        <v>299</v>
      </c>
      <c r="C15" s="113">
        <v>5241</v>
      </c>
      <c r="D15" s="113">
        <v>5359</v>
      </c>
      <c r="E15" s="113">
        <v>10600</v>
      </c>
      <c r="F15" s="113">
        <v>57</v>
      </c>
      <c r="G15" s="113">
        <v>21</v>
      </c>
      <c r="H15" s="113">
        <v>78</v>
      </c>
      <c r="I15" s="113">
        <v>216</v>
      </c>
      <c r="J15" s="113">
        <v>285</v>
      </c>
      <c r="K15" s="113">
        <v>501</v>
      </c>
      <c r="L15" s="113">
        <v>1408</v>
      </c>
      <c r="M15" s="113">
        <v>1310</v>
      </c>
      <c r="N15" s="113">
        <v>2718</v>
      </c>
    </row>
    <row r="16" spans="1:14">
      <c r="A16" s="907"/>
      <c r="B16" s="359" t="s">
        <v>298</v>
      </c>
      <c r="C16" s="354">
        <v>5218</v>
      </c>
      <c r="D16" s="354">
        <v>5639</v>
      </c>
      <c r="E16" s="354">
        <v>10857</v>
      </c>
      <c r="F16" s="354">
        <v>55</v>
      </c>
      <c r="G16" s="354">
        <v>11</v>
      </c>
      <c r="H16" s="354">
        <v>66</v>
      </c>
      <c r="I16" s="354">
        <v>196</v>
      </c>
      <c r="J16" s="354">
        <v>267</v>
      </c>
      <c r="K16" s="354">
        <v>463</v>
      </c>
      <c r="L16" s="354">
        <v>1008</v>
      </c>
      <c r="M16" s="354">
        <v>1081</v>
      </c>
      <c r="N16" s="354">
        <v>2089</v>
      </c>
    </row>
    <row r="17" spans="1:14">
      <c r="A17" s="907">
        <v>2</v>
      </c>
      <c r="B17" s="355" t="s">
        <v>15</v>
      </c>
      <c r="C17" s="356"/>
      <c r="D17" s="357"/>
      <c r="E17" s="357"/>
      <c r="F17" s="357"/>
      <c r="G17" s="357"/>
      <c r="H17" s="358"/>
      <c r="I17" s="356"/>
      <c r="J17" s="357"/>
      <c r="K17" s="357"/>
      <c r="L17" s="357"/>
      <c r="M17" s="357"/>
      <c r="N17" s="357"/>
    </row>
    <row r="18" spans="1:14">
      <c r="A18" s="907"/>
      <c r="B18" s="353" t="s">
        <v>997</v>
      </c>
      <c r="C18" s="354">
        <v>1056065</v>
      </c>
      <c r="D18" s="354">
        <v>931553</v>
      </c>
      <c r="E18" s="354">
        <v>1987618</v>
      </c>
      <c r="F18" s="354">
        <v>171844</v>
      </c>
      <c r="G18" s="354">
        <v>160275</v>
      </c>
      <c r="H18" s="354">
        <v>332119</v>
      </c>
      <c r="I18" s="354">
        <v>48475</v>
      </c>
      <c r="J18" s="354">
        <v>44369</v>
      </c>
      <c r="K18" s="354">
        <v>92844</v>
      </c>
      <c r="L18" s="354">
        <v>463929</v>
      </c>
      <c r="M18" s="354">
        <v>386063</v>
      </c>
      <c r="N18" s="354">
        <v>849992</v>
      </c>
    </row>
    <row r="19" spans="1:14">
      <c r="A19" s="907"/>
      <c r="B19" s="353" t="s">
        <v>301</v>
      </c>
      <c r="C19" s="112">
        <v>1021126</v>
      </c>
      <c r="D19" s="112">
        <v>876023</v>
      </c>
      <c r="E19" s="112">
        <v>1897149</v>
      </c>
      <c r="F19" s="112">
        <v>167358</v>
      </c>
      <c r="G19" s="112">
        <v>149215</v>
      </c>
      <c r="H19" s="112">
        <v>316573</v>
      </c>
      <c r="I19" s="112">
        <v>47292</v>
      </c>
      <c r="J19" s="112">
        <v>40939</v>
      </c>
      <c r="K19" s="112">
        <v>88231</v>
      </c>
      <c r="L19" s="112">
        <v>464389</v>
      </c>
      <c r="M19" s="112">
        <v>373065</v>
      </c>
      <c r="N19" s="112">
        <v>837454</v>
      </c>
    </row>
    <row r="20" spans="1:14">
      <c r="A20" s="907"/>
      <c r="B20" s="353" t="s">
        <v>300</v>
      </c>
      <c r="C20" s="354">
        <v>964806</v>
      </c>
      <c r="D20" s="354">
        <v>796024</v>
      </c>
      <c r="E20" s="354">
        <v>1760830</v>
      </c>
      <c r="F20" s="354">
        <v>155601</v>
      </c>
      <c r="G20" s="354">
        <v>135201</v>
      </c>
      <c r="H20" s="354">
        <v>290802</v>
      </c>
      <c r="I20" s="354">
        <v>42159</v>
      </c>
      <c r="J20" s="354">
        <v>36528</v>
      </c>
      <c r="K20" s="354">
        <v>78687</v>
      </c>
      <c r="L20" s="354">
        <v>431061</v>
      </c>
      <c r="M20" s="354">
        <v>334446</v>
      </c>
      <c r="N20" s="354">
        <v>765507</v>
      </c>
    </row>
    <row r="21" spans="1:14">
      <c r="A21" s="907"/>
      <c r="B21" s="353" t="s">
        <v>299</v>
      </c>
      <c r="C21" s="114">
        <v>946797.51674753241</v>
      </c>
      <c r="D21" s="114">
        <v>750484.44787180051</v>
      </c>
      <c r="E21" s="114">
        <v>1697281.9646193329</v>
      </c>
      <c r="F21" s="113">
        <v>147563</v>
      </c>
      <c r="G21" s="113">
        <v>126139</v>
      </c>
      <c r="H21" s="113">
        <v>273702</v>
      </c>
      <c r="I21" s="113">
        <v>39229</v>
      </c>
      <c r="J21" s="113">
        <v>34426</v>
      </c>
      <c r="K21" s="113">
        <v>73655</v>
      </c>
      <c r="L21" s="113">
        <v>406437</v>
      </c>
      <c r="M21" s="113">
        <v>302093</v>
      </c>
      <c r="N21" s="113">
        <v>708530</v>
      </c>
    </row>
    <row r="22" spans="1:14">
      <c r="A22" s="907"/>
      <c r="B22" s="359" t="s">
        <v>298</v>
      </c>
      <c r="C22" s="103">
        <v>1007406</v>
      </c>
      <c r="D22" s="103">
        <v>792027</v>
      </c>
      <c r="E22" s="95">
        <v>1799433</v>
      </c>
      <c r="F22" s="103">
        <v>165990</v>
      </c>
      <c r="G22" s="103">
        <v>134777</v>
      </c>
      <c r="H22" s="95">
        <v>300767</v>
      </c>
      <c r="I22" s="103">
        <v>41161</v>
      </c>
      <c r="J22" s="103">
        <v>34502</v>
      </c>
      <c r="K22" s="95">
        <v>75663</v>
      </c>
      <c r="L22" s="103">
        <v>421073</v>
      </c>
      <c r="M22" s="103">
        <v>305677</v>
      </c>
      <c r="N22" s="95">
        <v>726750</v>
      </c>
    </row>
    <row r="23" spans="1:14">
      <c r="A23" s="907">
        <v>3</v>
      </c>
      <c r="B23" s="355" t="s">
        <v>16</v>
      </c>
      <c r="C23" s="356"/>
      <c r="D23" s="357"/>
      <c r="E23" s="357"/>
      <c r="F23" s="357"/>
      <c r="G23" s="357"/>
      <c r="H23" s="358"/>
      <c r="I23" s="356"/>
      <c r="J23" s="357"/>
      <c r="K23" s="357"/>
      <c r="L23" s="357"/>
      <c r="M23" s="357"/>
      <c r="N23" s="357"/>
    </row>
    <row r="24" spans="1:14">
      <c r="A24" s="907"/>
      <c r="B24" s="353" t="s">
        <v>997</v>
      </c>
      <c r="C24" s="354">
        <v>31465</v>
      </c>
      <c r="D24" s="354">
        <v>28270</v>
      </c>
      <c r="E24" s="354">
        <v>59735</v>
      </c>
      <c r="F24" s="354">
        <v>670</v>
      </c>
      <c r="G24" s="354">
        <v>407</v>
      </c>
      <c r="H24" s="354">
        <v>1077</v>
      </c>
      <c r="I24" s="354">
        <v>20576</v>
      </c>
      <c r="J24" s="354">
        <v>21101</v>
      </c>
      <c r="K24" s="354">
        <v>41677</v>
      </c>
      <c r="L24" s="354">
        <v>1222</v>
      </c>
      <c r="M24" s="354">
        <v>845</v>
      </c>
      <c r="N24" s="354">
        <v>2067</v>
      </c>
    </row>
    <row r="25" spans="1:14">
      <c r="A25" s="907"/>
      <c r="B25" s="353" t="s">
        <v>301</v>
      </c>
      <c r="C25" s="112">
        <v>28801</v>
      </c>
      <c r="D25" s="112">
        <v>27015</v>
      </c>
      <c r="E25" s="112">
        <v>55816</v>
      </c>
      <c r="F25" s="112">
        <v>750</v>
      </c>
      <c r="G25" s="112">
        <v>729</v>
      </c>
      <c r="H25" s="112">
        <v>1479</v>
      </c>
      <c r="I25" s="112">
        <v>19078</v>
      </c>
      <c r="J25" s="112">
        <v>19264</v>
      </c>
      <c r="K25" s="112">
        <v>38342</v>
      </c>
      <c r="L25" s="112">
        <v>1141</v>
      </c>
      <c r="M25" s="112">
        <v>772</v>
      </c>
      <c r="N25" s="112">
        <v>1913</v>
      </c>
    </row>
    <row r="26" spans="1:14">
      <c r="A26" s="907"/>
      <c r="B26" s="353" t="s">
        <v>300</v>
      </c>
      <c r="C26" s="354">
        <v>23724</v>
      </c>
      <c r="D26" s="354">
        <v>23444</v>
      </c>
      <c r="E26" s="354">
        <v>47168</v>
      </c>
      <c r="F26" s="354">
        <v>304</v>
      </c>
      <c r="G26" s="354">
        <v>192</v>
      </c>
      <c r="H26" s="354">
        <v>496</v>
      </c>
      <c r="I26" s="354">
        <v>16486</v>
      </c>
      <c r="J26" s="354">
        <v>18557</v>
      </c>
      <c r="K26" s="354">
        <v>35043</v>
      </c>
      <c r="L26" s="354">
        <v>916</v>
      </c>
      <c r="M26" s="354">
        <v>692</v>
      </c>
      <c r="N26" s="354">
        <v>1608</v>
      </c>
    </row>
    <row r="27" spans="1:14">
      <c r="A27" s="907"/>
      <c r="B27" s="353" t="s">
        <v>299</v>
      </c>
      <c r="C27" s="114">
        <v>25213.114204976504</v>
      </c>
      <c r="D27" s="114">
        <v>22250.755646845169</v>
      </c>
      <c r="E27" s="114">
        <v>47463.86985182167</v>
      </c>
      <c r="F27" s="113">
        <v>432</v>
      </c>
      <c r="G27" s="113">
        <v>246</v>
      </c>
      <c r="H27" s="113">
        <v>678</v>
      </c>
      <c r="I27" s="113">
        <v>18685</v>
      </c>
      <c r="J27" s="113">
        <v>17389</v>
      </c>
      <c r="K27" s="113">
        <v>36074</v>
      </c>
      <c r="L27" s="113">
        <v>888</v>
      </c>
      <c r="M27" s="113">
        <v>648</v>
      </c>
      <c r="N27" s="113">
        <v>1536</v>
      </c>
    </row>
    <row r="28" spans="1:14">
      <c r="A28" s="907"/>
      <c r="B28" s="359" t="s">
        <v>298</v>
      </c>
      <c r="C28" s="103">
        <v>23601</v>
      </c>
      <c r="D28" s="103">
        <v>22963</v>
      </c>
      <c r="E28" s="95">
        <v>46564</v>
      </c>
      <c r="F28" s="103">
        <v>383</v>
      </c>
      <c r="G28" s="103">
        <v>239</v>
      </c>
      <c r="H28" s="95">
        <v>622</v>
      </c>
      <c r="I28" s="103">
        <v>16504</v>
      </c>
      <c r="J28" s="103">
        <v>17731</v>
      </c>
      <c r="K28" s="95">
        <v>34235</v>
      </c>
      <c r="L28" s="103">
        <v>784</v>
      </c>
      <c r="M28" s="103">
        <v>483</v>
      </c>
      <c r="N28" s="95">
        <v>1267</v>
      </c>
    </row>
    <row r="29" spans="1:14">
      <c r="A29" s="907">
        <v>4</v>
      </c>
      <c r="B29" s="355" t="s">
        <v>17</v>
      </c>
      <c r="C29" s="356"/>
      <c r="D29" s="357"/>
      <c r="E29" s="357"/>
      <c r="F29" s="357"/>
      <c r="G29" s="357"/>
      <c r="H29" s="358"/>
      <c r="I29" s="356"/>
      <c r="J29" s="357"/>
      <c r="K29" s="357"/>
      <c r="L29" s="357"/>
      <c r="M29" s="357"/>
      <c r="N29" s="357"/>
    </row>
    <row r="30" spans="1:14">
      <c r="A30" s="907"/>
      <c r="B30" s="353" t="s">
        <v>997</v>
      </c>
      <c r="C30" s="354">
        <v>341985</v>
      </c>
      <c r="D30" s="354">
        <v>355108</v>
      </c>
      <c r="E30" s="354">
        <v>697093</v>
      </c>
      <c r="F30" s="354">
        <v>27177</v>
      </c>
      <c r="G30" s="354">
        <v>26775</v>
      </c>
      <c r="H30" s="354">
        <v>53952</v>
      </c>
      <c r="I30" s="354">
        <v>59272</v>
      </c>
      <c r="J30" s="354">
        <v>63715</v>
      </c>
      <c r="K30" s="354">
        <v>122987</v>
      </c>
      <c r="L30" s="354">
        <v>84052</v>
      </c>
      <c r="M30" s="354">
        <v>91542</v>
      </c>
      <c r="N30" s="354">
        <v>175594</v>
      </c>
    </row>
    <row r="31" spans="1:14">
      <c r="A31" s="907"/>
      <c r="B31" s="353" t="s">
        <v>301</v>
      </c>
      <c r="C31" s="112">
        <v>316908</v>
      </c>
      <c r="D31" s="112">
        <v>333693</v>
      </c>
      <c r="E31" s="112">
        <v>650601</v>
      </c>
      <c r="F31" s="112">
        <v>27642</v>
      </c>
      <c r="G31" s="112">
        <v>26519</v>
      </c>
      <c r="H31" s="112">
        <v>54161</v>
      </c>
      <c r="I31" s="112">
        <v>50251</v>
      </c>
      <c r="J31" s="112">
        <v>55109</v>
      </c>
      <c r="K31" s="112">
        <v>105360</v>
      </c>
      <c r="L31" s="112">
        <v>83549</v>
      </c>
      <c r="M31" s="112">
        <v>93431</v>
      </c>
      <c r="N31" s="112">
        <v>176980</v>
      </c>
    </row>
    <row r="32" spans="1:14">
      <c r="A32" s="907"/>
      <c r="B32" s="353" t="s">
        <v>300</v>
      </c>
      <c r="C32" s="354">
        <v>347484</v>
      </c>
      <c r="D32" s="618">
        <v>352679</v>
      </c>
      <c r="E32" s="354">
        <v>700163</v>
      </c>
      <c r="F32" s="354">
        <v>30045</v>
      </c>
      <c r="G32" s="354">
        <v>28123</v>
      </c>
      <c r="H32" s="354">
        <v>58168</v>
      </c>
      <c r="I32" s="354">
        <v>56783</v>
      </c>
      <c r="J32" s="354">
        <v>57526</v>
      </c>
      <c r="K32" s="354">
        <v>114309</v>
      </c>
      <c r="L32" s="354">
        <v>91467</v>
      </c>
      <c r="M32" s="354">
        <v>98892</v>
      </c>
      <c r="N32" s="354">
        <v>190359</v>
      </c>
    </row>
    <row r="33" spans="1:14">
      <c r="A33" s="907"/>
      <c r="B33" s="353" t="s">
        <v>299</v>
      </c>
      <c r="C33" s="114">
        <v>336938.68622699904</v>
      </c>
      <c r="D33" s="114">
        <v>341404.84520647139</v>
      </c>
      <c r="E33" s="114">
        <v>678343.53143347043</v>
      </c>
      <c r="F33" s="113">
        <v>28384</v>
      </c>
      <c r="G33" s="113">
        <v>26170</v>
      </c>
      <c r="H33" s="113">
        <v>54554</v>
      </c>
      <c r="I33" s="113">
        <v>49517</v>
      </c>
      <c r="J33" s="113">
        <v>48090</v>
      </c>
      <c r="K33" s="113">
        <v>97607</v>
      </c>
      <c r="L33" s="113">
        <v>86073</v>
      </c>
      <c r="M33" s="113">
        <v>88615</v>
      </c>
      <c r="N33" s="113">
        <v>174688</v>
      </c>
    </row>
    <row r="34" spans="1:14">
      <c r="A34" s="907"/>
      <c r="B34" s="359" t="s">
        <v>298</v>
      </c>
      <c r="C34" s="103">
        <v>323890</v>
      </c>
      <c r="D34" s="103">
        <v>316380</v>
      </c>
      <c r="E34" s="95">
        <v>640270</v>
      </c>
      <c r="F34" s="103">
        <v>27567</v>
      </c>
      <c r="G34" s="103">
        <v>25746</v>
      </c>
      <c r="H34" s="95">
        <v>53313</v>
      </c>
      <c r="I34" s="103">
        <v>52688</v>
      </c>
      <c r="J34" s="103">
        <v>52145</v>
      </c>
      <c r="K34" s="95">
        <v>104833</v>
      </c>
      <c r="L34" s="103">
        <v>87669</v>
      </c>
      <c r="M34" s="103">
        <v>92550</v>
      </c>
      <c r="N34" s="95">
        <v>180219</v>
      </c>
    </row>
    <row r="35" spans="1:14">
      <c r="A35" s="907">
        <v>5</v>
      </c>
      <c r="B35" s="355" t="s">
        <v>18</v>
      </c>
      <c r="C35" s="356"/>
      <c r="D35" s="357"/>
      <c r="E35" s="357"/>
      <c r="F35" s="357"/>
      <c r="G35" s="357"/>
      <c r="H35" s="358"/>
      <c r="I35" s="356"/>
      <c r="J35" s="357"/>
      <c r="K35" s="357"/>
      <c r="L35" s="357"/>
      <c r="M35" s="357"/>
      <c r="N35" s="357"/>
    </row>
    <row r="36" spans="1:14">
      <c r="A36" s="907"/>
      <c r="B36" s="353" t="s">
        <v>997</v>
      </c>
      <c r="C36" s="354">
        <v>1309402</v>
      </c>
      <c r="D36" s="354">
        <v>1051539</v>
      </c>
      <c r="E36" s="354">
        <v>2360941</v>
      </c>
      <c r="F36" s="354">
        <v>152405</v>
      </c>
      <c r="G36" s="354">
        <v>105205</v>
      </c>
      <c r="H36" s="354">
        <v>257610</v>
      </c>
      <c r="I36" s="354">
        <v>20577</v>
      </c>
      <c r="J36" s="354">
        <v>15421</v>
      </c>
      <c r="K36" s="354">
        <v>35998</v>
      </c>
      <c r="L36" s="354">
        <v>547653</v>
      </c>
      <c r="M36" s="354">
        <v>446029</v>
      </c>
      <c r="N36" s="354">
        <v>993682</v>
      </c>
    </row>
    <row r="37" spans="1:14">
      <c r="A37" s="907"/>
      <c r="B37" s="353" t="s">
        <v>301</v>
      </c>
      <c r="C37" s="112">
        <v>969902</v>
      </c>
      <c r="D37" s="112">
        <v>768530</v>
      </c>
      <c r="E37" s="112">
        <v>1738432</v>
      </c>
      <c r="F37" s="112">
        <v>123647</v>
      </c>
      <c r="G37" s="112">
        <v>74568</v>
      </c>
      <c r="H37" s="112">
        <v>198215</v>
      </c>
      <c r="I37" s="112">
        <v>17236</v>
      </c>
      <c r="J37" s="112">
        <v>13286</v>
      </c>
      <c r="K37" s="112">
        <v>30522</v>
      </c>
      <c r="L37" s="112">
        <v>458383</v>
      </c>
      <c r="M37" s="112">
        <v>356262</v>
      </c>
      <c r="N37" s="112">
        <v>814645</v>
      </c>
    </row>
    <row r="38" spans="1:14">
      <c r="A38" s="907"/>
      <c r="B38" s="353" t="s">
        <v>300</v>
      </c>
      <c r="C38" s="354">
        <v>920485</v>
      </c>
      <c r="D38" s="354">
        <v>686523</v>
      </c>
      <c r="E38" s="354">
        <v>1607008</v>
      </c>
      <c r="F38" s="354">
        <v>111827</v>
      </c>
      <c r="G38" s="354">
        <v>66058</v>
      </c>
      <c r="H38" s="354">
        <v>177885</v>
      </c>
      <c r="I38" s="354">
        <v>15816</v>
      </c>
      <c r="J38" s="354">
        <v>10728</v>
      </c>
      <c r="K38" s="354">
        <v>26544</v>
      </c>
      <c r="L38" s="354">
        <v>411594</v>
      </c>
      <c r="M38" s="354">
        <v>295551</v>
      </c>
      <c r="N38" s="354">
        <v>707145</v>
      </c>
    </row>
    <row r="39" spans="1:14">
      <c r="A39" s="907"/>
      <c r="B39" s="353" t="s">
        <v>299</v>
      </c>
      <c r="C39" s="113">
        <v>872270</v>
      </c>
      <c r="D39" s="113">
        <v>642325</v>
      </c>
      <c r="E39" s="113">
        <v>1514595</v>
      </c>
      <c r="F39" s="113">
        <v>99725</v>
      </c>
      <c r="G39" s="113">
        <v>60529</v>
      </c>
      <c r="H39" s="113">
        <v>160254</v>
      </c>
      <c r="I39" s="113">
        <v>13046</v>
      </c>
      <c r="J39" s="113">
        <v>8495</v>
      </c>
      <c r="K39" s="113">
        <v>21541</v>
      </c>
      <c r="L39" s="113">
        <v>383787</v>
      </c>
      <c r="M39" s="113">
        <v>278682</v>
      </c>
      <c r="N39" s="113">
        <v>662469</v>
      </c>
    </row>
    <row r="40" spans="1:14">
      <c r="A40" s="907"/>
      <c r="B40" s="359" t="s">
        <v>298</v>
      </c>
      <c r="C40" s="103">
        <v>948748</v>
      </c>
      <c r="D40" s="103">
        <v>696770</v>
      </c>
      <c r="E40" s="95">
        <v>1645518</v>
      </c>
      <c r="F40" s="103">
        <v>101848</v>
      </c>
      <c r="G40" s="103">
        <v>63155</v>
      </c>
      <c r="H40" s="95">
        <v>165003</v>
      </c>
      <c r="I40" s="103">
        <v>11402</v>
      </c>
      <c r="J40" s="103">
        <v>7808</v>
      </c>
      <c r="K40" s="95">
        <v>19210</v>
      </c>
      <c r="L40" s="103">
        <v>399664</v>
      </c>
      <c r="M40" s="103">
        <v>285655</v>
      </c>
      <c r="N40" s="95">
        <v>685319</v>
      </c>
    </row>
    <row r="41" spans="1:14">
      <c r="A41" s="907">
        <v>6</v>
      </c>
      <c r="B41" s="355" t="s">
        <v>19</v>
      </c>
      <c r="C41" s="356"/>
      <c r="D41" s="357"/>
      <c r="E41" s="357"/>
      <c r="F41" s="357"/>
      <c r="G41" s="357"/>
      <c r="H41" s="358"/>
      <c r="I41" s="356"/>
      <c r="J41" s="357"/>
      <c r="K41" s="357"/>
      <c r="L41" s="357"/>
      <c r="M41" s="357"/>
      <c r="N41" s="357"/>
    </row>
    <row r="42" spans="1:14">
      <c r="A42" s="907"/>
      <c r="B42" s="353" t="s">
        <v>997</v>
      </c>
      <c r="C42" s="354">
        <v>54809</v>
      </c>
      <c r="D42" s="354">
        <v>55656</v>
      </c>
      <c r="E42" s="354">
        <v>110465</v>
      </c>
      <c r="F42" s="354">
        <v>9293</v>
      </c>
      <c r="G42" s="354">
        <v>7542</v>
      </c>
      <c r="H42" s="354">
        <v>16835</v>
      </c>
      <c r="I42" s="354">
        <v>1055</v>
      </c>
      <c r="J42" s="354">
        <v>968</v>
      </c>
      <c r="K42" s="354">
        <v>2023</v>
      </c>
      <c r="L42" s="354">
        <v>5261</v>
      </c>
      <c r="M42" s="354">
        <v>3541</v>
      </c>
      <c r="N42" s="354">
        <v>8802</v>
      </c>
    </row>
    <row r="43" spans="1:14">
      <c r="A43" s="907"/>
      <c r="B43" s="353" t="s">
        <v>301</v>
      </c>
      <c r="C43" s="112">
        <v>53170</v>
      </c>
      <c r="D43" s="112">
        <v>53497</v>
      </c>
      <c r="E43" s="112">
        <v>106667</v>
      </c>
      <c r="F43" s="112">
        <v>6827</v>
      </c>
      <c r="G43" s="112">
        <v>6037</v>
      </c>
      <c r="H43" s="112">
        <v>12864</v>
      </c>
      <c r="I43" s="112">
        <v>961</v>
      </c>
      <c r="J43" s="112">
        <v>829</v>
      </c>
      <c r="K43" s="112">
        <v>1790</v>
      </c>
      <c r="L43" s="112">
        <v>3837</v>
      </c>
      <c r="M43" s="112">
        <v>2373</v>
      </c>
      <c r="N43" s="112">
        <v>6210</v>
      </c>
    </row>
    <row r="44" spans="1:14">
      <c r="A44" s="907"/>
      <c r="B44" s="353" t="s">
        <v>300</v>
      </c>
      <c r="C44" s="354">
        <v>48566</v>
      </c>
      <c r="D44" s="354">
        <v>50443</v>
      </c>
      <c r="E44" s="354">
        <v>99009</v>
      </c>
      <c r="F44" s="354">
        <v>6578</v>
      </c>
      <c r="G44" s="354">
        <v>5813</v>
      </c>
      <c r="H44" s="354">
        <v>12391</v>
      </c>
      <c r="I44" s="354">
        <v>836</v>
      </c>
      <c r="J44" s="354">
        <v>776</v>
      </c>
      <c r="K44" s="354">
        <v>1612</v>
      </c>
      <c r="L44" s="354">
        <v>3107</v>
      </c>
      <c r="M44" s="354">
        <v>2050</v>
      </c>
      <c r="N44" s="354">
        <v>5157</v>
      </c>
    </row>
    <row r="45" spans="1:14">
      <c r="A45" s="907"/>
      <c r="B45" s="353" t="s">
        <v>299</v>
      </c>
      <c r="C45" s="114">
        <v>54058.655986165402</v>
      </c>
      <c r="D45" s="114">
        <v>51770.792417998033</v>
      </c>
      <c r="E45" s="114">
        <v>105829.44840416344</v>
      </c>
      <c r="F45" s="113">
        <v>6500</v>
      </c>
      <c r="G45" s="113">
        <v>5441</v>
      </c>
      <c r="H45" s="113">
        <v>11941</v>
      </c>
      <c r="I45" s="113">
        <v>1021</v>
      </c>
      <c r="J45" s="113">
        <v>897</v>
      </c>
      <c r="K45" s="113">
        <v>1918</v>
      </c>
      <c r="L45" s="113">
        <v>3397</v>
      </c>
      <c r="M45" s="113">
        <v>1928</v>
      </c>
      <c r="N45" s="113">
        <v>5325</v>
      </c>
    </row>
    <row r="46" spans="1:14">
      <c r="A46" s="907"/>
      <c r="B46" s="359" t="s">
        <v>298</v>
      </c>
      <c r="C46" s="103">
        <v>49981</v>
      </c>
      <c r="D46" s="103">
        <v>50868</v>
      </c>
      <c r="E46" s="95">
        <v>100849</v>
      </c>
      <c r="F46" s="103">
        <v>5771</v>
      </c>
      <c r="G46" s="103">
        <v>5874</v>
      </c>
      <c r="H46" s="95">
        <v>11645</v>
      </c>
      <c r="I46" s="103">
        <v>993</v>
      </c>
      <c r="J46" s="103">
        <v>908</v>
      </c>
      <c r="K46" s="95">
        <v>1901</v>
      </c>
      <c r="L46" s="103">
        <v>2785</v>
      </c>
      <c r="M46" s="103">
        <v>2093</v>
      </c>
      <c r="N46" s="95">
        <v>4878</v>
      </c>
    </row>
    <row r="47" spans="1:14">
      <c r="A47" s="907">
        <v>7</v>
      </c>
      <c r="B47" s="355" t="s">
        <v>56</v>
      </c>
      <c r="C47" s="356"/>
      <c r="D47" s="357"/>
      <c r="E47" s="357"/>
      <c r="F47" s="357"/>
      <c r="G47" s="357"/>
      <c r="H47" s="358"/>
      <c r="I47" s="356"/>
      <c r="J47" s="357"/>
      <c r="K47" s="357"/>
      <c r="L47" s="357"/>
      <c r="M47" s="357"/>
      <c r="N47" s="357"/>
    </row>
    <row r="48" spans="1:14">
      <c r="A48" s="907"/>
      <c r="B48" s="353" t="s">
        <v>997</v>
      </c>
      <c r="C48" s="354">
        <v>302840</v>
      </c>
      <c r="D48" s="354">
        <v>350565</v>
      </c>
      <c r="E48" s="354">
        <v>653405</v>
      </c>
      <c r="F48" s="354">
        <v>41449</v>
      </c>
      <c r="G48" s="354">
        <v>44456</v>
      </c>
      <c r="H48" s="354">
        <v>85905</v>
      </c>
      <c r="I48" s="354">
        <v>57790</v>
      </c>
      <c r="J48" s="354">
        <v>81319</v>
      </c>
      <c r="K48" s="354">
        <v>139109</v>
      </c>
      <c r="L48" s="354">
        <v>133754</v>
      </c>
      <c r="M48" s="354">
        <v>151173</v>
      </c>
      <c r="N48" s="354">
        <v>284927</v>
      </c>
    </row>
    <row r="49" spans="1:14">
      <c r="A49" s="907"/>
      <c r="B49" s="353" t="s">
        <v>301</v>
      </c>
      <c r="C49" s="112">
        <v>272813</v>
      </c>
      <c r="D49" s="112">
        <v>313582</v>
      </c>
      <c r="E49" s="112">
        <v>586395</v>
      </c>
      <c r="F49" s="112">
        <v>37575</v>
      </c>
      <c r="G49" s="112">
        <v>40055</v>
      </c>
      <c r="H49" s="112">
        <v>77630</v>
      </c>
      <c r="I49" s="112">
        <v>46084</v>
      </c>
      <c r="J49" s="112">
        <v>62803</v>
      </c>
      <c r="K49" s="112">
        <v>108887</v>
      </c>
      <c r="L49" s="112">
        <v>121781</v>
      </c>
      <c r="M49" s="112">
        <v>136814</v>
      </c>
      <c r="N49" s="112">
        <v>258595</v>
      </c>
    </row>
    <row r="50" spans="1:14">
      <c r="A50" s="907"/>
      <c r="B50" s="353" t="s">
        <v>300</v>
      </c>
      <c r="C50" s="354">
        <v>282785</v>
      </c>
      <c r="D50" s="354">
        <v>304139</v>
      </c>
      <c r="E50" s="354">
        <v>586924</v>
      </c>
      <c r="F50" s="354">
        <v>37893</v>
      </c>
      <c r="G50" s="354">
        <v>38995</v>
      </c>
      <c r="H50" s="354">
        <v>76888</v>
      </c>
      <c r="I50" s="354">
        <v>46644</v>
      </c>
      <c r="J50" s="354">
        <v>59222</v>
      </c>
      <c r="K50" s="354">
        <v>105866</v>
      </c>
      <c r="L50" s="354">
        <v>122888</v>
      </c>
      <c r="M50" s="354">
        <v>129965</v>
      </c>
      <c r="N50" s="354">
        <v>252853</v>
      </c>
    </row>
    <row r="51" spans="1:14">
      <c r="A51" s="907"/>
      <c r="B51" s="353" t="s">
        <v>299</v>
      </c>
      <c r="C51" s="113">
        <v>287143</v>
      </c>
      <c r="D51" s="113">
        <v>287718</v>
      </c>
      <c r="E51" s="113">
        <v>574861</v>
      </c>
      <c r="F51" s="113">
        <v>39314</v>
      </c>
      <c r="G51" s="113">
        <v>36225</v>
      </c>
      <c r="H51" s="113">
        <v>75539</v>
      </c>
      <c r="I51" s="113">
        <v>48834</v>
      </c>
      <c r="J51" s="113">
        <v>54855</v>
      </c>
      <c r="K51" s="113">
        <v>103689</v>
      </c>
      <c r="L51" s="113">
        <v>123942</v>
      </c>
      <c r="M51" s="113">
        <v>120898</v>
      </c>
      <c r="N51" s="113">
        <v>244840</v>
      </c>
    </row>
    <row r="52" spans="1:14">
      <c r="A52" s="907"/>
      <c r="B52" s="359" t="s">
        <v>298</v>
      </c>
      <c r="C52" s="103">
        <v>253126</v>
      </c>
      <c r="D52" s="103">
        <v>246920</v>
      </c>
      <c r="E52" s="95">
        <v>500046</v>
      </c>
      <c r="F52" s="103">
        <v>33407</v>
      </c>
      <c r="G52" s="103">
        <v>30147</v>
      </c>
      <c r="H52" s="95">
        <v>63554</v>
      </c>
      <c r="I52" s="103">
        <v>43919</v>
      </c>
      <c r="J52" s="103">
        <v>47414</v>
      </c>
      <c r="K52" s="95">
        <v>91333</v>
      </c>
      <c r="L52" s="103">
        <v>106216</v>
      </c>
      <c r="M52" s="103">
        <v>100345</v>
      </c>
      <c r="N52" s="95">
        <v>206561</v>
      </c>
    </row>
    <row r="53" spans="1:14">
      <c r="A53" s="907">
        <v>8</v>
      </c>
      <c r="B53" s="355" t="s">
        <v>23</v>
      </c>
      <c r="C53" s="356"/>
      <c r="D53" s="357"/>
      <c r="E53" s="357"/>
      <c r="F53" s="357"/>
      <c r="G53" s="357"/>
      <c r="H53" s="358"/>
      <c r="I53" s="356"/>
      <c r="J53" s="357"/>
      <c r="K53" s="357"/>
      <c r="L53" s="357"/>
      <c r="M53" s="357"/>
      <c r="N53" s="357"/>
    </row>
    <row r="54" spans="1:14">
      <c r="A54" s="907"/>
      <c r="B54" s="353" t="s">
        <v>997</v>
      </c>
      <c r="C54" s="354">
        <v>564849</v>
      </c>
      <c r="D54" s="354">
        <v>541422</v>
      </c>
      <c r="E54" s="354">
        <v>1106271</v>
      </c>
      <c r="F54" s="354">
        <v>58208</v>
      </c>
      <c r="G54" s="354">
        <v>51061</v>
      </c>
      <c r="H54" s="354">
        <v>109269</v>
      </c>
      <c r="I54" s="354">
        <v>10597</v>
      </c>
      <c r="J54" s="354">
        <v>8934</v>
      </c>
      <c r="K54" s="354">
        <v>19531</v>
      </c>
      <c r="L54" s="354">
        <v>90936</v>
      </c>
      <c r="M54" s="354">
        <v>65976</v>
      </c>
      <c r="N54" s="354">
        <v>156912</v>
      </c>
    </row>
    <row r="55" spans="1:14">
      <c r="A55" s="907"/>
      <c r="B55" s="353" t="s">
        <v>301</v>
      </c>
      <c r="C55" s="112">
        <v>578747</v>
      </c>
      <c r="D55" s="112">
        <v>554109</v>
      </c>
      <c r="E55" s="112">
        <v>1132856</v>
      </c>
      <c r="F55" s="112">
        <v>80990</v>
      </c>
      <c r="G55" s="112">
        <v>81296</v>
      </c>
      <c r="H55" s="112">
        <v>162286</v>
      </c>
      <c r="I55" s="112">
        <v>8315</v>
      </c>
      <c r="J55" s="112">
        <v>7314</v>
      </c>
      <c r="K55" s="112">
        <v>15629</v>
      </c>
      <c r="L55" s="112">
        <v>108206</v>
      </c>
      <c r="M55" s="112">
        <v>81721</v>
      </c>
      <c r="N55" s="112">
        <v>189927</v>
      </c>
    </row>
    <row r="56" spans="1:14">
      <c r="A56" s="907"/>
      <c r="B56" s="353" t="s">
        <v>300</v>
      </c>
      <c r="C56" s="354">
        <v>549782</v>
      </c>
      <c r="D56" s="354">
        <v>527774</v>
      </c>
      <c r="E56" s="354">
        <v>1077556</v>
      </c>
      <c r="F56" s="354">
        <v>74144</v>
      </c>
      <c r="G56" s="354">
        <v>73583</v>
      </c>
      <c r="H56" s="354">
        <v>147727</v>
      </c>
      <c r="I56" s="354">
        <v>11244</v>
      </c>
      <c r="J56" s="354">
        <v>9151</v>
      </c>
      <c r="K56" s="354">
        <v>20395</v>
      </c>
      <c r="L56" s="354">
        <v>90392</v>
      </c>
      <c r="M56" s="354">
        <v>64796</v>
      </c>
      <c r="N56" s="354">
        <v>155188</v>
      </c>
    </row>
    <row r="57" spans="1:14">
      <c r="A57" s="907"/>
      <c r="B57" s="353" t="s">
        <v>299</v>
      </c>
      <c r="C57" s="114">
        <v>565088.58075349708</v>
      </c>
      <c r="D57" s="114">
        <v>499317.31368653738</v>
      </c>
      <c r="E57" s="114">
        <v>1064405.8944400344</v>
      </c>
      <c r="F57" s="113">
        <v>73096</v>
      </c>
      <c r="G57" s="113">
        <v>63859</v>
      </c>
      <c r="H57" s="113">
        <v>136955</v>
      </c>
      <c r="I57" s="113">
        <v>10757</v>
      </c>
      <c r="J57" s="113">
        <v>8415</v>
      </c>
      <c r="K57" s="113">
        <v>19172</v>
      </c>
      <c r="L57" s="113">
        <v>84506</v>
      </c>
      <c r="M57" s="113">
        <v>55337</v>
      </c>
      <c r="N57" s="113">
        <v>139843</v>
      </c>
    </row>
    <row r="58" spans="1:14">
      <c r="A58" s="907"/>
      <c r="B58" s="359" t="s">
        <v>298</v>
      </c>
      <c r="C58" s="103">
        <v>531056</v>
      </c>
      <c r="D58" s="103">
        <v>496750</v>
      </c>
      <c r="E58" s="95">
        <v>1027806</v>
      </c>
      <c r="F58" s="103">
        <v>65724</v>
      </c>
      <c r="G58" s="103">
        <v>60441</v>
      </c>
      <c r="H58" s="95">
        <v>126165</v>
      </c>
      <c r="I58" s="103">
        <v>8785</v>
      </c>
      <c r="J58" s="103">
        <v>7334</v>
      </c>
      <c r="K58" s="95">
        <v>16119</v>
      </c>
      <c r="L58" s="103">
        <v>76505</v>
      </c>
      <c r="M58" s="103">
        <v>52428</v>
      </c>
      <c r="N58" s="95">
        <v>128933</v>
      </c>
    </row>
    <row r="59" spans="1:14">
      <c r="A59" s="907">
        <v>9</v>
      </c>
      <c r="B59" s="355" t="s">
        <v>24</v>
      </c>
      <c r="C59" s="356"/>
      <c r="D59" s="357"/>
      <c r="E59" s="357"/>
      <c r="F59" s="357"/>
      <c r="G59" s="357"/>
      <c r="H59" s="358"/>
      <c r="I59" s="356"/>
      <c r="J59" s="357"/>
      <c r="K59" s="357"/>
      <c r="L59" s="357"/>
      <c r="M59" s="357"/>
      <c r="N59" s="357"/>
    </row>
    <row r="60" spans="1:14">
      <c r="A60" s="907"/>
      <c r="B60" s="353" t="s">
        <v>997</v>
      </c>
      <c r="C60" s="354">
        <v>29404</v>
      </c>
      <c r="D60" s="354">
        <v>30881</v>
      </c>
      <c r="E60" s="354">
        <v>60285</v>
      </c>
      <c r="F60" s="354">
        <v>899</v>
      </c>
      <c r="G60" s="354">
        <v>674</v>
      </c>
      <c r="H60" s="354">
        <v>1573</v>
      </c>
      <c r="I60" s="354">
        <v>2088</v>
      </c>
      <c r="J60" s="354">
        <v>2756</v>
      </c>
      <c r="K60" s="354">
        <v>4844</v>
      </c>
      <c r="L60" s="354">
        <v>5615</v>
      </c>
      <c r="M60" s="354">
        <v>6104</v>
      </c>
      <c r="N60" s="354">
        <v>11719</v>
      </c>
    </row>
    <row r="61" spans="1:14">
      <c r="A61" s="907"/>
      <c r="B61" s="353" t="s">
        <v>301</v>
      </c>
      <c r="C61" s="112">
        <v>25055</v>
      </c>
      <c r="D61" s="112">
        <v>27727</v>
      </c>
      <c r="E61" s="112">
        <v>52782</v>
      </c>
      <c r="F61" s="112">
        <v>555</v>
      </c>
      <c r="G61" s="112">
        <v>540</v>
      </c>
      <c r="H61" s="112">
        <v>1095</v>
      </c>
      <c r="I61" s="112">
        <v>1850</v>
      </c>
      <c r="J61" s="112">
        <v>2652</v>
      </c>
      <c r="K61" s="112">
        <v>4502</v>
      </c>
      <c r="L61" s="112">
        <v>4089</v>
      </c>
      <c r="M61" s="112">
        <v>5499</v>
      </c>
      <c r="N61" s="112">
        <v>9588</v>
      </c>
    </row>
    <row r="62" spans="1:14">
      <c r="A62" s="907"/>
      <c r="B62" s="353" t="s">
        <v>300</v>
      </c>
      <c r="C62" s="354">
        <v>26967</v>
      </c>
      <c r="D62" s="354">
        <v>27713</v>
      </c>
      <c r="E62" s="354">
        <v>54680</v>
      </c>
      <c r="F62" s="354">
        <v>552</v>
      </c>
      <c r="G62" s="354">
        <v>514</v>
      </c>
      <c r="H62" s="354">
        <v>1066</v>
      </c>
      <c r="I62" s="354">
        <v>1992</v>
      </c>
      <c r="J62" s="354">
        <v>2622</v>
      </c>
      <c r="K62" s="354">
        <v>4614</v>
      </c>
      <c r="L62" s="354">
        <v>4341</v>
      </c>
      <c r="M62" s="354">
        <v>5398</v>
      </c>
      <c r="N62" s="354">
        <v>9739</v>
      </c>
    </row>
    <row r="63" spans="1:14">
      <c r="A63" s="907"/>
      <c r="B63" s="353" t="s">
        <v>299</v>
      </c>
      <c r="C63" s="114">
        <v>24743.319239995868</v>
      </c>
      <c r="D63" s="114">
        <v>24897.80359062663</v>
      </c>
      <c r="E63" s="114">
        <v>49641.122830622495</v>
      </c>
      <c r="F63" s="113">
        <v>516</v>
      </c>
      <c r="G63" s="113">
        <v>472</v>
      </c>
      <c r="H63" s="113">
        <v>988</v>
      </c>
      <c r="I63" s="113">
        <v>1853</v>
      </c>
      <c r="J63" s="113">
        <v>2227</v>
      </c>
      <c r="K63" s="113">
        <v>4080</v>
      </c>
      <c r="L63" s="113">
        <v>4110</v>
      </c>
      <c r="M63" s="113">
        <v>4743</v>
      </c>
      <c r="N63" s="113">
        <v>8853</v>
      </c>
    </row>
    <row r="64" spans="1:14">
      <c r="A64" s="907"/>
      <c r="B64" s="359" t="s">
        <v>298</v>
      </c>
      <c r="C64" s="103">
        <v>24101</v>
      </c>
      <c r="D64" s="103">
        <v>24568</v>
      </c>
      <c r="E64" s="95">
        <v>48669</v>
      </c>
      <c r="F64" s="103">
        <v>418</v>
      </c>
      <c r="G64" s="103">
        <v>419</v>
      </c>
      <c r="H64" s="95">
        <v>837</v>
      </c>
      <c r="I64" s="103">
        <v>1692</v>
      </c>
      <c r="J64" s="103">
        <v>2064</v>
      </c>
      <c r="K64" s="95">
        <v>3756</v>
      </c>
      <c r="L64" s="103">
        <v>3561</v>
      </c>
      <c r="M64" s="103">
        <v>4354</v>
      </c>
      <c r="N64" s="95">
        <v>7915</v>
      </c>
    </row>
    <row r="65" spans="1:14">
      <c r="A65" s="907">
        <v>10</v>
      </c>
      <c r="B65" s="355" t="s">
        <v>25</v>
      </c>
      <c r="C65" s="356"/>
      <c r="D65" s="357"/>
      <c r="E65" s="357"/>
      <c r="F65" s="357"/>
      <c r="G65" s="357"/>
      <c r="H65" s="358"/>
      <c r="I65" s="356"/>
      <c r="J65" s="357"/>
      <c r="K65" s="357"/>
      <c r="L65" s="357"/>
      <c r="M65" s="357"/>
      <c r="N65" s="357"/>
    </row>
    <row r="66" spans="1:14">
      <c r="A66" s="907"/>
      <c r="B66" s="353" t="s">
        <v>997</v>
      </c>
      <c r="C66" s="354">
        <v>938144</v>
      </c>
      <c r="D66" s="354">
        <v>714986</v>
      </c>
      <c r="E66" s="354">
        <v>1653130</v>
      </c>
      <c r="F66" s="354">
        <v>84815</v>
      </c>
      <c r="G66" s="354">
        <v>65967</v>
      </c>
      <c r="H66" s="354">
        <v>150782</v>
      </c>
      <c r="I66" s="354">
        <v>89913</v>
      </c>
      <c r="J66" s="354">
        <v>87551</v>
      </c>
      <c r="K66" s="354">
        <v>177464</v>
      </c>
      <c r="L66" s="354">
        <v>294584</v>
      </c>
      <c r="M66" s="354">
        <v>207275</v>
      </c>
      <c r="N66" s="354">
        <v>501859</v>
      </c>
    </row>
    <row r="67" spans="1:14">
      <c r="A67" s="907"/>
      <c r="B67" s="353" t="s">
        <v>301</v>
      </c>
      <c r="C67" s="112">
        <v>864967</v>
      </c>
      <c r="D67" s="112">
        <v>679873</v>
      </c>
      <c r="E67" s="112">
        <v>1544840</v>
      </c>
      <c r="F67" s="112">
        <v>78255</v>
      </c>
      <c r="G67" s="112">
        <v>63324</v>
      </c>
      <c r="H67" s="112">
        <v>141579</v>
      </c>
      <c r="I67" s="112">
        <v>79347</v>
      </c>
      <c r="J67" s="112">
        <v>81512</v>
      </c>
      <c r="K67" s="112">
        <v>160859</v>
      </c>
      <c r="L67" s="112">
        <v>283069</v>
      </c>
      <c r="M67" s="112">
        <v>203627</v>
      </c>
      <c r="N67" s="112">
        <v>486696</v>
      </c>
    </row>
    <row r="68" spans="1:14">
      <c r="A68" s="907"/>
      <c r="B68" s="353" t="s">
        <v>300</v>
      </c>
      <c r="C68" s="354">
        <v>832946</v>
      </c>
      <c r="D68" s="354">
        <v>645106</v>
      </c>
      <c r="E68" s="354">
        <v>1478052</v>
      </c>
      <c r="F68" s="354">
        <v>77192</v>
      </c>
      <c r="G68" s="354">
        <v>61009</v>
      </c>
      <c r="H68" s="354">
        <v>138201</v>
      </c>
      <c r="I68" s="354">
        <v>72369</v>
      </c>
      <c r="J68" s="354">
        <v>72197</v>
      </c>
      <c r="K68" s="354">
        <v>144566</v>
      </c>
      <c r="L68" s="354">
        <v>261824</v>
      </c>
      <c r="M68" s="354">
        <v>185616</v>
      </c>
      <c r="N68" s="354">
        <v>447440</v>
      </c>
    </row>
    <row r="69" spans="1:14">
      <c r="A69" s="907"/>
      <c r="B69" s="353" t="s">
        <v>299</v>
      </c>
      <c r="C69" s="113">
        <v>827611</v>
      </c>
      <c r="D69" s="113">
        <v>625644</v>
      </c>
      <c r="E69" s="113">
        <v>1453255</v>
      </c>
      <c r="F69" s="113">
        <v>77992</v>
      </c>
      <c r="G69" s="113">
        <v>59352</v>
      </c>
      <c r="H69" s="113">
        <v>137344</v>
      </c>
      <c r="I69" s="113">
        <v>66613</v>
      </c>
      <c r="J69" s="113">
        <v>66140</v>
      </c>
      <c r="K69" s="113">
        <v>132753</v>
      </c>
      <c r="L69" s="113">
        <v>252999</v>
      </c>
      <c r="M69" s="113">
        <v>176635</v>
      </c>
      <c r="N69" s="113">
        <v>429634</v>
      </c>
    </row>
    <row r="70" spans="1:14">
      <c r="A70" s="907"/>
      <c r="B70" s="359" t="s">
        <v>298</v>
      </c>
      <c r="C70" s="103">
        <v>867145</v>
      </c>
      <c r="D70" s="103">
        <v>590959</v>
      </c>
      <c r="E70" s="95">
        <v>1458104</v>
      </c>
      <c r="F70" s="103">
        <v>84572</v>
      </c>
      <c r="G70" s="103">
        <v>52942</v>
      </c>
      <c r="H70" s="95">
        <v>137514</v>
      </c>
      <c r="I70" s="103">
        <v>72119</v>
      </c>
      <c r="J70" s="103">
        <v>60766</v>
      </c>
      <c r="K70" s="95">
        <v>132885</v>
      </c>
      <c r="L70" s="103">
        <v>254989</v>
      </c>
      <c r="M70" s="103">
        <v>159824</v>
      </c>
      <c r="N70" s="95">
        <v>414813</v>
      </c>
    </row>
    <row r="71" spans="1:14">
      <c r="A71" s="907">
        <v>11</v>
      </c>
      <c r="B71" s="355" t="s">
        <v>26</v>
      </c>
      <c r="C71" s="356"/>
      <c r="D71" s="357"/>
      <c r="E71" s="357"/>
      <c r="F71" s="357"/>
      <c r="G71" s="357"/>
      <c r="H71" s="358"/>
      <c r="I71" s="356"/>
      <c r="J71" s="357"/>
      <c r="K71" s="357"/>
      <c r="L71" s="357"/>
      <c r="M71" s="357"/>
      <c r="N71" s="357"/>
    </row>
    <row r="72" spans="1:14">
      <c r="A72" s="907"/>
      <c r="B72" s="353" t="s">
        <v>997</v>
      </c>
      <c r="C72" s="354">
        <v>517813</v>
      </c>
      <c r="D72" s="354">
        <v>511346</v>
      </c>
      <c r="E72" s="354">
        <v>1029159</v>
      </c>
      <c r="F72" s="354">
        <v>78157</v>
      </c>
      <c r="G72" s="354">
        <v>76128</v>
      </c>
      <c r="H72" s="354">
        <v>154285</v>
      </c>
      <c r="I72" s="354">
        <v>2799</v>
      </c>
      <c r="J72" s="354">
        <v>1776</v>
      </c>
      <c r="K72" s="354">
        <v>4575</v>
      </c>
      <c r="L72" s="354">
        <v>116069</v>
      </c>
      <c r="M72" s="354">
        <v>109671</v>
      </c>
      <c r="N72" s="354">
        <v>225740</v>
      </c>
    </row>
    <row r="73" spans="1:14">
      <c r="A73" s="907"/>
      <c r="B73" s="353" t="s">
        <v>301</v>
      </c>
      <c r="C73" s="112">
        <v>460487</v>
      </c>
      <c r="D73" s="112">
        <v>473054</v>
      </c>
      <c r="E73" s="112">
        <v>933541</v>
      </c>
      <c r="F73" s="112">
        <v>64017</v>
      </c>
      <c r="G73" s="112">
        <v>65958</v>
      </c>
      <c r="H73" s="112">
        <v>129975</v>
      </c>
      <c r="I73" s="112">
        <v>1795</v>
      </c>
      <c r="J73" s="112">
        <v>1240</v>
      </c>
      <c r="K73" s="112">
        <v>3035</v>
      </c>
      <c r="L73" s="112">
        <v>103486</v>
      </c>
      <c r="M73" s="112">
        <v>104970</v>
      </c>
      <c r="N73" s="112">
        <v>208456</v>
      </c>
    </row>
    <row r="74" spans="1:14">
      <c r="A74" s="907"/>
      <c r="B74" s="353" t="s">
        <v>300</v>
      </c>
      <c r="C74" s="354">
        <v>457289</v>
      </c>
      <c r="D74" s="354">
        <v>471604</v>
      </c>
      <c r="E74" s="354">
        <v>928893</v>
      </c>
      <c r="F74" s="354">
        <v>67317</v>
      </c>
      <c r="G74" s="354">
        <v>67451</v>
      </c>
      <c r="H74" s="354">
        <v>134768</v>
      </c>
      <c r="I74" s="354">
        <v>1757</v>
      </c>
      <c r="J74" s="354">
        <v>1028</v>
      </c>
      <c r="K74" s="354">
        <v>2785</v>
      </c>
      <c r="L74" s="354">
        <v>105567</v>
      </c>
      <c r="M74" s="354">
        <v>108534</v>
      </c>
      <c r="N74" s="354">
        <v>214101</v>
      </c>
    </row>
    <row r="75" spans="1:14">
      <c r="A75" s="907"/>
      <c r="B75" s="353" t="s">
        <v>299</v>
      </c>
      <c r="C75" s="114">
        <v>467389.38328537147</v>
      </c>
      <c r="D75" s="114">
        <v>446053.83375290607</v>
      </c>
      <c r="E75" s="114">
        <v>913443.21703827754</v>
      </c>
      <c r="F75" s="113">
        <v>66207</v>
      </c>
      <c r="G75" s="113">
        <v>59574</v>
      </c>
      <c r="H75" s="113">
        <v>125781</v>
      </c>
      <c r="I75" s="113">
        <v>1362</v>
      </c>
      <c r="J75" s="113">
        <v>716</v>
      </c>
      <c r="K75" s="113">
        <v>2078</v>
      </c>
      <c r="L75" s="113">
        <v>102544</v>
      </c>
      <c r="M75" s="113">
        <v>99574</v>
      </c>
      <c r="N75" s="113">
        <v>202118</v>
      </c>
    </row>
    <row r="76" spans="1:14">
      <c r="A76" s="907"/>
      <c r="B76" s="359" t="s">
        <v>298</v>
      </c>
      <c r="C76" s="103">
        <v>493110</v>
      </c>
      <c r="D76" s="103">
        <v>432180</v>
      </c>
      <c r="E76" s="95">
        <v>925290</v>
      </c>
      <c r="F76" s="103">
        <v>67346</v>
      </c>
      <c r="G76" s="103">
        <v>55939</v>
      </c>
      <c r="H76" s="95">
        <v>123285</v>
      </c>
      <c r="I76" s="103">
        <v>1574</v>
      </c>
      <c r="J76" s="103">
        <v>671</v>
      </c>
      <c r="K76" s="95">
        <v>2245</v>
      </c>
      <c r="L76" s="103">
        <v>112703</v>
      </c>
      <c r="M76" s="103">
        <v>101467</v>
      </c>
      <c r="N76" s="95">
        <v>214170</v>
      </c>
    </row>
    <row r="77" spans="1:14">
      <c r="A77" s="907">
        <v>12</v>
      </c>
      <c r="B77" s="355" t="s">
        <v>27</v>
      </c>
      <c r="C77" s="356"/>
      <c r="D77" s="357"/>
      <c r="E77" s="357"/>
      <c r="F77" s="357"/>
      <c r="G77" s="357"/>
      <c r="H77" s="358"/>
      <c r="I77" s="356"/>
      <c r="J77" s="357"/>
      <c r="K77" s="357"/>
      <c r="L77" s="357"/>
      <c r="M77" s="357"/>
      <c r="N77" s="357"/>
    </row>
    <row r="78" spans="1:14">
      <c r="A78" s="907"/>
      <c r="B78" s="353" t="s">
        <v>997</v>
      </c>
      <c r="C78" s="354">
        <v>133196</v>
      </c>
      <c r="D78" s="354">
        <v>156389</v>
      </c>
      <c r="E78" s="354">
        <v>289585</v>
      </c>
      <c r="F78" s="354">
        <v>25382</v>
      </c>
      <c r="G78" s="354">
        <v>30990</v>
      </c>
      <c r="H78" s="354">
        <v>56372</v>
      </c>
      <c r="I78" s="354">
        <v>7967</v>
      </c>
      <c r="J78" s="354">
        <v>9353</v>
      </c>
      <c r="K78" s="354">
        <v>17320</v>
      </c>
      <c r="L78" s="354">
        <v>16132</v>
      </c>
      <c r="M78" s="354">
        <v>21501</v>
      </c>
      <c r="N78" s="354">
        <v>37633</v>
      </c>
    </row>
    <row r="79" spans="1:14">
      <c r="A79" s="907"/>
      <c r="B79" s="353" t="s">
        <v>301</v>
      </c>
      <c r="C79" s="112">
        <v>132231</v>
      </c>
      <c r="D79" s="112">
        <v>157257</v>
      </c>
      <c r="E79" s="112">
        <v>289488</v>
      </c>
      <c r="F79" s="112">
        <v>24422</v>
      </c>
      <c r="G79" s="112">
        <v>30850</v>
      </c>
      <c r="H79" s="112">
        <v>55272</v>
      </c>
      <c r="I79" s="112">
        <v>7555</v>
      </c>
      <c r="J79" s="112">
        <v>9179</v>
      </c>
      <c r="K79" s="112">
        <v>16734</v>
      </c>
      <c r="L79" s="112">
        <v>16277</v>
      </c>
      <c r="M79" s="112">
        <v>22529</v>
      </c>
      <c r="N79" s="112">
        <v>38806</v>
      </c>
    </row>
    <row r="80" spans="1:14">
      <c r="A80" s="907"/>
      <c r="B80" s="353" t="s">
        <v>300</v>
      </c>
      <c r="C80" s="354">
        <v>129449</v>
      </c>
      <c r="D80" s="354">
        <v>154411</v>
      </c>
      <c r="E80" s="354">
        <v>283860</v>
      </c>
      <c r="F80" s="354">
        <v>24684</v>
      </c>
      <c r="G80" s="354">
        <v>30277</v>
      </c>
      <c r="H80" s="354">
        <v>54961</v>
      </c>
      <c r="I80" s="354">
        <v>7550</v>
      </c>
      <c r="J80" s="354">
        <v>9078</v>
      </c>
      <c r="K80" s="354">
        <v>16628</v>
      </c>
      <c r="L80" s="354">
        <v>16236</v>
      </c>
      <c r="M80" s="354">
        <v>22758</v>
      </c>
      <c r="N80" s="354">
        <v>38994</v>
      </c>
    </row>
    <row r="81" spans="1:14">
      <c r="A81" s="907"/>
      <c r="B81" s="353" t="s">
        <v>299</v>
      </c>
      <c r="C81" s="113">
        <v>128336</v>
      </c>
      <c r="D81" s="113">
        <v>147372</v>
      </c>
      <c r="E81" s="113">
        <v>275708</v>
      </c>
      <c r="F81" s="113">
        <v>24387</v>
      </c>
      <c r="G81" s="113">
        <v>28000</v>
      </c>
      <c r="H81" s="113">
        <v>52387</v>
      </c>
      <c r="I81" s="113">
        <v>7786</v>
      </c>
      <c r="J81" s="113">
        <v>8574</v>
      </c>
      <c r="K81" s="113">
        <v>16360</v>
      </c>
      <c r="L81" s="113">
        <v>16181</v>
      </c>
      <c r="M81" s="113">
        <v>21333</v>
      </c>
      <c r="N81" s="113">
        <v>37514</v>
      </c>
    </row>
    <row r="82" spans="1:14">
      <c r="A82" s="907"/>
      <c r="B82" s="359" t="s">
        <v>298</v>
      </c>
      <c r="C82" s="103">
        <v>125852</v>
      </c>
      <c r="D82" s="103">
        <v>144358</v>
      </c>
      <c r="E82" s="95">
        <v>270210</v>
      </c>
      <c r="F82" s="103">
        <v>22304</v>
      </c>
      <c r="G82" s="103">
        <v>25021</v>
      </c>
      <c r="H82" s="95">
        <v>47325</v>
      </c>
      <c r="I82" s="103">
        <v>7267</v>
      </c>
      <c r="J82" s="103">
        <v>8204</v>
      </c>
      <c r="K82" s="95">
        <v>15471</v>
      </c>
      <c r="L82" s="103">
        <v>14940</v>
      </c>
      <c r="M82" s="103">
        <v>20515</v>
      </c>
      <c r="N82" s="95">
        <v>35455</v>
      </c>
    </row>
    <row r="83" spans="1:14">
      <c r="A83" s="907">
        <v>13</v>
      </c>
      <c r="B83" s="355" t="s">
        <v>57</v>
      </c>
      <c r="C83" s="356"/>
      <c r="D83" s="357"/>
      <c r="E83" s="357"/>
      <c r="F83" s="357"/>
      <c r="G83" s="357"/>
      <c r="H83" s="358"/>
      <c r="I83" s="356"/>
      <c r="J83" s="357"/>
      <c r="K83" s="357"/>
      <c r="L83" s="357"/>
      <c r="M83" s="357"/>
      <c r="N83" s="357"/>
    </row>
    <row r="84" spans="1:14">
      <c r="A84" s="907"/>
      <c r="B84" s="353" t="s">
        <v>997</v>
      </c>
      <c r="C84" s="354">
        <v>193476</v>
      </c>
      <c r="D84" s="354">
        <v>205378</v>
      </c>
      <c r="E84" s="354">
        <v>398854</v>
      </c>
      <c r="F84" s="354">
        <v>10549</v>
      </c>
      <c r="G84" s="354">
        <v>11892</v>
      </c>
      <c r="H84" s="354">
        <v>22441</v>
      </c>
      <c r="I84" s="354">
        <v>13607</v>
      </c>
      <c r="J84" s="354">
        <v>11126</v>
      </c>
      <c r="K84" s="354">
        <v>24733</v>
      </c>
      <c r="L84" s="354">
        <v>14281</v>
      </c>
      <c r="M84" s="354">
        <v>12033</v>
      </c>
      <c r="N84" s="354">
        <v>26314</v>
      </c>
    </row>
    <row r="85" spans="1:14">
      <c r="A85" s="907"/>
      <c r="B85" s="353" t="s">
        <v>301</v>
      </c>
      <c r="C85" s="112">
        <v>199249</v>
      </c>
      <c r="D85" s="112">
        <v>196167</v>
      </c>
      <c r="E85" s="112">
        <v>395416</v>
      </c>
      <c r="F85" s="112">
        <v>9302</v>
      </c>
      <c r="G85" s="112">
        <v>11703</v>
      </c>
      <c r="H85" s="112">
        <v>21005</v>
      </c>
      <c r="I85" s="112">
        <v>12261</v>
      </c>
      <c r="J85" s="112">
        <v>10081</v>
      </c>
      <c r="K85" s="112">
        <v>22342</v>
      </c>
      <c r="L85" s="112">
        <v>14636</v>
      </c>
      <c r="M85" s="112">
        <v>11364</v>
      </c>
      <c r="N85" s="112">
        <v>26000</v>
      </c>
    </row>
    <row r="86" spans="1:14">
      <c r="A86" s="907"/>
      <c r="B86" s="353" t="s">
        <v>300</v>
      </c>
      <c r="C86" s="354">
        <v>195270</v>
      </c>
      <c r="D86" s="354">
        <v>198829</v>
      </c>
      <c r="E86" s="354">
        <v>394099</v>
      </c>
      <c r="F86" s="354">
        <v>9739</v>
      </c>
      <c r="G86" s="354">
        <v>11673</v>
      </c>
      <c r="H86" s="354">
        <v>21412</v>
      </c>
      <c r="I86" s="354">
        <v>13031</v>
      </c>
      <c r="J86" s="354">
        <v>11831</v>
      </c>
      <c r="K86" s="354">
        <v>24862</v>
      </c>
      <c r="L86" s="354">
        <v>14633</v>
      </c>
      <c r="M86" s="354">
        <v>11736</v>
      </c>
      <c r="N86" s="354">
        <v>26369</v>
      </c>
    </row>
    <row r="87" spans="1:14">
      <c r="A87" s="907"/>
      <c r="B87" s="353" t="s">
        <v>299</v>
      </c>
      <c r="C87" s="114">
        <v>177021.5039168795</v>
      </c>
      <c r="D87" s="114">
        <v>182208.30560755706</v>
      </c>
      <c r="E87" s="114">
        <v>359229.8095244366</v>
      </c>
      <c r="F87" s="113">
        <v>8211</v>
      </c>
      <c r="G87" s="113">
        <v>9478</v>
      </c>
      <c r="H87" s="113">
        <v>17689</v>
      </c>
      <c r="I87" s="113">
        <v>11301</v>
      </c>
      <c r="J87" s="113">
        <v>10388</v>
      </c>
      <c r="K87" s="113">
        <v>21689</v>
      </c>
      <c r="L87" s="113">
        <v>13422</v>
      </c>
      <c r="M87" s="113">
        <v>10913</v>
      </c>
      <c r="N87" s="113">
        <v>24335</v>
      </c>
    </row>
    <row r="88" spans="1:14">
      <c r="A88" s="907"/>
      <c r="B88" s="359" t="s">
        <v>298</v>
      </c>
      <c r="C88" s="103">
        <v>161134</v>
      </c>
      <c r="D88" s="103">
        <v>176716</v>
      </c>
      <c r="E88" s="95">
        <v>337850</v>
      </c>
      <c r="F88" s="103">
        <v>7436</v>
      </c>
      <c r="G88" s="103">
        <v>9531</v>
      </c>
      <c r="H88" s="95">
        <v>16967</v>
      </c>
      <c r="I88" s="103">
        <v>8204</v>
      </c>
      <c r="J88" s="103">
        <v>7133</v>
      </c>
      <c r="K88" s="95">
        <v>15337</v>
      </c>
      <c r="L88" s="103">
        <v>10446</v>
      </c>
      <c r="M88" s="103">
        <v>8760</v>
      </c>
      <c r="N88" s="95">
        <v>19206</v>
      </c>
    </row>
    <row r="89" spans="1:14">
      <c r="A89" s="907">
        <v>14</v>
      </c>
      <c r="B89" s="355" t="s">
        <v>29</v>
      </c>
      <c r="C89" s="356"/>
      <c r="D89" s="357"/>
      <c r="E89" s="357"/>
      <c r="F89" s="357"/>
      <c r="G89" s="357"/>
      <c r="H89" s="358"/>
      <c r="I89" s="356"/>
      <c r="J89" s="357"/>
      <c r="K89" s="357"/>
      <c r="L89" s="357"/>
      <c r="M89" s="357"/>
      <c r="N89" s="357"/>
    </row>
    <row r="90" spans="1:14">
      <c r="A90" s="907"/>
      <c r="B90" s="353" t="s">
        <v>997</v>
      </c>
      <c r="C90" s="354">
        <v>393349</v>
      </c>
      <c r="D90" s="354">
        <v>393338</v>
      </c>
      <c r="E90" s="354">
        <v>786687</v>
      </c>
      <c r="F90" s="354">
        <v>38118</v>
      </c>
      <c r="G90" s="354">
        <v>33279</v>
      </c>
      <c r="H90" s="354">
        <v>71397</v>
      </c>
      <c r="I90" s="354">
        <v>66777</v>
      </c>
      <c r="J90" s="354">
        <v>80751</v>
      </c>
      <c r="K90" s="354">
        <v>147528</v>
      </c>
      <c r="L90" s="354">
        <v>154440</v>
      </c>
      <c r="M90" s="354">
        <v>149715</v>
      </c>
      <c r="N90" s="354">
        <v>304155</v>
      </c>
    </row>
    <row r="91" spans="1:14">
      <c r="A91" s="907"/>
      <c r="B91" s="353" t="s">
        <v>301</v>
      </c>
      <c r="C91" s="112">
        <v>408859</v>
      </c>
      <c r="D91" s="112">
        <v>408701</v>
      </c>
      <c r="E91" s="112">
        <v>817560</v>
      </c>
      <c r="F91" s="112">
        <v>39061</v>
      </c>
      <c r="G91" s="112">
        <v>33841</v>
      </c>
      <c r="H91" s="112">
        <v>72902</v>
      </c>
      <c r="I91" s="112">
        <v>68787</v>
      </c>
      <c r="J91" s="112">
        <v>84739</v>
      </c>
      <c r="K91" s="112">
        <v>153526</v>
      </c>
      <c r="L91" s="112">
        <v>170328</v>
      </c>
      <c r="M91" s="112">
        <v>161304</v>
      </c>
      <c r="N91" s="112">
        <v>331632</v>
      </c>
    </row>
    <row r="92" spans="1:14">
      <c r="A92" s="907"/>
      <c r="B92" s="353" t="s">
        <v>300</v>
      </c>
      <c r="C92" s="354">
        <v>377741</v>
      </c>
      <c r="D92" s="354">
        <v>361743</v>
      </c>
      <c r="E92" s="354">
        <v>739484</v>
      </c>
      <c r="F92" s="354">
        <v>39314</v>
      </c>
      <c r="G92" s="354">
        <v>33723</v>
      </c>
      <c r="H92" s="354">
        <v>73037</v>
      </c>
      <c r="I92" s="354">
        <v>62774</v>
      </c>
      <c r="J92" s="354">
        <v>73610</v>
      </c>
      <c r="K92" s="354">
        <v>136384</v>
      </c>
      <c r="L92" s="354">
        <v>151098</v>
      </c>
      <c r="M92" s="354">
        <v>142185</v>
      </c>
      <c r="N92" s="354">
        <v>293283</v>
      </c>
    </row>
    <row r="93" spans="1:14">
      <c r="A93" s="907"/>
      <c r="B93" s="353" t="s">
        <v>299</v>
      </c>
      <c r="C93" s="114">
        <v>354094.88370536949</v>
      </c>
      <c r="D93" s="114">
        <v>334627.35291416117</v>
      </c>
      <c r="E93" s="114">
        <v>688722.23661953071</v>
      </c>
      <c r="F93" s="113">
        <v>34798</v>
      </c>
      <c r="G93" s="113">
        <v>28117</v>
      </c>
      <c r="H93" s="113">
        <v>62915</v>
      </c>
      <c r="I93" s="113">
        <v>56591</v>
      </c>
      <c r="J93" s="113">
        <v>66328</v>
      </c>
      <c r="K93" s="113">
        <v>122919</v>
      </c>
      <c r="L93" s="113">
        <v>137621</v>
      </c>
      <c r="M93" s="113">
        <v>124427</v>
      </c>
      <c r="N93" s="113">
        <v>262048</v>
      </c>
    </row>
    <row r="94" spans="1:14">
      <c r="A94" s="907"/>
      <c r="B94" s="359" t="s">
        <v>298</v>
      </c>
      <c r="C94" s="103">
        <v>351485</v>
      </c>
      <c r="D94" s="103">
        <v>319552</v>
      </c>
      <c r="E94" s="95">
        <v>671037</v>
      </c>
      <c r="F94" s="103">
        <v>33461</v>
      </c>
      <c r="G94" s="103">
        <v>26874</v>
      </c>
      <c r="H94" s="95">
        <v>60335</v>
      </c>
      <c r="I94" s="103">
        <v>54363</v>
      </c>
      <c r="J94" s="103">
        <v>67883</v>
      </c>
      <c r="K94" s="95">
        <v>122246</v>
      </c>
      <c r="L94" s="103">
        <v>128923</v>
      </c>
      <c r="M94" s="103">
        <v>117711</v>
      </c>
      <c r="N94" s="95">
        <v>246634</v>
      </c>
    </row>
    <row r="95" spans="1:14">
      <c r="A95" s="907">
        <v>15</v>
      </c>
      <c r="B95" s="355" t="s">
        <v>30</v>
      </c>
      <c r="C95" s="356"/>
      <c r="D95" s="357"/>
      <c r="E95" s="357"/>
      <c r="F95" s="357"/>
      <c r="G95" s="357"/>
      <c r="H95" s="358"/>
      <c r="I95" s="356"/>
      <c r="J95" s="357"/>
      <c r="K95" s="357"/>
      <c r="L95" s="357"/>
      <c r="M95" s="357"/>
      <c r="N95" s="357"/>
    </row>
    <row r="96" spans="1:14">
      <c r="A96" s="907"/>
      <c r="B96" s="353" t="s">
        <v>997</v>
      </c>
      <c r="C96" s="354">
        <v>1223601</v>
      </c>
      <c r="D96" s="354">
        <v>1216836</v>
      </c>
      <c r="E96" s="354">
        <v>2440437</v>
      </c>
      <c r="F96" s="354">
        <v>157702</v>
      </c>
      <c r="G96" s="354">
        <v>154146</v>
      </c>
      <c r="H96" s="354">
        <v>311848</v>
      </c>
      <c r="I96" s="354">
        <v>58644</v>
      </c>
      <c r="J96" s="354">
        <v>56327</v>
      </c>
      <c r="K96" s="354">
        <v>114971</v>
      </c>
      <c r="L96" s="354">
        <v>565089</v>
      </c>
      <c r="M96" s="354">
        <v>573864</v>
      </c>
      <c r="N96" s="354">
        <v>1138953</v>
      </c>
    </row>
    <row r="97" spans="1:14">
      <c r="A97" s="907"/>
      <c r="B97" s="353" t="s">
        <v>301</v>
      </c>
      <c r="C97" s="112">
        <v>1088883</v>
      </c>
      <c r="D97" s="112">
        <v>1099009</v>
      </c>
      <c r="E97" s="112">
        <v>2187892</v>
      </c>
      <c r="F97" s="112">
        <v>147206</v>
      </c>
      <c r="G97" s="112">
        <v>142956</v>
      </c>
      <c r="H97" s="112">
        <v>290162</v>
      </c>
      <c r="I97" s="112">
        <v>53814</v>
      </c>
      <c r="J97" s="112">
        <v>51947</v>
      </c>
      <c r="K97" s="112">
        <v>105761</v>
      </c>
      <c r="L97" s="112">
        <v>536146</v>
      </c>
      <c r="M97" s="112">
        <v>564008</v>
      </c>
      <c r="N97" s="112">
        <v>1100154</v>
      </c>
    </row>
    <row r="98" spans="1:14">
      <c r="A98" s="907"/>
      <c r="B98" s="353" t="s">
        <v>300</v>
      </c>
      <c r="C98" s="354">
        <v>993417</v>
      </c>
      <c r="D98" s="354">
        <v>995077</v>
      </c>
      <c r="E98" s="354">
        <v>1988494</v>
      </c>
      <c r="F98" s="354">
        <v>132676</v>
      </c>
      <c r="G98" s="354">
        <v>128603</v>
      </c>
      <c r="H98" s="354">
        <v>261279</v>
      </c>
      <c r="I98" s="354">
        <v>48370</v>
      </c>
      <c r="J98" s="354">
        <v>46750</v>
      </c>
      <c r="K98" s="354">
        <v>95120</v>
      </c>
      <c r="L98" s="354">
        <v>480822</v>
      </c>
      <c r="M98" s="354">
        <v>505308</v>
      </c>
      <c r="N98" s="354">
        <v>986130</v>
      </c>
    </row>
    <row r="99" spans="1:14">
      <c r="A99" s="907"/>
      <c r="B99" s="353" t="s">
        <v>299</v>
      </c>
      <c r="C99" s="114">
        <v>971393.06083695556</v>
      </c>
      <c r="D99" s="114">
        <v>972462.57707732229</v>
      </c>
      <c r="E99" s="114">
        <v>1943855.6379142778</v>
      </c>
      <c r="F99" s="113">
        <v>126417</v>
      </c>
      <c r="G99" s="113">
        <v>120364</v>
      </c>
      <c r="H99" s="113">
        <v>246781</v>
      </c>
      <c r="I99" s="113">
        <v>46088</v>
      </c>
      <c r="J99" s="113">
        <v>43257</v>
      </c>
      <c r="K99" s="113">
        <v>89345</v>
      </c>
      <c r="L99" s="113">
        <v>462696</v>
      </c>
      <c r="M99" s="113">
        <v>474798</v>
      </c>
      <c r="N99" s="113">
        <v>937494</v>
      </c>
    </row>
    <row r="100" spans="1:14">
      <c r="A100" s="907"/>
      <c r="B100" s="359" t="s">
        <v>298</v>
      </c>
      <c r="C100" s="103">
        <v>954076</v>
      </c>
      <c r="D100" s="103">
        <v>917218</v>
      </c>
      <c r="E100" s="95">
        <v>1871294</v>
      </c>
      <c r="F100" s="103">
        <v>122351</v>
      </c>
      <c r="G100" s="103">
        <v>115622</v>
      </c>
      <c r="H100" s="95">
        <v>237973</v>
      </c>
      <c r="I100" s="103">
        <v>44180</v>
      </c>
      <c r="J100" s="103">
        <v>40274</v>
      </c>
      <c r="K100" s="95">
        <v>84454</v>
      </c>
      <c r="L100" s="103">
        <v>441077</v>
      </c>
      <c r="M100" s="103">
        <v>442928</v>
      </c>
      <c r="N100" s="95">
        <v>884005</v>
      </c>
    </row>
    <row r="101" spans="1:14">
      <c r="A101" s="907">
        <v>16</v>
      </c>
      <c r="B101" s="355" t="s">
        <v>31</v>
      </c>
      <c r="C101" s="356"/>
      <c r="D101" s="357"/>
      <c r="E101" s="357"/>
      <c r="F101" s="357"/>
      <c r="G101" s="357"/>
      <c r="H101" s="358"/>
      <c r="I101" s="356"/>
      <c r="J101" s="357"/>
      <c r="K101" s="357"/>
      <c r="L101" s="357"/>
      <c r="M101" s="357"/>
      <c r="N101" s="357"/>
    </row>
    <row r="102" spans="1:14">
      <c r="A102" s="907"/>
      <c r="B102" s="353" t="s">
        <v>997</v>
      </c>
      <c r="C102" s="354">
        <v>559625</v>
      </c>
      <c r="D102" s="354">
        <v>804911</v>
      </c>
      <c r="E102" s="354">
        <v>1364536</v>
      </c>
      <c r="F102" s="354">
        <v>34488</v>
      </c>
      <c r="G102" s="354">
        <v>62108</v>
      </c>
      <c r="H102" s="354">
        <v>96596</v>
      </c>
      <c r="I102" s="354">
        <v>5702</v>
      </c>
      <c r="J102" s="354">
        <v>8712</v>
      </c>
      <c r="K102" s="354">
        <v>14414</v>
      </c>
      <c r="L102" s="354">
        <v>270266</v>
      </c>
      <c r="M102" s="354">
        <v>426085</v>
      </c>
      <c r="N102" s="354">
        <v>696351</v>
      </c>
    </row>
    <row r="103" spans="1:14">
      <c r="A103" s="907"/>
      <c r="B103" s="353" t="s">
        <v>301</v>
      </c>
      <c r="C103" s="112">
        <v>484849</v>
      </c>
      <c r="D103" s="112">
        <v>653004</v>
      </c>
      <c r="E103" s="112">
        <v>1137853</v>
      </c>
      <c r="F103" s="112">
        <v>25434</v>
      </c>
      <c r="G103" s="112">
        <v>46838</v>
      </c>
      <c r="H103" s="112">
        <v>72272</v>
      </c>
      <c r="I103" s="112">
        <v>4360</v>
      </c>
      <c r="J103" s="112">
        <v>6877</v>
      </c>
      <c r="K103" s="112">
        <v>11237</v>
      </c>
      <c r="L103" s="112">
        <v>194158</v>
      </c>
      <c r="M103" s="112">
        <v>295290</v>
      </c>
      <c r="N103" s="112">
        <v>489448</v>
      </c>
    </row>
    <row r="104" spans="1:14">
      <c r="A104" s="907"/>
      <c r="B104" s="353" t="s">
        <v>300</v>
      </c>
      <c r="C104" s="354">
        <v>458200</v>
      </c>
      <c r="D104" s="354">
        <v>637642</v>
      </c>
      <c r="E104" s="354">
        <v>1095842</v>
      </c>
      <c r="F104" s="354">
        <v>24464</v>
      </c>
      <c r="G104" s="354">
        <v>44947</v>
      </c>
      <c r="H104" s="354">
        <v>69411</v>
      </c>
      <c r="I104" s="354">
        <v>4272</v>
      </c>
      <c r="J104" s="354">
        <v>6455</v>
      </c>
      <c r="K104" s="354">
        <v>10727</v>
      </c>
      <c r="L104" s="354">
        <v>185095</v>
      </c>
      <c r="M104" s="354">
        <v>274967</v>
      </c>
      <c r="N104" s="354">
        <v>460062</v>
      </c>
    </row>
    <row r="105" spans="1:14">
      <c r="A105" s="907"/>
      <c r="B105" s="353" t="s">
        <v>299</v>
      </c>
      <c r="C105" s="114">
        <v>480177.7434148303</v>
      </c>
      <c r="D105" s="114">
        <v>602739.05567651894</v>
      </c>
      <c r="E105" s="114">
        <v>1082916.7990913494</v>
      </c>
      <c r="F105" s="113">
        <v>24246</v>
      </c>
      <c r="G105" s="113">
        <v>43518</v>
      </c>
      <c r="H105" s="113">
        <v>67764</v>
      </c>
      <c r="I105" s="113">
        <v>3986</v>
      </c>
      <c r="J105" s="113">
        <v>6103</v>
      </c>
      <c r="K105" s="113">
        <v>10089</v>
      </c>
      <c r="L105" s="113">
        <v>183691</v>
      </c>
      <c r="M105" s="113">
        <v>263978</v>
      </c>
      <c r="N105" s="113">
        <v>447669</v>
      </c>
    </row>
    <row r="106" spans="1:14">
      <c r="A106" s="907"/>
      <c r="B106" s="359" t="s">
        <v>298</v>
      </c>
      <c r="C106" s="103">
        <v>428520</v>
      </c>
      <c r="D106" s="103">
        <v>604623</v>
      </c>
      <c r="E106" s="95">
        <v>1033143</v>
      </c>
      <c r="F106" s="103">
        <v>23300</v>
      </c>
      <c r="G106" s="103">
        <v>41225</v>
      </c>
      <c r="H106" s="95">
        <v>64525</v>
      </c>
      <c r="I106" s="103">
        <v>3544</v>
      </c>
      <c r="J106" s="103">
        <v>5107</v>
      </c>
      <c r="K106" s="95">
        <v>8651</v>
      </c>
      <c r="L106" s="103">
        <v>153667</v>
      </c>
      <c r="M106" s="103">
        <v>213481</v>
      </c>
      <c r="N106" s="95">
        <v>367148</v>
      </c>
    </row>
    <row r="107" spans="1:14">
      <c r="A107" s="1156">
        <v>17</v>
      </c>
      <c r="B107" s="355" t="s">
        <v>172</v>
      </c>
      <c r="C107" s="356"/>
      <c r="D107" s="357"/>
      <c r="E107" s="357"/>
      <c r="F107" s="357"/>
      <c r="G107" s="357"/>
      <c r="H107" s="358"/>
      <c r="I107" s="356"/>
      <c r="J107" s="357"/>
      <c r="K107" s="357"/>
      <c r="L107" s="357"/>
      <c r="M107" s="357"/>
      <c r="N107" s="357"/>
    </row>
    <row r="108" spans="1:14">
      <c r="A108" s="1157"/>
      <c r="B108" s="353" t="s">
        <v>997</v>
      </c>
      <c r="C108" s="354">
        <v>1108</v>
      </c>
      <c r="D108" s="354">
        <v>2039</v>
      </c>
      <c r="E108" s="354">
        <v>3147</v>
      </c>
      <c r="F108" s="354">
        <v>0</v>
      </c>
      <c r="G108" s="354">
        <v>16</v>
      </c>
      <c r="H108" s="354">
        <v>16</v>
      </c>
      <c r="I108" s="354">
        <v>902</v>
      </c>
      <c r="J108" s="354">
        <v>1937</v>
      </c>
      <c r="K108" s="354">
        <v>2839</v>
      </c>
      <c r="L108" s="354">
        <v>35</v>
      </c>
      <c r="M108" s="354">
        <v>24</v>
      </c>
      <c r="N108" s="354">
        <v>59</v>
      </c>
    </row>
    <row r="109" spans="1:14">
      <c r="A109" s="1158"/>
      <c r="B109" s="353" t="s">
        <v>301</v>
      </c>
      <c r="C109" s="112">
        <v>999</v>
      </c>
      <c r="D109" s="112">
        <v>1898</v>
      </c>
      <c r="E109" s="112">
        <v>2897</v>
      </c>
      <c r="F109" s="112">
        <v>0</v>
      </c>
      <c r="G109" s="112">
        <v>0</v>
      </c>
      <c r="H109" s="112">
        <v>0</v>
      </c>
      <c r="I109" s="112">
        <v>923</v>
      </c>
      <c r="J109" s="112">
        <v>1892</v>
      </c>
      <c r="K109" s="112">
        <v>2815</v>
      </c>
      <c r="L109" s="112">
        <v>14</v>
      </c>
      <c r="M109" s="112">
        <v>0</v>
      </c>
      <c r="N109" s="112">
        <v>14</v>
      </c>
    </row>
    <row r="110" spans="1:14">
      <c r="A110" s="907">
        <v>18</v>
      </c>
      <c r="B110" s="355" t="s">
        <v>32</v>
      </c>
      <c r="C110" s="356"/>
      <c r="D110" s="357"/>
      <c r="E110" s="357"/>
      <c r="F110" s="357"/>
      <c r="G110" s="357"/>
      <c r="H110" s="358"/>
      <c r="I110" s="356"/>
      <c r="J110" s="357"/>
      <c r="K110" s="357"/>
      <c r="L110" s="357"/>
      <c r="M110" s="357"/>
      <c r="N110" s="357"/>
    </row>
    <row r="111" spans="1:14">
      <c r="A111" s="907"/>
      <c r="B111" s="353" t="s">
        <v>997</v>
      </c>
      <c r="C111" s="354">
        <v>133</v>
      </c>
      <c r="D111" s="354">
        <v>427</v>
      </c>
      <c r="E111" s="354">
        <v>560</v>
      </c>
      <c r="F111" s="354">
        <v>0</v>
      </c>
      <c r="G111" s="354">
        <v>0</v>
      </c>
      <c r="H111" s="354">
        <v>0</v>
      </c>
      <c r="I111" s="354">
        <v>70</v>
      </c>
      <c r="J111" s="354">
        <v>256</v>
      </c>
      <c r="K111" s="354">
        <v>326</v>
      </c>
      <c r="L111" s="354">
        <v>0</v>
      </c>
      <c r="M111" s="354">
        <v>0</v>
      </c>
      <c r="N111" s="354">
        <v>0</v>
      </c>
    </row>
    <row r="112" spans="1:14">
      <c r="A112" s="907"/>
      <c r="B112" s="353" t="s">
        <v>301</v>
      </c>
      <c r="C112" s="112">
        <v>133</v>
      </c>
      <c r="D112" s="112">
        <v>427</v>
      </c>
      <c r="E112" s="112">
        <v>560</v>
      </c>
      <c r="F112" s="112">
        <v>0</v>
      </c>
      <c r="G112" s="112">
        <v>0</v>
      </c>
      <c r="H112" s="112">
        <v>0</v>
      </c>
      <c r="I112" s="112">
        <v>70</v>
      </c>
      <c r="J112" s="112">
        <v>256</v>
      </c>
      <c r="K112" s="112">
        <v>326</v>
      </c>
      <c r="L112" s="112">
        <v>0</v>
      </c>
      <c r="M112" s="112">
        <v>0</v>
      </c>
      <c r="N112" s="112">
        <v>0</v>
      </c>
    </row>
    <row r="113" spans="1:14">
      <c r="A113" s="907"/>
      <c r="B113" s="353" t="s">
        <v>300</v>
      </c>
      <c r="C113" s="354">
        <v>127</v>
      </c>
      <c r="D113" s="354">
        <v>418</v>
      </c>
      <c r="E113" s="354">
        <v>545</v>
      </c>
      <c r="F113" s="354">
        <v>0</v>
      </c>
      <c r="G113" s="354">
        <v>0</v>
      </c>
      <c r="H113" s="354">
        <v>0</v>
      </c>
      <c r="I113" s="354">
        <v>64</v>
      </c>
      <c r="J113" s="354">
        <v>246</v>
      </c>
      <c r="K113" s="354">
        <v>310</v>
      </c>
      <c r="L113" s="354">
        <v>0</v>
      </c>
      <c r="M113" s="354">
        <v>0</v>
      </c>
      <c r="N113" s="354">
        <v>0</v>
      </c>
    </row>
    <row r="114" spans="1:14">
      <c r="A114" s="907"/>
      <c r="B114" s="359" t="s">
        <v>299</v>
      </c>
      <c r="C114" s="356">
        <v>116</v>
      </c>
      <c r="D114" s="357">
        <v>436</v>
      </c>
      <c r="E114" s="357">
        <v>552</v>
      </c>
      <c r="F114" s="357">
        <v>0</v>
      </c>
      <c r="G114" s="357">
        <v>0</v>
      </c>
      <c r="H114" s="358">
        <v>0</v>
      </c>
      <c r="I114" s="356">
        <v>56</v>
      </c>
      <c r="J114" s="357">
        <v>182</v>
      </c>
      <c r="K114" s="357">
        <v>238</v>
      </c>
      <c r="L114" s="357">
        <v>0</v>
      </c>
      <c r="M114" s="357">
        <v>0</v>
      </c>
      <c r="N114" s="357">
        <v>0</v>
      </c>
    </row>
    <row r="115" spans="1:14">
      <c r="A115" s="907"/>
      <c r="B115" s="359" t="s">
        <v>298</v>
      </c>
      <c r="C115" s="103">
        <v>149</v>
      </c>
      <c r="D115" s="103">
        <v>375</v>
      </c>
      <c r="E115" s="95">
        <v>524</v>
      </c>
      <c r="F115" s="103">
        <v>0</v>
      </c>
      <c r="G115" s="103">
        <v>0</v>
      </c>
      <c r="H115" s="95">
        <v>0</v>
      </c>
      <c r="I115" s="103">
        <v>71</v>
      </c>
      <c r="J115" s="103">
        <v>183</v>
      </c>
      <c r="K115" s="95">
        <v>254</v>
      </c>
      <c r="L115" s="103">
        <v>45</v>
      </c>
      <c r="M115" s="103">
        <v>54</v>
      </c>
      <c r="N115" s="95">
        <v>99</v>
      </c>
    </row>
    <row r="116" spans="1:14">
      <c r="A116" s="907">
        <v>19</v>
      </c>
      <c r="B116" s="355" t="s">
        <v>33</v>
      </c>
      <c r="C116" s="356"/>
      <c r="D116" s="357"/>
      <c r="E116" s="357"/>
      <c r="F116" s="357"/>
      <c r="G116" s="357"/>
      <c r="H116" s="358"/>
      <c r="I116" s="356"/>
      <c r="J116" s="357"/>
      <c r="K116" s="357"/>
      <c r="L116" s="357"/>
      <c r="M116" s="357"/>
      <c r="N116" s="357"/>
    </row>
    <row r="117" spans="1:14">
      <c r="A117" s="907"/>
      <c r="B117" s="353" t="s">
        <v>997</v>
      </c>
      <c r="C117" s="354">
        <v>1374036</v>
      </c>
      <c r="D117" s="354">
        <v>1224525</v>
      </c>
      <c r="E117" s="354">
        <v>2598561</v>
      </c>
      <c r="F117" s="354">
        <v>210178</v>
      </c>
      <c r="G117" s="354">
        <v>184840</v>
      </c>
      <c r="H117" s="354">
        <v>395018</v>
      </c>
      <c r="I117" s="354">
        <v>140698</v>
      </c>
      <c r="J117" s="354">
        <v>153701</v>
      </c>
      <c r="K117" s="354">
        <v>294399</v>
      </c>
      <c r="L117" s="354">
        <v>528269</v>
      </c>
      <c r="M117" s="354">
        <v>512294</v>
      </c>
      <c r="N117" s="354">
        <v>1040563</v>
      </c>
    </row>
    <row r="118" spans="1:14">
      <c r="A118" s="907"/>
      <c r="B118" s="353" t="s">
        <v>301</v>
      </c>
      <c r="C118" s="112">
        <v>1144576</v>
      </c>
      <c r="D118" s="112">
        <v>1037578</v>
      </c>
      <c r="E118" s="112">
        <v>2182154</v>
      </c>
      <c r="F118" s="112">
        <v>176528</v>
      </c>
      <c r="G118" s="112">
        <v>154691</v>
      </c>
      <c r="H118" s="112">
        <v>331219</v>
      </c>
      <c r="I118" s="112">
        <v>107910</v>
      </c>
      <c r="J118" s="112">
        <v>107489</v>
      </c>
      <c r="K118" s="112">
        <v>215399</v>
      </c>
      <c r="L118" s="112">
        <v>449846</v>
      </c>
      <c r="M118" s="112">
        <v>425197</v>
      </c>
      <c r="N118" s="112">
        <v>875043</v>
      </c>
    </row>
    <row r="119" spans="1:14">
      <c r="A119" s="907"/>
      <c r="B119" s="353" t="s">
        <v>300</v>
      </c>
      <c r="C119" s="354">
        <v>1027738</v>
      </c>
      <c r="D119" s="354">
        <v>901606</v>
      </c>
      <c r="E119" s="354">
        <v>1929344</v>
      </c>
      <c r="F119" s="354">
        <v>154836</v>
      </c>
      <c r="G119" s="354">
        <v>129221</v>
      </c>
      <c r="H119" s="354">
        <v>284057</v>
      </c>
      <c r="I119" s="354">
        <v>101105</v>
      </c>
      <c r="J119" s="354">
        <v>97921</v>
      </c>
      <c r="K119" s="354">
        <v>199026</v>
      </c>
      <c r="L119" s="354">
        <v>406281</v>
      </c>
      <c r="M119" s="354">
        <v>366091</v>
      </c>
      <c r="N119" s="354">
        <v>772372</v>
      </c>
    </row>
    <row r="120" spans="1:14">
      <c r="A120" s="907"/>
      <c r="B120" s="353" t="s">
        <v>299</v>
      </c>
      <c r="C120" s="114">
        <v>1023418.4481650935</v>
      </c>
      <c r="D120" s="114">
        <v>862060.41071448405</v>
      </c>
      <c r="E120" s="114">
        <v>1885478.8588795776</v>
      </c>
      <c r="F120" s="113">
        <v>159632</v>
      </c>
      <c r="G120" s="113">
        <v>124154</v>
      </c>
      <c r="H120" s="113">
        <v>283786</v>
      </c>
      <c r="I120" s="113">
        <v>96286</v>
      </c>
      <c r="J120" s="113">
        <v>84612</v>
      </c>
      <c r="K120" s="113">
        <v>180898</v>
      </c>
      <c r="L120" s="113">
        <v>396788</v>
      </c>
      <c r="M120" s="113">
        <v>336461</v>
      </c>
      <c r="N120" s="113">
        <v>733249</v>
      </c>
    </row>
    <row r="121" spans="1:14">
      <c r="A121" s="907"/>
      <c r="B121" s="359" t="s">
        <v>298</v>
      </c>
      <c r="C121" s="103">
        <v>978110</v>
      </c>
      <c r="D121" s="103">
        <v>795143</v>
      </c>
      <c r="E121" s="95">
        <v>1773253</v>
      </c>
      <c r="F121" s="103">
        <v>139807</v>
      </c>
      <c r="G121" s="103">
        <v>105665</v>
      </c>
      <c r="H121" s="95">
        <v>245472</v>
      </c>
      <c r="I121" s="103">
        <v>88959</v>
      </c>
      <c r="J121" s="103">
        <v>77834</v>
      </c>
      <c r="K121" s="95">
        <v>166793</v>
      </c>
      <c r="L121" s="103">
        <v>372784</v>
      </c>
      <c r="M121" s="103">
        <v>300465</v>
      </c>
      <c r="N121" s="95">
        <v>673249</v>
      </c>
    </row>
    <row r="122" spans="1:14">
      <c r="A122" s="907">
        <v>20</v>
      </c>
      <c r="B122" s="355" t="s">
        <v>34</v>
      </c>
      <c r="C122" s="356"/>
      <c r="D122" s="357"/>
      <c r="E122" s="357"/>
      <c r="F122" s="357"/>
      <c r="G122" s="357"/>
      <c r="H122" s="358"/>
      <c r="I122" s="356"/>
      <c r="J122" s="357"/>
      <c r="K122" s="357"/>
      <c r="L122" s="357"/>
      <c r="M122" s="357"/>
      <c r="N122" s="357"/>
    </row>
    <row r="123" spans="1:14">
      <c r="A123" s="907"/>
      <c r="B123" s="353" t="s">
        <v>997</v>
      </c>
      <c r="C123" s="354">
        <v>2491897</v>
      </c>
      <c r="D123" s="354">
        <v>2054252</v>
      </c>
      <c r="E123" s="354">
        <v>4546149</v>
      </c>
      <c r="F123" s="354">
        <v>290289</v>
      </c>
      <c r="G123" s="354">
        <v>255618</v>
      </c>
      <c r="H123" s="354">
        <v>545907</v>
      </c>
      <c r="I123" s="354">
        <v>111489</v>
      </c>
      <c r="J123" s="354">
        <v>86643</v>
      </c>
      <c r="K123" s="354">
        <v>198132</v>
      </c>
      <c r="L123" s="354">
        <v>723073</v>
      </c>
      <c r="M123" s="354">
        <v>583566</v>
      </c>
      <c r="N123" s="354">
        <v>1306639</v>
      </c>
    </row>
    <row r="124" spans="1:14">
      <c r="A124" s="907"/>
      <c r="B124" s="353" t="s">
        <v>301</v>
      </c>
      <c r="C124" s="112">
        <v>2313862</v>
      </c>
      <c r="D124" s="112">
        <v>1951610</v>
      </c>
      <c r="E124" s="112">
        <v>4265472</v>
      </c>
      <c r="F124" s="112">
        <v>260361</v>
      </c>
      <c r="G124" s="112">
        <v>243253</v>
      </c>
      <c r="H124" s="112">
        <v>503614</v>
      </c>
      <c r="I124" s="112">
        <v>105835</v>
      </c>
      <c r="J124" s="112">
        <v>82907</v>
      </c>
      <c r="K124" s="112">
        <v>188742</v>
      </c>
      <c r="L124" s="112">
        <v>684718</v>
      </c>
      <c r="M124" s="112">
        <v>581699</v>
      </c>
      <c r="N124" s="112">
        <v>1266417</v>
      </c>
    </row>
    <row r="125" spans="1:14">
      <c r="A125" s="907"/>
      <c r="B125" s="353" t="s">
        <v>300</v>
      </c>
      <c r="C125" s="354">
        <v>2324424</v>
      </c>
      <c r="D125" s="354">
        <v>1905902</v>
      </c>
      <c r="E125" s="354">
        <v>4230326</v>
      </c>
      <c r="F125" s="354">
        <v>269942</v>
      </c>
      <c r="G125" s="354">
        <v>240577</v>
      </c>
      <c r="H125" s="354">
        <v>510519</v>
      </c>
      <c r="I125" s="354">
        <v>105146</v>
      </c>
      <c r="J125" s="354">
        <v>79830</v>
      </c>
      <c r="K125" s="354">
        <v>184976</v>
      </c>
      <c r="L125" s="354">
        <v>681445</v>
      </c>
      <c r="M125" s="354">
        <v>565904</v>
      </c>
      <c r="N125" s="354">
        <v>1247349</v>
      </c>
    </row>
    <row r="126" spans="1:14">
      <c r="A126" s="907"/>
      <c r="B126" s="353" t="s">
        <v>299</v>
      </c>
      <c r="C126" s="114">
        <v>2271077.9431296396</v>
      </c>
      <c r="D126" s="114">
        <v>1860678.7330807578</v>
      </c>
      <c r="E126" s="114">
        <v>4131756.6762103974</v>
      </c>
      <c r="F126" s="113">
        <v>271757</v>
      </c>
      <c r="G126" s="113">
        <v>231526</v>
      </c>
      <c r="H126" s="113">
        <v>503283</v>
      </c>
      <c r="I126" s="113">
        <v>108166</v>
      </c>
      <c r="J126" s="113">
        <v>76829</v>
      </c>
      <c r="K126" s="113">
        <v>184995</v>
      </c>
      <c r="L126" s="113">
        <v>675138</v>
      </c>
      <c r="M126" s="113">
        <v>545036</v>
      </c>
      <c r="N126" s="113">
        <v>1220174</v>
      </c>
    </row>
    <row r="127" spans="1:14">
      <c r="A127" s="907"/>
      <c r="B127" s="359" t="s">
        <v>298</v>
      </c>
      <c r="C127" s="103">
        <v>2239764</v>
      </c>
      <c r="D127" s="103">
        <v>1776545</v>
      </c>
      <c r="E127" s="95">
        <v>4016309</v>
      </c>
      <c r="F127" s="103">
        <v>272601</v>
      </c>
      <c r="G127" s="103">
        <v>223042</v>
      </c>
      <c r="H127" s="95">
        <v>495643</v>
      </c>
      <c r="I127" s="103">
        <v>109476</v>
      </c>
      <c r="J127" s="103">
        <v>72377</v>
      </c>
      <c r="K127" s="95">
        <v>181853</v>
      </c>
      <c r="L127" s="103">
        <v>666571</v>
      </c>
      <c r="M127" s="103">
        <v>529471</v>
      </c>
      <c r="N127" s="95">
        <v>1196042</v>
      </c>
    </row>
    <row r="128" spans="1:14">
      <c r="A128" s="907">
        <v>21</v>
      </c>
      <c r="B128" s="355" t="s">
        <v>35</v>
      </c>
      <c r="C128" s="356"/>
      <c r="D128" s="357"/>
      <c r="E128" s="357"/>
      <c r="F128" s="357"/>
      <c r="G128" s="357"/>
      <c r="H128" s="358"/>
      <c r="I128" s="356"/>
      <c r="J128" s="357"/>
      <c r="K128" s="357"/>
      <c r="L128" s="357"/>
      <c r="M128" s="357"/>
      <c r="N128" s="357"/>
    </row>
    <row r="129" spans="1:14">
      <c r="A129" s="907"/>
      <c r="B129" s="353" t="s">
        <v>997</v>
      </c>
      <c r="C129" s="354">
        <v>68916</v>
      </c>
      <c r="D129" s="354">
        <v>69583</v>
      </c>
      <c r="E129" s="354">
        <v>138499</v>
      </c>
      <c r="F129" s="354">
        <v>5110</v>
      </c>
      <c r="G129" s="354">
        <v>4229</v>
      </c>
      <c r="H129" s="354">
        <v>9339</v>
      </c>
      <c r="I129" s="354">
        <v>18790</v>
      </c>
      <c r="J129" s="354">
        <v>18859</v>
      </c>
      <c r="K129" s="354">
        <v>37649</v>
      </c>
      <c r="L129" s="354">
        <v>18578</v>
      </c>
      <c r="M129" s="354">
        <v>22308</v>
      </c>
      <c r="N129" s="354">
        <v>40886</v>
      </c>
    </row>
    <row r="130" spans="1:14">
      <c r="A130" s="907"/>
      <c r="B130" s="359" t="s">
        <v>301</v>
      </c>
      <c r="C130" s="115">
        <v>60918</v>
      </c>
      <c r="D130" s="115">
        <v>63620</v>
      </c>
      <c r="E130" s="115">
        <v>124538</v>
      </c>
      <c r="F130" s="115">
        <v>3353</v>
      </c>
      <c r="G130" s="115">
        <v>3259</v>
      </c>
      <c r="H130" s="115">
        <v>6612</v>
      </c>
      <c r="I130" s="115">
        <v>17660</v>
      </c>
      <c r="J130" s="115">
        <v>18273</v>
      </c>
      <c r="K130" s="115">
        <v>35933</v>
      </c>
      <c r="L130" s="115">
        <v>17875</v>
      </c>
      <c r="M130" s="115">
        <v>22253</v>
      </c>
      <c r="N130" s="115">
        <v>40128</v>
      </c>
    </row>
    <row r="131" spans="1:14">
      <c r="A131" s="907"/>
      <c r="B131" s="353" t="s">
        <v>300</v>
      </c>
      <c r="C131" s="354">
        <v>54679</v>
      </c>
      <c r="D131" s="354">
        <v>55698</v>
      </c>
      <c r="E131" s="354">
        <v>110377</v>
      </c>
      <c r="F131" s="354">
        <v>3325</v>
      </c>
      <c r="G131" s="354">
        <v>3023</v>
      </c>
      <c r="H131" s="354">
        <v>6348</v>
      </c>
      <c r="I131" s="354">
        <v>18323</v>
      </c>
      <c r="J131" s="354">
        <v>17453</v>
      </c>
      <c r="K131" s="354">
        <v>35776</v>
      </c>
      <c r="L131" s="354">
        <v>16068</v>
      </c>
      <c r="M131" s="354">
        <v>19638</v>
      </c>
      <c r="N131" s="354">
        <v>35706</v>
      </c>
    </row>
    <row r="132" spans="1:14">
      <c r="A132" s="907"/>
      <c r="B132" s="353" t="s">
        <v>299</v>
      </c>
      <c r="C132" s="114">
        <v>51270.875438012998</v>
      </c>
      <c r="D132" s="114">
        <v>53409.095683233973</v>
      </c>
      <c r="E132" s="114">
        <v>104679.97112124697</v>
      </c>
      <c r="F132" s="113">
        <v>3523</v>
      </c>
      <c r="G132" s="113">
        <v>3115</v>
      </c>
      <c r="H132" s="113">
        <v>6638</v>
      </c>
      <c r="I132" s="113">
        <v>17636</v>
      </c>
      <c r="J132" s="113">
        <v>16100</v>
      </c>
      <c r="K132" s="113">
        <v>33736</v>
      </c>
      <c r="L132" s="113">
        <v>16747</v>
      </c>
      <c r="M132" s="113">
        <v>19740</v>
      </c>
      <c r="N132" s="113">
        <v>36487</v>
      </c>
    </row>
    <row r="133" spans="1:14">
      <c r="A133" s="907"/>
      <c r="B133" s="359" t="s">
        <v>298</v>
      </c>
      <c r="C133" s="103">
        <v>50066</v>
      </c>
      <c r="D133" s="103">
        <v>50996</v>
      </c>
      <c r="E133" s="95">
        <v>101062</v>
      </c>
      <c r="F133" s="103">
        <v>2992</v>
      </c>
      <c r="G133" s="103">
        <v>2705</v>
      </c>
      <c r="H133" s="95">
        <v>5697</v>
      </c>
      <c r="I133" s="103">
        <v>16214</v>
      </c>
      <c r="J133" s="103">
        <v>14913</v>
      </c>
      <c r="K133" s="95">
        <v>31127</v>
      </c>
      <c r="L133" s="103">
        <v>14332</v>
      </c>
      <c r="M133" s="103">
        <v>17546</v>
      </c>
      <c r="N133" s="95">
        <v>31878</v>
      </c>
    </row>
    <row r="134" spans="1:14">
      <c r="A134" s="907">
        <v>22</v>
      </c>
      <c r="B134" s="355" t="s">
        <v>36</v>
      </c>
      <c r="C134" s="356"/>
      <c r="D134" s="357"/>
      <c r="E134" s="357"/>
      <c r="F134" s="357"/>
      <c r="G134" s="357"/>
      <c r="H134" s="358"/>
      <c r="I134" s="356"/>
      <c r="J134" s="357"/>
      <c r="K134" s="357"/>
      <c r="L134" s="357"/>
      <c r="M134" s="357"/>
      <c r="N134" s="357"/>
    </row>
    <row r="135" spans="1:14">
      <c r="A135" s="907"/>
      <c r="B135" s="353" t="s">
        <v>997</v>
      </c>
      <c r="C135" s="354">
        <v>43104</v>
      </c>
      <c r="D135" s="354">
        <v>54480</v>
      </c>
      <c r="E135" s="354">
        <v>97584</v>
      </c>
      <c r="F135" s="354">
        <v>2114</v>
      </c>
      <c r="G135" s="354">
        <v>1697</v>
      </c>
      <c r="H135" s="354">
        <v>3811</v>
      </c>
      <c r="I135" s="354">
        <v>30260</v>
      </c>
      <c r="J135" s="354">
        <v>41669</v>
      </c>
      <c r="K135" s="354">
        <v>71929</v>
      </c>
      <c r="L135" s="354">
        <v>1120</v>
      </c>
      <c r="M135" s="354">
        <v>1158</v>
      </c>
      <c r="N135" s="354">
        <v>2278</v>
      </c>
    </row>
    <row r="136" spans="1:14">
      <c r="A136" s="907"/>
      <c r="B136" s="353" t="s">
        <v>301</v>
      </c>
      <c r="C136" s="112">
        <v>39844</v>
      </c>
      <c r="D136" s="112">
        <v>47697</v>
      </c>
      <c r="E136" s="112">
        <v>87541</v>
      </c>
      <c r="F136" s="112">
        <v>1124</v>
      </c>
      <c r="G136" s="112">
        <v>824</v>
      </c>
      <c r="H136" s="112">
        <v>1948</v>
      </c>
      <c r="I136" s="112">
        <v>29208</v>
      </c>
      <c r="J136" s="112">
        <v>39413</v>
      </c>
      <c r="K136" s="112">
        <v>68621</v>
      </c>
      <c r="L136" s="112">
        <v>2503</v>
      </c>
      <c r="M136" s="112">
        <v>1460</v>
      </c>
      <c r="N136" s="112">
        <v>3963</v>
      </c>
    </row>
    <row r="137" spans="1:14">
      <c r="A137" s="907"/>
      <c r="B137" s="353" t="s">
        <v>300</v>
      </c>
      <c r="C137" s="354">
        <v>39461</v>
      </c>
      <c r="D137" s="354">
        <v>47470</v>
      </c>
      <c r="E137" s="354">
        <v>86931</v>
      </c>
      <c r="F137" s="354">
        <v>909</v>
      </c>
      <c r="G137" s="354">
        <v>2112</v>
      </c>
      <c r="H137" s="354">
        <v>3021</v>
      </c>
      <c r="I137" s="354">
        <v>29641</v>
      </c>
      <c r="J137" s="354">
        <v>38383</v>
      </c>
      <c r="K137" s="354">
        <v>68024</v>
      </c>
      <c r="L137" s="354">
        <v>2446</v>
      </c>
      <c r="M137" s="354">
        <v>1421</v>
      </c>
      <c r="N137" s="354">
        <v>3867</v>
      </c>
    </row>
    <row r="138" spans="1:14">
      <c r="A138" s="907"/>
      <c r="B138" s="353" t="s">
        <v>299</v>
      </c>
      <c r="C138" s="114">
        <v>40427.713486908644</v>
      </c>
      <c r="D138" s="114">
        <v>43394.089871076707</v>
      </c>
      <c r="E138" s="114">
        <v>83821.803357985351</v>
      </c>
      <c r="F138" s="113">
        <v>568</v>
      </c>
      <c r="G138" s="113">
        <v>376</v>
      </c>
      <c r="H138" s="113">
        <v>944</v>
      </c>
      <c r="I138" s="113">
        <v>25989</v>
      </c>
      <c r="J138" s="113">
        <v>30948</v>
      </c>
      <c r="K138" s="113">
        <v>56937</v>
      </c>
      <c r="L138" s="113">
        <v>2292</v>
      </c>
      <c r="M138" s="113">
        <v>1337</v>
      </c>
      <c r="N138" s="113">
        <v>3629</v>
      </c>
    </row>
    <row r="139" spans="1:14">
      <c r="A139" s="907"/>
      <c r="B139" s="359" t="s">
        <v>298</v>
      </c>
      <c r="C139" s="103">
        <v>38881</v>
      </c>
      <c r="D139" s="103">
        <v>41411</v>
      </c>
      <c r="E139" s="95">
        <v>80292</v>
      </c>
      <c r="F139" s="103">
        <v>583</v>
      </c>
      <c r="G139" s="103">
        <v>450</v>
      </c>
      <c r="H139" s="95">
        <v>1033</v>
      </c>
      <c r="I139" s="103">
        <v>24513</v>
      </c>
      <c r="J139" s="103">
        <v>32082</v>
      </c>
      <c r="K139" s="95">
        <v>56595</v>
      </c>
      <c r="L139" s="103">
        <v>891</v>
      </c>
      <c r="M139" s="103">
        <v>790</v>
      </c>
      <c r="N139" s="95">
        <v>1681</v>
      </c>
    </row>
    <row r="140" spans="1:14">
      <c r="A140" s="907">
        <v>23</v>
      </c>
      <c r="B140" s="355" t="s">
        <v>37</v>
      </c>
      <c r="C140" s="356"/>
      <c r="D140" s="357"/>
      <c r="E140" s="357"/>
      <c r="F140" s="357"/>
      <c r="G140" s="357"/>
      <c r="H140" s="358"/>
      <c r="I140" s="356"/>
      <c r="J140" s="357"/>
      <c r="K140" s="357"/>
      <c r="L140" s="357"/>
      <c r="M140" s="357"/>
      <c r="N140" s="357"/>
    </row>
    <row r="141" spans="1:14">
      <c r="A141" s="907"/>
      <c r="B141" s="353" t="s">
        <v>997</v>
      </c>
      <c r="C141" s="354">
        <v>19201</v>
      </c>
      <c r="D141" s="354">
        <v>19509</v>
      </c>
      <c r="E141" s="354">
        <v>38710</v>
      </c>
      <c r="F141" s="354">
        <v>200</v>
      </c>
      <c r="G141" s="354">
        <v>111</v>
      </c>
      <c r="H141" s="354">
        <v>311</v>
      </c>
      <c r="I141" s="354">
        <v>17963</v>
      </c>
      <c r="J141" s="354">
        <v>18673</v>
      </c>
      <c r="K141" s="354">
        <v>36636</v>
      </c>
      <c r="L141" s="354">
        <v>379</v>
      </c>
      <c r="M141" s="354">
        <v>244</v>
      </c>
      <c r="N141" s="354">
        <v>623</v>
      </c>
    </row>
    <row r="142" spans="1:14">
      <c r="A142" s="907"/>
      <c r="B142" s="353" t="s">
        <v>301</v>
      </c>
      <c r="C142" s="112">
        <v>17156</v>
      </c>
      <c r="D142" s="112">
        <v>16080</v>
      </c>
      <c r="E142" s="112">
        <v>33236</v>
      </c>
      <c r="F142" s="112">
        <v>161</v>
      </c>
      <c r="G142" s="112">
        <v>61</v>
      </c>
      <c r="H142" s="112">
        <v>222</v>
      </c>
      <c r="I142" s="112">
        <v>15882</v>
      </c>
      <c r="J142" s="112">
        <v>15689</v>
      </c>
      <c r="K142" s="112">
        <v>31571</v>
      </c>
      <c r="L142" s="112">
        <v>380</v>
      </c>
      <c r="M142" s="112">
        <v>181</v>
      </c>
      <c r="N142" s="112">
        <v>561</v>
      </c>
    </row>
    <row r="143" spans="1:14">
      <c r="A143" s="907"/>
      <c r="B143" s="353" t="s">
        <v>300</v>
      </c>
      <c r="C143" s="354">
        <v>16852</v>
      </c>
      <c r="D143" s="354">
        <v>15986</v>
      </c>
      <c r="E143" s="354">
        <v>32838</v>
      </c>
      <c r="F143" s="354">
        <v>143</v>
      </c>
      <c r="G143" s="354">
        <v>77</v>
      </c>
      <c r="H143" s="354">
        <v>220</v>
      </c>
      <c r="I143" s="354">
        <v>15836</v>
      </c>
      <c r="J143" s="354">
        <v>15391</v>
      </c>
      <c r="K143" s="354">
        <v>31227</v>
      </c>
      <c r="L143" s="354">
        <v>361</v>
      </c>
      <c r="M143" s="354">
        <v>181</v>
      </c>
      <c r="N143" s="354">
        <v>542</v>
      </c>
    </row>
    <row r="144" spans="1:14">
      <c r="A144" s="907"/>
      <c r="B144" s="353" t="s">
        <v>299</v>
      </c>
      <c r="C144" s="113">
        <v>15861</v>
      </c>
      <c r="D144" s="113">
        <v>13634</v>
      </c>
      <c r="E144" s="113">
        <v>29495</v>
      </c>
      <c r="F144" s="113">
        <v>130</v>
      </c>
      <c r="G144" s="113">
        <v>61</v>
      </c>
      <c r="H144" s="113">
        <v>191</v>
      </c>
      <c r="I144" s="113">
        <v>14885</v>
      </c>
      <c r="J144" s="113">
        <v>13149</v>
      </c>
      <c r="K144" s="113">
        <v>28034</v>
      </c>
      <c r="L144" s="113">
        <v>326</v>
      </c>
      <c r="M144" s="113">
        <v>146</v>
      </c>
      <c r="N144" s="113">
        <v>472</v>
      </c>
    </row>
    <row r="145" spans="1:14">
      <c r="A145" s="907"/>
      <c r="B145" s="359" t="s">
        <v>298</v>
      </c>
      <c r="C145" s="103">
        <v>16278</v>
      </c>
      <c r="D145" s="103">
        <v>15441</v>
      </c>
      <c r="E145" s="95">
        <v>31719</v>
      </c>
      <c r="F145" s="103">
        <v>125</v>
      </c>
      <c r="G145" s="103">
        <v>58</v>
      </c>
      <c r="H145" s="95">
        <v>183</v>
      </c>
      <c r="I145" s="103">
        <v>15070</v>
      </c>
      <c r="J145" s="103">
        <v>14651</v>
      </c>
      <c r="K145" s="95">
        <v>29721</v>
      </c>
      <c r="L145" s="103">
        <v>290</v>
      </c>
      <c r="M145" s="103">
        <v>139</v>
      </c>
      <c r="N145" s="95">
        <v>429</v>
      </c>
    </row>
    <row r="146" spans="1:14">
      <c r="A146" s="907">
        <v>24</v>
      </c>
      <c r="B146" s="355" t="s">
        <v>38</v>
      </c>
      <c r="C146" s="356"/>
      <c r="D146" s="357"/>
      <c r="E146" s="357"/>
      <c r="F146" s="357"/>
      <c r="G146" s="357"/>
      <c r="H146" s="358"/>
      <c r="I146" s="356"/>
      <c r="J146" s="357"/>
      <c r="K146" s="357"/>
      <c r="L146" s="357"/>
      <c r="M146" s="357"/>
      <c r="N146" s="357"/>
    </row>
    <row r="147" spans="1:14">
      <c r="A147" s="907"/>
      <c r="B147" s="353" t="s">
        <v>997</v>
      </c>
      <c r="C147" s="354">
        <v>21750</v>
      </c>
      <c r="D147" s="354">
        <v>25204</v>
      </c>
      <c r="E147" s="354">
        <v>46954</v>
      </c>
      <c r="F147" s="354">
        <v>279</v>
      </c>
      <c r="G147" s="354">
        <v>265</v>
      </c>
      <c r="H147" s="354">
        <v>544</v>
      </c>
      <c r="I147" s="354">
        <v>18340</v>
      </c>
      <c r="J147" s="354">
        <v>21869</v>
      </c>
      <c r="K147" s="354">
        <v>40209</v>
      </c>
      <c r="L147" s="354">
        <v>517</v>
      </c>
      <c r="M147" s="354">
        <v>472</v>
      </c>
      <c r="N147" s="354">
        <v>989</v>
      </c>
    </row>
    <row r="148" spans="1:14">
      <c r="A148" s="907"/>
      <c r="B148" s="353" t="s">
        <v>301</v>
      </c>
      <c r="C148" s="112">
        <v>20255</v>
      </c>
      <c r="D148" s="112">
        <v>24306</v>
      </c>
      <c r="E148" s="112">
        <v>44561</v>
      </c>
      <c r="F148" s="112">
        <v>191</v>
      </c>
      <c r="G148" s="112">
        <v>145</v>
      </c>
      <c r="H148" s="112">
        <v>336</v>
      </c>
      <c r="I148" s="112">
        <v>18460</v>
      </c>
      <c r="J148" s="112">
        <v>22495</v>
      </c>
      <c r="K148" s="112">
        <v>40955</v>
      </c>
      <c r="L148" s="112">
        <v>454</v>
      </c>
      <c r="M148" s="112">
        <v>389</v>
      </c>
      <c r="N148" s="112">
        <v>843</v>
      </c>
    </row>
    <row r="149" spans="1:14">
      <c r="A149" s="907"/>
      <c r="B149" s="353" t="s">
        <v>300</v>
      </c>
      <c r="C149" s="354">
        <v>21987</v>
      </c>
      <c r="D149" s="354">
        <v>23475</v>
      </c>
      <c r="E149" s="354">
        <v>45462</v>
      </c>
      <c r="F149" s="354">
        <v>233</v>
      </c>
      <c r="G149" s="354">
        <v>168</v>
      </c>
      <c r="H149" s="354">
        <v>401</v>
      </c>
      <c r="I149" s="354">
        <v>18615</v>
      </c>
      <c r="J149" s="354">
        <v>21483</v>
      </c>
      <c r="K149" s="354">
        <v>40098</v>
      </c>
      <c r="L149" s="354">
        <v>471</v>
      </c>
      <c r="M149" s="354">
        <v>377</v>
      </c>
      <c r="N149" s="354">
        <v>848</v>
      </c>
    </row>
    <row r="150" spans="1:14">
      <c r="A150" s="907"/>
      <c r="B150" s="353" t="s">
        <v>299</v>
      </c>
      <c r="C150" s="113">
        <v>22118</v>
      </c>
      <c r="D150" s="113">
        <v>21439</v>
      </c>
      <c r="E150" s="113">
        <v>43557</v>
      </c>
      <c r="F150" s="113">
        <v>229</v>
      </c>
      <c r="G150" s="113">
        <v>181</v>
      </c>
      <c r="H150" s="113">
        <v>410</v>
      </c>
      <c r="I150" s="113">
        <v>17624</v>
      </c>
      <c r="J150" s="113">
        <v>19035</v>
      </c>
      <c r="K150" s="113">
        <v>36659</v>
      </c>
      <c r="L150" s="113">
        <v>427</v>
      </c>
      <c r="M150" s="113">
        <v>281</v>
      </c>
      <c r="N150" s="113">
        <v>708</v>
      </c>
    </row>
    <row r="151" spans="1:14">
      <c r="A151" s="907"/>
      <c r="B151" s="359" t="s">
        <v>298</v>
      </c>
      <c r="C151" s="103">
        <v>20192</v>
      </c>
      <c r="D151" s="103">
        <v>20570</v>
      </c>
      <c r="E151" s="95">
        <v>40762</v>
      </c>
      <c r="F151" s="103">
        <v>337</v>
      </c>
      <c r="G151" s="103">
        <v>247</v>
      </c>
      <c r="H151" s="95">
        <v>584</v>
      </c>
      <c r="I151" s="103">
        <v>16176</v>
      </c>
      <c r="J151" s="103">
        <v>18107</v>
      </c>
      <c r="K151" s="95">
        <v>34283</v>
      </c>
      <c r="L151" s="103">
        <v>380</v>
      </c>
      <c r="M151" s="103">
        <v>307</v>
      </c>
      <c r="N151" s="95">
        <v>687</v>
      </c>
    </row>
    <row r="152" spans="1:14">
      <c r="A152" s="907">
        <v>25</v>
      </c>
      <c r="B152" s="355" t="s">
        <v>39</v>
      </c>
      <c r="C152" s="356"/>
      <c r="D152" s="357"/>
      <c r="E152" s="357"/>
      <c r="F152" s="357"/>
      <c r="G152" s="357"/>
      <c r="H152" s="358"/>
      <c r="I152" s="356"/>
      <c r="J152" s="357"/>
      <c r="K152" s="357"/>
      <c r="L152" s="357"/>
      <c r="M152" s="357"/>
      <c r="N152" s="357"/>
    </row>
    <row r="153" spans="1:14">
      <c r="A153" s="907"/>
      <c r="B153" s="353" t="s">
        <v>997</v>
      </c>
      <c r="C153" s="354">
        <v>525883</v>
      </c>
      <c r="D153" s="354">
        <v>481139</v>
      </c>
      <c r="E153" s="354">
        <v>1007022</v>
      </c>
      <c r="F153" s="354">
        <v>93024</v>
      </c>
      <c r="G153" s="354">
        <v>77606</v>
      </c>
      <c r="H153" s="354">
        <v>170630</v>
      </c>
      <c r="I153" s="354">
        <v>72697</v>
      </c>
      <c r="J153" s="354">
        <v>69019</v>
      </c>
      <c r="K153" s="354">
        <v>141716</v>
      </c>
      <c r="L153" s="354">
        <v>100218</v>
      </c>
      <c r="M153" s="354">
        <v>99879</v>
      </c>
      <c r="N153" s="354">
        <v>200097</v>
      </c>
    </row>
    <row r="154" spans="1:14">
      <c r="A154" s="907"/>
      <c r="B154" s="353" t="s">
        <v>301</v>
      </c>
      <c r="C154" s="112">
        <v>529226</v>
      </c>
      <c r="D154" s="112">
        <v>465703</v>
      </c>
      <c r="E154" s="112">
        <v>994929</v>
      </c>
      <c r="F154" s="112">
        <v>88766</v>
      </c>
      <c r="G154" s="112">
        <v>71362</v>
      </c>
      <c r="H154" s="112">
        <v>160128</v>
      </c>
      <c r="I154" s="112">
        <v>70031</v>
      </c>
      <c r="J154" s="112">
        <v>64832</v>
      </c>
      <c r="K154" s="112">
        <v>134863</v>
      </c>
      <c r="L154" s="112">
        <v>110320</v>
      </c>
      <c r="M154" s="112">
        <v>102419</v>
      </c>
      <c r="N154" s="112">
        <v>212739</v>
      </c>
    </row>
    <row r="155" spans="1:14">
      <c r="A155" s="907"/>
      <c r="B155" s="353" t="s">
        <v>300</v>
      </c>
      <c r="C155" s="354">
        <v>558364</v>
      </c>
      <c r="D155" s="354">
        <v>460828</v>
      </c>
      <c r="E155" s="354">
        <v>1019192</v>
      </c>
      <c r="F155" s="354">
        <v>92203</v>
      </c>
      <c r="G155" s="354">
        <v>70405</v>
      </c>
      <c r="H155" s="354">
        <v>162608</v>
      </c>
      <c r="I155" s="354">
        <v>68967</v>
      </c>
      <c r="J155" s="354">
        <v>58845</v>
      </c>
      <c r="K155" s="354">
        <v>127812</v>
      </c>
      <c r="L155" s="354">
        <v>110862</v>
      </c>
      <c r="M155" s="354">
        <v>99396</v>
      </c>
      <c r="N155" s="354">
        <v>210258</v>
      </c>
    </row>
    <row r="156" spans="1:14">
      <c r="A156" s="907"/>
      <c r="B156" s="353" t="s">
        <v>299</v>
      </c>
      <c r="C156" s="114">
        <v>549575.04319256498</v>
      </c>
      <c r="D156" s="114">
        <v>466201.56016932696</v>
      </c>
      <c r="E156" s="114">
        <v>1015776.6033618919</v>
      </c>
      <c r="F156" s="113">
        <v>88490</v>
      </c>
      <c r="G156" s="113">
        <v>64545</v>
      </c>
      <c r="H156" s="113">
        <v>153035</v>
      </c>
      <c r="I156" s="113">
        <v>68567</v>
      </c>
      <c r="J156" s="113">
        <v>56400</v>
      </c>
      <c r="K156" s="113">
        <v>124967</v>
      </c>
      <c r="L156" s="113">
        <v>108119</v>
      </c>
      <c r="M156" s="113">
        <v>95617</v>
      </c>
      <c r="N156" s="113">
        <v>203736</v>
      </c>
    </row>
    <row r="157" spans="1:14">
      <c r="A157" s="907"/>
      <c r="B157" s="359" t="s">
        <v>298</v>
      </c>
      <c r="C157" s="103">
        <v>532506</v>
      </c>
      <c r="D157" s="103">
        <v>439779</v>
      </c>
      <c r="E157" s="95">
        <v>972285</v>
      </c>
      <c r="F157" s="103">
        <v>81936</v>
      </c>
      <c r="G157" s="103">
        <v>60347</v>
      </c>
      <c r="H157" s="95">
        <v>142283</v>
      </c>
      <c r="I157" s="103">
        <v>62918</v>
      </c>
      <c r="J157" s="103">
        <v>51028</v>
      </c>
      <c r="K157" s="95">
        <v>113946</v>
      </c>
      <c r="L157" s="103">
        <v>107328</v>
      </c>
      <c r="M157" s="103">
        <v>98840</v>
      </c>
      <c r="N157" s="95">
        <v>206168</v>
      </c>
    </row>
    <row r="158" spans="1:14">
      <c r="A158" s="907">
        <v>26</v>
      </c>
      <c r="B158" s="355" t="s">
        <v>40</v>
      </c>
      <c r="C158" s="356"/>
      <c r="D158" s="357"/>
      <c r="E158" s="357"/>
      <c r="F158" s="357"/>
      <c r="G158" s="357"/>
      <c r="H158" s="358"/>
      <c r="I158" s="356"/>
      <c r="J158" s="357"/>
      <c r="K158" s="357"/>
      <c r="L158" s="357"/>
      <c r="M158" s="357"/>
      <c r="N158" s="357"/>
    </row>
    <row r="159" spans="1:14">
      <c r="A159" s="907"/>
      <c r="B159" s="353" t="s">
        <v>997</v>
      </c>
      <c r="C159" s="354">
        <v>43187</v>
      </c>
      <c r="D159" s="354">
        <v>48066</v>
      </c>
      <c r="E159" s="354">
        <v>91253</v>
      </c>
      <c r="F159" s="354">
        <v>5684</v>
      </c>
      <c r="G159" s="354">
        <v>6319</v>
      </c>
      <c r="H159" s="354">
        <v>12003</v>
      </c>
      <c r="I159" s="354">
        <v>463</v>
      </c>
      <c r="J159" s="354">
        <v>440</v>
      </c>
      <c r="K159" s="354">
        <v>903</v>
      </c>
      <c r="L159" s="354">
        <v>27277</v>
      </c>
      <c r="M159" s="354">
        <v>31222</v>
      </c>
      <c r="N159" s="354">
        <v>58499</v>
      </c>
    </row>
    <row r="160" spans="1:14">
      <c r="A160" s="907"/>
      <c r="B160" s="353" t="s">
        <v>301</v>
      </c>
      <c r="C160" s="112">
        <v>38156</v>
      </c>
      <c r="D160" s="112">
        <v>41968</v>
      </c>
      <c r="E160" s="112">
        <v>80124</v>
      </c>
      <c r="F160" s="112">
        <v>4892</v>
      </c>
      <c r="G160" s="112">
        <v>5165</v>
      </c>
      <c r="H160" s="112">
        <v>10057</v>
      </c>
      <c r="I160" s="112">
        <v>547</v>
      </c>
      <c r="J160" s="112">
        <v>476</v>
      </c>
      <c r="K160" s="112">
        <v>1023</v>
      </c>
      <c r="L160" s="112">
        <v>22563</v>
      </c>
      <c r="M160" s="112">
        <v>26083</v>
      </c>
      <c r="N160" s="112">
        <v>48646</v>
      </c>
    </row>
    <row r="161" spans="1:14">
      <c r="A161" s="907"/>
      <c r="B161" s="353" t="s">
        <v>300</v>
      </c>
      <c r="C161" s="354">
        <v>36894</v>
      </c>
      <c r="D161" s="354">
        <v>40448</v>
      </c>
      <c r="E161" s="354">
        <v>77342</v>
      </c>
      <c r="F161" s="354">
        <v>5018</v>
      </c>
      <c r="G161" s="354">
        <v>5239</v>
      </c>
      <c r="H161" s="354">
        <v>10257</v>
      </c>
      <c r="I161" s="354">
        <v>556</v>
      </c>
      <c r="J161" s="354">
        <v>382</v>
      </c>
      <c r="K161" s="354">
        <v>938</v>
      </c>
      <c r="L161" s="354">
        <v>21472</v>
      </c>
      <c r="M161" s="354">
        <v>25478</v>
      </c>
      <c r="N161" s="354">
        <v>46950</v>
      </c>
    </row>
    <row r="162" spans="1:14">
      <c r="A162" s="907"/>
      <c r="B162" s="353" t="s">
        <v>299</v>
      </c>
      <c r="C162" s="114">
        <v>36093.884744531271</v>
      </c>
      <c r="D162" s="114">
        <v>36966.739775876173</v>
      </c>
      <c r="E162" s="114">
        <v>73060.624520407437</v>
      </c>
      <c r="F162" s="113">
        <v>4516</v>
      </c>
      <c r="G162" s="113">
        <v>4557</v>
      </c>
      <c r="H162" s="113">
        <v>9073</v>
      </c>
      <c r="I162" s="113">
        <v>659</v>
      </c>
      <c r="J162" s="113">
        <v>393</v>
      </c>
      <c r="K162" s="113">
        <v>1052</v>
      </c>
      <c r="L162" s="113">
        <v>19640</v>
      </c>
      <c r="M162" s="113">
        <v>22816</v>
      </c>
      <c r="N162" s="113">
        <v>42456</v>
      </c>
    </row>
    <row r="163" spans="1:14">
      <c r="A163" s="907"/>
      <c r="B163" s="359" t="s">
        <v>298</v>
      </c>
      <c r="C163" s="103">
        <v>33446</v>
      </c>
      <c r="D163" s="103">
        <v>33472</v>
      </c>
      <c r="E163" s="95">
        <v>66918</v>
      </c>
      <c r="F163" s="103">
        <v>4306</v>
      </c>
      <c r="G163" s="103">
        <v>4372</v>
      </c>
      <c r="H163" s="95">
        <v>8678</v>
      </c>
      <c r="I163" s="103">
        <v>532</v>
      </c>
      <c r="J163" s="103">
        <v>344</v>
      </c>
      <c r="K163" s="95">
        <v>876</v>
      </c>
      <c r="L163" s="103">
        <v>18223</v>
      </c>
      <c r="M163" s="103">
        <v>20621</v>
      </c>
      <c r="N163" s="95">
        <v>38844</v>
      </c>
    </row>
    <row r="164" spans="1:14">
      <c r="A164" s="907">
        <v>27</v>
      </c>
      <c r="B164" s="355" t="s">
        <v>41</v>
      </c>
      <c r="C164" s="356"/>
      <c r="D164" s="357"/>
      <c r="E164" s="357"/>
      <c r="F164" s="357"/>
      <c r="G164" s="357"/>
      <c r="H164" s="358"/>
      <c r="I164" s="356"/>
      <c r="J164" s="357"/>
      <c r="K164" s="357"/>
      <c r="L164" s="357"/>
      <c r="M164" s="357"/>
      <c r="N164" s="357"/>
    </row>
    <row r="165" spans="1:14">
      <c r="A165" s="907"/>
      <c r="B165" s="353" t="s">
        <v>997</v>
      </c>
      <c r="C165" s="354">
        <v>418244</v>
      </c>
      <c r="D165" s="354">
        <v>415091</v>
      </c>
      <c r="E165" s="354">
        <v>833335</v>
      </c>
      <c r="F165" s="354">
        <v>83203</v>
      </c>
      <c r="G165" s="354">
        <v>102784</v>
      </c>
      <c r="H165" s="354">
        <v>185987</v>
      </c>
      <c r="I165" s="354">
        <v>2946</v>
      </c>
      <c r="J165" s="354">
        <v>1975</v>
      </c>
      <c r="K165" s="354">
        <v>4921</v>
      </c>
      <c r="L165" s="354">
        <v>53023</v>
      </c>
      <c r="M165" s="354">
        <v>54386</v>
      </c>
      <c r="N165" s="354">
        <v>107409</v>
      </c>
    </row>
    <row r="166" spans="1:14">
      <c r="A166" s="907"/>
      <c r="B166" s="353" t="s">
        <v>301</v>
      </c>
      <c r="C166" s="112">
        <v>425331</v>
      </c>
      <c r="D166" s="112">
        <v>444132</v>
      </c>
      <c r="E166" s="112">
        <v>869463</v>
      </c>
      <c r="F166" s="112">
        <v>90941</v>
      </c>
      <c r="G166" s="112">
        <v>107929</v>
      </c>
      <c r="H166" s="112">
        <v>198870</v>
      </c>
      <c r="I166" s="112">
        <v>3075</v>
      </c>
      <c r="J166" s="112">
        <v>1942</v>
      </c>
      <c r="K166" s="112">
        <v>5017</v>
      </c>
      <c r="L166" s="112">
        <v>55729</v>
      </c>
      <c r="M166" s="112">
        <v>55521</v>
      </c>
      <c r="N166" s="112">
        <v>111250</v>
      </c>
    </row>
    <row r="167" spans="1:14">
      <c r="A167" s="907"/>
      <c r="B167" s="353" t="s">
        <v>300</v>
      </c>
      <c r="C167" s="354">
        <v>436730</v>
      </c>
      <c r="D167" s="354">
        <v>482846</v>
      </c>
      <c r="E167" s="354">
        <v>919576</v>
      </c>
      <c r="F167" s="354">
        <v>101143</v>
      </c>
      <c r="G167" s="354">
        <v>120175</v>
      </c>
      <c r="H167" s="354">
        <v>221318</v>
      </c>
      <c r="I167" s="354">
        <v>3586</v>
      </c>
      <c r="J167" s="354">
        <v>1712</v>
      </c>
      <c r="K167" s="354">
        <v>5298</v>
      </c>
      <c r="L167" s="354">
        <v>54022</v>
      </c>
      <c r="M167" s="354">
        <v>57855</v>
      </c>
      <c r="N167" s="354">
        <v>111877</v>
      </c>
    </row>
    <row r="168" spans="1:14">
      <c r="A168" s="907"/>
      <c r="B168" s="353" t="s">
        <v>299</v>
      </c>
      <c r="C168" s="114">
        <v>479105.54572265298</v>
      </c>
      <c r="D168" s="114">
        <v>480430.46887301886</v>
      </c>
      <c r="E168" s="114">
        <v>959536.01459567179</v>
      </c>
      <c r="F168" s="113">
        <v>111852</v>
      </c>
      <c r="G168" s="113">
        <v>115122</v>
      </c>
      <c r="H168" s="113">
        <v>226974</v>
      </c>
      <c r="I168" s="113">
        <v>4127</v>
      </c>
      <c r="J168" s="113">
        <v>2152</v>
      </c>
      <c r="K168" s="113">
        <v>6279</v>
      </c>
      <c r="L168" s="113">
        <v>51690</v>
      </c>
      <c r="M168" s="113">
        <v>49200</v>
      </c>
      <c r="N168" s="113">
        <v>100890</v>
      </c>
    </row>
    <row r="169" spans="1:14">
      <c r="A169" s="907"/>
      <c r="B169" s="359" t="s">
        <v>298</v>
      </c>
      <c r="C169" s="103">
        <v>472859</v>
      </c>
      <c r="D169" s="103">
        <v>444691</v>
      </c>
      <c r="E169" s="95">
        <v>917550</v>
      </c>
      <c r="F169" s="103">
        <v>112768</v>
      </c>
      <c r="G169" s="103">
        <v>106994</v>
      </c>
      <c r="H169" s="95">
        <v>219762</v>
      </c>
      <c r="I169" s="103">
        <v>3846</v>
      </c>
      <c r="J169" s="103">
        <v>1824</v>
      </c>
      <c r="K169" s="95">
        <v>5670</v>
      </c>
      <c r="L169" s="103">
        <v>50593</v>
      </c>
      <c r="M169" s="103">
        <v>44898</v>
      </c>
      <c r="N169" s="95">
        <v>95491</v>
      </c>
    </row>
    <row r="170" spans="1:14">
      <c r="A170" s="907">
        <v>28</v>
      </c>
      <c r="B170" s="355" t="s">
        <v>42</v>
      </c>
      <c r="C170" s="356"/>
      <c r="D170" s="357"/>
      <c r="E170" s="357"/>
      <c r="F170" s="357"/>
      <c r="G170" s="357"/>
      <c r="H170" s="358"/>
      <c r="I170" s="356"/>
      <c r="J170" s="357"/>
      <c r="K170" s="357"/>
      <c r="L170" s="357"/>
      <c r="M170" s="357"/>
      <c r="N170" s="357"/>
    </row>
    <row r="171" spans="1:14">
      <c r="A171" s="907"/>
      <c r="B171" s="353" t="s">
        <v>997</v>
      </c>
      <c r="C171" s="354">
        <v>1278304</v>
      </c>
      <c r="D171" s="354">
        <v>1154486</v>
      </c>
      <c r="E171" s="354">
        <v>2432790</v>
      </c>
      <c r="F171" s="354">
        <v>209453</v>
      </c>
      <c r="G171" s="354">
        <v>180795</v>
      </c>
      <c r="H171" s="354">
        <v>390248</v>
      </c>
      <c r="I171" s="354">
        <v>138517</v>
      </c>
      <c r="J171" s="354">
        <v>139281</v>
      </c>
      <c r="K171" s="354">
        <v>277798</v>
      </c>
      <c r="L171" s="354">
        <v>494833</v>
      </c>
      <c r="M171" s="354">
        <v>466248</v>
      </c>
      <c r="N171" s="354">
        <v>961081</v>
      </c>
    </row>
    <row r="172" spans="1:14">
      <c r="A172" s="907"/>
      <c r="B172" s="353" t="s">
        <v>301</v>
      </c>
      <c r="C172" s="112">
        <v>1151186</v>
      </c>
      <c r="D172" s="112">
        <v>1055331</v>
      </c>
      <c r="E172" s="112">
        <v>2206517</v>
      </c>
      <c r="F172" s="112">
        <v>186353</v>
      </c>
      <c r="G172" s="112">
        <v>165088</v>
      </c>
      <c r="H172" s="112">
        <v>351441</v>
      </c>
      <c r="I172" s="112">
        <v>128038</v>
      </c>
      <c r="J172" s="112">
        <v>125991</v>
      </c>
      <c r="K172" s="112">
        <v>254029</v>
      </c>
      <c r="L172" s="112">
        <v>453177</v>
      </c>
      <c r="M172" s="112">
        <v>446822</v>
      </c>
      <c r="N172" s="112">
        <v>899999</v>
      </c>
    </row>
    <row r="173" spans="1:14">
      <c r="A173" s="907"/>
      <c r="B173" s="353" t="s">
        <v>300</v>
      </c>
      <c r="C173" s="354">
        <v>1082466</v>
      </c>
      <c r="D173" s="354">
        <v>1001947</v>
      </c>
      <c r="E173" s="354">
        <v>2084413</v>
      </c>
      <c r="F173" s="354">
        <v>180245</v>
      </c>
      <c r="G173" s="354">
        <v>150924</v>
      </c>
      <c r="H173" s="354">
        <v>331169</v>
      </c>
      <c r="I173" s="354">
        <v>128628</v>
      </c>
      <c r="J173" s="354">
        <v>117238</v>
      </c>
      <c r="K173" s="354">
        <v>245866</v>
      </c>
      <c r="L173" s="354">
        <v>433092</v>
      </c>
      <c r="M173" s="354">
        <v>427045</v>
      </c>
      <c r="N173" s="354">
        <v>860137</v>
      </c>
    </row>
    <row r="174" spans="1:14">
      <c r="A174" s="907"/>
      <c r="B174" s="353" t="s">
        <v>299</v>
      </c>
      <c r="C174" s="114">
        <v>1054510.6907381921</v>
      </c>
      <c r="D174" s="114">
        <v>881693.30864711315</v>
      </c>
      <c r="E174" s="114">
        <v>1936203.9993853052</v>
      </c>
      <c r="F174" s="113">
        <v>157680</v>
      </c>
      <c r="G174" s="113">
        <v>124975</v>
      </c>
      <c r="H174" s="113">
        <v>282655</v>
      </c>
      <c r="I174" s="113">
        <v>113959</v>
      </c>
      <c r="J174" s="113">
        <v>97354</v>
      </c>
      <c r="K174" s="113">
        <v>211313</v>
      </c>
      <c r="L174" s="113">
        <v>399405</v>
      </c>
      <c r="M174" s="113">
        <v>365738</v>
      </c>
      <c r="N174" s="113">
        <v>765143</v>
      </c>
    </row>
    <row r="175" spans="1:14">
      <c r="A175" s="907"/>
      <c r="B175" s="359" t="s">
        <v>298</v>
      </c>
      <c r="C175" s="103">
        <v>994972</v>
      </c>
      <c r="D175" s="103">
        <v>813479</v>
      </c>
      <c r="E175" s="95">
        <v>1808451</v>
      </c>
      <c r="F175" s="103">
        <v>149102</v>
      </c>
      <c r="G175" s="103">
        <v>110755</v>
      </c>
      <c r="H175" s="95">
        <v>259857</v>
      </c>
      <c r="I175" s="103">
        <v>111189</v>
      </c>
      <c r="J175" s="103">
        <v>90316</v>
      </c>
      <c r="K175" s="95">
        <v>201505</v>
      </c>
      <c r="L175" s="103">
        <v>385913</v>
      </c>
      <c r="M175" s="103">
        <v>335298</v>
      </c>
      <c r="N175" s="95">
        <v>721211</v>
      </c>
    </row>
    <row r="176" spans="1:14">
      <c r="A176" s="907">
        <v>29</v>
      </c>
      <c r="B176" s="355" t="s">
        <v>43</v>
      </c>
      <c r="C176" s="356"/>
      <c r="D176" s="357"/>
      <c r="E176" s="357"/>
      <c r="F176" s="357"/>
      <c r="G176" s="357"/>
      <c r="H176" s="358"/>
      <c r="I176" s="356"/>
      <c r="J176" s="357"/>
      <c r="K176" s="357"/>
      <c r="L176" s="357"/>
      <c r="M176" s="357"/>
      <c r="N176" s="357"/>
    </row>
    <row r="177" spans="1:14">
      <c r="A177" s="907"/>
      <c r="B177" s="353" t="s">
        <v>997</v>
      </c>
      <c r="C177" s="354">
        <v>16707</v>
      </c>
      <c r="D177" s="354">
        <v>18067</v>
      </c>
      <c r="E177" s="354">
        <v>34774</v>
      </c>
      <c r="F177" s="354">
        <v>858</v>
      </c>
      <c r="G177" s="354">
        <v>774</v>
      </c>
      <c r="H177" s="354">
        <v>1632</v>
      </c>
      <c r="I177" s="354">
        <v>4209</v>
      </c>
      <c r="J177" s="354">
        <v>5899</v>
      </c>
      <c r="K177" s="354">
        <v>10108</v>
      </c>
      <c r="L177" s="354">
        <v>3759</v>
      </c>
      <c r="M177" s="354">
        <v>5060</v>
      </c>
      <c r="N177" s="354">
        <v>8819</v>
      </c>
    </row>
    <row r="178" spans="1:14">
      <c r="A178" s="907"/>
      <c r="B178" s="353" t="s">
        <v>301</v>
      </c>
      <c r="C178" s="112">
        <v>33049</v>
      </c>
      <c r="D178" s="112">
        <v>25022</v>
      </c>
      <c r="E178" s="112">
        <v>58071</v>
      </c>
      <c r="F178" s="112">
        <v>681</v>
      </c>
      <c r="G178" s="112">
        <v>621</v>
      </c>
      <c r="H178" s="112">
        <v>1302</v>
      </c>
      <c r="I178" s="112">
        <v>3586</v>
      </c>
      <c r="J178" s="112">
        <v>5423</v>
      </c>
      <c r="K178" s="112">
        <v>9009</v>
      </c>
      <c r="L178" s="112">
        <v>3274</v>
      </c>
      <c r="M178" s="112">
        <v>4187</v>
      </c>
      <c r="N178" s="112">
        <v>7461</v>
      </c>
    </row>
    <row r="179" spans="1:14">
      <c r="A179" s="907"/>
      <c r="B179" s="353" t="s">
        <v>300</v>
      </c>
      <c r="C179" s="354">
        <v>21489</v>
      </c>
      <c r="D179" s="354">
        <v>20083</v>
      </c>
      <c r="E179" s="354">
        <v>41572</v>
      </c>
      <c r="F179" s="354">
        <v>733</v>
      </c>
      <c r="G179" s="354">
        <v>627</v>
      </c>
      <c r="H179" s="354">
        <v>1360</v>
      </c>
      <c r="I179" s="354">
        <v>3454</v>
      </c>
      <c r="J179" s="354">
        <v>5315</v>
      </c>
      <c r="K179" s="354">
        <v>8769</v>
      </c>
      <c r="L179" s="354">
        <v>3006</v>
      </c>
      <c r="M179" s="354">
        <v>3767</v>
      </c>
      <c r="N179" s="354">
        <v>6773</v>
      </c>
    </row>
    <row r="180" spans="1:14">
      <c r="A180" s="907"/>
      <c r="B180" s="353" t="s">
        <v>299</v>
      </c>
      <c r="C180" s="114">
        <v>13587.796108021475</v>
      </c>
      <c r="D180" s="114">
        <v>15412.579037678461</v>
      </c>
      <c r="E180" s="114">
        <v>29000.375145699938</v>
      </c>
      <c r="F180" s="113">
        <v>683</v>
      </c>
      <c r="G180" s="113">
        <v>528</v>
      </c>
      <c r="H180" s="113">
        <v>1211</v>
      </c>
      <c r="I180" s="113">
        <v>3776</v>
      </c>
      <c r="J180" s="113">
        <v>5058</v>
      </c>
      <c r="K180" s="113">
        <v>8834</v>
      </c>
      <c r="L180" s="113">
        <v>3362</v>
      </c>
      <c r="M180" s="113">
        <v>3653</v>
      </c>
      <c r="N180" s="113">
        <v>7015</v>
      </c>
    </row>
    <row r="181" spans="1:14">
      <c r="A181" s="907"/>
      <c r="B181" s="359" t="s">
        <v>298</v>
      </c>
      <c r="C181" s="103">
        <v>13695</v>
      </c>
      <c r="D181" s="103">
        <v>15415</v>
      </c>
      <c r="E181" s="95">
        <v>29110</v>
      </c>
      <c r="F181" s="103">
        <v>506</v>
      </c>
      <c r="G181" s="103">
        <v>485</v>
      </c>
      <c r="H181" s="95">
        <v>991</v>
      </c>
      <c r="I181" s="103">
        <v>2747</v>
      </c>
      <c r="J181" s="103">
        <v>4271</v>
      </c>
      <c r="K181" s="95">
        <v>7018</v>
      </c>
      <c r="L181" s="103">
        <v>2249</v>
      </c>
      <c r="M181" s="103">
        <v>2998</v>
      </c>
      <c r="N181" s="95">
        <v>5247</v>
      </c>
    </row>
    <row r="182" spans="1:14">
      <c r="A182" s="907">
        <v>30</v>
      </c>
      <c r="B182" s="355" t="s">
        <v>44</v>
      </c>
      <c r="C182" s="356"/>
      <c r="D182" s="357"/>
      <c r="E182" s="357"/>
      <c r="F182" s="357"/>
      <c r="G182" s="357"/>
      <c r="H182" s="358"/>
      <c r="I182" s="356"/>
      <c r="J182" s="357"/>
      <c r="K182" s="357"/>
      <c r="L182" s="357"/>
      <c r="M182" s="357"/>
      <c r="N182" s="357"/>
    </row>
    <row r="183" spans="1:14">
      <c r="A183" s="907"/>
      <c r="B183" s="353" t="s">
        <v>997</v>
      </c>
      <c r="C183" s="354">
        <v>1662153</v>
      </c>
      <c r="D183" s="354">
        <v>1674286</v>
      </c>
      <c r="E183" s="354">
        <v>3336439</v>
      </c>
      <c r="F183" s="354">
        <v>275101</v>
      </c>
      <c r="G183" s="354">
        <v>297976</v>
      </c>
      <c r="H183" s="354">
        <v>573077</v>
      </c>
      <c r="I183" s="354">
        <v>17434</v>
      </c>
      <c r="J183" s="354">
        <v>15418</v>
      </c>
      <c r="K183" s="354">
        <v>32852</v>
      </c>
      <c r="L183" s="354">
        <v>963357</v>
      </c>
      <c r="M183" s="354">
        <v>972604</v>
      </c>
      <c r="N183" s="354">
        <v>1935961</v>
      </c>
    </row>
    <row r="184" spans="1:14">
      <c r="A184" s="907"/>
      <c r="B184" s="353" t="s">
        <v>301</v>
      </c>
      <c r="C184" s="112">
        <v>1778186</v>
      </c>
      <c r="D184" s="112">
        <v>1742125</v>
      </c>
      <c r="E184" s="112">
        <v>3520311</v>
      </c>
      <c r="F184" s="112">
        <v>298278</v>
      </c>
      <c r="G184" s="112">
        <v>315606</v>
      </c>
      <c r="H184" s="112">
        <v>613884</v>
      </c>
      <c r="I184" s="112">
        <v>17240</v>
      </c>
      <c r="J184" s="112">
        <v>15526</v>
      </c>
      <c r="K184" s="112">
        <v>32766</v>
      </c>
      <c r="L184" s="112">
        <v>1074844</v>
      </c>
      <c r="M184" s="112">
        <v>1070143</v>
      </c>
      <c r="N184" s="112">
        <v>2144987</v>
      </c>
    </row>
    <row r="185" spans="1:14">
      <c r="A185" s="907"/>
      <c r="B185" s="353" t="s">
        <v>300</v>
      </c>
      <c r="C185" s="354">
        <v>1736870</v>
      </c>
      <c r="D185" s="354">
        <v>1677326</v>
      </c>
      <c r="E185" s="354">
        <v>3414196</v>
      </c>
      <c r="F185" s="354">
        <v>313465</v>
      </c>
      <c r="G185" s="354">
        <v>321401</v>
      </c>
      <c r="H185" s="354">
        <v>634866</v>
      </c>
      <c r="I185" s="354">
        <v>16785</v>
      </c>
      <c r="J185" s="354">
        <v>13223</v>
      </c>
      <c r="K185" s="354">
        <v>30008</v>
      </c>
      <c r="L185" s="354">
        <v>1055823</v>
      </c>
      <c r="M185" s="354">
        <v>1065035</v>
      </c>
      <c r="N185" s="354">
        <v>2120858</v>
      </c>
    </row>
    <row r="186" spans="1:14">
      <c r="A186" s="907"/>
      <c r="B186" s="353" t="s">
        <v>299</v>
      </c>
      <c r="C186" s="114">
        <v>1739314.9305518656</v>
      </c>
      <c r="D186" s="114">
        <v>1701630.0150544094</v>
      </c>
      <c r="E186" s="114">
        <v>3440944.945606275</v>
      </c>
      <c r="F186" s="113">
        <v>320758</v>
      </c>
      <c r="G186" s="113">
        <v>333042</v>
      </c>
      <c r="H186" s="113">
        <v>653800</v>
      </c>
      <c r="I186" s="113">
        <v>17983</v>
      </c>
      <c r="J186" s="113">
        <v>14685</v>
      </c>
      <c r="K186" s="113">
        <v>32668</v>
      </c>
      <c r="L186" s="113">
        <v>1028743</v>
      </c>
      <c r="M186" s="113">
        <v>1047790</v>
      </c>
      <c r="N186" s="113">
        <v>2076533</v>
      </c>
    </row>
    <row r="187" spans="1:14">
      <c r="A187" s="907"/>
      <c r="B187" s="359" t="s">
        <v>298</v>
      </c>
      <c r="C187" s="103">
        <v>1735536</v>
      </c>
      <c r="D187" s="103">
        <v>1635815</v>
      </c>
      <c r="E187" s="95">
        <v>3371351</v>
      </c>
      <c r="F187" s="103">
        <v>300930</v>
      </c>
      <c r="G187" s="103">
        <v>302856</v>
      </c>
      <c r="H187" s="95">
        <v>603786</v>
      </c>
      <c r="I187" s="103">
        <v>17870</v>
      </c>
      <c r="J187" s="103">
        <v>11607</v>
      </c>
      <c r="K187" s="95">
        <v>29477</v>
      </c>
      <c r="L187" s="103">
        <v>971613</v>
      </c>
      <c r="M187" s="103">
        <v>968220</v>
      </c>
      <c r="N187" s="95">
        <v>1939833</v>
      </c>
    </row>
    <row r="188" spans="1:14">
      <c r="A188" s="907">
        <v>31</v>
      </c>
      <c r="B188" s="355" t="s">
        <v>142</v>
      </c>
      <c r="C188" s="356"/>
      <c r="D188" s="357"/>
      <c r="E188" s="357"/>
      <c r="F188" s="357"/>
      <c r="G188" s="357"/>
      <c r="H188" s="358"/>
      <c r="I188" s="356"/>
      <c r="J188" s="357"/>
      <c r="K188" s="357"/>
      <c r="L188" s="357"/>
      <c r="M188" s="357"/>
      <c r="N188" s="357"/>
    </row>
    <row r="189" spans="1:14">
      <c r="A189" s="907"/>
      <c r="B189" s="353" t="s">
        <v>997</v>
      </c>
      <c r="C189" s="354">
        <v>775309</v>
      </c>
      <c r="D189" s="354">
        <v>798477</v>
      </c>
      <c r="E189" s="354">
        <v>1573786</v>
      </c>
      <c r="F189" s="354">
        <v>107016</v>
      </c>
      <c r="G189" s="354">
        <v>124337</v>
      </c>
      <c r="H189" s="354">
        <v>231353</v>
      </c>
      <c r="I189" s="354">
        <v>63453</v>
      </c>
      <c r="J189" s="354">
        <v>59454</v>
      </c>
      <c r="K189" s="354">
        <v>122907</v>
      </c>
      <c r="L189" s="354">
        <v>328401</v>
      </c>
      <c r="M189" s="354">
        <v>335695</v>
      </c>
      <c r="N189" s="354">
        <v>664096</v>
      </c>
    </row>
    <row r="190" spans="1:14">
      <c r="A190" s="907"/>
      <c r="B190" s="353" t="s">
        <v>301</v>
      </c>
      <c r="C190" s="112">
        <v>672768</v>
      </c>
      <c r="D190" s="112">
        <v>716840</v>
      </c>
      <c r="E190" s="112">
        <v>1389608</v>
      </c>
      <c r="F190" s="112">
        <v>93804</v>
      </c>
      <c r="G190" s="112">
        <v>115713</v>
      </c>
      <c r="H190" s="112">
        <v>209517</v>
      </c>
      <c r="I190" s="112">
        <v>55494</v>
      </c>
      <c r="J190" s="112">
        <v>53143</v>
      </c>
      <c r="K190" s="112">
        <v>108637</v>
      </c>
      <c r="L190" s="112">
        <v>301585</v>
      </c>
      <c r="M190" s="112">
        <v>325657</v>
      </c>
      <c r="N190" s="112">
        <v>627242</v>
      </c>
    </row>
    <row r="191" spans="1:14">
      <c r="A191" s="907"/>
      <c r="B191" s="353" t="s">
        <v>300</v>
      </c>
      <c r="C191" s="354">
        <v>701229</v>
      </c>
      <c r="D191" s="354">
        <v>725232</v>
      </c>
      <c r="E191" s="354">
        <v>1426461</v>
      </c>
      <c r="F191" s="354">
        <v>98325</v>
      </c>
      <c r="G191" s="354">
        <v>117289</v>
      </c>
      <c r="H191" s="354">
        <v>215614</v>
      </c>
      <c r="I191" s="354">
        <v>57323</v>
      </c>
      <c r="J191" s="354">
        <v>52326</v>
      </c>
      <c r="K191" s="354">
        <v>109649</v>
      </c>
      <c r="L191" s="354">
        <v>315118</v>
      </c>
      <c r="M191" s="354">
        <v>325599</v>
      </c>
      <c r="N191" s="354">
        <v>640717</v>
      </c>
    </row>
    <row r="192" spans="1:14">
      <c r="A192" s="907"/>
      <c r="B192" s="353" t="s">
        <v>299</v>
      </c>
      <c r="C192" s="114">
        <v>735332.64192842308</v>
      </c>
      <c r="D192" s="114">
        <v>683974.35791417153</v>
      </c>
      <c r="E192" s="113">
        <v>1419306.9998425946</v>
      </c>
      <c r="F192" s="113">
        <v>98460</v>
      </c>
      <c r="G192" s="113">
        <v>105291</v>
      </c>
      <c r="H192" s="113">
        <v>203751</v>
      </c>
      <c r="I192" s="113">
        <v>57272</v>
      </c>
      <c r="J192" s="113">
        <v>48788</v>
      </c>
      <c r="K192" s="113">
        <v>106060</v>
      </c>
      <c r="L192" s="113">
        <v>303989</v>
      </c>
      <c r="M192" s="113">
        <v>292255</v>
      </c>
      <c r="N192" s="113">
        <v>596244</v>
      </c>
    </row>
    <row r="193" spans="1:14">
      <c r="A193" s="907"/>
      <c r="B193" s="359" t="s">
        <v>298</v>
      </c>
      <c r="C193" s="103">
        <v>761253</v>
      </c>
      <c r="D193" s="103">
        <v>677484</v>
      </c>
      <c r="E193" s="95">
        <v>1438737</v>
      </c>
      <c r="F193" s="103">
        <v>113639</v>
      </c>
      <c r="G193" s="103">
        <v>108816</v>
      </c>
      <c r="H193" s="95">
        <v>222455</v>
      </c>
      <c r="I193" s="103">
        <v>66739</v>
      </c>
      <c r="J193" s="103">
        <v>52284</v>
      </c>
      <c r="K193" s="95">
        <v>119023</v>
      </c>
      <c r="L193" s="103">
        <v>344121</v>
      </c>
      <c r="M193" s="103">
        <v>298693</v>
      </c>
      <c r="N193" s="95">
        <v>642814</v>
      </c>
    </row>
    <row r="194" spans="1:14" ht="28">
      <c r="A194" s="907">
        <v>32</v>
      </c>
      <c r="B194" s="360" t="s">
        <v>173</v>
      </c>
      <c r="C194" s="266"/>
      <c r="D194" s="265"/>
      <c r="E194" s="264"/>
      <c r="F194" s="265"/>
      <c r="G194" s="265"/>
      <c r="H194" s="267"/>
      <c r="I194" s="266"/>
      <c r="J194" s="265"/>
      <c r="K194" s="264"/>
      <c r="L194" s="265"/>
      <c r="M194" s="265"/>
      <c r="N194" s="264"/>
    </row>
    <row r="195" spans="1:14">
      <c r="A195" s="907"/>
      <c r="B195" s="361" t="s">
        <v>997</v>
      </c>
      <c r="C195" s="263">
        <v>5948</v>
      </c>
      <c r="D195" s="263">
        <v>5622</v>
      </c>
      <c r="E195" s="262">
        <v>11570</v>
      </c>
      <c r="F195" s="263">
        <v>231</v>
      </c>
      <c r="G195" s="263">
        <v>251</v>
      </c>
      <c r="H195" s="262">
        <v>482</v>
      </c>
      <c r="I195" s="263">
        <v>816</v>
      </c>
      <c r="J195" s="263">
        <v>1056</v>
      </c>
      <c r="K195" s="262">
        <v>1872</v>
      </c>
      <c r="L195" s="263">
        <v>832</v>
      </c>
      <c r="M195" s="263">
        <v>1035</v>
      </c>
      <c r="N195" s="262">
        <v>1867</v>
      </c>
    </row>
    <row r="196" spans="1:14">
      <c r="A196" s="907"/>
      <c r="B196" s="362" t="s">
        <v>301</v>
      </c>
      <c r="C196" s="265">
        <v>5320</v>
      </c>
      <c r="D196" s="265">
        <v>5005</v>
      </c>
      <c r="E196" s="264">
        <v>10325</v>
      </c>
      <c r="F196" s="265">
        <v>201</v>
      </c>
      <c r="G196" s="265">
        <v>233</v>
      </c>
      <c r="H196" s="264">
        <v>434</v>
      </c>
      <c r="I196" s="265">
        <v>721</v>
      </c>
      <c r="J196" s="265">
        <v>998</v>
      </c>
      <c r="K196" s="264">
        <v>1719</v>
      </c>
      <c r="L196" s="265">
        <v>951</v>
      </c>
      <c r="M196" s="265">
        <v>943</v>
      </c>
      <c r="N196" s="267">
        <v>1894</v>
      </c>
    </row>
    <row r="197" spans="1:14">
      <c r="A197" s="907"/>
      <c r="B197" s="362" t="s">
        <v>300</v>
      </c>
      <c r="C197" s="265">
        <v>4994</v>
      </c>
      <c r="D197" s="265">
        <v>4511</v>
      </c>
      <c r="E197" s="264">
        <v>9505</v>
      </c>
      <c r="F197" s="265">
        <v>186</v>
      </c>
      <c r="G197" s="265">
        <v>214</v>
      </c>
      <c r="H197" s="264">
        <v>400</v>
      </c>
      <c r="I197" s="265">
        <v>785</v>
      </c>
      <c r="J197" s="265">
        <v>917</v>
      </c>
      <c r="K197" s="264">
        <v>1702</v>
      </c>
      <c r="L197" s="265">
        <v>813</v>
      </c>
      <c r="M197" s="265">
        <v>837</v>
      </c>
      <c r="N197" s="267">
        <v>1650</v>
      </c>
    </row>
    <row r="198" spans="1:14">
      <c r="A198" s="907"/>
      <c r="B198" s="362" t="s">
        <v>299</v>
      </c>
      <c r="C198" s="265">
        <v>4658</v>
      </c>
      <c r="D198" s="265">
        <v>4208</v>
      </c>
      <c r="E198" s="264">
        <v>8866</v>
      </c>
      <c r="F198" s="265">
        <v>205</v>
      </c>
      <c r="G198" s="265">
        <v>232</v>
      </c>
      <c r="H198" s="264">
        <v>437</v>
      </c>
      <c r="I198" s="265">
        <v>815</v>
      </c>
      <c r="J198" s="265">
        <v>912</v>
      </c>
      <c r="K198" s="264">
        <v>1727</v>
      </c>
      <c r="L198" s="265">
        <v>757</v>
      </c>
      <c r="M198" s="265">
        <v>726</v>
      </c>
      <c r="N198" s="267">
        <v>1483</v>
      </c>
    </row>
    <row r="199" spans="1:14">
      <c r="A199" s="907"/>
      <c r="B199" s="362" t="s">
        <v>298</v>
      </c>
      <c r="C199" s="265">
        <v>4852</v>
      </c>
      <c r="D199" s="265">
        <v>3893</v>
      </c>
      <c r="E199" s="264">
        <v>8745</v>
      </c>
      <c r="F199" s="265">
        <v>188</v>
      </c>
      <c r="G199" s="265">
        <v>251</v>
      </c>
      <c r="H199" s="264">
        <v>439</v>
      </c>
      <c r="I199" s="265">
        <v>960</v>
      </c>
      <c r="J199" s="265">
        <v>853</v>
      </c>
      <c r="K199" s="264">
        <v>1813</v>
      </c>
      <c r="L199" s="265">
        <v>814</v>
      </c>
      <c r="M199" s="265">
        <v>649</v>
      </c>
      <c r="N199" s="267">
        <v>1463</v>
      </c>
    </row>
    <row r="200" spans="1:14">
      <c r="A200" s="907">
        <v>33</v>
      </c>
      <c r="B200" s="363" t="s">
        <v>45</v>
      </c>
      <c r="C200" s="364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5"/>
    </row>
    <row r="201" spans="1:14">
      <c r="A201" s="907"/>
      <c r="B201" s="359" t="s">
        <v>997</v>
      </c>
      <c r="C201" s="366">
        <v>48428</v>
      </c>
      <c r="D201" s="366">
        <v>44232</v>
      </c>
      <c r="E201" s="366">
        <v>92660</v>
      </c>
      <c r="F201" s="366">
        <v>7955</v>
      </c>
      <c r="G201" s="366">
        <v>7047</v>
      </c>
      <c r="H201" s="366">
        <v>15002</v>
      </c>
      <c r="I201" s="366">
        <v>10610</v>
      </c>
      <c r="J201" s="366">
        <v>10115</v>
      </c>
      <c r="K201" s="366">
        <v>20725</v>
      </c>
      <c r="L201" s="366">
        <v>8261</v>
      </c>
      <c r="M201" s="366">
        <v>7359</v>
      </c>
      <c r="N201" s="366">
        <v>15620</v>
      </c>
    </row>
    <row r="202" spans="1:14">
      <c r="A202" s="907"/>
      <c r="B202" s="353" t="s">
        <v>301</v>
      </c>
      <c r="C202" s="112">
        <v>47031</v>
      </c>
      <c r="D202" s="112">
        <v>39216</v>
      </c>
      <c r="E202" s="112">
        <v>86247</v>
      </c>
      <c r="F202" s="112">
        <v>8074</v>
      </c>
      <c r="G202" s="112">
        <v>6042</v>
      </c>
      <c r="H202" s="112">
        <v>14116</v>
      </c>
      <c r="I202" s="112">
        <v>10290</v>
      </c>
      <c r="J202" s="112">
        <v>7996</v>
      </c>
      <c r="K202" s="112">
        <v>18286</v>
      </c>
      <c r="L202" s="112">
        <v>8592</v>
      </c>
      <c r="M202" s="112">
        <v>6700</v>
      </c>
      <c r="N202" s="112">
        <v>15292</v>
      </c>
    </row>
    <row r="203" spans="1:14">
      <c r="A203" s="907"/>
      <c r="B203" s="353" t="s">
        <v>300</v>
      </c>
      <c r="C203" s="354">
        <v>44456</v>
      </c>
      <c r="D203" s="354">
        <v>38247</v>
      </c>
      <c r="E203" s="354">
        <v>82703</v>
      </c>
      <c r="F203" s="354">
        <v>7857</v>
      </c>
      <c r="G203" s="354">
        <v>6325</v>
      </c>
      <c r="H203" s="354">
        <v>14182</v>
      </c>
      <c r="I203" s="354">
        <v>10469</v>
      </c>
      <c r="J203" s="354">
        <v>9157</v>
      </c>
      <c r="K203" s="354">
        <v>19626</v>
      </c>
      <c r="L203" s="354">
        <v>8158</v>
      </c>
      <c r="M203" s="354">
        <v>6228</v>
      </c>
      <c r="N203" s="354">
        <v>14386</v>
      </c>
    </row>
    <row r="204" spans="1:14">
      <c r="A204" s="907"/>
      <c r="B204" s="353" t="s">
        <v>299</v>
      </c>
      <c r="C204" s="114">
        <v>50246.622023635464</v>
      </c>
      <c r="D204" s="114">
        <v>41434.769670053822</v>
      </c>
      <c r="E204" s="114">
        <v>91681.391693689278</v>
      </c>
      <c r="F204" s="113">
        <v>8319</v>
      </c>
      <c r="G204" s="113">
        <v>6627</v>
      </c>
      <c r="H204" s="113">
        <v>14946</v>
      </c>
      <c r="I204" s="113">
        <v>10813</v>
      </c>
      <c r="J204" s="113">
        <v>8741</v>
      </c>
      <c r="K204" s="113">
        <v>19554</v>
      </c>
      <c r="L204" s="113">
        <v>8375</v>
      </c>
      <c r="M204" s="113">
        <v>6190</v>
      </c>
      <c r="N204" s="113">
        <v>14565</v>
      </c>
    </row>
    <row r="205" spans="1:14">
      <c r="A205" s="907"/>
      <c r="B205" s="359" t="s">
        <v>298</v>
      </c>
      <c r="C205" s="103">
        <v>45848</v>
      </c>
      <c r="D205" s="103">
        <v>37396</v>
      </c>
      <c r="E205" s="95">
        <v>83244</v>
      </c>
      <c r="F205" s="103">
        <v>8492</v>
      </c>
      <c r="G205" s="103">
        <v>6301</v>
      </c>
      <c r="H205" s="95">
        <v>14793</v>
      </c>
      <c r="I205" s="103">
        <v>10136</v>
      </c>
      <c r="J205" s="103">
        <v>9246</v>
      </c>
      <c r="K205" s="95">
        <v>19382</v>
      </c>
      <c r="L205" s="103">
        <v>7912</v>
      </c>
      <c r="M205" s="103">
        <v>6203</v>
      </c>
      <c r="N205" s="95">
        <v>14115</v>
      </c>
    </row>
    <row r="206" spans="1:14">
      <c r="A206" s="907">
        <v>34</v>
      </c>
      <c r="B206" s="355" t="s">
        <v>47</v>
      </c>
      <c r="C206" s="356"/>
      <c r="D206" s="357"/>
      <c r="E206" s="357"/>
      <c r="F206" s="357"/>
      <c r="G206" s="357"/>
      <c r="H206" s="358"/>
      <c r="I206" s="356"/>
      <c r="J206" s="357"/>
      <c r="K206" s="357"/>
      <c r="L206" s="357"/>
      <c r="M206" s="357"/>
      <c r="N206" s="357"/>
    </row>
    <row r="207" spans="1:14">
      <c r="A207" s="907"/>
      <c r="B207" s="353" t="s">
        <v>997</v>
      </c>
      <c r="C207" s="354">
        <v>3397012</v>
      </c>
      <c r="D207" s="354">
        <v>3254055</v>
      </c>
      <c r="E207" s="354">
        <v>6651067</v>
      </c>
      <c r="F207" s="354">
        <v>575597</v>
      </c>
      <c r="G207" s="354">
        <v>580871</v>
      </c>
      <c r="H207" s="354">
        <v>1156468</v>
      </c>
      <c r="I207" s="354">
        <v>29258</v>
      </c>
      <c r="J207" s="354">
        <v>32098</v>
      </c>
      <c r="K207" s="354">
        <v>61356</v>
      </c>
      <c r="L207" s="354">
        <v>1289890</v>
      </c>
      <c r="M207" s="354">
        <v>1317920</v>
      </c>
      <c r="N207" s="354">
        <v>2607810</v>
      </c>
    </row>
    <row r="208" spans="1:14">
      <c r="A208" s="907"/>
      <c r="B208" s="353" t="s">
        <v>301</v>
      </c>
      <c r="C208" s="112">
        <v>3136650</v>
      </c>
      <c r="D208" s="112">
        <v>3251564</v>
      </c>
      <c r="E208" s="112">
        <v>6388214</v>
      </c>
      <c r="F208" s="112">
        <v>574191</v>
      </c>
      <c r="G208" s="112">
        <v>604607</v>
      </c>
      <c r="H208" s="112">
        <v>1178798</v>
      </c>
      <c r="I208" s="112">
        <v>24177</v>
      </c>
      <c r="J208" s="112">
        <v>25358</v>
      </c>
      <c r="K208" s="112">
        <v>49535</v>
      </c>
      <c r="L208" s="112">
        <v>1235540</v>
      </c>
      <c r="M208" s="112">
        <v>1353980</v>
      </c>
      <c r="N208" s="112">
        <v>2589520</v>
      </c>
    </row>
    <row r="209" spans="1:14">
      <c r="A209" s="907"/>
      <c r="B209" s="353" t="s">
        <v>300</v>
      </c>
      <c r="C209" s="354">
        <v>3189520</v>
      </c>
      <c r="D209" s="354">
        <v>3279847</v>
      </c>
      <c r="E209" s="354">
        <v>6469367</v>
      </c>
      <c r="F209" s="354">
        <v>588721</v>
      </c>
      <c r="G209" s="354">
        <v>620749</v>
      </c>
      <c r="H209" s="354">
        <v>1209470</v>
      </c>
      <c r="I209" s="354">
        <v>27600</v>
      </c>
      <c r="J209" s="354">
        <v>27093</v>
      </c>
      <c r="K209" s="354">
        <v>54693</v>
      </c>
      <c r="L209" s="354">
        <v>1218268</v>
      </c>
      <c r="M209" s="354">
        <v>1343327</v>
      </c>
      <c r="N209" s="354">
        <v>2561595</v>
      </c>
    </row>
    <row r="210" spans="1:14">
      <c r="A210" s="907"/>
      <c r="B210" s="353" t="s">
        <v>299</v>
      </c>
      <c r="C210" s="114">
        <v>3308314.4568722048</v>
      </c>
      <c r="D210" s="114">
        <v>3147060.9357756707</v>
      </c>
      <c r="E210" s="114">
        <v>6455375.3926478755</v>
      </c>
      <c r="F210" s="113">
        <v>564918</v>
      </c>
      <c r="G210" s="113">
        <v>521644</v>
      </c>
      <c r="H210" s="113">
        <v>1086562</v>
      </c>
      <c r="I210" s="113">
        <v>24251</v>
      </c>
      <c r="J210" s="113">
        <v>21085</v>
      </c>
      <c r="K210" s="113">
        <v>45336</v>
      </c>
      <c r="L210" s="113">
        <v>1206321</v>
      </c>
      <c r="M210" s="113">
        <v>1158172</v>
      </c>
      <c r="N210" s="113">
        <v>2364493</v>
      </c>
    </row>
    <row r="211" spans="1:14">
      <c r="A211" s="907"/>
      <c r="B211" s="359" t="s">
        <v>298</v>
      </c>
      <c r="C211" s="103">
        <v>3220457</v>
      </c>
      <c r="D211" s="103">
        <v>2937514</v>
      </c>
      <c r="E211" s="95">
        <v>6157971</v>
      </c>
      <c r="F211" s="103">
        <v>556471</v>
      </c>
      <c r="G211" s="103">
        <v>488689</v>
      </c>
      <c r="H211" s="95">
        <v>1045160</v>
      </c>
      <c r="I211" s="103">
        <v>23985</v>
      </c>
      <c r="J211" s="103">
        <v>18069</v>
      </c>
      <c r="K211" s="95">
        <v>42054</v>
      </c>
      <c r="L211" s="103">
        <v>1186310</v>
      </c>
      <c r="M211" s="103">
        <v>1101681</v>
      </c>
      <c r="N211" s="95">
        <v>2287991</v>
      </c>
    </row>
    <row r="212" spans="1:14">
      <c r="A212" s="907">
        <v>35</v>
      </c>
      <c r="B212" s="355" t="s">
        <v>46</v>
      </c>
      <c r="C212" s="356"/>
      <c r="D212" s="357"/>
      <c r="E212" s="357"/>
      <c r="F212" s="357"/>
      <c r="G212" s="357"/>
      <c r="H212" s="358"/>
      <c r="I212" s="356"/>
      <c r="J212" s="357"/>
      <c r="K212" s="357"/>
      <c r="L212" s="357"/>
      <c r="M212" s="357"/>
      <c r="N212" s="357"/>
    </row>
    <row r="213" spans="1:14">
      <c r="A213" s="907"/>
      <c r="B213" s="353" t="s">
        <v>997</v>
      </c>
      <c r="C213" s="354">
        <v>304850</v>
      </c>
      <c r="D213" s="354">
        <v>315301</v>
      </c>
      <c r="E213" s="354">
        <v>620151</v>
      </c>
      <c r="F213" s="354">
        <v>42740</v>
      </c>
      <c r="G213" s="354">
        <v>48262</v>
      </c>
      <c r="H213" s="354">
        <v>91002</v>
      </c>
      <c r="I213" s="354">
        <v>10219</v>
      </c>
      <c r="J213" s="354">
        <v>10944</v>
      </c>
      <c r="K213" s="354">
        <v>21163</v>
      </c>
      <c r="L213" s="354">
        <v>53371</v>
      </c>
      <c r="M213" s="354">
        <v>48798</v>
      </c>
      <c r="N213" s="354">
        <v>102169</v>
      </c>
    </row>
    <row r="214" spans="1:14">
      <c r="A214" s="907"/>
      <c r="B214" s="353" t="s">
        <v>301</v>
      </c>
      <c r="C214" s="112">
        <v>248893</v>
      </c>
      <c r="D214" s="112">
        <v>244386</v>
      </c>
      <c r="E214" s="112">
        <v>493279</v>
      </c>
      <c r="F214" s="112">
        <v>34825</v>
      </c>
      <c r="G214" s="112">
        <v>35946</v>
      </c>
      <c r="H214" s="112">
        <v>70771</v>
      </c>
      <c r="I214" s="112">
        <v>8678</v>
      </c>
      <c r="J214" s="112">
        <v>8758</v>
      </c>
      <c r="K214" s="112">
        <v>17436</v>
      </c>
      <c r="L214" s="112">
        <v>45352</v>
      </c>
      <c r="M214" s="112">
        <v>39825</v>
      </c>
      <c r="N214" s="112">
        <v>85177</v>
      </c>
    </row>
    <row r="215" spans="1:14">
      <c r="A215" s="907"/>
      <c r="B215" s="353" t="s">
        <v>300</v>
      </c>
      <c r="C215" s="354">
        <v>241083</v>
      </c>
      <c r="D215" s="354">
        <v>227172</v>
      </c>
      <c r="E215" s="354">
        <v>468255</v>
      </c>
      <c r="F215" s="354">
        <v>34145</v>
      </c>
      <c r="G215" s="354">
        <v>33699</v>
      </c>
      <c r="H215" s="354">
        <v>67844</v>
      </c>
      <c r="I215" s="354">
        <v>8957</v>
      </c>
      <c r="J215" s="354">
        <v>9168</v>
      </c>
      <c r="K215" s="354">
        <v>18125</v>
      </c>
      <c r="L215" s="354">
        <v>44665</v>
      </c>
      <c r="M215" s="354">
        <v>37465</v>
      </c>
      <c r="N215" s="354">
        <v>82130</v>
      </c>
    </row>
    <row r="216" spans="1:14">
      <c r="A216" s="907"/>
      <c r="B216" s="353" t="s">
        <v>299</v>
      </c>
      <c r="C216" s="114">
        <v>224607.8734250805</v>
      </c>
      <c r="D216" s="114">
        <v>212542.52165228475</v>
      </c>
      <c r="E216" s="114">
        <v>437150.39507736522</v>
      </c>
      <c r="F216" s="113">
        <v>30944</v>
      </c>
      <c r="G216" s="113">
        <v>29558</v>
      </c>
      <c r="H216" s="113">
        <v>60502</v>
      </c>
      <c r="I216" s="113">
        <v>8008</v>
      </c>
      <c r="J216" s="113">
        <v>8139</v>
      </c>
      <c r="K216" s="113">
        <v>16147</v>
      </c>
      <c r="L216" s="113">
        <v>41279</v>
      </c>
      <c r="M216" s="113">
        <v>34375</v>
      </c>
      <c r="N216" s="113">
        <v>75654</v>
      </c>
    </row>
    <row r="217" spans="1:14">
      <c r="A217" s="907"/>
      <c r="B217" s="359" t="s">
        <v>298</v>
      </c>
      <c r="C217" s="103">
        <v>210094</v>
      </c>
      <c r="D217" s="103">
        <v>194592</v>
      </c>
      <c r="E217" s="95">
        <v>404686</v>
      </c>
      <c r="F217" s="103">
        <v>28421</v>
      </c>
      <c r="G217" s="103">
        <v>26407</v>
      </c>
      <c r="H217" s="95">
        <v>54828</v>
      </c>
      <c r="I217" s="103">
        <v>7628</v>
      </c>
      <c r="J217" s="103">
        <v>7788</v>
      </c>
      <c r="K217" s="95">
        <v>15416</v>
      </c>
      <c r="L217" s="103">
        <v>32872</v>
      </c>
      <c r="M217" s="103">
        <v>27679</v>
      </c>
      <c r="N217" s="95">
        <v>60551</v>
      </c>
    </row>
    <row r="218" spans="1:14">
      <c r="A218" s="907">
        <v>36</v>
      </c>
      <c r="B218" s="355" t="s">
        <v>48</v>
      </c>
      <c r="C218" s="356"/>
      <c r="D218" s="357"/>
      <c r="E218" s="357"/>
      <c r="F218" s="357"/>
      <c r="G218" s="357"/>
      <c r="H218" s="358"/>
      <c r="I218" s="356"/>
      <c r="J218" s="357"/>
      <c r="K218" s="357"/>
      <c r="L218" s="357"/>
      <c r="M218" s="357"/>
      <c r="N218" s="357"/>
    </row>
    <row r="219" spans="1:14">
      <c r="A219" s="907"/>
      <c r="B219" s="353" t="s">
        <v>997</v>
      </c>
      <c r="C219" s="354">
        <v>1086183</v>
      </c>
      <c r="D219" s="354">
        <v>1129353</v>
      </c>
      <c r="E219" s="354">
        <v>2215536</v>
      </c>
      <c r="F219" s="354">
        <v>193301</v>
      </c>
      <c r="G219" s="354">
        <v>196461</v>
      </c>
      <c r="H219" s="354">
        <v>389762</v>
      </c>
      <c r="I219" s="354">
        <v>35878</v>
      </c>
      <c r="J219" s="354">
        <v>37271</v>
      </c>
      <c r="K219" s="354">
        <v>73149</v>
      </c>
      <c r="L219" s="354">
        <v>173809</v>
      </c>
      <c r="M219" s="354">
        <v>174094</v>
      </c>
      <c r="N219" s="354">
        <v>347903</v>
      </c>
    </row>
    <row r="220" spans="1:14">
      <c r="A220" s="907"/>
      <c r="B220" s="353" t="s">
        <v>301</v>
      </c>
      <c r="C220" s="112">
        <v>1069629</v>
      </c>
      <c r="D220" s="112">
        <v>1091264</v>
      </c>
      <c r="E220" s="112">
        <v>2160893</v>
      </c>
      <c r="F220" s="112">
        <v>198506</v>
      </c>
      <c r="G220" s="112">
        <v>198374</v>
      </c>
      <c r="H220" s="112">
        <v>396880</v>
      </c>
      <c r="I220" s="112">
        <v>35684</v>
      </c>
      <c r="J220" s="112">
        <v>36549</v>
      </c>
      <c r="K220" s="112">
        <v>72233</v>
      </c>
      <c r="L220" s="112">
        <v>169795</v>
      </c>
      <c r="M220" s="112">
        <v>168978</v>
      </c>
      <c r="N220" s="112">
        <v>338773</v>
      </c>
    </row>
    <row r="221" spans="1:14">
      <c r="A221" s="907"/>
      <c r="B221" s="353" t="s">
        <v>300</v>
      </c>
      <c r="C221" s="354">
        <v>1056511</v>
      </c>
      <c r="D221" s="354">
        <v>1040899</v>
      </c>
      <c r="E221" s="354">
        <v>2097410</v>
      </c>
      <c r="F221" s="354">
        <v>191847</v>
      </c>
      <c r="G221" s="354">
        <v>183008</v>
      </c>
      <c r="H221" s="354">
        <v>374855</v>
      </c>
      <c r="I221" s="354">
        <v>34002</v>
      </c>
      <c r="J221" s="354">
        <v>33168</v>
      </c>
      <c r="K221" s="354">
        <v>67170</v>
      </c>
      <c r="L221" s="354">
        <v>164367</v>
      </c>
      <c r="M221" s="354">
        <v>152598</v>
      </c>
      <c r="N221" s="354">
        <v>316965</v>
      </c>
    </row>
    <row r="222" spans="1:14">
      <c r="A222" s="907"/>
      <c r="B222" s="353" t="s">
        <v>299</v>
      </c>
      <c r="C222" s="113">
        <v>1061520</v>
      </c>
      <c r="D222" s="113">
        <v>974461</v>
      </c>
      <c r="E222" s="113">
        <v>2035981</v>
      </c>
      <c r="F222" s="113">
        <v>194424</v>
      </c>
      <c r="G222" s="113">
        <v>172389</v>
      </c>
      <c r="H222" s="113">
        <v>366813</v>
      </c>
      <c r="I222" s="113">
        <v>34232</v>
      </c>
      <c r="J222" s="113">
        <v>30728</v>
      </c>
      <c r="K222" s="113">
        <v>64960</v>
      </c>
      <c r="L222" s="113">
        <v>161568</v>
      </c>
      <c r="M222" s="113">
        <v>138892</v>
      </c>
      <c r="N222" s="113">
        <v>300460</v>
      </c>
    </row>
    <row r="223" spans="1:14">
      <c r="A223" s="907"/>
      <c r="B223" s="359" t="s">
        <v>298</v>
      </c>
      <c r="C223" s="103">
        <v>1063188</v>
      </c>
      <c r="D223" s="103">
        <v>952808</v>
      </c>
      <c r="E223" s="95">
        <v>2015996</v>
      </c>
      <c r="F223" s="103">
        <v>196552</v>
      </c>
      <c r="G223" s="103">
        <v>163423</v>
      </c>
      <c r="H223" s="95">
        <v>359975</v>
      </c>
      <c r="I223" s="103">
        <v>36158</v>
      </c>
      <c r="J223" s="103">
        <v>30609</v>
      </c>
      <c r="K223" s="95">
        <v>66767</v>
      </c>
      <c r="L223" s="103">
        <v>141174</v>
      </c>
      <c r="M223" s="103">
        <v>114980</v>
      </c>
      <c r="N223" s="95">
        <v>256154</v>
      </c>
    </row>
  </sheetData>
  <mergeCells count="47">
    <mergeCell ref="C5:H5"/>
    <mergeCell ref="I5:N5"/>
    <mergeCell ref="B2:B3"/>
    <mergeCell ref="C2:E2"/>
    <mergeCell ref="F2:H2"/>
    <mergeCell ref="I2:K2"/>
    <mergeCell ref="L2:N2"/>
    <mergeCell ref="A2:A3"/>
    <mergeCell ref="A5:A10"/>
    <mergeCell ref="A11:A16"/>
    <mergeCell ref="A17:A22"/>
    <mergeCell ref="A23:A28"/>
    <mergeCell ref="A29:A34"/>
    <mergeCell ref="A35:A40"/>
    <mergeCell ref="A41:A46"/>
    <mergeCell ref="A47:A52"/>
    <mergeCell ref="A53:A58"/>
    <mergeCell ref="A89:A94"/>
    <mergeCell ref="A95:A100"/>
    <mergeCell ref="A110:A115"/>
    <mergeCell ref="A59:A64"/>
    <mergeCell ref="A65:A70"/>
    <mergeCell ref="A71:A76"/>
    <mergeCell ref="A77:A82"/>
    <mergeCell ref="A83:A88"/>
    <mergeCell ref="A170:A175"/>
    <mergeCell ref="A116:A121"/>
    <mergeCell ref="A122:A127"/>
    <mergeCell ref="A128:A133"/>
    <mergeCell ref="A134:A139"/>
    <mergeCell ref="A140:A145"/>
    <mergeCell ref="C1:H1"/>
    <mergeCell ref="I1:N1"/>
    <mergeCell ref="A206:A211"/>
    <mergeCell ref="A212:A217"/>
    <mergeCell ref="A218:A223"/>
    <mergeCell ref="A107:A109"/>
    <mergeCell ref="A101:A106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</mergeCells>
  <printOptions horizontalCentered="1"/>
  <pageMargins left="0.39370078740157499" right="0.39370078740157499" top="0.31496062992126" bottom="0.31496062992126" header="0.27559055118110198" footer="0.15748031496063"/>
  <pageSetup paperSize="9" scale="65" firstPageNumber="2" pageOrder="overThenDown" orientation="portrait" useFirstPageNumber="1" r:id="rId1"/>
  <headerFooter alignWithMargins="0">
    <oddFooter>&amp;LAISHE 2020-21&amp;CT-45</oddFooter>
  </headerFooter>
  <rowBreaks count="2" manualBreakCount="2">
    <brk id="82" max="13" man="1"/>
    <brk id="163" max="13" man="1"/>
  </rowBreaks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00B050"/>
  </sheetPr>
  <dimension ref="A1:N223"/>
  <sheetViews>
    <sheetView view="pageBreakPreview" zoomScale="85" zoomScaleSheetLayoutView="85" workbookViewId="0">
      <pane xSplit="2" ySplit="3" topLeftCell="C196" activePane="bottomRight" state="frozen"/>
      <selection activeCell="H31" sqref="H31"/>
      <selection pane="topRight" activeCell="H31" sqref="H31"/>
      <selection pane="bottomLeft" activeCell="H31" sqref="H31"/>
      <selection pane="bottomRight" activeCell="K219" sqref="K219"/>
    </sheetView>
  </sheetViews>
  <sheetFormatPr defaultColWidth="9.1796875" defaultRowHeight="14"/>
  <cols>
    <col min="1" max="1" width="4.26953125" style="427" bestFit="1" customWidth="1"/>
    <col min="2" max="2" width="36.453125" style="349" bestFit="1" customWidth="1"/>
    <col min="3" max="11" width="11.26953125" style="349" customWidth="1"/>
    <col min="12" max="23" width="9.81640625" style="349" customWidth="1"/>
    <col min="24" max="25" width="9" style="349" customWidth="1"/>
    <col min="26" max="26" width="21.7265625" style="349" customWidth="1"/>
    <col min="27" max="27" width="18.26953125" style="349" customWidth="1"/>
    <col min="28" max="28" width="8" style="349" customWidth="1"/>
    <col min="29" max="29" width="9" style="349" customWidth="1"/>
    <col min="30" max="30" width="21.1796875" style="349" customWidth="1"/>
    <col min="31" max="31" width="10.7265625" style="349" customWidth="1"/>
    <col min="32" max="32" width="11.7265625" style="349" customWidth="1"/>
    <col min="33" max="33" width="11" style="349" customWidth="1"/>
    <col min="34" max="16384" width="9.1796875" style="349"/>
  </cols>
  <sheetData>
    <row r="1" spans="1:14" ht="28.5" customHeight="1">
      <c r="B1" s="348" t="s">
        <v>317</v>
      </c>
      <c r="C1" s="1171" t="s">
        <v>318</v>
      </c>
      <c r="D1" s="1171"/>
      <c r="E1" s="1171"/>
      <c r="F1" s="1171"/>
      <c r="G1" s="1171"/>
      <c r="H1" s="1171"/>
      <c r="I1" s="1171"/>
      <c r="J1" s="1171"/>
      <c r="K1" s="1171"/>
      <c r="L1" s="1171"/>
      <c r="M1" s="1171"/>
      <c r="N1" s="1171"/>
    </row>
    <row r="2" spans="1:14" ht="17.25" customHeight="1">
      <c r="A2" s="1159" t="s">
        <v>1050</v>
      </c>
      <c r="B2" s="1168" t="s">
        <v>236</v>
      </c>
      <c r="C2" s="1172" t="s">
        <v>108</v>
      </c>
      <c r="D2" s="1173"/>
      <c r="E2" s="1174"/>
      <c r="F2" s="1172" t="s">
        <v>109</v>
      </c>
      <c r="G2" s="1173"/>
      <c r="H2" s="1174"/>
      <c r="I2" s="1172" t="s">
        <v>110</v>
      </c>
      <c r="J2" s="1173"/>
      <c r="K2" s="1174"/>
      <c r="L2" s="1172" t="s">
        <v>296</v>
      </c>
      <c r="M2" s="1173"/>
      <c r="N2" s="1174"/>
    </row>
    <row r="3" spans="1:14" ht="17.25" customHeight="1">
      <c r="A3" s="1160"/>
      <c r="B3" s="1175"/>
      <c r="C3" s="587" t="s">
        <v>87</v>
      </c>
      <c r="D3" s="587" t="s">
        <v>88</v>
      </c>
      <c r="E3" s="587" t="s">
        <v>309</v>
      </c>
      <c r="F3" s="587" t="s">
        <v>87</v>
      </c>
      <c r="G3" s="587" t="s">
        <v>88</v>
      </c>
      <c r="H3" s="587" t="s">
        <v>309</v>
      </c>
      <c r="I3" s="587" t="s">
        <v>87</v>
      </c>
      <c r="J3" s="587" t="s">
        <v>88</v>
      </c>
      <c r="K3" s="587" t="s">
        <v>309</v>
      </c>
      <c r="L3" s="587" t="s">
        <v>87</v>
      </c>
      <c r="M3" s="587" t="s">
        <v>88</v>
      </c>
      <c r="N3" s="587" t="s">
        <v>12</v>
      </c>
    </row>
    <row r="4" spans="1:14" ht="14.25" customHeight="1">
      <c r="A4" s="367">
        <v>1</v>
      </c>
      <c r="B4" s="368">
        <v>2</v>
      </c>
      <c r="C4" s="434">
        <v>3</v>
      </c>
      <c r="D4" s="435">
        <v>4</v>
      </c>
      <c r="E4" s="436">
        <v>5</v>
      </c>
      <c r="F4" s="436">
        <v>6</v>
      </c>
      <c r="G4" s="435">
        <v>7</v>
      </c>
      <c r="H4" s="436">
        <v>8</v>
      </c>
      <c r="I4" s="436">
        <v>9</v>
      </c>
      <c r="J4" s="435">
        <v>10</v>
      </c>
      <c r="K4" s="436">
        <v>11</v>
      </c>
      <c r="L4" s="436">
        <v>12</v>
      </c>
      <c r="M4" s="435">
        <v>13</v>
      </c>
      <c r="N4" s="436">
        <v>14</v>
      </c>
    </row>
    <row r="5" spans="1:14">
      <c r="A5" s="909"/>
      <c r="B5" s="363" t="s">
        <v>302</v>
      </c>
      <c r="C5" s="437"/>
      <c r="D5" s="364"/>
      <c r="E5" s="364"/>
      <c r="F5" s="364"/>
      <c r="G5" s="364"/>
      <c r="H5" s="364"/>
      <c r="I5" s="364"/>
      <c r="J5" s="364"/>
      <c r="K5" s="364"/>
      <c r="L5" s="364"/>
      <c r="M5" s="364"/>
      <c r="N5" s="365"/>
    </row>
    <row r="6" spans="1:14">
      <c r="A6" s="909"/>
      <c r="B6" s="353" t="s">
        <v>997</v>
      </c>
      <c r="C6" s="366">
        <v>49334</v>
      </c>
      <c r="D6" s="366">
        <v>29701</v>
      </c>
      <c r="E6" s="366">
        <v>79035</v>
      </c>
      <c r="F6" s="366">
        <v>954655</v>
      </c>
      <c r="G6" s="366">
        <v>967058</v>
      </c>
      <c r="H6" s="366">
        <v>1921713</v>
      </c>
      <c r="I6" s="366">
        <v>381764</v>
      </c>
      <c r="J6" s="366">
        <v>448102</v>
      </c>
      <c r="K6" s="366">
        <v>829866</v>
      </c>
      <c r="L6" s="366">
        <v>244250</v>
      </c>
      <c r="M6" s="366">
        <v>223526</v>
      </c>
      <c r="N6" s="366">
        <v>467776</v>
      </c>
    </row>
    <row r="7" spans="1:14">
      <c r="A7" s="909"/>
      <c r="B7" s="353" t="s">
        <v>301</v>
      </c>
      <c r="C7" s="354">
        <v>47830</v>
      </c>
      <c r="D7" s="354">
        <v>45001</v>
      </c>
      <c r="E7" s="354">
        <v>92831</v>
      </c>
      <c r="F7" s="354">
        <v>1046374</v>
      </c>
      <c r="G7" s="354">
        <v>1054486</v>
      </c>
      <c r="H7" s="354">
        <v>2100860</v>
      </c>
      <c r="I7" s="354">
        <v>404748</v>
      </c>
      <c r="J7" s="354">
        <v>483002</v>
      </c>
      <c r="K7" s="354">
        <v>887750</v>
      </c>
      <c r="L7" s="354"/>
      <c r="M7" s="354"/>
      <c r="N7" s="354"/>
    </row>
    <row r="8" spans="1:14">
      <c r="A8" s="909"/>
      <c r="B8" s="353" t="s">
        <v>300</v>
      </c>
      <c r="C8" s="354">
        <v>48212</v>
      </c>
      <c r="D8" s="354">
        <v>37665</v>
      </c>
      <c r="E8" s="354">
        <v>85877</v>
      </c>
      <c r="F8" s="110">
        <v>993396</v>
      </c>
      <c r="G8" s="110">
        <v>965608</v>
      </c>
      <c r="H8" s="110">
        <v>1959004</v>
      </c>
      <c r="I8" s="110">
        <v>397146</v>
      </c>
      <c r="J8" s="110">
        <v>470954</v>
      </c>
      <c r="K8" s="110">
        <v>868100</v>
      </c>
      <c r="L8" s="354"/>
      <c r="M8" s="354"/>
      <c r="N8" s="354"/>
    </row>
    <row r="9" spans="1:14">
      <c r="A9" s="909"/>
      <c r="B9" s="353" t="s">
        <v>299</v>
      </c>
      <c r="C9" s="354">
        <v>42630</v>
      </c>
      <c r="D9" s="354">
        <v>31687</v>
      </c>
      <c r="E9" s="354">
        <v>74317</v>
      </c>
      <c r="F9" s="110">
        <v>939488</v>
      </c>
      <c r="G9" s="110">
        <v>898121</v>
      </c>
      <c r="H9" s="110">
        <v>1837609</v>
      </c>
      <c r="I9" s="110">
        <v>359110</v>
      </c>
      <c r="J9" s="110">
        <v>448517</v>
      </c>
      <c r="K9" s="110">
        <v>807627</v>
      </c>
      <c r="L9" s="354"/>
      <c r="M9" s="354"/>
      <c r="N9" s="354"/>
    </row>
    <row r="10" spans="1:14">
      <c r="A10" s="909"/>
      <c r="B10" s="353" t="s">
        <v>298</v>
      </c>
      <c r="C10" s="103">
        <v>40894</v>
      </c>
      <c r="D10" s="103">
        <v>30073</v>
      </c>
      <c r="E10" s="95">
        <v>70967</v>
      </c>
      <c r="F10" s="354">
        <v>916388</v>
      </c>
      <c r="G10" s="354">
        <v>822830</v>
      </c>
      <c r="H10" s="354">
        <v>1739218</v>
      </c>
      <c r="I10" s="354">
        <v>362663</v>
      </c>
      <c r="J10" s="354">
        <v>428866</v>
      </c>
      <c r="K10" s="354">
        <v>791529</v>
      </c>
      <c r="L10" s="354"/>
      <c r="M10" s="354"/>
      <c r="N10" s="354"/>
    </row>
    <row r="11" spans="1:14">
      <c r="A11" s="907">
        <v>1</v>
      </c>
      <c r="B11" s="363" t="s">
        <v>171</v>
      </c>
      <c r="C11" s="437"/>
      <c r="D11" s="364"/>
      <c r="E11" s="364"/>
      <c r="F11" s="364"/>
      <c r="G11" s="364"/>
      <c r="H11" s="364"/>
      <c r="I11" s="364"/>
      <c r="J11" s="364"/>
      <c r="K11" s="364"/>
      <c r="L11" s="364"/>
      <c r="M11" s="364"/>
      <c r="N11" s="365"/>
    </row>
    <row r="12" spans="1:14">
      <c r="A12" s="907"/>
      <c r="B12" s="353" t="s">
        <v>997</v>
      </c>
      <c r="C12" s="354">
        <v>22</v>
      </c>
      <c r="D12" s="354">
        <v>34</v>
      </c>
      <c r="E12" s="354">
        <v>56</v>
      </c>
      <c r="F12" s="354">
        <v>255</v>
      </c>
      <c r="G12" s="354">
        <v>363</v>
      </c>
      <c r="H12" s="354">
        <v>618</v>
      </c>
      <c r="I12" s="354">
        <v>401</v>
      </c>
      <c r="J12" s="354">
        <v>731</v>
      </c>
      <c r="K12" s="354">
        <v>1132</v>
      </c>
      <c r="L12" s="354">
        <v>51</v>
      </c>
      <c r="M12" s="354">
        <v>37</v>
      </c>
      <c r="N12" s="354">
        <v>88</v>
      </c>
    </row>
    <row r="13" spans="1:14">
      <c r="A13" s="907"/>
      <c r="B13" s="353" t="s">
        <v>301</v>
      </c>
      <c r="C13" s="112">
        <v>18</v>
      </c>
      <c r="D13" s="112">
        <v>44</v>
      </c>
      <c r="E13" s="112">
        <v>62</v>
      </c>
      <c r="F13" s="112">
        <v>166</v>
      </c>
      <c r="G13" s="112">
        <v>304</v>
      </c>
      <c r="H13" s="112">
        <v>470</v>
      </c>
      <c r="I13" s="112">
        <v>293</v>
      </c>
      <c r="J13" s="112">
        <v>645</v>
      </c>
      <c r="K13" s="112">
        <v>938</v>
      </c>
      <c r="L13" s="354"/>
      <c r="M13" s="354"/>
      <c r="N13" s="354"/>
    </row>
    <row r="14" spans="1:14">
      <c r="A14" s="907"/>
      <c r="B14" s="353" t="s">
        <v>300</v>
      </c>
      <c r="C14" s="354">
        <v>20</v>
      </c>
      <c r="D14" s="354">
        <v>17</v>
      </c>
      <c r="E14" s="354">
        <v>37</v>
      </c>
      <c r="F14" s="354">
        <v>263</v>
      </c>
      <c r="G14" s="354">
        <v>376</v>
      </c>
      <c r="H14" s="354">
        <v>639</v>
      </c>
      <c r="I14" s="354">
        <v>339</v>
      </c>
      <c r="J14" s="354">
        <v>670</v>
      </c>
      <c r="K14" s="354">
        <v>1009</v>
      </c>
      <c r="L14" s="354"/>
      <c r="M14" s="354"/>
      <c r="N14" s="354"/>
    </row>
    <row r="15" spans="1:14">
      <c r="A15" s="907"/>
      <c r="B15" s="353" t="s">
        <v>299</v>
      </c>
      <c r="C15" s="113">
        <v>15</v>
      </c>
      <c r="D15" s="113">
        <v>10</v>
      </c>
      <c r="E15" s="114">
        <f>C15+D15</f>
        <v>25</v>
      </c>
      <c r="F15" s="113">
        <v>207</v>
      </c>
      <c r="G15" s="113">
        <v>323</v>
      </c>
      <c r="H15" s="114">
        <f>F15+G15</f>
        <v>530</v>
      </c>
      <c r="I15" s="113">
        <v>416</v>
      </c>
      <c r="J15" s="113">
        <v>678</v>
      </c>
      <c r="K15" s="114">
        <f>I15+J15</f>
        <v>1094</v>
      </c>
      <c r="L15" s="354"/>
      <c r="M15" s="354"/>
      <c r="N15" s="354"/>
    </row>
    <row r="16" spans="1:14">
      <c r="A16" s="907"/>
      <c r="B16" s="353" t="s">
        <v>298</v>
      </c>
      <c r="C16" s="103">
        <v>14</v>
      </c>
      <c r="D16" s="103">
        <v>6</v>
      </c>
      <c r="E16" s="95">
        <v>20</v>
      </c>
      <c r="F16" s="103">
        <v>197</v>
      </c>
      <c r="G16" s="103">
        <v>291</v>
      </c>
      <c r="H16" s="95">
        <v>488</v>
      </c>
      <c r="I16" s="103">
        <v>420</v>
      </c>
      <c r="J16" s="103">
        <v>670</v>
      </c>
      <c r="K16" s="95">
        <v>1090</v>
      </c>
      <c r="L16" s="354"/>
      <c r="M16" s="354"/>
      <c r="N16" s="354"/>
    </row>
    <row r="17" spans="1:14">
      <c r="A17" s="907">
        <v>2</v>
      </c>
      <c r="B17" s="363" t="s">
        <v>15</v>
      </c>
      <c r="C17" s="437"/>
      <c r="D17" s="364"/>
      <c r="E17" s="364"/>
      <c r="F17" s="364"/>
      <c r="G17" s="364"/>
      <c r="H17" s="364"/>
      <c r="I17" s="364"/>
      <c r="J17" s="364"/>
      <c r="K17" s="364"/>
      <c r="L17" s="364"/>
      <c r="M17" s="364"/>
      <c r="N17" s="365"/>
    </row>
    <row r="18" spans="1:14">
      <c r="A18" s="907"/>
      <c r="B18" s="353" t="s">
        <v>997</v>
      </c>
      <c r="C18" s="354">
        <v>1659</v>
      </c>
      <c r="D18" s="354">
        <v>957</v>
      </c>
      <c r="E18" s="354">
        <v>2616</v>
      </c>
      <c r="F18" s="354">
        <v>28338</v>
      </c>
      <c r="G18" s="354">
        <v>23313</v>
      </c>
      <c r="H18" s="354">
        <v>51651</v>
      </c>
      <c r="I18" s="354">
        <v>5727</v>
      </c>
      <c r="J18" s="354">
        <v>4301</v>
      </c>
      <c r="K18" s="354">
        <v>10028</v>
      </c>
      <c r="L18" s="354">
        <v>15650</v>
      </c>
      <c r="M18" s="354">
        <v>14068</v>
      </c>
      <c r="N18" s="354">
        <v>29718</v>
      </c>
    </row>
    <row r="19" spans="1:14">
      <c r="A19" s="907"/>
      <c r="B19" s="353" t="s">
        <v>301</v>
      </c>
      <c r="C19" s="112">
        <v>1683</v>
      </c>
      <c r="D19" s="112">
        <v>982</v>
      </c>
      <c r="E19" s="112">
        <v>2665</v>
      </c>
      <c r="F19" s="112">
        <v>34050</v>
      </c>
      <c r="G19" s="112">
        <v>27245</v>
      </c>
      <c r="H19" s="112">
        <v>61295</v>
      </c>
      <c r="I19" s="112">
        <v>3884</v>
      </c>
      <c r="J19" s="112">
        <v>3745</v>
      </c>
      <c r="K19" s="112">
        <v>7629</v>
      </c>
      <c r="L19" s="354"/>
      <c r="M19" s="354"/>
      <c r="N19" s="354"/>
    </row>
    <row r="20" spans="1:14">
      <c r="A20" s="907"/>
      <c r="B20" s="353" t="s">
        <v>300</v>
      </c>
      <c r="C20" s="354">
        <v>1597</v>
      </c>
      <c r="D20" s="354">
        <v>928</v>
      </c>
      <c r="E20" s="354">
        <v>2525</v>
      </c>
      <c r="F20" s="354">
        <v>33309</v>
      </c>
      <c r="G20" s="354">
        <v>25470</v>
      </c>
      <c r="H20" s="354">
        <v>58779</v>
      </c>
      <c r="I20" s="354">
        <v>4428</v>
      </c>
      <c r="J20" s="354">
        <v>4406</v>
      </c>
      <c r="K20" s="354">
        <v>8834</v>
      </c>
      <c r="L20" s="354"/>
      <c r="M20" s="354"/>
      <c r="N20" s="354"/>
    </row>
    <row r="21" spans="1:14">
      <c r="A21" s="907"/>
      <c r="B21" s="353" t="s">
        <v>299</v>
      </c>
      <c r="C21" s="113">
        <v>1832</v>
      </c>
      <c r="D21" s="113">
        <v>1374</v>
      </c>
      <c r="E21" s="114">
        <f>C21+D21</f>
        <v>3206</v>
      </c>
      <c r="F21" s="113">
        <v>32307</v>
      </c>
      <c r="G21" s="113">
        <v>23793</v>
      </c>
      <c r="H21" s="114">
        <f>F21+G21</f>
        <v>56100</v>
      </c>
      <c r="I21" s="113">
        <v>2939</v>
      </c>
      <c r="J21" s="113">
        <v>3530</v>
      </c>
      <c r="K21" s="114">
        <f>I21+J21</f>
        <v>6469</v>
      </c>
      <c r="L21" s="354"/>
      <c r="M21" s="354"/>
      <c r="N21" s="354"/>
    </row>
    <row r="22" spans="1:14">
      <c r="A22" s="907"/>
      <c r="B22" s="359" t="s">
        <v>298</v>
      </c>
      <c r="C22" s="103">
        <v>1276</v>
      </c>
      <c r="D22" s="103">
        <v>884</v>
      </c>
      <c r="E22" s="95">
        <v>2160</v>
      </c>
      <c r="F22" s="103">
        <v>31219</v>
      </c>
      <c r="G22" s="103">
        <v>21766</v>
      </c>
      <c r="H22" s="95">
        <v>52985</v>
      </c>
      <c r="I22" s="103">
        <v>3444</v>
      </c>
      <c r="J22" s="103">
        <v>3375</v>
      </c>
      <c r="K22" s="95">
        <v>6819</v>
      </c>
      <c r="L22" s="354"/>
      <c r="M22" s="354"/>
      <c r="N22" s="354"/>
    </row>
    <row r="23" spans="1:14">
      <c r="A23" s="907">
        <v>3</v>
      </c>
      <c r="B23" s="363" t="s">
        <v>16</v>
      </c>
      <c r="C23" s="437"/>
      <c r="D23" s="364"/>
      <c r="E23" s="364"/>
      <c r="F23" s="364"/>
      <c r="G23" s="364"/>
      <c r="H23" s="364"/>
      <c r="I23" s="364"/>
      <c r="J23" s="364"/>
      <c r="K23" s="364"/>
      <c r="L23" s="364"/>
      <c r="M23" s="364"/>
      <c r="N23" s="365"/>
    </row>
    <row r="24" spans="1:14">
      <c r="A24" s="907"/>
      <c r="B24" s="353" t="s">
        <v>997</v>
      </c>
      <c r="C24" s="354">
        <v>22</v>
      </c>
      <c r="D24" s="354">
        <v>10</v>
      </c>
      <c r="E24" s="354">
        <v>32</v>
      </c>
      <c r="F24" s="354">
        <v>53</v>
      </c>
      <c r="G24" s="354">
        <v>40</v>
      </c>
      <c r="H24" s="354">
        <v>93</v>
      </c>
      <c r="I24" s="354">
        <v>1849</v>
      </c>
      <c r="J24" s="354">
        <v>1292</v>
      </c>
      <c r="K24" s="354">
        <v>3141</v>
      </c>
      <c r="L24" s="354">
        <v>111</v>
      </c>
      <c r="M24" s="354">
        <v>74</v>
      </c>
      <c r="N24" s="354">
        <v>185</v>
      </c>
    </row>
    <row r="25" spans="1:14">
      <c r="A25" s="907"/>
      <c r="B25" s="353" t="s">
        <v>301</v>
      </c>
      <c r="C25" s="112">
        <v>9</v>
      </c>
      <c r="D25" s="112">
        <v>5</v>
      </c>
      <c r="E25" s="112">
        <v>14</v>
      </c>
      <c r="F25" s="112">
        <v>91</v>
      </c>
      <c r="G25" s="112">
        <v>59</v>
      </c>
      <c r="H25" s="112">
        <v>150</v>
      </c>
      <c r="I25" s="112">
        <v>2519</v>
      </c>
      <c r="J25" s="112">
        <v>2250</v>
      </c>
      <c r="K25" s="112">
        <v>4769</v>
      </c>
      <c r="L25" s="354"/>
      <c r="M25" s="354"/>
      <c r="N25" s="354"/>
    </row>
    <row r="26" spans="1:14">
      <c r="A26" s="907"/>
      <c r="B26" s="353" t="s">
        <v>300</v>
      </c>
      <c r="C26" s="354">
        <v>19</v>
      </c>
      <c r="D26" s="354">
        <v>9</v>
      </c>
      <c r="E26" s="354">
        <v>28</v>
      </c>
      <c r="F26" s="354">
        <v>94</v>
      </c>
      <c r="G26" s="354">
        <v>42</v>
      </c>
      <c r="H26" s="354">
        <v>136</v>
      </c>
      <c r="I26" s="354">
        <v>1688</v>
      </c>
      <c r="J26" s="354">
        <v>1199</v>
      </c>
      <c r="K26" s="354">
        <v>2887</v>
      </c>
      <c r="L26" s="354"/>
      <c r="M26" s="354"/>
      <c r="N26" s="354"/>
    </row>
    <row r="27" spans="1:14">
      <c r="A27" s="907"/>
      <c r="B27" s="353" t="s">
        <v>299</v>
      </c>
      <c r="C27" s="113">
        <v>26</v>
      </c>
      <c r="D27" s="113">
        <v>13</v>
      </c>
      <c r="E27" s="114">
        <f>C27+D27</f>
        <v>39</v>
      </c>
      <c r="F27" s="113">
        <v>70</v>
      </c>
      <c r="G27" s="113">
        <v>50</v>
      </c>
      <c r="H27" s="114">
        <f>F27+G27</f>
        <v>120</v>
      </c>
      <c r="I27" s="113">
        <v>1409</v>
      </c>
      <c r="J27" s="113">
        <v>1358</v>
      </c>
      <c r="K27" s="114">
        <f>I27+J27</f>
        <v>2767</v>
      </c>
      <c r="L27" s="354"/>
      <c r="M27" s="354"/>
      <c r="N27" s="354"/>
    </row>
    <row r="28" spans="1:14">
      <c r="A28" s="907"/>
      <c r="B28" s="359" t="s">
        <v>298</v>
      </c>
      <c r="C28" s="103">
        <v>32</v>
      </c>
      <c r="D28" s="103">
        <v>7</v>
      </c>
      <c r="E28" s="95">
        <v>39</v>
      </c>
      <c r="F28" s="103">
        <v>113</v>
      </c>
      <c r="G28" s="103">
        <v>80</v>
      </c>
      <c r="H28" s="95">
        <v>193</v>
      </c>
      <c r="I28" s="103">
        <v>1627</v>
      </c>
      <c r="J28" s="103">
        <v>1401</v>
      </c>
      <c r="K28" s="95">
        <v>3028</v>
      </c>
      <c r="L28" s="354"/>
      <c r="M28" s="354"/>
      <c r="N28" s="354"/>
    </row>
    <row r="29" spans="1:14">
      <c r="A29" s="907">
        <v>4</v>
      </c>
      <c r="B29" s="363" t="s">
        <v>17</v>
      </c>
      <c r="C29" s="437"/>
      <c r="D29" s="364"/>
      <c r="E29" s="364"/>
      <c r="F29" s="364"/>
      <c r="G29" s="364"/>
      <c r="H29" s="364"/>
      <c r="I29" s="364"/>
      <c r="J29" s="364"/>
      <c r="K29" s="364"/>
      <c r="L29" s="364"/>
      <c r="M29" s="364"/>
      <c r="N29" s="365"/>
    </row>
    <row r="30" spans="1:14">
      <c r="A30" s="907"/>
      <c r="B30" s="353" t="s">
        <v>997</v>
      </c>
      <c r="C30" s="354">
        <v>644</v>
      </c>
      <c r="D30" s="354">
        <v>316</v>
      </c>
      <c r="E30" s="354">
        <v>960</v>
      </c>
      <c r="F30" s="354">
        <v>44845</v>
      </c>
      <c r="G30" s="354">
        <v>43084</v>
      </c>
      <c r="H30" s="354">
        <v>87929</v>
      </c>
      <c r="I30" s="354">
        <v>6791</v>
      </c>
      <c r="J30" s="354">
        <v>6571</v>
      </c>
      <c r="K30" s="354">
        <v>13362</v>
      </c>
      <c r="L30" s="354">
        <v>8496</v>
      </c>
      <c r="M30" s="354">
        <v>8916</v>
      </c>
      <c r="N30" s="354">
        <v>17412</v>
      </c>
    </row>
    <row r="31" spans="1:14">
      <c r="A31" s="907"/>
      <c r="B31" s="353" t="s">
        <v>301</v>
      </c>
      <c r="C31" s="112">
        <v>511</v>
      </c>
      <c r="D31" s="112">
        <v>301</v>
      </c>
      <c r="E31" s="112">
        <v>812</v>
      </c>
      <c r="F31" s="112">
        <v>47608</v>
      </c>
      <c r="G31" s="112">
        <v>45745</v>
      </c>
      <c r="H31" s="112">
        <v>93353</v>
      </c>
      <c r="I31" s="112">
        <v>6796</v>
      </c>
      <c r="J31" s="112">
        <v>7109</v>
      </c>
      <c r="K31" s="112">
        <v>13905</v>
      </c>
      <c r="L31" s="354"/>
      <c r="M31" s="354"/>
      <c r="N31" s="354"/>
    </row>
    <row r="32" spans="1:14">
      <c r="A32" s="907"/>
      <c r="B32" s="353" t="s">
        <v>300</v>
      </c>
      <c r="C32" s="354">
        <v>599</v>
      </c>
      <c r="D32" s="618">
        <v>364</v>
      </c>
      <c r="E32" s="354">
        <v>963</v>
      </c>
      <c r="F32" s="354">
        <v>49869</v>
      </c>
      <c r="G32" s="354">
        <v>47596</v>
      </c>
      <c r="H32" s="354">
        <v>97465</v>
      </c>
      <c r="I32" s="354">
        <v>6586</v>
      </c>
      <c r="J32" s="354">
        <v>6696</v>
      </c>
      <c r="K32" s="354">
        <v>13282</v>
      </c>
      <c r="L32" s="354"/>
      <c r="M32" s="354"/>
      <c r="N32" s="354"/>
    </row>
    <row r="33" spans="1:14">
      <c r="A33" s="907"/>
      <c r="B33" s="353" t="s">
        <v>299</v>
      </c>
      <c r="C33" s="113">
        <v>528</v>
      </c>
      <c r="D33" s="113">
        <v>354</v>
      </c>
      <c r="E33" s="114">
        <f>C33+D33</f>
        <v>882</v>
      </c>
      <c r="F33" s="113">
        <v>45324</v>
      </c>
      <c r="G33" s="113">
        <v>42480</v>
      </c>
      <c r="H33" s="114">
        <f>F33+G33</f>
        <v>87804</v>
      </c>
      <c r="I33" s="113">
        <v>4268</v>
      </c>
      <c r="J33" s="113">
        <v>4394</v>
      </c>
      <c r="K33" s="114">
        <f>I33+J33</f>
        <v>8662</v>
      </c>
      <c r="L33" s="354"/>
      <c r="M33" s="354"/>
      <c r="N33" s="354"/>
    </row>
    <row r="34" spans="1:14">
      <c r="A34" s="907"/>
      <c r="B34" s="359" t="s">
        <v>298</v>
      </c>
      <c r="C34" s="103">
        <v>388</v>
      </c>
      <c r="D34" s="103">
        <v>244</v>
      </c>
      <c r="E34" s="95">
        <v>632</v>
      </c>
      <c r="F34" s="103">
        <v>43547</v>
      </c>
      <c r="G34" s="103">
        <v>38998</v>
      </c>
      <c r="H34" s="95">
        <v>82545</v>
      </c>
      <c r="I34" s="103">
        <v>3669</v>
      </c>
      <c r="J34" s="103">
        <v>4017</v>
      </c>
      <c r="K34" s="95">
        <v>7686</v>
      </c>
      <c r="L34" s="354"/>
      <c r="M34" s="354"/>
      <c r="N34" s="354"/>
    </row>
    <row r="35" spans="1:14">
      <c r="A35" s="907">
        <v>5</v>
      </c>
      <c r="B35" s="363" t="s">
        <v>18</v>
      </c>
      <c r="C35" s="437"/>
      <c r="D35" s="364"/>
      <c r="E35" s="364"/>
      <c r="F35" s="364"/>
      <c r="G35" s="364"/>
      <c r="H35" s="364"/>
      <c r="I35" s="364"/>
      <c r="J35" s="364"/>
      <c r="K35" s="364"/>
      <c r="L35" s="364"/>
      <c r="M35" s="364"/>
      <c r="N35" s="365"/>
    </row>
    <row r="36" spans="1:14">
      <c r="A36" s="907"/>
      <c r="B36" s="353" t="s">
        <v>997</v>
      </c>
      <c r="C36" s="354">
        <v>3410</v>
      </c>
      <c r="D36" s="354">
        <v>2236</v>
      </c>
      <c r="E36" s="354">
        <v>5646</v>
      </c>
      <c r="F36" s="354">
        <v>78713</v>
      </c>
      <c r="G36" s="354">
        <v>75028</v>
      </c>
      <c r="H36" s="354">
        <v>153741</v>
      </c>
      <c r="I36" s="354">
        <v>1222</v>
      </c>
      <c r="J36" s="354">
        <v>1658</v>
      </c>
      <c r="K36" s="354">
        <v>2880</v>
      </c>
      <c r="L36" s="354">
        <v>16533</v>
      </c>
      <c r="M36" s="354">
        <v>12612</v>
      </c>
      <c r="N36" s="354">
        <v>29145</v>
      </c>
    </row>
    <row r="37" spans="1:14">
      <c r="A37" s="907"/>
      <c r="B37" s="353" t="s">
        <v>301</v>
      </c>
      <c r="C37" s="112">
        <v>1879</v>
      </c>
      <c r="D37" s="112">
        <v>737</v>
      </c>
      <c r="E37" s="112">
        <v>2616</v>
      </c>
      <c r="F37" s="112">
        <v>83382</v>
      </c>
      <c r="G37" s="112">
        <v>80567</v>
      </c>
      <c r="H37" s="112">
        <v>163949</v>
      </c>
      <c r="I37" s="112">
        <v>1111</v>
      </c>
      <c r="J37" s="112">
        <v>840</v>
      </c>
      <c r="K37" s="112">
        <v>1951</v>
      </c>
      <c r="L37" s="354"/>
      <c r="M37" s="354"/>
      <c r="N37" s="354"/>
    </row>
    <row r="38" spans="1:14">
      <c r="A38" s="907"/>
      <c r="B38" s="353" t="s">
        <v>300</v>
      </c>
      <c r="C38" s="354">
        <v>3433</v>
      </c>
      <c r="D38" s="354">
        <v>1987</v>
      </c>
      <c r="E38" s="354">
        <v>5420</v>
      </c>
      <c r="F38" s="354">
        <v>80401</v>
      </c>
      <c r="G38" s="354">
        <v>71171</v>
      </c>
      <c r="H38" s="354">
        <v>151572</v>
      </c>
      <c r="I38" s="354">
        <v>1167</v>
      </c>
      <c r="J38" s="354">
        <v>1448</v>
      </c>
      <c r="K38" s="354">
        <v>2615</v>
      </c>
      <c r="L38" s="354"/>
      <c r="M38" s="354"/>
      <c r="N38" s="354"/>
    </row>
    <row r="39" spans="1:14">
      <c r="A39" s="907"/>
      <c r="B39" s="353" t="s">
        <v>299</v>
      </c>
      <c r="C39" s="113">
        <v>1596</v>
      </c>
      <c r="D39" s="113">
        <v>589</v>
      </c>
      <c r="E39" s="114">
        <f>C39+D39</f>
        <v>2185</v>
      </c>
      <c r="F39" s="113">
        <v>74955</v>
      </c>
      <c r="G39" s="113">
        <v>67841</v>
      </c>
      <c r="H39" s="114">
        <f>F39+G39</f>
        <v>142796</v>
      </c>
      <c r="I39" s="113">
        <v>908</v>
      </c>
      <c r="J39" s="113">
        <v>847</v>
      </c>
      <c r="K39" s="114">
        <f>I39+J39</f>
        <v>1755</v>
      </c>
      <c r="L39" s="354"/>
      <c r="M39" s="354"/>
      <c r="N39" s="354"/>
    </row>
    <row r="40" spans="1:14">
      <c r="A40" s="907"/>
      <c r="B40" s="359" t="s">
        <v>298</v>
      </c>
      <c r="C40" s="103">
        <v>1688</v>
      </c>
      <c r="D40" s="103">
        <v>717</v>
      </c>
      <c r="E40" s="95">
        <v>2405</v>
      </c>
      <c r="F40" s="103">
        <v>79187</v>
      </c>
      <c r="G40" s="103">
        <v>64585</v>
      </c>
      <c r="H40" s="95">
        <v>143772</v>
      </c>
      <c r="I40" s="103">
        <v>861</v>
      </c>
      <c r="J40" s="103">
        <v>893</v>
      </c>
      <c r="K40" s="95">
        <v>1754</v>
      </c>
      <c r="L40" s="354"/>
      <c r="M40" s="354"/>
      <c r="N40" s="354"/>
    </row>
    <row r="41" spans="1:14">
      <c r="A41" s="907">
        <v>6</v>
      </c>
      <c r="B41" s="363" t="s">
        <v>19</v>
      </c>
      <c r="C41" s="437"/>
      <c r="D41" s="364"/>
      <c r="E41" s="364"/>
      <c r="F41" s="364"/>
      <c r="G41" s="364"/>
      <c r="H41" s="364"/>
      <c r="I41" s="364"/>
      <c r="J41" s="364"/>
      <c r="K41" s="364"/>
      <c r="L41" s="364"/>
      <c r="M41" s="364"/>
      <c r="N41" s="365"/>
    </row>
    <row r="42" spans="1:14">
      <c r="A42" s="907"/>
      <c r="B42" s="353" t="s">
        <v>997</v>
      </c>
      <c r="C42" s="354">
        <v>231</v>
      </c>
      <c r="D42" s="354">
        <v>86</v>
      </c>
      <c r="E42" s="354">
        <v>317</v>
      </c>
      <c r="F42" s="354">
        <v>327</v>
      </c>
      <c r="G42" s="354">
        <v>376</v>
      </c>
      <c r="H42" s="354">
        <v>703</v>
      </c>
      <c r="I42" s="354">
        <v>2072</v>
      </c>
      <c r="J42" s="354">
        <v>3190</v>
      </c>
      <c r="K42" s="354">
        <v>5262</v>
      </c>
      <c r="L42" s="354">
        <v>832</v>
      </c>
      <c r="M42" s="354">
        <v>631</v>
      </c>
      <c r="N42" s="354">
        <v>1463</v>
      </c>
    </row>
    <row r="43" spans="1:14">
      <c r="A43" s="907"/>
      <c r="B43" s="353" t="s">
        <v>301</v>
      </c>
      <c r="C43" s="112">
        <v>245</v>
      </c>
      <c r="D43" s="112">
        <v>86</v>
      </c>
      <c r="E43" s="112">
        <v>331</v>
      </c>
      <c r="F43" s="112">
        <v>414</v>
      </c>
      <c r="G43" s="112">
        <v>273</v>
      </c>
      <c r="H43" s="112">
        <v>687</v>
      </c>
      <c r="I43" s="112">
        <v>2140</v>
      </c>
      <c r="J43" s="112">
        <v>2582</v>
      </c>
      <c r="K43" s="112">
        <v>4722</v>
      </c>
      <c r="L43" s="354"/>
      <c r="M43" s="354"/>
      <c r="N43" s="354"/>
    </row>
    <row r="44" spans="1:14">
      <c r="A44" s="907"/>
      <c r="B44" s="353" t="s">
        <v>300</v>
      </c>
      <c r="C44" s="354">
        <v>163</v>
      </c>
      <c r="D44" s="354">
        <v>73</v>
      </c>
      <c r="E44" s="354">
        <v>236</v>
      </c>
      <c r="F44" s="354">
        <v>324</v>
      </c>
      <c r="G44" s="354">
        <v>228</v>
      </c>
      <c r="H44" s="354">
        <v>552</v>
      </c>
      <c r="I44" s="354">
        <v>1876</v>
      </c>
      <c r="J44" s="354">
        <v>2310</v>
      </c>
      <c r="K44" s="354">
        <v>4186</v>
      </c>
      <c r="L44" s="354"/>
      <c r="M44" s="354"/>
      <c r="N44" s="354"/>
    </row>
    <row r="45" spans="1:14">
      <c r="A45" s="907"/>
      <c r="B45" s="353" t="s">
        <v>299</v>
      </c>
      <c r="C45" s="113">
        <v>78</v>
      </c>
      <c r="D45" s="113">
        <v>49</v>
      </c>
      <c r="E45" s="114">
        <f>C45+D45</f>
        <v>127</v>
      </c>
      <c r="F45" s="113">
        <v>270</v>
      </c>
      <c r="G45" s="113">
        <v>214</v>
      </c>
      <c r="H45" s="114">
        <f>F45+G45</f>
        <v>484</v>
      </c>
      <c r="I45" s="113">
        <v>2448</v>
      </c>
      <c r="J45" s="113">
        <v>2503</v>
      </c>
      <c r="K45" s="114">
        <f>I45+J45</f>
        <v>4951</v>
      </c>
      <c r="L45" s="354"/>
      <c r="M45" s="354"/>
      <c r="N45" s="354"/>
    </row>
    <row r="46" spans="1:14">
      <c r="A46" s="907"/>
      <c r="B46" s="359" t="s">
        <v>298</v>
      </c>
      <c r="C46" s="103">
        <v>173</v>
      </c>
      <c r="D46" s="103">
        <v>102</v>
      </c>
      <c r="E46" s="95">
        <v>275</v>
      </c>
      <c r="F46" s="103">
        <v>77</v>
      </c>
      <c r="G46" s="103">
        <v>228</v>
      </c>
      <c r="H46" s="95">
        <v>305</v>
      </c>
      <c r="I46" s="103">
        <v>2615</v>
      </c>
      <c r="J46" s="103">
        <v>2781</v>
      </c>
      <c r="K46" s="95">
        <v>5396</v>
      </c>
      <c r="L46" s="354"/>
      <c r="M46" s="354"/>
      <c r="N46" s="354"/>
    </row>
    <row r="47" spans="1:14">
      <c r="A47" s="907">
        <v>7</v>
      </c>
      <c r="B47" s="363" t="s">
        <v>20</v>
      </c>
      <c r="C47" s="437"/>
      <c r="D47" s="364"/>
      <c r="E47" s="364"/>
      <c r="F47" s="364"/>
      <c r="G47" s="364"/>
      <c r="H47" s="364"/>
      <c r="I47" s="364"/>
      <c r="J47" s="364"/>
      <c r="K47" s="364"/>
      <c r="L47" s="364"/>
      <c r="M47" s="364"/>
      <c r="N47" s="365"/>
    </row>
    <row r="48" spans="1:14">
      <c r="A48" s="907"/>
      <c r="B48" s="353" t="s">
        <v>997</v>
      </c>
      <c r="C48" s="354">
        <v>344</v>
      </c>
      <c r="D48" s="354">
        <v>132</v>
      </c>
      <c r="E48" s="354">
        <v>476</v>
      </c>
      <c r="F48" s="354">
        <v>2017</v>
      </c>
      <c r="G48" s="354">
        <v>2676</v>
      </c>
      <c r="H48" s="354">
        <v>4693</v>
      </c>
      <c r="I48" s="354">
        <v>1885</v>
      </c>
      <c r="J48" s="354">
        <v>3038</v>
      </c>
      <c r="K48" s="354">
        <v>4923</v>
      </c>
      <c r="L48" s="354">
        <v>1398</v>
      </c>
      <c r="M48" s="354">
        <v>1143</v>
      </c>
      <c r="N48" s="354">
        <v>2541</v>
      </c>
    </row>
    <row r="49" spans="1:14">
      <c r="A49" s="907"/>
      <c r="B49" s="353" t="s">
        <v>301</v>
      </c>
      <c r="C49" s="112">
        <v>353</v>
      </c>
      <c r="D49" s="112">
        <v>171</v>
      </c>
      <c r="E49" s="112">
        <v>524</v>
      </c>
      <c r="F49" s="112">
        <v>2427</v>
      </c>
      <c r="G49" s="112">
        <v>2957</v>
      </c>
      <c r="H49" s="112">
        <v>5384</v>
      </c>
      <c r="I49" s="112">
        <v>2134</v>
      </c>
      <c r="J49" s="112">
        <v>3465</v>
      </c>
      <c r="K49" s="112">
        <v>5599</v>
      </c>
      <c r="L49" s="354"/>
      <c r="M49" s="354"/>
      <c r="N49" s="354"/>
    </row>
    <row r="50" spans="1:14">
      <c r="A50" s="907"/>
      <c r="B50" s="353" t="s">
        <v>300</v>
      </c>
      <c r="C50" s="354">
        <v>350</v>
      </c>
      <c r="D50" s="354">
        <v>360</v>
      </c>
      <c r="E50" s="354">
        <v>710</v>
      </c>
      <c r="F50" s="354">
        <v>2406</v>
      </c>
      <c r="G50" s="354">
        <v>2716</v>
      </c>
      <c r="H50" s="354">
        <v>5122</v>
      </c>
      <c r="I50" s="354">
        <v>1766</v>
      </c>
      <c r="J50" s="354">
        <v>3141</v>
      </c>
      <c r="K50" s="354">
        <v>4907</v>
      </c>
      <c r="L50" s="354"/>
      <c r="M50" s="354"/>
      <c r="N50" s="354"/>
    </row>
    <row r="51" spans="1:14">
      <c r="A51" s="907"/>
      <c r="B51" s="353" t="s">
        <v>299</v>
      </c>
      <c r="C51" s="113">
        <v>284</v>
      </c>
      <c r="D51" s="113">
        <v>171</v>
      </c>
      <c r="E51" s="114">
        <f>C51+D51</f>
        <v>455</v>
      </c>
      <c r="F51" s="113">
        <v>2233</v>
      </c>
      <c r="G51" s="113">
        <v>2849</v>
      </c>
      <c r="H51" s="114">
        <f>F51+G51</f>
        <v>5082</v>
      </c>
      <c r="I51" s="113">
        <v>1800</v>
      </c>
      <c r="J51" s="113">
        <v>3011</v>
      </c>
      <c r="K51" s="114">
        <f>I51+J51</f>
        <v>4811</v>
      </c>
      <c r="L51" s="354"/>
      <c r="M51" s="354"/>
      <c r="N51" s="354"/>
    </row>
    <row r="52" spans="1:14">
      <c r="A52" s="907"/>
      <c r="B52" s="359" t="s">
        <v>298</v>
      </c>
      <c r="C52" s="103">
        <v>484</v>
      </c>
      <c r="D52" s="103">
        <v>240</v>
      </c>
      <c r="E52" s="95">
        <v>724</v>
      </c>
      <c r="F52" s="103">
        <v>2296</v>
      </c>
      <c r="G52" s="103">
        <v>2552</v>
      </c>
      <c r="H52" s="95">
        <v>4848</v>
      </c>
      <c r="I52" s="103">
        <v>1597</v>
      </c>
      <c r="J52" s="103">
        <v>2863</v>
      </c>
      <c r="K52" s="95">
        <v>4460</v>
      </c>
      <c r="L52" s="354"/>
      <c r="M52" s="354"/>
      <c r="N52" s="354"/>
    </row>
    <row r="53" spans="1:14">
      <c r="A53" s="907">
        <v>8</v>
      </c>
      <c r="B53" s="363" t="s">
        <v>23</v>
      </c>
      <c r="C53" s="437"/>
      <c r="D53" s="364"/>
      <c r="E53" s="364"/>
      <c r="F53" s="364"/>
      <c r="G53" s="364"/>
      <c r="H53" s="364"/>
      <c r="I53" s="364"/>
      <c r="J53" s="364"/>
      <c r="K53" s="364"/>
      <c r="L53" s="364"/>
      <c r="M53" s="364"/>
      <c r="N53" s="365"/>
    </row>
    <row r="54" spans="1:14">
      <c r="A54" s="907"/>
      <c r="B54" s="353" t="s">
        <v>997</v>
      </c>
      <c r="C54" s="112">
        <v>2984</v>
      </c>
      <c r="D54" s="112">
        <v>1442</v>
      </c>
      <c r="E54" s="112">
        <v>4426</v>
      </c>
      <c r="F54" s="112">
        <v>11900</v>
      </c>
      <c r="G54" s="112">
        <v>9304</v>
      </c>
      <c r="H54" s="112">
        <v>21204</v>
      </c>
      <c r="I54" s="112">
        <v>4865</v>
      </c>
      <c r="J54" s="112">
        <v>6211</v>
      </c>
      <c r="K54" s="112">
        <v>11076</v>
      </c>
      <c r="L54" s="354">
        <v>14261</v>
      </c>
      <c r="M54" s="354">
        <v>8932</v>
      </c>
      <c r="N54" s="354">
        <v>23193</v>
      </c>
    </row>
    <row r="55" spans="1:14">
      <c r="A55" s="907"/>
      <c r="B55" s="353" t="s">
        <v>301</v>
      </c>
      <c r="C55" s="112">
        <v>4850</v>
      </c>
      <c r="D55" s="112">
        <v>3412</v>
      </c>
      <c r="E55" s="112">
        <v>8262</v>
      </c>
      <c r="F55" s="112">
        <v>16168</v>
      </c>
      <c r="G55" s="112">
        <v>10307</v>
      </c>
      <c r="H55" s="112">
        <v>26475</v>
      </c>
      <c r="I55" s="112">
        <v>6191</v>
      </c>
      <c r="J55" s="112">
        <v>7797</v>
      </c>
      <c r="K55" s="112">
        <v>13988</v>
      </c>
      <c r="L55" s="354"/>
      <c r="M55" s="354"/>
      <c r="N55" s="354"/>
    </row>
    <row r="56" spans="1:14">
      <c r="A56" s="907"/>
      <c r="B56" s="353" t="s">
        <v>300</v>
      </c>
      <c r="C56" s="354">
        <v>4998</v>
      </c>
      <c r="D56" s="354">
        <v>3348</v>
      </c>
      <c r="E56" s="354">
        <v>8346</v>
      </c>
      <c r="F56" s="354">
        <v>15715</v>
      </c>
      <c r="G56" s="354">
        <v>8632</v>
      </c>
      <c r="H56" s="354">
        <v>24347</v>
      </c>
      <c r="I56" s="354">
        <v>6164</v>
      </c>
      <c r="J56" s="354">
        <v>7775</v>
      </c>
      <c r="K56" s="354">
        <v>13939</v>
      </c>
      <c r="L56" s="354"/>
      <c r="M56" s="354"/>
      <c r="N56" s="354"/>
    </row>
    <row r="57" spans="1:14">
      <c r="A57" s="907"/>
      <c r="B57" s="353" t="s">
        <v>299</v>
      </c>
      <c r="C57" s="113">
        <v>4714</v>
      </c>
      <c r="D57" s="113">
        <v>3255</v>
      </c>
      <c r="E57" s="114">
        <f>C57+D57</f>
        <v>7969</v>
      </c>
      <c r="F57" s="113">
        <v>15982</v>
      </c>
      <c r="G57" s="113">
        <v>7600</v>
      </c>
      <c r="H57" s="114">
        <f>F57+G57</f>
        <v>23582</v>
      </c>
      <c r="I57" s="113">
        <v>4869</v>
      </c>
      <c r="J57" s="113">
        <v>5595</v>
      </c>
      <c r="K57" s="114">
        <f>I57+J57</f>
        <v>10464</v>
      </c>
      <c r="L57" s="354"/>
      <c r="M57" s="354"/>
      <c r="N57" s="354"/>
    </row>
    <row r="58" spans="1:14">
      <c r="A58" s="907"/>
      <c r="B58" s="359" t="s">
        <v>298</v>
      </c>
      <c r="C58" s="103">
        <v>2799</v>
      </c>
      <c r="D58" s="103">
        <v>1365</v>
      </c>
      <c r="E58" s="95">
        <v>4164</v>
      </c>
      <c r="F58" s="103">
        <v>14002</v>
      </c>
      <c r="G58" s="103">
        <v>7793</v>
      </c>
      <c r="H58" s="95">
        <v>21795</v>
      </c>
      <c r="I58" s="103">
        <v>4050</v>
      </c>
      <c r="J58" s="103">
        <v>4490</v>
      </c>
      <c r="K58" s="95">
        <v>8540</v>
      </c>
      <c r="L58" s="354"/>
      <c r="M58" s="354"/>
      <c r="N58" s="354"/>
    </row>
    <row r="59" spans="1:14">
      <c r="A59" s="907">
        <v>9</v>
      </c>
      <c r="B59" s="363" t="s">
        <v>24</v>
      </c>
      <c r="C59" s="437"/>
      <c r="D59" s="364"/>
      <c r="E59" s="364"/>
      <c r="F59" s="364"/>
      <c r="G59" s="364"/>
      <c r="H59" s="364"/>
      <c r="I59" s="364"/>
      <c r="J59" s="364"/>
      <c r="K59" s="364"/>
      <c r="L59" s="364"/>
      <c r="M59" s="364"/>
      <c r="N59" s="365"/>
    </row>
    <row r="60" spans="1:14">
      <c r="A60" s="907"/>
      <c r="B60" s="353" t="s">
        <v>997</v>
      </c>
      <c r="C60" s="112">
        <v>34</v>
      </c>
      <c r="D60" s="112">
        <v>13</v>
      </c>
      <c r="E60" s="112">
        <v>47</v>
      </c>
      <c r="F60" s="112">
        <v>1378</v>
      </c>
      <c r="G60" s="112">
        <v>1520</v>
      </c>
      <c r="H60" s="112">
        <v>2898</v>
      </c>
      <c r="I60" s="112">
        <v>3630</v>
      </c>
      <c r="J60" s="112">
        <v>5449</v>
      </c>
      <c r="K60" s="112">
        <v>9079</v>
      </c>
      <c r="L60" s="354">
        <v>197</v>
      </c>
      <c r="M60" s="354">
        <v>98</v>
      </c>
      <c r="N60" s="354">
        <v>295</v>
      </c>
    </row>
    <row r="61" spans="1:14">
      <c r="A61" s="907"/>
      <c r="B61" s="353" t="s">
        <v>301</v>
      </c>
      <c r="C61" s="112">
        <v>33</v>
      </c>
      <c r="D61" s="112">
        <v>26</v>
      </c>
      <c r="E61" s="112">
        <v>59</v>
      </c>
      <c r="F61" s="112">
        <v>1291</v>
      </c>
      <c r="G61" s="112">
        <v>1443</v>
      </c>
      <c r="H61" s="112">
        <v>2734</v>
      </c>
      <c r="I61" s="112">
        <v>3412</v>
      </c>
      <c r="J61" s="112">
        <v>5446</v>
      </c>
      <c r="K61" s="112">
        <v>8858</v>
      </c>
      <c r="L61" s="354"/>
      <c r="M61" s="354"/>
      <c r="N61" s="354"/>
    </row>
    <row r="62" spans="1:14">
      <c r="A62" s="907"/>
      <c r="B62" s="353" t="s">
        <v>300</v>
      </c>
      <c r="C62" s="354">
        <v>46</v>
      </c>
      <c r="D62" s="354">
        <v>23</v>
      </c>
      <c r="E62" s="354">
        <v>69</v>
      </c>
      <c r="F62" s="354">
        <v>1274</v>
      </c>
      <c r="G62" s="354">
        <v>1351</v>
      </c>
      <c r="H62" s="354">
        <v>2625</v>
      </c>
      <c r="I62" s="354">
        <v>3843</v>
      </c>
      <c r="J62" s="354">
        <v>5699</v>
      </c>
      <c r="K62" s="354">
        <v>9542</v>
      </c>
      <c r="L62" s="354"/>
      <c r="M62" s="354"/>
      <c r="N62" s="354"/>
    </row>
    <row r="63" spans="1:14">
      <c r="A63" s="907"/>
      <c r="B63" s="353" t="s">
        <v>299</v>
      </c>
      <c r="C63" s="113">
        <v>35</v>
      </c>
      <c r="D63" s="113">
        <v>25</v>
      </c>
      <c r="E63" s="114">
        <f>C63+D63</f>
        <v>60</v>
      </c>
      <c r="F63" s="113">
        <v>1038</v>
      </c>
      <c r="G63" s="113">
        <v>1118</v>
      </c>
      <c r="H63" s="114">
        <f>F63+G63</f>
        <v>2156</v>
      </c>
      <c r="I63" s="113">
        <v>3169</v>
      </c>
      <c r="J63" s="113">
        <v>4891</v>
      </c>
      <c r="K63" s="114">
        <f>I63+J63</f>
        <v>8060</v>
      </c>
      <c r="L63" s="354"/>
      <c r="M63" s="354"/>
      <c r="N63" s="354"/>
    </row>
    <row r="64" spans="1:14">
      <c r="A64" s="907"/>
      <c r="B64" s="359" t="s">
        <v>298</v>
      </c>
      <c r="C64" s="103">
        <v>30</v>
      </c>
      <c r="D64" s="103">
        <v>26</v>
      </c>
      <c r="E64" s="95">
        <v>56</v>
      </c>
      <c r="F64" s="103">
        <v>1010</v>
      </c>
      <c r="G64" s="103">
        <v>1041</v>
      </c>
      <c r="H64" s="95">
        <v>2051</v>
      </c>
      <c r="I64" s="103">
        <v>3148</v>
      </c>
      <c r="J64" s="103">
        <v>4809</v>
      </c>
      <c r="K64" s="95">
        <v>7957</v>
      </c>
      <c r="L64" s="354"/>
      <c r="M64" s="354"/>
      <c r="N64" s="354"/>
    </row>
    <row r="65" spans="1:14">
      <c r="A65" s="907">
        <v>10</v>
      </c>
      <c r="B65" s="363" t="s">
        <v>25</v>
      </c>
      <c r="C65" s="437"/>
      <c r="D65" s="364"/>
      <c r="E65" s="364"/>
      <c r="F65" s="364"/>
      <c r="G65" s="364"/>
      <c r="H65" s="364"/>
      <c r="I65" s="364"/>
      <c r="J65" s="364"/>
      <c r="K65" s="364"/>
      <c r="L65" s="364"/>
      <c r="M65" s="364"/>
      <c r="N65" s="365"/>
    </row>
    <row r="66" spans="1:14">
      <c r="A66" s="907"/>
      <c r="B66" s="353" t="s">
        <v>997</v>
      </c>
      <c r="C66" s="112">
        <v>1143</v>
      </c>
      <c r="D66" s="112">
        <v>628</v>
      </c>
      <c r="E66" s="112">
        <v>1771</v>
      </c>
      <c r="F66" s="112">
        <v>18170</v>
      </c>
      <c r="G66" s="112">
        <v>14935</v>
      </c>
      <c r="H66" s="112">
        <v>33105</v>
      </c>
      <c r="I66" s="112">
        <v>5561</v>
      </c>
      <c r="J66" s="112">
        <v>5709</v>
      </c>
      <c r="K66" s="112">
        <v>11270</v>
      </c>
      <c r="L66" s="354">
        <v>23494</v>
      </c>
      <c r="M66" s="354">
        <v>16279</v>
      </c>
      <c r="N66" s="354">
        <v>39773</v>
      </c>
    </row>
    <row r="67" spans="1:14">
      <c r="A67" s="907"/>
      <c r="B67" s="353" t="s">
        <v>301</v>
      </c>
      <c r="C67" s="112">
        <v>1207</v>
      </c>
      <c r="D67" s="112">
        <v>1130</v>
      </c>
      <c r="E67" s="112">
        <v>2337</v>
      </c>
      <c r="F67" s="112">
        <v>24664</v>
      </c>
      <c r="G67" s="112">
        <v>19350</v>
      </c>
      <c r="H67" s="112">
        <v>44014</v>
      </c>
      <c r="I67" s="112">
        <v>6049</v>
      </c>
      <c r="J67" s="112">
        <v>5647</v>
      </c>
      <c r="K67" s="112">
        <v>11696</v>
      </c>
      <c r="L67" s="354"/>
      <c r="M67" s="354"/>
      <c r="N67" s="354"/>
    </row>
    <row r="68" spans="1:14">
      <c r="A68" s="907"/>
      <c r="B68" s="353" t="s">
        <v>300</v>
      </c>
      <c r="C68" s="354">
        <v>1127</v>
      </c>
      <c r="D68" s="354">
        <v>613</v>
      </c>
      <c r="E68" s="354">
        <v>1740</v>
      </c>
      <c r="F68" s="354">
        <v>20279</v>
      </c>
      <c r="G68" s="354">
        <v>15773</v>
      </c>
      <c r="H68" s="354">
        <v>36052</v>
      </c>
      <c r="I68" s="354">
        <v>5221</v>
      </c>
      <c r="J68" s="354">
        <v>4455</v>
      </c>
      <c r="K68" s="354">
        <v>9676</v>
      </c>
      <c r="L68" s="354"/>
      <c r="M68" s="354"/>
      <c r="N68" s="354"/>
    </row>
    <row r="69" spans="1:14">
      <c r="A69" s="907"/>
      <c r="B69" s="353" t="s">
        <v>299</v>
      </c>
      <c r="C69" s="113">
        <v>1081</v>
      </c>
      <c r="D69" s="113">
        <v>744</v>
      </c>
      <c r="E69" s="114">
        <f>C69+D69</f>
        <v>1825</v>
      </c>
      <c r="F69" s="113">
        <v>19839</v>
      </c>
      <c r="G69" s="113">
        <v>15556</v>
      </c>
      <c r="H69" s="114">
        <f>F69+G69</f>
        <v>35395</v>
      </c>
      <c r="I69" s="113">
        <v>5550</v>
      </c>
      <c r="J69" s="113">
        <v>4544</v>
      </c>
      <c r="K69" s="114">
        <f>I69+J69</f>
        <v>10094</v>
      </c>
      <c r="L69" s="354"/>
      <c r="M69" s="354"/>
      <c r="N69" s="354"/>
    </row>
    <row r="70" spans="1:14">
      <c r="A70" s="907"/>
      <c r="B70" s="359" t="s">
        <v>298</v>
      </c>
      <c r="C70" s="103">
        <v>1892</v>
      </c>
      <c r="D70" s="103">
        <v>947</v>
      </c>
      <c r="E70" s="95">
        <v>2839</v>
      </c>
      <c r="F70" s="103">
        <v>19694</v>
      </c>
      <c r="G70" s="103">
        <v>14185</v>
      </c>
      <c r="H70" s="95">
        <v>33879</v>
      </c>
      <c r="I70" s="103">
        <v>4199</v>
      </c>
      <c r="J70" s="103">
        <v>3553</v>
      </c>
      <c r="K70" s="95">
        <v>7752</v>
      </c>
      <c r="L70" s="354"/>
      <c r="M70" s="354"/>
      <c r="N70" s="354"/>
    </row>
    <row r="71" spans="1:14">
      <c r="A71" s="907">
        <v>11</v>
      </c>
      <c r="B71" s="363" t="s">
        <v>26</v>
      </c>
      <c r="C71" s="437"/>
      <c r="D71" s="364"/>
      <c r="E71" s="364"/>
      <c r="F71" s="364"/>
      <c r="G71" s="364"/>
      <c r="H71" s="364"/>
      <c r="I71" s="364"/>
      <c r="J71" s="364"/>
      <c r="K71" s="364"/>
      <c r="L71" s="364"/>
      <c r="M71" s="364"/>
      <c r="N71" s="365"/>
    </row>
    <row r="72" spans="1:14">
      <c r="A72" s="907"/>
      <c r="B72" s="353" t="s">
        <v>997</v>
      </c>
      <c r="C72" s="112">
        <v>646</v>
      </c>
      <c r="D72" s="112">
        <v>447</v>
      </c>
      <c r="E72" s="112">
        <v>1093</v>
      </c>
      <c r="F72" s="112">
        <v>7423</v>
      </c>
      <c r="G72" s="112">
        <v>3022</v>
      </c>
      <c r="H72" s="112">
        <v>10445</v>
      </c>
      <c r="I72" s="112">
        <v>4769</v>
      </c>
      <c r="J72" s="112">
        <v>6919</v>
      </c>
      <c r="K72" s="112">
        <v>11688</v>
      </c>
      <c r="L72" s="354">
        <v>5867</v>
      </c>
      <c r="M72" s="354">
        <v>4413</v>
      </c>
      <c r="N72" s="354">
        <v>10280</v>
      </c>
    </row>
    <row r="73" spans="1:14">
      <c r="A73" s="907"/>
      <c r="B73" s="353" t="s">
        <v>301</v>
      </c>
      <c r="C73" s="112">
        <v>499</v>
      </c>
      <c r="D73" s="112">
        <v>215</v>
      </c>
      <c r="E73" s="112">
        <v>714</v>
      </c>
      <c r="F73" s="112">
        <v>9317</v>
      </c>
      <c r="G73" s="112">
        <v>3560</v>
      </c>
      <c r="H73" s="112">
        <v>12877</v>
      </c>
      <c r="I73" s="112">
        <v>5012</v>
      </c>
      <c r="J73" s="112">
        <v>6921</v>
      </c>
      <c r="K73" s="112">
        <v>11933</v>
      </c>
      <c r="L73" s="354"/>
      <c r="M73" s="354"/>
      <c r="N73" s="354"/>
    </row>
    <row r="74" spans="1:14">
      <c r="A74" s="907"/>
      <c r="B74" s="353" t="s">
        <v>300</v>
      </c>
      <c r="C74" s="354">
        <v>505</v>
      </c>
      <c r="D74" s="354">
        <v>829</v>
      </c>
      <c r="E74" s="354">
        <v>1334</v>
      </c>
      <c r="F74" s="354">
        <v>7297</v>
      </c>
      <c r="G74" s="354">
        <v>2787</v>
      </c>
      <c r="H74" s="354">
        <v>10084</v>
      </c>
      <c r="I74" s="354">
        <v>6152</v>
      </c>
      <c r="J74" s="354">
        <v>6933</v>
      </c>
      <c r="K74" s="354">
        <v>13085</v>
      </c>
      <c r="L74" s="354"/>
      <c r="M74" s="354"/>
      <c r="N74" s="354"/>
    </row>
    <row r="75" spans="1:14">
      <c r="A75" s="907"/>
      <c r="B75" s="353" t="s">
        <v>299</v>
      </c>
      <c r="C75" s="113">
        <v>419</v>
      </c>
      <c r="D75" s="113">
        <v>350</v>
      </c>
      <c r="E75" s="114">
        <f>C75+D75</f>
        <v>769</v>
      </c>
      <c r="F75" s="113">
        <v>5702</v>
      </c>
      <c r="G75" s="113">
        <v>1905</v>
      </c>
      <c r="H75" s="114">
        <f>F75+G75</f>
        <v>7607</v>
      </c>
      <c r="I75" s="113">
        <v>5967</v>
      </c>
      <c r="J75" s="113">
        <v>6437</v>
      </c>
      <c r="K75" s="114">
        <f>I75+J75</f>
        <v>12404</v>
      </c>
      <c r="L75" s="354"/>
      <c r="M75" s="354"/>
      <c r="N75" s="354"/>
    </row>
    <row r="76" spans="1:14">
      <c r="A76" s="907"/>
      <c r="B76" s="359" t="s">
        <v>298</v>
      </c>
      <c r="C76" s="103">
        <v>640</v>
      </c>
      <c r="D76" s="103">
        <v>576</v>
      </c>
      <c r="E76" s="95">
        <v>1216</v>
      </c>
      <c r="F76" s="103">
        <v>6441</v>
      </c>
      <c r="G76" s="103">
        <v>2006</v>
      </c>
      <c r="H76" s="95">
        <v>8447</v>
      </c>
      <c r="I76" s="103">
        <v>5908</v>
      </c>
      <c r="J76" s="103">
        <v>5628</v>
      </c>
      <c r="K76" s="95">
        <v>11536</v>
      </c>
      <c r="L76" s="354"/>
      <c r="M76" s="354"/>
      <c r="N76" s="354"/>
    </row>
    <row r="77" spans="1:14">
      <c r="A77" s="907">
        <v>12</v>
      </c>
      <c r="B77" s="363" t="s">
        <v>27</v>
      </c>
      <c r="C77" s="437"/>
      <c r="D77" s="364"/>
      <c r="E77" s="364"/>
      <c r="F77" s="364"/>
      <c r="G77" s="364"/>
      <c r="H77" s="364"/>
      <c r="I77" s="364"/>
      <c r="J77" s="364"/>
      <c r="K77" s="364"/>
      <c r="L77" s="364"/>
      <c r="M77" s="364"/>
      <c r="N77" s="365"/>
    </row>
    <row r="78" spans="1:14">
      <c r="A78" s="907"/>
      <c r="B78" s="353" t="s">
        <v>997</v>
      </c>
      <c r="C78" s="112">
        <v>192</v>
      </c>
      <c r="D78" s="112">
        <v>91</v>
      </c>
      <c r="E78" s="112">
        <v>283</v>
      </c>
      <c r="F78" s="112">
        <v>616</v>
      </c>
      <c r="G78" s="112">
        <v>560</v>
      </c>
      <c r="H78" s="112">
        <v>1176</v>
      </c>
      <c r="I78" s="112">
        <v>1141</v>
      </c>
      <c r="J78" s="112">
        <v>1354</v>
      </c>
      <c r="K78" s="112">
        <v>2495</v>
      </c>
      <c r="L78" s="354">
        <v>1196</v>
      </c>
      <c r="M78" s="354">
        <v>1203</v>
      </c>
      <c r="N78" s="354">
        <v>2399</v>
      </c>
    </row>
    <row r="79" spans="1:14">
      <c r="A79" s="907"/>
      <c r="B79" s="353" t="s">
        <v>301</v>
      </c>
      <c r="C79" s="112">
        <v>246</v>
      </c>
      <c r="D79" s="112">
        <v>123</v>
      </c>
      <c r="E79" s="112">
        <v>369</v>
      </c>
      <c r="F79" s="112">
        <v>1103</v>
      </c>
      <c r="G79" s="112">
        <v>661</v>
      </c>
      <c r="H79" s="112">
        <v>1764</v>
      </c>
      <c r="I79" s="112">
        <v>1753</v>
      </c>
      <c r="J79" s="112">
        <v>1531</v>
      </c>
      <c r="K79" s="112">
        <v>3284</v>
      </c>
      <c r="L79" s="354"/>
      <c r="M79" s="354"/>
      <c r="N79" s="354"/>
    </row>
    <row r="80" spans="1:14">
      <c r="A80" s="907"/>
      <c r="B80" s="353" t="s">
        <v>300</v>
      </c>
      <c r="C80" s="354">
        <v>226</v>
      </c>
      <c r="D80" s="354">
        <v>83</v>
      </c>
      <c r="E80" s="354">
        <v>309</v>
      </c>
      <c r="F80" s="354">
        <v>1189</v>
      </c>
      <c r="G80" s="354">
        <v>608</v>
      </c>
      <c r="H80" s="354">
        <v>1797</v>
      </c>
      <c r="I80" s="354">
        <v>1048</v>
      </c>
      <c r="J80" s="354">
        <v>1404</v>
      </c>
      <c r="K80" s="354">
        <v>2452</v>
      </c>
      <c r="L80" s="354"/>
      <c r="M80" s="354"/>
      <c r="N80" s="354"/>
    </row>
    <row r="81" spans="1:14">
      <c r="A81" s="907"/>
      <c r="B81" s="353" t="s">
        <v>299</v>
      </c>
      <c r="C81" s="113">
        <v>213</v>
      </c>
      <c r="D81" s="113">
        <v>77</v>
      </c>
      <c r="E81" s="114">
        <f>C81+D81</f>
        <v>290</v>
      </c>
      <c r="F81" s="113">
        <v>913</v>
      </c>
      <c r="G81" s="113">
        <v>489</v>
      </c>
      <c r="H81" s="114">
        <f>F81+G81</f>
        <v>1402</v>
      </c>
      <c r="I81" s="113">
        <v>553</v>
      </c>
      <c r="J81" s="113">
        <v>1190</v>
      </c>
      <c r="K81" s="114">
        <f>I81+J81</f>
        <v>1743</v>
      </c>
      <c r="L81" s="354"/>
      <c r="M81" s="354"/>
      <c r="N81" s="354"/>
    </row>
    <row r="82" spans="1:14">
      <c r="A82" s="907"/>
      <c r="B82" s="359" t="s">
        <v>298</v>
      </c>
      <c r="C82" s="103">
        <v>438</v>
      </c>
      <c r="D82" s="103">
        <v>140</v>
      </c>
      <c r="E82" s="95">
        <v>578</v>
      </c>
      <c r="F82" s="103">
        <v>858</v>
      </c>
      <c r="G82" s="103">
        <v>479</v>
      </c>
      <c r="H82" s="95">
        <v>1337</v>
      </c>
      <c r="I82" s="103">
        <v>554</v>
      </c>
      <c r="J82" s="103">
        <v>1370</v>
      </c>
      <c r="K82" s="95">
        <v>1924</v>
      </c>
      <c r="L82" s="354"/>
      <c r="M82" s="354"/>
      <c r="N82" s="354"/>
    </row>
    <row r="83" spans="1:14">
      <c r="A83" s="907">
        <v>13</v>
      </c>
      <c r="B83" s="363" t="s">
        <v>57</v>
      </c>
      <c r="C83" s="437"/>
      <c r="D83" s="364"/>
      <c r="E83" s="364"/>
      <c r="F83" s="364"/>
      <c r="G83" s="364"/>
      <c r="H83" s="364"/>
      <c r="I83" s="364"/>
      <c r="J83" s="364"/>
      <c r="K83" s="364"/>
      <c r="L83" s="364"/>
      <c r="M83" s="364"/>
      <c r="N83" s="365"/>
    </row>
    <row r="84" spans="1:14">
      <c r="A84" s="907"/>
      <c r="B84" s="353" t="s">
        <v>997</v>
      </c>
      <c r="C84" s="112">
        <v>297</v>
      </c>
      <c r="D84" s="112">
        <v>291</v>
      </c>
      <c r="E84" s="112">
        <v>588</v>
      </c>
      <c r="F84" s="112">
        <v>65193</v>
      </c>
      <c r="G84" s="112">
        <v>66149</v>
      </c>
      <c r="H84" s="112">
        <v>131342</v>
      </c>
      <c r="I84" s="112">
        <v>2465</v>
      </c>
      <c r="J84" s="112">
        <v>3328</v>
      </c>
      <c r="K84" s="112">
        <v>5793</v>
      </c>
      <c r="L84" s="354">
        <v>2500</v>
      </c>
      <c r="M84" s="354">
        <v>3192</v>
      </c>
      <c r="N84" s="354">
        <v>5692</v>
      </c>
    </row>
    <row r="85" spans="1:14">
      <c r="A85" s="907"/>
      <c r="B85" s="353" t="s">
        <v>301</v>
      </c>
      <c r="C85" s="112">
        <v>334</v>
      </c>
      <c r="D85" s="112">
        <v>262</v>
      </c>
      <c r="E85" s="112">
        <v>596</v>
      </c>
      <c r="F85" s="112">
        <v>89608</v>
      </c>
      <c r="G85" s="112">
        <v>89068</v>
      </c>
      <c r="H85" s="112">
        <v>178676</v>
      </c>
      <c r="I85" s="112">
        <v>2447</v>
      </c>
      <c r="J85" s="112">
        <v>3229</v>
      </c>
      <c r="K85" s="112">
        <v>5676</v>
      </c>
      <c r="L85" s="354"/>
      <c r="M85" s="354"/>
      <c r="N85" s="354"/>
    </row>
    <row r="86" spans="1:14">
      <c r="A86" s="907"/>
      <c r="B86" s="353" t="s">
        <v>300</v>
      </c>
      <c r="C86" s="354">
        <v>660</v>
      </c>
      <c r="D86" s="354">
        <v>1675</v>
      </c>
      <c r="E86" s="354">
        <v>2335</v>
      </c>
      <c r="F86" s="354">
        <v>81908</v>
      </c>
      <c r="G86" s="354">
        <v>75806</v>
      </c>
      <c r="H86" s="354">
        <v>157714</v>
      </c>
      <c r="I86" s="354">
        <v>2675</v>
      </c>
      <c r="J86" s="354">
        <v>3986</v>
      </c>
      <c r="K86" s="354">
        <v>6661</v>
      </c>
      <c r="L86" s="354"/>
      <c r="M86" s="354"/>
      <c r="N86" s="354"/>
    </row>
    <row r="87" spans="1:14">
      <c r="A87" s="907"/>
      <c r="B87" s="353" t="s">
        <v>299</v>
      </c>
      <c r="C87" s="113">
        <v>286</v>
      </c>
      <c r="D87" s="113">
        <v>180</v>
      </c>
      <c r="E87" s="114">
        <f>C87+D87</f>
        <v>466</v>
      </c>
      <c r="F87" s="113">
        <v>72401</v>
      </c>
      <c r="G87" s="113">
        <v>69561</v>
      </c>
      <c r="H87" s="114">
        <f>F87+G87</f>
        <v>141962</v>
      </c>
      <c r="I87" s="113">
        <v>2325</v>
      </c>
      <c r="J87" s="113">
        <v>3568</v>
      </c>
      <c r="K87" s="114">
        <f>I87+J87</f>
        <v>5893</v>
      </c>
      <c r="L87" s="354"/>
      <c r="M87" s="354"/>
      <c r="N87" s="354"/>
    </row>
    <row r="88" spans="1:14">
      <c r="A88" s="907"/>
      <c r="B88" s="359" t="s">
        <v>298</v>
      </c>
      <c r="C88" s="103">
        <v>358</v>
      </c>
      <c r="D88" s="103">
        <v>531</v>
      </c>
      <c r="E88" s="95">
        <v>889</v>
      </c>
      <c r="F88" s="103">
        <v>63899</v>
      </c>
      <c r="G88" s="103">
        <v>57200</v>
      </c>
      <c r="H88" s="95">
        <v>121099</v>
      </c>
      <c r="I88" s="103">
        <v>2131</v>
      </c>
      <c r="J88" s="103">
        <v>3282</v>
      </c>
      <c r="K88" s="95">
        <v>5413</v>
      </c>
      <c r="L88" s="354"/>
      <c r="M88" s="354"/>
      <c r="N88" s="354"/>
    </row>
    <row r="89" spans="1:14">
      <c r="A89" s="907">
        <v>14</v>
      </c>
      <c r="B89" s="363" t="s">
        <v>29</v>
      </c>
      <c r="C89" s="437"/>
      <c r="D89" s="364"/>
      <c r="E89" s="364"/>
      <c r="F89" s="364"/>
      <c r="G89" s="364"/>
      <c r="H89" s="364"/>
      <c r="I89" s="364"/>
      <c r="J89" s="364"/>
      <c r="K89" s="364"/>
      <c r="L89" s="364"/>
      <c r="M89" s="364"/>
      <c r="N89" s="365"/>
    </row>
    <row r="90" spans="1:14">
      <c r="A90" s="907"/>
      <c r="B90" s="353" t="s">
        <v>997</v>
      </c>
      <c r="C90" s="112">
        <v>546</v>
      </c>
      <c r="D90" s="112">
        <v>225</v>
      </c>
      <c r="E90" s="112">
        <v>771</v>
      </c>
      <c r="F90" s="112">
        <v>17069</v>
      </c>
      <c r="G90" s="112">
        <v>17244</v>
      </c>
      <c r="H90" s="112">
        <v>34313</v>
      </c>
      <c r="I90" s="112">
        <v>4916</v>
      </c>
      <c r="J90" s="112">
        <v>6884</v>
      </c>
      <c r="K90" s="112">
        <v>11800</v>
      </c>
      <c r="L90" s="354">
        <v>3010</v>
      </c>
      <c r="M90" s="354">
        <v>1700</v>
      </c>
      <c r="N90" s="354">
        <v>4710</v>
      </c>
    </row>
    <row r="91" spans="1:14">
      <c r="A91" s="907"/>
      <c r="B91" s="353" t="s">
        <v>301</v>
      </c>
      <c r="C91" s="112">
        <v>773</v>
      </c>
      <c r="D91" s="112">
        <v>384</v>
      </c>
      <c r="E91" s="112">
        <v>1157</v>
      </c>
      <c r="F91" s="112">
        <v>21742</v>
      </c>
      <c r="G91" s="112">
        <v>21834</v>
      </c>
      <c r="H91" s="112">
        <v>43576</v>
      </c>
      <c r="I91" s="112">
        <v>6150</v>
      </c>
      <c r="J91" s="112">
        <v>6989</v>
      </c>
      <c r="K91" s="112">
        <v>13139</v>
      </c>
      <c r="L91" s="354"/>
      <c r="M91" s="354"/>
      <c r="N91" s="354"/>
    </row>
    <row r="92" spans="1:14">
      <c r="A92" s="907"/>
      <c r="B92" s="353" t="s">
        <v>300</v>
      </c>
      <c r="C92" s="354">
        <v>459</v>
      </c>
      <c r="D92" s="354">
        <v>180</v>
      </c>
      <c r="E92" s="354">
        <v>639</v>
      </c>
      <c r="F92" s="354">
        <v>20388</v>
      </c>
      <c r="G92" s="354">
        <v>20122</v>
      </c>
      <c r="H92" s="354">
        <v>40510</v>
      </c>
      <c r="I92" s="354">
        <v>5602</v>
      </c>
      <c r="J92" s="354">
        <v>7056</v>
      </c>
      <c r="K92" s="354">
        <v>12658</v>
      </c>
      <c r="L92" s="354"/>
      <c r="M92" s="354"/>
      <c r="N92" s="354"/>
    </row>
    <row r="93" spans="1:14">
      <c r="A93" s="907"/>
      <c r="B93" s="353" t="s">
        <v>299</v>
      </c>
      <c r="C93" s="113">
        <v>500</v>
      </c>
      <c r="D93" s="113">
        <v>252</v>
      </c>
      <c r="E93" s="114">
        <f>C93+D93</f>
        <v>752</v>
      </c>
      <c r="F93" s="113">
        <v>18085</v>
      </c>
      <c r="G93" s="113">
        <v>18702</v>
      </c>
      <c r="H93" s="114">
        <f>F93+G93</f>
        <v>36787</v>
      </c>
      <c r="I93" s="113">
        <v>5050</v>
      </c>
      <c r="J93" s="113">
        <v>7315</v>
      </c>
      <c r="K93" s="114">
        <f>I93+J93</f>
        <v>12365</v>
      </c>
      <c r="L93" s="354"/>
      <c r="M93" s="354"/>
      <c r="N93" s="354"/>
    </row>
    <row r="94" spans="1:14">
      <c r="A94" s="907"/>
      <c r="B94" s="359" t="s">
        <v>298</v>
      </c>
      <c r="C94" s="103">
        <v>368</v>
      </c>
      <c r="D94" s="103">
        <v>200</v>
      </c>
      <c r="E94" s="95">
        <v>568</v>
      </c>
      <c r="F94" s="103">
        <v>18826</v>
      </c>
      <c r="G94" s="103">
        <v>18369</v>
      </c>
      <c r="H94" s="95">
        <v>37195</v>
      </c>
      <c r="I94" s="103">
        <v>5737</v>
      </c>
      <c r="J94" s="103">
        <v>8420</v>
      </c>
      <c r="K94" s="95">
        <v>14157</v>
      </c>
      <c r="L94" s="354"/>
      <c r="M94" s="354"/>
      <c r="N94" s="354"/>
    </row>
    <row r="95" spans="1:14">
      <c r="A95" s="907">
        <v>15</v>
      </c>
      <c r="B95" s="363" t="s">
        <v>30</v>
      </c>
      <c r="C95" s="437"/>
      <c r="D95" s="364"/>
      <c r="E95" s="364"/>
      <c r="F95" s="364"/>
      <c r="G95" s="364"/>
      <c r="H95" s="364"/>
      <c r="I95" s="364"/>
      <c r="J95" s="364"/>
      <c r="K95" s="364"/>
      <c r="L95" s="364"/>
      <c r="M95" s="364"/>
      <c r="N95" s="365"/>
    </row>
    <row r="96" spans="1:14">
      <c r="A96" s="907"/>
      <c r="B96" s="353" t="s">
        <v>997</v>
      </c>
      <c r="C96" s="112">
        <v>2665</v>
      </c>
      <c r="D96" s="112">
        <v>1830</v>
      </c>
      <c r="E96" s="112">
        <v>4495</v>
      </c>
      <c r="F96" s="112">
        <v>72487</v>
      </c>
      <c r="G96" s="112">
        <v>65871</v>
      </c>
      <c r="H96" s="112">
        <v>138358</v>
      </c>
      <c r="I96" s="112">
        <v>36086</v>
      </c>
      <c r="J96" s="112">
        <v>45593</v>
      </c>
      <c r="K96" s="112">
        <v>81679</v>
      </c>
      <c r="L96" s="354">
        <v>15920</v>
      </c>
      <c r="M96" s="354">
        <v>35128</v>
      </c>
      <c r="N96" s="354">
        <v>51048</v>
      </c>
    </row>
    <row r="97" spans="1:14">
      <c r="A97" s="907"/>
      <c r="B97" s="353" t="s">
        <v>301</v>
      </c>
      <c r="C97" s="112">
        <v>2398</v>
      </c>
      <c r="D97" s="112">
        <v>2204</v>
      </c>
      <c r="E97" s="112">
        <v>4602</v>
      </c>
      <c r="F97" s="112">
        <v>75198</v>
      </c>
      <c r="G97" s="112">
        <v>69313</v>
      </c>
      <c r="H97" s="112">
        <v>144511</v>
      </c>
      <c r="I97" s="112">
        <v>38600</v>
      </c>
      <c r="J97" s="112">
        <v>49170</v>
      </c>
      <c r="K97" s="112">
        <v>87770</v>
      </c>
      <c r="L97" s="354"/>
      <c r="M97" s="354"/>
      <c r="N97" s="354"/>
    </row>
    <row r="98" spans="1:14">
      <c r="A98" s="907"/>
      <c r="B98" s="353" t="s">
        <v>300</v>
      </c>
      <c r="C98" s="354">
        <v>2310</v>
      </c>
      <c r="D98" s="354">
        <v>1986</v>
      </c>
      <c r="E98" s="354">
        <v>4296</v>
      </c>
      <c r="F98" s="354">
        <v>65642</v>
      </c>
      <c r="G98" s="354">
        <v>59894</v>
      </c>
      <c r="H98" s="354">
        <v>125536</v>
      </c>
      <c r="I98" s="354">
        <v>36255</v>
      </c>
      <c r="J98" s="354">
        <v>45244</v>
      </c>
      <c r="K98" s="354">
        <v>81499</v>
      </c>
      <c r="L98" s="354"/>
      <c r="M98" s="354"/>
      <c r="N98" s="354"/>
    </row>
    <row r="99" spans="1:14">
      <c r="A99" s="907"/>
      <c r="B99" s="353" t="s">
        <v>299</v>
      </c>
      <c r="C99" s="113">
        <v>2098</v>
      </c>
      <c r="D99" s="113">
        <v>1510</v>
      </c>
      <c r="E99" s="114">
        <f>C99+D99</f>
        <v>3608</v>
      </c>
      <c r="F99" s="113">
        <v>61778</v>
      </c>
      <c r="G99" s="113">
        <v>57689</v>
      </c>
      <c r="H99" s="114">
        <f>F99+G99</f>
        <v>119467</v>
      </c>
      <c r="I99" s="113">
        <v>30409</v>
      </c>
      <c r="J99" s="113">
        <v>40700</v>
      </c>
      <c r="K99" s="114">
        <f>I99+J99</f>
        <v>71109</v>
      </c>
      <c r="L99" s="354"/>
      <c r="M99" s="354"/>
      <c r="N99" s="354"/>
    </row>
    <row r="100" spans="1:14">
      <c r="A100" s="907"/>
      <c r="B100" s="359" t="s">
        <v>298</v>
      </c>
      <c r="C100" s="103">
        <v>2304</v>
      </c>
      <c r="D100" s="103">
        <v>1404</v>
      </c>
      <c r="E100" s="95">
        <v>3708</v>
      </c>
      <c r="F100" s="103">
        <v>59521</v>
      </c>
      <c r="G100" s="103">
        <v>53157</v>
      </c>
      <c r="H100" s="95">
        <v>112678</v>
      </c>
      <c r="I100" s="103">
        <v>30745</v>
      </c>
      <c r="J100" s="103">
        <v>39132</v>
      </c>
      <c r="K100" s="95">
        <v>69877</v>
      </c>
      <c r="L100" s="354"/>
      <c r="M100" s="354"/>
      <c r="N100" s="354"/>
    </row>
    <row r="101" spans="1:14">
      <c r="A101" s="907">
        <v>16</v>
      </c>
      <c r="B101" s="363" t="s">
        <v>31</v>
      </c>
      <c r="C101" s="437"/>
      <c r="D101" s="364"/>
      <c r="E101" s="364"/>
      <c r="F101" s="364"/>
      <c r="G101" s="364"/>
      <c r="H101" s="364"/>
      <c r="I101" s="364"/>
      <c r="J101" s="364"/>
      <c r="K101" s="364"/>
      <c r="L101" s="364"/>
      <c r="M101" s="364"/>
      <c r="N101" s="365"/>
    </row>
    <row r="102" spans="1:14">
      <c r="A102" s="907"/>
      <c r="B102" s="353" t="s">
        <v>997</v>
      </c>
      <c r="C102" s="112">
        <v>2103</v>
      </c>
      <c r="D102" s="112">
        <v>1888</v>
      </c>
      <c r="E102" s="112">
        <v>3991</v>
      </c>
      <c r="F102" s="112">
        <v>68170</v>
      </c>
      <c r="G102" s="112">
        <v>102759</v>
      </c>
      <c r="H102" s="112">
        <v>170929</v>
      </c>
      <c r="I102" s="112">
        <v>51334</v>
      </c>
      <c r="J102" s="112">
        <v>63552</v>
      </c>
      <c r="K102" s="112">
        <v>114886</v>
      </c>
      <c r="L102" s="354">
        <v>6189</v>
      </c>
      <c r="M102" s="354">
        <v>10363</v>
      </c>
      <c r="N102" s="354">
        <v>16552</v>
      </c>
    </row>
    <row r="103" spans="1:14">
      <c r="A103" s="907"/>
      <c r="B103" s="353" t="s">
        <v>301</v>
      </c>
      <c r="C103" s="112">
        <v>1975</v>
      </c>
      <c r="D103" s="112">
        <v>1735</v>
      </c>
      <c r="E103" s="112">
        <v>3710</v>
      </c>
      <c r="F103" s="112">
        <v>68848</v>
      </c>
      <c r="G103" s="112">
        <v>97179</v>
      </c>
      <c r="H103" s="112">
        <v>166027</v>
      </c>
      <c r="I103" s="112">
        <v>51070</v>
      </c>
      <c r="J103" s="112">
        <v>66907</v>
      </c>
      <c r="K103" s="112">
        <v>117977</v>
      </c>
      <c r="L103" s="354"/>
      <c r="M103" s="354"/>
      <c r="N103" s="354"/>
    </row>
    <row r="104" spans="1:14">
      <c r="A104" s="907"/>
      <c r="B104" s="353" t="s">
        <v>300</v>
      </c>
      <c r="C104" s="354">
        <v>1807</v>
      </c>
      <c r="D104" s="354">
        <v>1704</v>
      </c>
      <c r="E104" s="354">
        <v>3511</v>
      </c>
      <c r="F104" s="354">
        <v>67175</v>
      </c>
      <c r="G104" s="354">
        <v>92073</v>
      </c>
      <c r="H104" s="354">
        <v>159248</v>
      </c>
      <c r="I104" s="354">
        <v>48761</v>
      </c>
      <c r="J104" s="354">
        <v>68145</v>
      </c>
      <c r="K104" s="354">
        <v>116906</v>
      </c>
      <c r="L104" s="354"/>
      <c r="M104" s="354"/>
      <c r="N104" s="354"/>
    </row>
    <row r="105" spans="1:14">
      <c r="A105" s="907"/>
      <c r="B105" s="353" t="s">
        <v>299</v>
      </c>
      <c r="C105" s="113">
        <v>1388</v>
      </c>
      <c r="D105" s="113">
        <v>1356</v>
      </c>
      <c r="E105" s="114">
        <f>C105+D105</f>
        <v>2744</v>
      </c>
      <c r="F105" s="113">
        <v>63875</v>
      </c>
      <c r="G105" s="113">
        <v>85316</v>
      </c>
      <c r="H105" s="114">
        <f>F105+G105</f>
        <v>149191</v>
      </c>
      <c r="I105" s="113">
        <v>48606</v>
      </c>
      <c r="J105" s="113">
        <v>68548</v>
      </c>
      <c r="K105" s="114">
        <f>I105+J105</f>
        <v>117154</v>
      </c>
      <c r="L105" s="354"/>
      <c r="M105" s="354"/>
      <c r="N105" s="354"/>
    </row>
    <row r="106" spans="1:14">
      <c r="A106" s="907"/>
      <c r="B106" s="359" t="s">
        <v>298</v>
      </c>
      <c r="C106" s="103">
        <v>1285</v>
      </c>
      <c r="D106" s="103">
        <v>1233</v>
      </c>
      <c r="E106" s="95">
        <v>2518</v>
      </c>
      <c r="F106" s="103">
        <v>55375</v>
      </c>
      <c r="G106" s="103">
        <v>65947</v>
      </c>
      <c r="H106" s="95">
        <v>121322</v>
      </c>
      <c r="I106" s="103">
        <v>44565</v>
      </c>
      <c r="J106" s="103">
        <v>62620</v>
      </c>
      <c r="K106" s="95">
        <v>107185</v>
      </c>
      <c r="L106" s="354"/>
      <c r="M106" s="354"/>
      <c r="N106" s="354"/>
    </row>
    <row r="107" spans="1:14">
      <c r="A107" s="1156">
        <v>17</v>
      </c>
      <c r="B107" s="363" t="s">
        <v>172</v>
      </c>
      <c r="C107" s="437"/>
      <c r="D107" s="364"/>
      <c r="E107" s="364"/>
      <c r="F107" s="364"/>
      <c r="G107" s="364"/>
      <c r="H107" s="364"/>
      <c r="I107" s="364"/>
      <c r="J107" s="364"/>
      <c r="K107" s="364"/>
      <c r="L107" s="364"/>
      <c r="M107" s="364"/>
      <c r="N107" s="365"/>
    </row>
    <row r="108" spans="1:14">
      <c r="A108" s="1157"/>
      <c r="B108" s="353" t="s">
        <v>997</v>
      </c>
      <c r="C108" s="354">
        <v>0</v>
      </c>
      <c r="D108" s="354">
        <v>0</v>
      </c>
      <c r="E108" s="354">
        <v>0</v>
      </c>
      <c r="F108" s="112">
        <v>679</v>
      </c>
      <c r="G108" s="112">
        <v>1341</v>
      </c>
      <c r="H108" s="112">
        <v>2020</v>
      </c>
      <c r="I108" s="112">
        <v>226</v>
      </c>
      <c r="J108" s="112">
        <v>564</v>
      </c>
      <c r="K108" s="112">
        <v>790</v>
      </c>
      <c r="L108" s="354">
        <v>0</v>
      </c>
      <c r="M108" s="354">
        <v>0</v>
      </c>
      <c r="N108" s="354">
        <v>0</v>
      </c>
    </row>
    <row r="109" spans="1:14">
      <c r="A109" s="1158"/>
      <c r="B109" s="353" t="s">
        <v>301</v>
      </c>
      <c r="C109" s="354">
        <v>0</v>
      </c>
      <c r="D109" s="354">
        <v>0</v>
      </c>
      <c r="E109" s="354">
        <v>0</v>
      </c>
      <c r="F109" s="112">
        <v>652</v>
      </c>
      <c r="G109" s="112">
        <v>1302</v>
      </c>
      <c r="H109" s="112">
        <v>1954</v>
      </c>
      <c r="I109" s="112">
        <v>307</v>
      </c>
      <c r="J109" s="112">
        <v>583</v>
      </c>
      <c r="K109" s="112">
        <v>890</v>
      </c>
      <c r="L109" s="354"/>
      <c r="M109" s="354"/>
      <c r="N109" s="354"/>
    </row>
    <row r="110" spans="1:14">
      <c r="A110" s="907">
        <v>18</v>
      </c>
      <c r="B110" s="363" t="s">
        <v>32</v>
      </c>
      <c r="C110" s="437"/>
      <c r="D110" s="364"/>
      <c r="E110" s="364"/>
      <c r="F110" s="364"/>
      <c r="G110" s="364"/>
      <c r="H110" s="364"/>
      <c r="I110" s="364"/>
      <c r="J110" s="364"/>
      <c r="K110" s="364"/>
      <c r="L110" s="364"/>
      <c r="M110" s="364"/>
      <c r="N110" s="365"/>
    </row>
    <row r="111" spans="1:14">
      <c r="A111" s="907"/>
      <c r="B111" s="353" t="s">
        <v>997</v>
      </c>
      <c r="C111" s="354">
        <v>0</v>
      </c>
      <c r="D111" s="354">
        <v>0</v>
      </c>
      <c r="E111" s="354">
        <v>0</v>
      </c>
      <c r="F111" s="112">
        <v>70</v>
      </c>
      <c r="G111" s="112">
        <v>256</v>
      </c>
      <c r="H111" s="112">
        <v>326</v>
      </c>
      <c r="I111" s="354">
        <v>0</v>
      </c>
      <c r="J111" s="354">
        <v>0</v>
      </c>
      <c r="K111" s="354">
        <v>0</v>
      </c>
      <c r="L111" s="354">
        <v>0</v>
      </c>
      <c r="M111" s="354">
        <v>0</v>
      </c>
      <c r="N111" s="354">
        <v>0</v>
      </c>
    </row>
    <row r="112" spans="1:14">
      <c r="A112" s="907"/>
      <c r="B112" s="353" t="s">
        <v>301</v>
      </c>
      <c r="C112" s="354">
        <v>0</v>
      </c>
      <c r="D112" s="354">
        <v>0</v>
      </c>
      <c r="E112" s="354">
        <v>0</v>
      </c>
      <c r="F112" s="112">
        <v>70</v>
      </c>
      <c r="G112" s="112">
        <v>256</v>
      </c>
      <c r="H112" s="112">
        <v>326</v>
      </c>
      <c r="I112" s="354">
        <v>0</v>
      </c>
      <c r="J112" s="354">
        <v>0</v>
      </c>
      <c r="K112" s="354">
        <v>0</v>
      </c>
      <c r="L112" s="354"/>
      <c r="M112" s="354"/>
      <c r="N112" s="354"/>
    </row>
    <row r="113" spans="1:14">
      <c r="A113" s="907"/>
      <c r="B113" s="353" t="s">
        <v>300</v>
      </c>
      <c r="C113" s="354">
        <v>0</v>
      </c>
      <c r="D113" s="354">
        <v>0</v>
      </c>
      <c r="E113" s="354">
        <v>0</v>
      </c>
      <c r="F113" s="354">
        <v>64</v>
      </c>
      <c r="G113" s="354">
        <v>246</v>
      </c>
      <c r="H113" s="354">
        <v>310</v>
      </c>
      <c r="I113" s="354">
        <v>0</v>
      </c>
      <c r="J113" s="354">
        <v>0</v>
      </c>
      <c r="K113" s="354">
        <v>0</v>
      </c>
      <c r="L113" s="354"/>
      <c r="M113" s="354"/>
      <c r="N113" s="354"/>
    </row>
    <row r="114" spans="1:14">
      <c r="A114" s="907"/>
      <c r="B114" s="353" t="s">
        <v>299</v>
      </c>
      <c r="C114" s="113">
        <v>0</v>
      </c>
      <c r="D114" s="113">
        <v>0</v>
      </c>
      <c r="E114" s="114">
        <f>C114+D114</f>
        <v>0</v>
      </c>
      <c r="F114" s="113">
        <v>56</v>
      </c>
      <c r="G114" s="113">
        <v>182</v>
      </c>
      <c r="H114" s="114">
        <f>F114+G114</f>
        <v>238</v>
      </c>
      <c r="I114" s="113">
        <v>0</v>
      </c>
      <c r="J114" s="113">
        <v>0</v>
      </c>
      <c r="K114" s="114">
        <f>I114+J114</f>
        <v>0</v>
      </c>
      <c r="L114" s="354"/>
      <c r="M114" s="354"/>
      <c r="N114" s="354"/>
    </row>
    <row r="115" spans="1:14">
      <c r="A115" s="907"/>
      <c r="B115" s="359" t="s">
        <v>298</v>
      </c>
      <c r="C115" s="103">
        <v>0</v>
      </c>
      <c r="D115" s="103">
        <v>0</v>
      </c>
      <c r="E115" s="95">
        <v>0</v>
      </c>
      <c r="F115" s="103">
        <v>61</v>
      </c>
      <c r="G115" s="103">
        <v>137</v>
      </c>
      <c r="H115" s="95">
        <v>198</v>
      </c>
      <c r="I115" s="103">
        <v>0</v>
      </c>
      <c r="J115" s="103">
        <v>0</v>
      </c>
      <c r="K115" s="95">
        <v>0</v>
      </c>
      <c r="L115" s="354"/>
      <c r="M115" s="354"/>
      <c r="N115" s="354"/>
    </row>
    <row r="116" spans="1:14">
      <c r="A116" s="907">
        <v>19</v>
      </c>
      <c r="B116" s="363" t="s">
        <v>33</v>
      </c>
      <c r="C116" s="437"/>
      <c r="D116" s="364"/>
      <c r="E116" s="364"/>
      <c r="F116" s="364"/>
      <c r="G116" s="364"/>
      <c r="H116" s="364"/>
      <c r="I116" s="364"/>
      <c r="J116" s="364"/>
      <c r="K116" s="364"/>
      <c r="L116" s="364"/>
      <c r="M116" s="364"/>
      <c r="N116" s="365"/>
    </row>
    <row r="117" spans="1:14">
      <c r="A117" s="907"/>
      <c r="B117" s="353" t="s">
        <v>997</v>
      </c>
      <c r="C117" s="112">
        <v>1886</v>
      </c>
      <c r="D117" s="112">
        <v>708</v>
      </c>
      <c r="E117" s="112">
        <v>2594</v>
      </c>
      <c r="F117" s="112">
        <v>20995</v>
      </c>
      <c r="G117" s="112">
        <v>20432</v>
      </c>
      <c r="H117" s="112">
        <v>41427</v>
      </c>
      <c r="I117" s="112">
        <v>8968</v>
      </c>
      <c r="J117" s="112">
        <v>9814</v>
      </c>
      <c r="K117" s="112">
        <v>18782</v>
      </c>
      <c r="L117" s="354">
        <v>7293</v>
      </c>
      <c r="M117" s="354">
        <v>5162</v>
      </c>
      <c r="N117" s="354">
        <v>12455</v>
      </c>
    </row>
    <row r="118" spans="1:14">
      <c r="A118" s="907"/>
      <c r="B118" s="353" t="s">
        <v>301</v>
      </c>
      <c r="C118" s="112">
        <v>1403</v>
      </c>
      <c r="D118" s="112">
        <v>1039</v>
      </c>
      <c r="E118" s="112">
        <v>2442</v>
      </c>
      <c r="F118" s="112">
        <v>24366</v>
      </c>
      <c r="G118" s="112">
        <v>19923</v>
      </c>
      <c r="H118" s="112">
        <v>44289</v>
      </c>
      <c r="I118" s="112">
        <v>12788</v>
      </c>
      <c r="J118" s="112">
        <v>12749</v>
      </c>
      <c r="K118" s="112">
        <v>25537</v>
      </c>
      <c r="L118" s="354"/>
      <c r="M118" s="354"/>
      <c r="N118" s="354"/>
    </row>
    <row r="119" spans="1:14">
      <c r="A119" s="907"/>
      <c r="B119" s="353" t="s">
        <v>300</v>
      </c>
      <c r="C119" s="112">
        <v>1763</v>
      </c>
      <c r="D119" s="112">
        <v>1565</v>
      </c>
      <c r="E119" s="112">
        <v>3328</v>
      </c>
      <c r="F119" s="112">
        <v>20195</v>
      </c>
      <c r="G119" s="112">
        <v>16562</v>
      </c>
      <c r="H119" s="112">
        <v>36757</v>
      </c>
      <c r="I119" s="112">
        <v>14070</v>
      </c>
      <c r="J119" s="112">
        <v>11958</v>
      </c>
      <c r="K119" s="112">
        <v>26028</v>
      </c>
      <c r="L119" s="354"/>
      <c r="M119" s="354"/>
      <c r="N119" s="354"/>
    </row>
    <row r="120" spans="1:14">
      <c r="A120" s="907"/>
      <c r="B120" s="353" t="s">
        <v>299</v>
      </c>
      <c r="C120" s="113">
        <v>1781</v>
      </c>
      <c r="D120" s="113">
        <v>1099</v>
      </c>
      <c r="E120" s="114">
        <f>C120+D120</f>
        <v>2880</v>
      </c>
      <c r="F120" s="113">
        <v>22406</v>
      </c>
      <c r="G120" s="113">
        <v>17062</v>
      </c>
      <c r="H120" s="114">
        <f>F120+G120</f>
        <v>39468</v>
      </c>
      <c r="I120" s="113">
        <v>7038</v>
      </c>
      <c r="J120" s="113">
        <v>8692</v>
      </c>
      <c r="K120" s="114">
        <f>I120+J120</f>
        <v>15730</v>
      </c>
      <c r="L120" s="354"/>
      <c r="M120" s="354"/>
      <c r="N120" s="354"/>
    </row>
    <row r="121" spans="1:14">
      <c r="A121" s="907"/>
      <c r="B121" s="359" t="s">
        <v>298</v>
      </c>
      <c r="C121" s="103">
        <v>1757</v>
      </c>
      <c r="D121" s="103">
        <v>1428</v>
      </c>
      <c r="E121" s="95">
        <v>3185</v>
      </c>
      <c r="F121" s="103">
        <v>19017</v>
      </c>
      <c r="G121" s="103">
        <v>15233</v>
      </c>
      <c r="H121" s="95">
        <v>34250</v>
      </c>
      <c r="I121" s="103">
        <v>7359</v>
      </c>
      <c r="J121" s="103">
        <v>8268</v>
      </c>
      <c r="K121" s="95">
        <v>15627</v>
      </c>
      <c r="L121" s="354"/>
      <c r="M121" s="354"/>
      <c r="N121" s="354"/>
    </row>
    <row r="122" spans="1:14">
      <c r="A122" s="907">
        <v>20</v>
      </c>
      <c r="B122" s="363" t="s">
        <v>34</v>
      </c>
      <c r="C122" s="437"/>
      <c r="D122" s="364"/>
      <c r="E122" s="364"/>
      <c r="F122" s="364"/>
      <c r="G122" s="364"/>
      <c r="H122" s="364"/>
      <c r="I122" s="364"/>
      <c r="J122" s="364"/>
      <c r="K122" s="364"/>
      <c r="L122" s="364"/>
      <c r="M122" s="364"/>
      <c r="N122" s="365"/>
    </row>
    <row r="123" spans="1:14">
      <c r="A123" s="907"/>
      <c r="B123" s="353" t="s">
        <v>997</v>
      </c>
      <c r="C123" s="112">
        <v>3949</v>
      </c>
      <c r="D123" s="112">
        <v>2214</v>
      </c>
      <c r="E123" s="112">
        <v>6163</v>
      </c>
      <c r="F123" s="112">
        <v>79148</v>
      </c>
      <c r="G123" s="112">
        <v>71656</v>
      </c>
      <c r="H123" s="112">
        <v>150804</v>
      </c>
      <c r="I123" s="112">
        <v>42054</v>
      </c>
      <c r="J123" s="112">
        <v>39620</v>
      </c>
      <c r="K123" s="112">
        <v>81674</v>
      </c>
      <c r="L123" s="354">
        <v>29953</v>
      </c>
      <c r="M123" s="354">
        <v>21698</v>
      </c>
      <c r="N123" s="354">
        <v>51651</v>
      </c>
    </row>
    <row r="124" spans="1:14">
      <c r="A124" s="907"/>
      <c r="B124" s="353" t="s">
        <v>301</v>
      </c>
      <c r="C124" s="112">
        <v>4714</v>
      </c>
      <c r="D124" s="112">
        <v>3083</v>
      </c>
      <c r="E124" s="112">
        <v>7797</v>
      </c>
      <c r="F124" s="112">
        <v>83037</v>
      </c>
      <c r="G124" s="112">
        <v>83191</v>
      </c>
      <c r="H124" s="112">
        <v>166228</v>
      </c>
      <c r="I124" s="112">
        <v>46074</v>
      </c>
      <c r="J124" s="112">
        <v>49948</v>
      </c>
      <c r="K124" s="112">
        <v>96022</v>
      </c>
      <c r="L124" s="354"/>
      <c r="M124" s="354"/>
      <c r="N124" s="354"/>
    </row>
    <row r="125" spans="1:14">
      <c r="A125" s="907"/>
      <c r="B125" s="353" t="s">
        <v>300</v>
      </c>
      <c r="C125" s="112">
        <v>4400</v>
      </c>
      <c r="D125" s="112">
        <v>3535</v>
      </c>
      <c r="E125" s="112">
        <v>7935</v>
      </c>
      <c r="F125" s="112">
        <v>78777</v>
      </c>
      <c r="G125" s="112">
        <v>73589</v>
      </c>
      <c r="H125" s="112">
        <v>152366</v>
      </c>
      <c r="I125" s="112">
        <v>41535</v>
      </c>
      <c r="J125" s="112">
        <v>43125</v>
      </c>
      <c r="K125" s="112">
        <v>84660</v>
      </c>
      <c r="L125" s="354"/>
      <c r="M125" s="354"/>
      <c r="N125" s="354"/>
    </row>
    <row r="126" spans="1:14">
      <c r="A126" s="907"/>
      <c r="B126" s="353" t="s">
        <v>299</v>
      </c>
      <c r="C126" s="113">
        <v>4935</v>
      </c>
      <c r="D126" s="113">
        <v>2971</v>
      </c>
      <c r="E126" s="114">
        <f>C126+D126</f>
        <v>7906</v>
      </c>
      <c r="F126" s="113">
        <v>79997</v>
      </c>
      <c r="G126" s="113">
        <v>71393</v>
      </c>
      <c r="H126" s="114">
        <f>F126+G126</f>
        <v>151390</v>
      </c>
      <c r="I126" s="113">
        <v>39357</v>
      </c>
      <c r="J126" s="113">
        <v>42592</v>
      </c>
      <c r="K126" s="114">
        <f>I126+J126</f>
        <v>81949</v>
      </c>
      <c r="L126" s="354"/>
      <c r="M126" s="354"/>
      <c r="N126" s="354"/>
    </row>
    <row r="127" spans="1:14">
      <c r="A127" s="907"/>
      <c r="B127" s="359" t="s">
        <v>298</v>
      </c>
      <c r="C127" s="103">
        <v>4298</v>
      </c>
      <c r="D127" s="103">
        <v>2519</v>
      </c>
      <c r="E127" s="95">
        <v>6817</v>
      </c>
      <c r="F127" s="103">
        <v>73263</v>
      </c>
      <c r="G127" s="103">
        <v>65016</v>
      </c>
      <c r="H127" s="95">
        <v>138279</v>
      </c>
      <c r="I127" s="103">
        <v>35649</v>
      </c>
      <c r="J127" s="103">
        <v>37680</v>
      </c>
      <c r="K127" s="95">
        <v>73329</v>
      </c>
      <c r="L127" s="354"/>
      <c r="M127" s="354"/>
      <c r="N127" s="354"/>
    </row>
    <row r="128" spans="1:14">
      <c r="A128" s="907">
        <v>21</v>
      </c>
      <c r="B128" s="363" t="s">
        <v>35</v>
      </c>
      <c r="C128" s="437"/>
      <c r="D128" s="364"/>
      <c r="E128" s="364"/>
      <c r="F128" s="364"/>
      <c r="G128" s="364"/>
      <c r="H128" s="364"/>
      <c r="I128" s="364"/>
      <c r="J128" s="364"/>
      <c r="K128" s="364"/>
      <c r="L128" s="364"/>
      <c r="M128" s="364"/>
      <c r="N128" s="365"/>
    </row>
    <row r="129" spans="1:14">
      <c r="A129" s="907"/>
      <c r="B129" s="353" t="s">
        <v>997</v>
      </c>
      <c r="C129" s="112">
        <v>123</v>
      </c>
      <c r="D129" s="112">
        <v>110</v>
      </c>
      <c r="E129" s="112">
        <v>233</v>
      </c>
      <c r="F129" s="112">
        <v>1904</v>
      </c>
      <c r="G129" s="112">
        <v>2526</v>
      </c>
      <c r="H129" s="112">
        <v>4430</v>
      </c>
      <c r="I129" s="112">
        <v>2519</v>
      </c>
      <c r="J129" s="112">
        <v>2630</v>
      </c>
      <c r="K129" s="112">
        <v>5149</v>
      </c>
      <c r="L129" s="354">
        <v>115</v>
      </c>
      <c r="M129" s="354">
        <v>59</v>
      </c>
      <c r="N129" s="354">
        <v>174</v>
      </c>
    </row>
    <row r="130" spans="1:14">
      <c r="A130" s="907"/>
      <c r="B130" s="353" t="s">
        <v>301</v>
      </c>
      <c r="C130" s="112">
        <v>88</v>
      </c>
      <c r="D130" s="112">
        <v>80</v>
      </c>
      <c r="E130" s="112">
        <v>168</v>
      </c>
      <c r="F130" s="112">
        <v>3380</v>
      </c>
      <c r="G130" s="112">
        <v>3099</v>
      </c>
      <c r="H130" s="112">
        <v>6479</v>
      </c>
      <c r="I130" s="112">
        <v>1977</v>
      </c>
      <c r="J130" s="112">
        <v>2409</v>
      </c>
      <c r="K130" s="112">
        <v>4386</v>
      </c>
      <c r="L130" s="354"/>
      <c r="M130" s="354"/>
      <c r="N130" s="354"/>
    </row>
    <row r="131" spans="1:14">
      <c r="A131" s="907"/>
      <c r="B131" s="353" t="s">
        <v>300</v>
      </c>
      <c r="C131" s="112">
        <v>81</v>
      </c>
      <c r="D131" s="112">
        <v>48</v>
      </c>
      <c r="E131" s="112">
        <v>129</v>
      </c>
      <c r="F131" s="112">
        <v>3047</v>
      </c>
      <c r="G131" s="112">
        <v>2554</v>
      </c>
      <c r="H131" s="112">
        <v>5601</v>
      </c>
      <c r="I131" s="112">
        <v>1496</v>
      </c>
      <c r="J131" s="112">
        <v>1623</v>
      </c>
      <c r="K131" s="112">
        <v>3119</v>
      </c>
      <c r="L131" s="354"/>
      <c r="M131" s="354"/>
      <c r="N131" s="354"/>
    </row>
    <row r="132" spans="1:14">
      <c r="A132" s="907"/>
      <c r="B132" s="353" t="s">
        <v>299</v>
      </c>
      <c r="C132" s="113">
        <v>67</v>
      </c>
      <c r="D132" s="113">
        <v>32</v>
      </c>
      <c r="E132" s="114">
        <f>C132+D132</f>
        <v>99</v>
      </c>
      <c r="F132" s="113">
        <v>2548</v>
      </c>
      <c r="G132" s="113">
        <v>2336</v>
      </c>
      <c r="H132" s="114">
        <f>F132+G132</f>
        <v>4884</v>
      </c>
      <c r="I132" s="113">
        <v>3046</v>
      </c>
      <c r="J132" s="113">
        <v>3126</v>
      </c>
      <c r="K132" s="114">
        <f>I132+J132</f>
        <v>6172</v>
      </c>
      <c r="L132" s="354"/>
      <c r="M132" s="354"/>
      <c r="N132" s="354"/>
    </row>
    <row r="133" spans="1:14">
      <c r="A133" s="907"/>
      <c r="B133" s="359" t="s">
        <v>298</v>
      </c>
      <c r="C133" s="103">
        <v>79</v>
      </c>
      <c r="D133" s="103">
        <v>41</v>
      </c>
      <c r="E133" s="95">
        <v>120</v>
      </c>
      <c r="F133" s="103">
        <v>1696</v>
      </c>
      <c r="G133" s="103">
        <v>1833</v>
      </c>
      <c r="H133" s="95">
        <v>3529</v>
      </c>
      <c r="I133" s="103">
        <v>2793</v>
      </c>
      <c r="J133" s="103">
        <v>2722</v>
      </c>
      <c r="K133" s="95">
        <v>5515</v>
      </c>
      <c r="L133" s="354"/>
      <c r="M133" s="354"/>
      <c r="N133" s="354"/>
    </row>
    <row r="134" spans="1:14">
      <c r="A134" s="907">
        <v>22</v>
      </c>
      <c r="B134" s="363" t="s">
        <v>36</v>
      </c>
      <c r="C134" s="437"/>
      <c r="D134" s="364"/>
      <c r="E134" s="364"/>
      <c r="F134" s="364"/>
      <c r="G134" s="364"/>
      <c r="H134" s="364"/>
      <c r="I134" s="364"/>
      <c r="J134" s="364"/>
      <c r="K134" s="364"/>
      <c r="L134" s="364"/>
      <c r="M134" s="364"/>
      <c r="N134" s="365"/>
    </row>
    <row r="135" spans="1:14">
      <c r="A135" s="907"/>
      <c r="B135" s="353" t="s">
        <v>997</v>
      </c>
      <c r="C135" s="112">
        <v>188</v>
      </c>
      <c r="D135" s="112">
        <v>139</v>
      </c>
      <c r="E135" s="112">
        <v>327</v>
      </c>
      <c r="F135" s="112">
        <v>1150</v>
      </c>
      <c r="G135" s="112">
        <v>912</v>
      </c>
      <c r="H135" s="112">
        <v>2062</v>
      </c>
      <c r="I135" s="112">
        <v>13119</v>
      </c>
      <c r="J135" s="112">
        <v>17005</v>
      </c>
      <c r="K135" s="112">
        <v>30124</v>
      </c>
      <c r="L135" s="354">
        <v>207</v>
      </c>
      <c r="M135" s="354">
        <v>136</v>
      </c>
      <c r="N135" s="354">
        <v>343</v>
      </c>
    </row>
    <row r="136" spans="1:14">
      <c r="A136" s="907"/>
      <c r="B136" s="353" t="s">
        <v>301</v>
      </c>
      <c r="C136" s="112">
        <v>204</v>
      </c>
      <c r="D136" s="112">
        <v>163</v>
      </c>
      <c r="E136" s="112">
        <v>367</v>
      </c>
      <c r="F136" s="112">
        <v>1177</v>
      </c>
      <c r="G136" s="112">
        <v>901</v>
      </c>
      <c r="H136" s="112">
        <v>2078</v>
      </c>
      <c r="I136" s="112">
        <v>10928</v>
      </c>
      <c r="J136" s="112">
        <v>13402</v>
      </c>
      <c r="K136" s="112">
        <v>24330</v>
      </c>
      <c r="L136" s="354"/>
      <c r="M136" s="354"/>
      <c r="N136" s="354"/>
    </row>
    <row r="137" spans="1:14">
      <c r="A137" s="907"/>
      <c r="B137" s="353" t="s">
        <v>300</v>
      </c>
      <c r="C137" s="112">
        <v>110</v>
      </c>
      <c r="D137" s="112">
        <v>182</v>
      </c>
      <c r="E137" s="112">
        <v>292</v>
      </c>
      <c r="F137" s="112">
        <v>1318</v>
      </c>
      <c r="G137" s="112">
        <v>934</v>
      </c>
      <c r="H137" s="112">
        <v>2252</v>
      </c>
      <c r="I137" s="112">
        <v>10694</v>
      </c>
      <c r="J137" s="112">
        <v>13278</v>
      </c>
      <c r="K137" s="112">
        <v>23972</v>
      </c>
      <c r="L137" s="354"/>
      <c r="M137" s="354"/>
      <c r="N137" s="354"/>
    </row>
    <row r="138" spans="1:14">
      <c r="A138" s="907"/>
      <c r="B138" s="353" t="s">
        <v>299</v>
      </c>
      <c r="C138" s="113">
        <v>35</v>
      </c>
      <c r="D138" s="113">
        <v>30</v>
      </c>
      <c r="E138" s="114">
        <f>C138+D138</f>
        <v>65</v>
      </c>
      <c r="F138" s="113">
        <v>891</v>
      </c>
      <c r="G138" s="113">
        <v>588</v>
      </c>
      <c r="H138" s="114">
        <f>F138+G138</f>
        <v>1479</v>
      </c>
      <c r="I138" s="113">
        <v>10951</v>
      </c>
      <c r="J138" s="113">
        <v>12522</v>
      </c>
      <c r="K138" s="114">
        <f>I138+J138</f>
        <v>23473</v>
      </c>
      <c r="L138" s="354"/>
      <c r="M138" s="354"/>
      <c r="N138" s="354"/>
    </row>
    <row r="139" spans="1:14">
      <c r="A139" s="907"/>
      <c r="B139" s="359" t="s">
        <v>298</v>
      </c>
      <c r="C139" s="103">
        <v>35</v>
      </c>
      <c r="D139" s="103">
        <v>16</v>
      </c>
      <c r="E139" s="95">
        <v>51</v>
      </c>
      <c r="F139" s="103">
        <v>796</v>
      </c>
      <c r="G139" s="103">
        <v>500</v>
      </c>
      <c r="H139" s="95">
        <v>1296</v>
      </c>
      <c r="I139" s="103">
        <v>12633</v>
      </c>
      <c r="J139" s="103">
        <v>15000</v>
      </c>
      <c r="K139" s="95">
        <v>27633</v>
      </c>
      <c r="L139" s="354"/>
      <c r="M139" s="354"/>
      <c r="N139" s="354"/>
    </row>
    <row r="140" spans="1:14">
      <c r="A140" s="907">
        <v>23</v>
      </c>
      <c r="B140" s="363" t="s">
        <v>37</v>
      </c>
      <c r="C140" s="437"/>
      <c r="D140" s="364"/>
      <c r="E140" s="364"/>
      <c r="F140" s="364"/>
      <c r="G140" s="364"/>
      <c r="H140" s="364"/>
      <c r="I140" s="364"/>
      <c r="J140" s="364"/>
      <c r="K140" s="364"/>
      <c r="L140" s="364"/>
      <c r="M140" s="364"/>
      <c r="N140" s="365"/>
    </row>
    <row r="141" spans="1:14">
      <c r="A141" s="907"/>
      <c r="B141" s="353" t="s">
        <v>997</v>
      </c>
      <c r="C141" s="112">
        <v>14</v>
      </c>
      <c r="D141" s="112">
        <v>13</v>
      </c>
      <c r="E141" s="112">
        <v>27</v>
      </c>
      <c r="F141" s="112">
        <v>50</v>
      </c>
      <c r="G141" s="112">
        <v>28</v>
      </c>
      <c r="H141" s="112">
        <v>78</v>
      </c>
      <c r="I141" s="112">
        <v>9747</v>
      </c>
      <c r="J141" s="112">
        <v>10304</v>
      </c>
      <c r="K141" s="112">
        <v>20051</v>
      </c>
      <c r="L141" s="354">
        <v>18</v>
      </c>
      <c r="M141" s="354">
        <v>8</v>
      </c>
      <c r="N141" s="354">
        <v>26</v>
      </c>
    </row>
    <row r="142" spans="1:14">
      <c r="A142" s="907"/>
      <c r="B142" s="353" t="s">
        <v>301</v>
      </c>
      <c r="C142" s="112">
        <v>15</v>
      </c>
      <c r="D142" s="112">
        <v>8</v>
      </c>
      <c r="E142" s="112">
        <v>23</v>
      </c>
      <c r="F142" s="112">
        <v>48</v>
      </c>
      <c r="G142" s="112">
        <v>22</v>
      </c>
      <c r="H142" s="112">
        <v>70</v>
      </c>
      <c r="I142" s="112">
        <v>8560</v>
      </c>
      <c r="J142" s="112">
        <v>8270</v>
      </c>
      <c r="K142" s="112">
        <v>16830</v>
      </c>
      <c r="L142" s="354"/>
      <c r="M142" s="354"/>
      <c r="N142" s="354"/>
    </row>
    <row r="143" spans="1:14">
      <c r="A143" s="907"/>
      <c r="B143" s="353" t="s">
        <v>300</v>
      </c>
      <c r="C143" s="112">
        <v>12</v>
      </c>
      <c r="D143" s="112">
        <v>14</v>
      </c>
      <c r="E143" s="112">
        <v>26</v>
      </c>
      <c r="F143" s="112">
        <v>54</v>
      </c>
      <c r="G143" s="112">
        <v>29</v>
      </c>
      <c r="H143" s="112">
        <v>83</v>
      </c>
      <c r="I143" s="112">
        <v>9675</v>
      </c>
      <c r="J143" s="112">
        <v>8980</v>
      </c>
      <c r="K143" s="112">
        <v>18655</v>
      </c>
      <c r="L143" s="354"/>
      <c r="M143" s="354"/>
      <c r="N143" s="354"/>
    </row>
    <row r="144" spans="1:14">
      <c r="A144" s="907"/>
      <c r="B144" s="353" t="s">
        <v>299</v>
      </c>
      <c r="C144" s="113">
        <v>14</v>
      </c>
      <c r="D144" s="113">
        <v>14</v>
      </c>
      <c r="E144" s="114">
        <f>C144+D144</f>
        <v>28</v>
      </c>
      <c r="F144" s="113">
        <v>58</v>
      </c>
      <c r="G144" s="113">
        <v>10</v>
      </c>
      <c r="H144" s="114">
        <f>F144+G144</f>
        <v>68</v>
      </c>
      <c r="I144" s="113">
        <v>11861</v>
      </c>
      <c r="J144" s="113">
        <v>11377</v>
      </c>
      <c r="K144" s="114">
        <f>I144+J144</f>
        <v>23238</v>
      </c>
      <c r="L144" s="354"/>
      <c r="M144" s="354"/>
      <c r="N144" s="354"/>
    </row>
    <row r="145" spans="1:14">
      <c r="A145" s="907"/>
      <c r="B145" s="359" t="s">
        <v>298</v>
      </c>
      <c r="C145" s="103">
        <v>8</v>
      </c>
      <c r="D145" s="103">
        <v>7</v>
      </c>
      <c r="E145" s="95">
        <v>15</v>
      </c>
      <c r="F145" s="103">
        <v>49</v>
      </c>
      <c r="G145" s="103">
        <v>3</v>
      </c>
      <c r="H145" s="95">
        <v>52</v>
      </c>
      <c r="I145" s="103">
        <v>11924</v>
      </c>
      <c r="J145" s="103">
        <v>11110</v>
      </c>
      <c r="K145" s="95">
        <v>23034</v>
      </c>
      <c r="L145" s="354"/>
      <c r="M145" s="354"/>
      <c r="N145" s="354"/>
    </row>
    <row r="146" spans="1:14">
      <c r="A146" s="907">
        <v>24</v>
      </c>
      <c r="B146" s="363" t="s">
        <v>38</v>
      </c>
      <c r="C146" s="437"/>
      <c r="D146" s="364"/>
      <c r="E146" s="364"/>
      <c r="F146" s="364"/>
      <c r="G146" s="364"/>
      <c r="H146" s="364"/>
      <c r="I146" s="364"/>
      <c r="J146" s="364"/>
      <c r="K146" s="364"/>
      <c r="L146" s="364"/>
      <c r="M146" s="364"/>
      <c r="N146" s="365"/>
    </row>
    <row r="147" spans="1:14">
      <c r="A147" s="907"/>
      <c r="B147" s="353" t="s">
        <v>997</v>
      </c>
      <c r="C147" s="112">
        <v>3</v>
      </c>
      <c r="D147" s="112">
        <v>5</v>
      </c>
      <c r="E147" s="112">
        <v>8</v>
      </c>
      <c r="F147" s="112">
        <v>113</v>
      </c>
      <c r="G147" s="112">
        <v>144</v>
      </c>
      <c r="H147" s="112">
        <v>257</v>
      </c>
      <c r="I147" s="112">
        <v>4719</v>
      </c>
      <c r="J147" s="112">
        <v>6615</v>
      </c>
      <c r="K147" s="431">
        <v>11334</v>
      </c>
      <c r="L147" s="354">
        <v>173</v>
      </c>
      <c r="M147" s="354">
        <v>60</v>
      </c>
      <c r="N147" s="354">
        <v>233</v>
      </c>
    </row>
    <row r="148" spans="1:14">
      <c r="A148" s="907"/>
      <c r="B148" s="353" t="s">
        <v>301</v>
      </c>
      <c r="C148" s="112">
        <v>17</v>
      </c>
      <c r="D148" s="112">
        <v>19</v>
      </c>
      <c r="E148" s="112">
        <v>36</v>
      </c>
      <c r="F148" s="112">
        <v>100</v>
      </c>
      <c r="G148" s="112">
        <v>112</v>
      </c>
      <c r="H148" s="112">
        <v>212</v>
      </c>
      <c r="I148" s="112">
        <v>7118</v>
      </c>
      <c r="J148" s="112">
        <v>8878</v>
      </c>
      <c r="K148" s="431">
        <v>15996</v>
      </c>
      <c r="L148" s="354"/>
      <c r="M148" s="354"/>
      <c r="N148" s="354"/>
    </row>
    <row r="149" spans="1:14">
      <c r="A149" s="907"/>
      <c r="B149" s="353" t="s">
        <v>300</v>
      </c>
      <c r="C149" s="112">
        <v>9</v>
      </c>
      <c r="D149" s="112">
        <v>15</v>
      </c>
      <c r="E149" s="112">
        <v>24</v>
      </c>
      <c r="F149" s="112">
        <v>89</v>
      </c>
      <c r="G149" s="112">
        <v>115</v>
      </c>
      <c r="H149" s="112">
        <v>204</v>
      </c>
      <c r="I149" s="112">
        <v>8214</v>
      </c>
      <c r="J149" s="112">
        <v>10155</v>
      </c>
      <c r="K149" s="431">
        <v>18369</v>
      </c>
      <c r="L149" s="354"/>
      <c r="M149" s="354"/>
      <c r="N149" s="354"/>
    </row>
    <row r="150" spans="1:14">
      <c r="A150" s="907"/>
      <c r="B150" s="353" t="s">
        <v>299</v>
      </c>
      <c r="C150" s="113">
        <v>7</v>
      </c>
      <c r="D150" s="113">
        <v>6</v>
      </c>
      <c r="E150" s="114">
        <f>C150+D150</f>
        <v>13</v>
      </c>
      <c r="F150" s="113">
        <v>103</v>
      </c>
      <c r="G150" s="113">
        <v>112</v>
      </c>
      <c r="H150" s="114">
        <f>F150+G150</f>
        <v>215</v>
      </c>
      <c r="I150" s="113">
        <v>6551</v>
      </c>
      <c r="J150" s="113">
        <v>7988</v>
      </c>
      <c r="K150" s="432">
        <f>I150+J150</f>
        <v>14539</v>
      </c>
      <c r="L150" s="354"/>
      <c r="M150" s="354"/>
      <c r="N150" s="354"/>
    </row>
    <row r="151" spans="1:14">
      <c r="A151" s="907"/>
      <c r="B151" s="359" t="s">
        <v>298</v>
      </c>
      <c r="C151" s="103">
        <v>13</v>
      </c>
      <c r="D151" s="103">
        <v>12</v>
      </c>
      <c r="E151" s="95">
        <v>25</v>
      </c>
      <c r="F151" s="103">
        <v>162</v>
      </c>
      <c r="G151" s="103">
        <v>133</v>
      </c>
      <c r="H151" s="95">
        <v>295</v>
      </c>
      <c r="I151" s="103">
        <v>5588</v>
      </c>
      <c r="J151" s="103">
        <v>5790</v>
      </c>
      <c r="K151" s="433">
        <v>11378</v>
      </c>
      <c r="L151" s="354"/>
      <c r="M151" s="354"/>
      <c r="N151" s="354"/>
    </row>
    <row r="152" spans="1:14">
      <c r="A152" s="907">
        <v>25</v>
      </c>
      <c r="B152" s="363" t="s">
        <v>39</v>
      </c>
      <c r="C152" s="437"/>
      <c r="D152" s="364"/>
      <c r="E152" s="364"/>
      <c r="F152" s="364"/>
      <c r="G152" s="364"/>
      <c r="H152" s="364"/>
      <c r="I152" s="364"/>
      <c r="J152" s="364"/>
      <c r="K152" s="364"/>
      <c r="L152" s="364"/>
      <c r="M152" s="364"/>
      <c r="N152" s="365"/>
    </row>
    <row r="153" spans="1:14">
      <c r="A153" s="907"/>
      <c r="B153" s="353" t="s">
        <v>997</v>
      </c>
      <c r="C153" s="112">
        <v>1041</v>
      </c>
      <c r="D153" s="112">
        <v>693</v>
      </c>
      <c r="E153" s="112">
        <v>1734</v>
      </c>
      <c r="F153" s="112">
        <v>4728</v>
      </c>
      <c r="G153" s="112">
        <v>3759</v>
      </c>
      <c r="H153" s="112">
        <v>8487</v>
      </c>
      <c r="I153" s="112">
        <v>1562</v>
      </c>
      <c r="J153" s="112">
        <v>1548</v>
      </c>
      <c r="K153" s="431">
        <v>3110</v>
      </c>
      <c r="L153" s="354">
        <v>7257</v>
      </c>
      <c r="M153" s="354">
        <v>7991</v>
      </c>
      <c r="N153" s="354">
        <v>15248</v>
      </c>
    </row>
    <row r="154" spans="1:14">
      <c r="A154" s="907"/>
      <c r="B154" s="353" t="s">
        <v>301</v>
      </c>
      <c r="C154" s="112">
        <v>1358</v>
      </c>
      <c r="D154" s="112">
        <v>736</v>
      </c>
      <c r="E154" s="112">
        <v>2094</v>
      </c>
      <c r="F154" s="112">
        <v>5614</v>
      </c>
      <c r="G154" s="112">
        <v>4232</v>
      </c>
      <c r="H154" s="112">
        <v>9846</v>
      </c>
      <c r="I154" s="112">
        <v>1641</v>
      </c>
      <c r="J154" s="112">
        <v>1918</v>
      </c>
      <c r="K154" s="431">
        <v>3559</v>
      </c>
      <c r="L154" s="354"/>
      <c r="M154" s="354"/>
      <c r="N154" s="354"/>
    </row>
    <row r="155" spans="1:14">
      <c r="A155" s="907"/>
      <c r="B155" s="353" t="s">
        <v>300</v>
      </c>
      <c r="C155" s="112">
        <v>1158</v>
      </c>
      <c r="D155" s="112">
        <v>803</v>
      </c>
      <c r="E155" s="112">
        <v>1961</v>
      </c>
      <c r="F155" s="112">
        <v>5741</v>
      </c>
      <c r="G155" s="112">
        <v>4600</v>
      </c>
      <c r="H155" s="112">
        <v>10341</v>
      </c>
      <c r="I155" s="112">
        <v>1779</v>
      </c>
      <c r="J155" s="112">
        <v>1831</v>
      </c>
      <c r="K155" s="431">
        <v>3610</v>
      </c>
      <c r="L155" s="354"/>
      <c r="M155" s="354"/>
      <c r="N155" s="354"/>
    </row>
    <row r="156" spans="1:14">
      <c r="A156" s="907"/>
      <c r="B156" s="353" t="s">
        <v>299</v>
      </c>
      <c r="C156" s="113">
        <v>967</v>
      </c>
      <c r="D156" s="113">
        <v>600</v>
      </c>
      <c r="E156" s="114">
        <f>C156+D156</f>
        <v>1567</v>
      </c>
      <c r="F156" s="113">
        <v>5862</v>
      </c>
      <c r="G156" s="113">
        <v>5236</v>
      </c>
      <c r="H156" s="114">
        <f>F156+G156</f>
        <v>11098</v>
      </c>
      <c r="I156" s="113">
        <v>1645</v>
      </c>
      <c r="J156" s="113">
        <v>1786</v>
      </c>
      <c r="K156" s="432">
        <f>I156+J156</f>
        <v>3431</v>
      </c>
      <c r="L156" s="354"/>
      <c r="M156" s="354"/>
      <c r="N156" s="354"/>
    </row>
    <row r="157" spans="1:14">
      <c r="A157" s="907"/>
      <c r="B157" s="359" t="s">
        <v>298</v>
      </c>
      <c r="C157" s="103">
        <v>961</v>
      </c>
      <c r="D157" s="103">
        <v>520</v>
      </c>
      <c r="E157" s="95">
        <v>1481</v>
      </c>
      <c r="F157" s="103">
        <v>5662</v>
      </c>
      <c r="G157" s="103">
        <v>5248</v>
      </c>
      <c r="H157" s="95">
        <v>10910</v>
      </c>
      <c r="I157" s="103">
        <v>1570</v>
      </c>
      <c r="J157" s="103">
        <v>1927</v>
      </c>
      <c r="K157" s="433">
        <v>3497</v>
      </c>
      <c r="L157" s="354"/>
      <c r="M157" s="354"/>
      <c r="N157" s="354"/>
    </row>
    <row r="158" spans="1:14">
      <c r="A158" s="907">
        <v>26</v>
      </c>
      <c r="B158" s="363" t="s">
        <v>40</v>
      </c>
      <c r="C158" s="437"/>
      <c r="D158" s="364"/>
      <c r="E158" s="364"/>
      <c r="F158" s="364"/>
      <c r="G158" s="364"/>
      <c r="H158" s="364"/>
      <c r="I158" s="364"/>
      <c r="J158" s="364"/>
      <c r="K158" s="364"/>
      <c r="L158" s="364"/>
      <c r="M158" s="364"/>
      <c r="N158" s="365"/>
    </row>
    <row r="159" spans="1:14">
      <c r="A159" s="907"/>
      <c r="B159" s="353" t="s">
        <v>997</v>
      </c>
      <c r="C159" s="112">
        <v>120</v>
      </c>
      <c r="D159" s="112">
        <v>202</v>
      </c>
      <c r="E159" s="112">
        <v>322</v>
      </c>
      <c r="F159" s="112">
        <v>1202</v>
      </c>
      <c r="G159" s="112">
        <v>1139</v>
      </c>
      <c r="H159" s="112">
        <v>2341</v>
      </c>
      <c r="I159" s="112">
        <v>851</v>
      </c>
      <c r="J159" s="112">
        <v>1866</v>
      </c>
      <c r="K159" s="431">
        <v>2717</v>
      </c>
      <c r="L159" s="354">
        <v>176</v>
      </c>
      <c r="M159" s="354">
        <v>122</v>
      </c>
      <c r="N159" s="354">
        <v>298</v>
      </c>
    </row>
    <row r="160" spans="1:14">
      <c r="A160" s="907"/>
      <c r="B160" s="353" t="s">
        <v>301</v>
      </c>
      <c r="C160" s="112">
        <v>131</v>
      </c>
      <c r="D160" s="112">
        <v>154</v>
      </c>
      <c r="E160" s="112">
        <v>285</v>
      </c>
      <c r="F160" s="112">
        <v>1637</v>
      </c>
      <c r="G160" s="112">
        <v>1489</v>
      </c>
      <c r="H160" s="112">
        <v>3126</v>
      </c>
      <c r="I160" s="112">
        <v>1013</v>
      </c>
      <c r="J160" s="112">
        <v>2025</v>
      </c>
      <c r="K160" s="431">
        <v>3038</v>
      </c>
      <c r="L160" s="354"/>
      <c r="M160" s="354"/>
      <c r="N160" s="354"/>
    </row>
    <row r="161" spans="1:14">
      <c r="A161" s="907"/>
      <c r="B161" s="353" t="s">
        <v>300</v>
      </c>
      <c r="C161" s="112">
        <v>158</v>
      </c>
      <c r="D161" s="112">
        <v>99</v>
      </c>
      <c r="E161" s="112">
        <v>257</v>
      </c>
      <c r="F161" s="112">
        <v>1456</v>
      </c>
      <c r="G161" s="112">
        <v>1197</v>
      </c>
      <c r="H161" s="112">
        <v>2653</v>
      </c>
      <c r="I161" s="112">
        <v>950</v>
      </c>
      <c r="J161" s="112">
        <v>1894</v>
      </c>
      <c r="K161" s="431">
        <v>2844</v>
      </c>
      <c r="L161" s="354"/>
      <c r="M161" s="354"/>
      <c r="N161" s="354"/>
    </row>
    <row r="162" spans="1:14">
      <c r="A162" s="907"/>
      <c r="B162" s="353" t="s">
        <v>299</v>
      </c>
      <c r="C162" s="113">
        <v>122</v>
      </c>
      <c r="D162" s="113">
        <v>83</v>
      </c>
      <c r="E162" s="114">
        <f>C162+D162</f>
        <v>205</v>
      </c>
      <c r="F162" s="113">
        <v>1395</v>
      </c>
      <c r="G162" s="113">
        <v>1060</v>
      </c>
      <c r="H162" s="114">
        <f>F162+G162</f>
        <v>2455</v>
      </c>
      <c r="I162" s="113">
        <v>904</v>
      </c>
      <c r="J162" s="113">
        <v>1794</v>
      </c>
      <c r="K162" s="432">
        <f>I162+J162</f>
        <v>2698</v>
      </c>
      <c r="L162" s="354"/>
      <c r="M162" s="354"/>
      <c r="N162" s="354"/>
    </row>
    <row r="163" spans="1:14">
      <c r="A163" s="907"/>
      <c r="B163" s="359" t="s">
        <v>298</v>
      </c>
      <c r="C163" s="103">
        <v>123</v>
      </c>
      <c r="D163" s="103">
        <v>71</v>
      </c>
      <c r="E163" s="95">
        <v>194</v>
      </c>
      <c r="F163" s="103">
        <v>1479</v>
      </c>
      <c r="G163" s="103">
        <v>1218</v>
      </c>
      <c r="H163" s="95">
        <v>2697</v>
      </c>
      <c r="I163" s="103">
        <v>807</v>
      </c>
      <c r="J163" s="103">
        <v>1841</v>
      </c>
      <c r="K163" s="433">
        <v>2648</v>
      </c>
      <c r="L163" s="354"/>
      <c r="M163" s="354"/>
      <c r="N163" s="354"/>
    </row>
    <row r="164" spans="1:14">
      <c r="A164" s="907">
        <v>27</v>
      </c>
      <c r="B164" s="363" t="s">
        <v>41</v>
      </c>
      <c r="C164" s="437"/>
      <c r="D164" s="364"/>
      <c r="E164" s="364"/>
      <c r="F164" s="364"/>
      <c r="G164" s="364"/>
      <c r="H164" s="364"/>
      <c r="I164" s="364"/>
      <c r="J164" s="364"/>
      <c r="K164" s="364"/>
      <c r="L164" s="364"/>
      <c r="M164" s="364"/>
      <c r="N164" s="365"/>
    </row>
    <row r="165" spans="1:14">
      <c r="A165" s="907"/>
      <c r="B165" s="353" t="s">
        <v>997</v>
      </c>
      <c r="C165" s="112">
        <v>318</v>
      </c>
      <c r="D165" s="112">
        <v>255</v>
      </c>
      <c r="E165" s="112">
        <v>573</v>
      </c>
      <c r="F165" s="112">
        <v>11803</v>
      </c>
      <c r="G165" s="112">
        <v>4682</v>
      </c>
      <c r="H165" s="112">
        <v>16485</v>
      </c>
      <c r="I165" s="112">
        <v>53417</v>
      </c>
      <c r="J165" s="112">
        <v>65836</v>
      </c>
      <c r="K165" s="431">
        <v>119253</v>
      </c>
      <c r="L165" s="354">
        <v>5937</v>
      </c>
      <c r="M165" s="354">
        <v>3337</v>
      </c>
      <c r="N165" s="354">
        <v>9274</v>
      </c>
    </row>
    <row r="166" spans="1:14">
      <c r="A166" s="907"/>
      <c r="B166" s="353" t="s">
        <v>301</v>
      </c>
      <c r="C166" s="112">
        <v>427</v>
      </c>
      <c r="D166" s="112">
        <v>311</v>
      </c>
      <c r="E166" s="112">
        <v>738</v>
      </c>
      <c r="F166" s="112">
        <v>9558</v>
      </c>
      <c r="G166" s="112">
        <v>4226</v>
      </c>
      <c r="H166" s="112">
        <v>13784</v>
      </c>
      <c r="I166" s="112">
        <v>65018</v>
      </c>
      <c r="J166" s="112">
        <v>77450</v>
      </c>
      <c r="K166" s="431">
        <v>142468</v>
      </c>
      <c r="L166" s="354"/>
      <c r="M166" s="354"/>
      <c r="N166" s="354"/>
    </row>
    <row r="167" spans="1:14">
      <c r="A167" s="907"/>
      <c r="B167" s="353" t="s">
        <v>300</v>
      </c>
      <c r="C167" s="112">
        <v>559</v>
      </c>
      <c r="D167" s="112">
        <v>523</v>
      </c>
      <c r="E167" s="112">
        <v>1082</v>
      </c>
      <c r="F167" s="112">
        <v>7526</v>
      </c>
      <c r="G167" s="112">
        <v>3308</v>
      </c>
      <c r="H167" s="112">
        <v>10834</v>
      </c>
      <c r="I167" s="112">
        <v>68769</v>
      </c>
      <c r="J167" s="112">
        <v>88929</v>
      </c>
      <c r="K167" s="431">
        <v>157698</v>
      </c>
      <c r="L167" s="354"/>
      <c r="M167" s="354"/>
      <c r="N167" s="354"/>
    </row>
    <row r="168" spans="1:14">
      <c r="A168" s="907"/>
      <c r="B168" s="353" t="s">
        <v>299</v>
      </c>
      <c r="C168" s="113">
        <v>499</v>
      </c>
      <c r="D168" s="113">
        <v>335</v>
      </c>
      <c r="E168" s="114">
        <f>C168+D168</f>
        <v>834</v>
      </c>
      <c r="F168" s="113">
        <v>6106</v>
      </c>
      <c r="G168" s="113">
        <v>2324</v>
      </c>
      <c r="H168" s="114">
        <f>F168+G168</f>
        <v>8430</v>
      </c>
      <c r="I168" s="113">
        <v>62604</v>
      </c>
      <c r="J168" s="113">
        <v>82694</v>
      </c>
      <c r="K168" s="432">
        <f>I168+J168</f>
        <v>145298</v>
      </c>
      <c r="L168" s="354"/>
      <c r="M168" s="354"/>
      <c r="N168" s="354"/>
    </row>
    <row r="169" spans="1:14">
      <c r="A169" s="907"/>
      <c r="B169" s="359" t="s">
        <v>298</v>
      </c>
      <c r="C169" s="103">
        <v>557</v>
      </c>
      <c r="D169" s="103">
        <v>291</v>
      </c>
      <c r="E169" s="95">
        <v>848</v>
      </c>
      <c r="F169" s="103">
        <v>6205</v>
      </c>
      <c r="G169" s="103">
        <v>2258</v>
      </c>
      <c r="H169" s="95">
        <v>8463</v>
      </c>
      <c r="I169" s="103">
        <v>67548</v>
      </c>
      <c r="J169" s="103">
        <v>82447</v>
      </c>
      <c r="K169" s="433">
        <v>149995</v>
      </c>
      <c r="L169" s="354"/>
      <c r="M169" s="354"/>
      <c r="N169" s="354"/>
    </row>
    <row r="170" spans="1:14">
      <c r="A170" s="907">
        <v>28</v>
      </c>
      <c r="B170" s="363" t="s">
        <v>42</v>
      </c>
      <c r="C170" s="437"/>
      <c r="D170" s="364"/>
      <c r="E170" s="364"/>
      <c r="F170" s="364"/>
      <c r="G170" s="364"/>
      <c r="H170" s="364"/>
      <c r="I170" s="364"/>
      <c r="J170" s="364"/>
      <c r="K170" s="364"/>
      <c r="L170" s="364"/>
      <c r="M170" s="364"/>
      <c r="N170" s="365"/>
    </row>
    <row r="171" spans="1:14">
      <c r="A171" s="907"/>
      <c r="B171" s="353" t="s">
        <v>997</v>
      </c>
      <c r="C171" s="112">
        <v>4579</v>
      </c>
      <c r="D171" s="112">
        <v>1729</v>
      </c>
      <c r="E171" s="112">
        <v>6308</v>
      </c>
      <c r="F171" s="112">
        <v>24356</v>
      </c>
      <c r="G171" s="112">
        <v>18634</v>
      </c>
      <c r="H171" s="112">
        <v>42990</v>
      </c>
      <c r="I171" s="112">
        <v>8595</v>
      </c>
      <c r="J171" s="112">
        <v>11274</v>
      </c>
      <c r="K171" s="431">
        <v>19869</v>
      </c>
      <c r="L171" s="354">
        <v>14756</v>
      </c>
      <c r="M171" s="354">
        <v>13941</v>
      </c>
      <c r="N171" s="354">
        <v>28697</v>
      </c>
    </row>
    <row r="172" spans="1:14">
      <c r="A172" s="907"/>
      <c r="B172" s="353" t="s">
        <v>301</v>
      </c>
      <c r="C172" s="112">
        <v>3442</v>
      </c>
      <c r="D172" s="112">
        <v>6519</v>
      </c>
      <c r="E172" s="112">
        <v>9961</v>
      </c>
      <c r="F172" s="112">
        <v>25128</v>
      </c>
      <c r="G172" s="112">
        <v>19055</v>
      </c>
      <c r="H172" s="112">
        <v>44183</v>
      </c>
      <c r="I172" s="112">
        <v>8366</v>
      </c>
      <c r="J172" s="112">
        <v>10998</v>
      </c>
      <c r="K172" s="431">
        <v>19364</v>
      </c>
      <c r="L172" s="354"/>
      <c r="M172" s="354"/>
      <c r="N172" s="354"/>
    </row>
    <row r="173" spans="1:14">
      <c r="A173" s="907"/>
      <c r="B173" s="353" t="s">
        <v>300</v>
      </c>
      <c r="C173" s="112">
        <v>2848</v>
      </c>
      <c r="D173" s="112">
        <v>1864</v>
      </c>
      <c r="E173" s="112">
        <v>4712</v>
      </c>
      <c r="F173" s="112">
        <v>26100</v>
      </c>
      <c r="G173" s="112">
        <v>18258</v>
      </c>
      <c r="H173" s="112">
        <v>44358</v>
      </c>
      <c r="I173" s="112">
        <v>7629</v>
      </c>
      <c r="J173" s="112">
        <v>10011</v>
      </c>
      <c r="K173" s="431">
        <v>17640</v>
      </c>
      <c r="L173" s="354"/>
      <c r="M173" s="354"/>
      <c r="N173" s="354"/>
    </row>
    <row r="174" spans="1:14">
      <c r="A174" s="907"/>
      <c r="B174" s="353" t="s">
        <v>299</v>
      </c>
      <c r="C174" s="113">
        <v>2528</v>
      </c>
      <c r="D174" s="113">
        <v>2496</v>
      </c>
      <c r="E174" s="114">
        <f>C174+D174</f>
        <v>5024</v>
      </c>
      <c r="F174" s="113">
        <v>22280</v>
      </c>
      <c r="G174" s="113">
        <v>16276</v>
      </c>
      <c r="H174" s="114">
        <f>F174+G174</f>
        <v>38556</v>
      </c>
      <c r="I174" s="113">
        <v>7776</v>
      </c>
      <c r="J174" s="113">
        <v>10198</v>
      </c>
      <c r="K174" s="432">
        <f>I174+J174</f>
        <v>17974</v>
      </c>
      <c r="L174" s="354"/>
      <c r="M174" s="354"/>
      <c r="N174" s="354"/>
    </row>
    <row r="175" spans="1:14">
      <c r="A175" s="907"/>
      <c r="B175" s="359" t="s">
        <v>298</v>
      </c>
      <c r="C175" s="103">
        <v>1943</v>
      </c>
      <c r="D175" s="103">
        <v>983</v>
      </c>
      <c r="E175" s="95">
        <v>2926</v>
      </c>
      <c r="F175" s="103">
        <v>19885</v>
      </c>
      <c r="G175" s="103">
        <v>13909</v>
      </c>
      <c r="H175" s="95">
        <v>33794</v>
      </c>
      <c r="I175" s="103">
        <v>5919</v>
      </c>
      <c r="J175" s="103">
        <v>8955</v>
      </c>
      <c r="K175" s="433">
        <v>14874</v>
      </c>
      <c r="L175" s="354"/>
      <c r="M175" s="354"/>
      <c r="N175" s="354"/>
    </row>
    <row r="176" spans="1:14">
      <c r="A176" s="907">
        <v>29</v>
      </c>
      <c r="B176" s="363" t="s">
        <v>43</v>
      </c>
      <c r="C176" s="437"/>
      <c r="D176" s="364"/>
      <c r="E176" s="364"/>
      <c r="F176" s="364"/>
      <c r="G176" s="364"/>
      <c r="H176" s="364"/>
      <c r="I176" s="364"/>
      <c r="J176" s="364"/>
      <c r="K176" s="364"/>
      <c r="L176" s="364"/>
      <c r="M176" s="364"/>
      <c r="N176" s="365"/>
    </row>
    <row r="177" spans="1:14">
      <c r="A177" s="907"/>
      <c r="B177" s="353" t="s">
        <v>997</v>
      </c>
      <c r="C177" s="112">
        <v>7</v>
      </c>
      <c r="D177" s="112">
        <v>1</v>
      </c>
      <c r="E177" s="112">
        <v>8</v>
      </c>
      <c r="F177" s="112">
        <v>102</v>
      </c>
      <c r="G177" s="112">
        <v>45</v>
      </c>
      <c r="H177" s="112">
        <v>147</v>
      </c>
      <c r="I177" s="112">
        <v>572</v>
      </c>
      <c r="J177" s="112">
        <v>784</v>
      </c>
      <c r="K177" s="431">
        <v>1356</v>
      </c>
      <c r="L177" s="354">
        <v>46</v>
      </c>
      <c r="M177" s="354">
        <v>41</v>
      </c>
      <c r="N177" s="354">
        <v>87</v>
      </c>
    </row>
    <row r="178" spans="1:14">
      <c r="A178" s="907"/>
      <c r="B178" s="353" t="s">
        <v>301</v>
      </c>
      <c r="C178" s="112">
        <v>8</v>
      </c>
      <c r="D178" s="112">
        <v>4</v>
      </c>
      <c r="E178" s="112">
        <v>12</v>
      </c>
      <c r="F178" s="112">
        <v>96</v>
      </c>
      <c r="G178" s="112">
        <v>50</v>
      </c>
      <c r="H178" s="112">
        <v>146</v>
      </c>
      <c r="I178" s="112">
        <v>223</v>
      </c>
      <c r="J178" s="112">
        <v>502</v>
      </c>
      <c r="K178" s="431">
        <v>725</v>
      </c>
      <c r="L178" s="354"/>
      <c r="M178" s="354"/>
      <c r="N178" s="354"/>
    </row>
    <row r="179" spans="1:14">
      <c r="A179" s="907"/>
      <c r="B179" s="353" t="s">
        <v>300</v>
      </c>
      <c r="C179" s="112">
        <v>7</v>
      </c>
      <c r="D179" s="112">
        <v>1</v>
      </c>
      <c r="E179" s="112">
        <v>8</v>
      </c>
      <c r="F179" s="112">
        <v>136</v>
      </c>
      <c r="G179" s="112">
        <v>60</v>
      </c>
      <c r="H179" s="112">
        <v>196</v>
      </c>
      <c r="I179" s="112">
        <v>781</v>
      </c>
      <c r="J179" s="112">
        <v>1346</v>
      </c>
      <c r="K179" s="431">
        <v>2127</v>
      </c>
      <c r="L179" s="354"/>
      <c r="M179" s="354"/>
      <c r="N179" s="354"/>
    </row>
    <row r="180" spans="1:14">
      <c r="A180" s="907"/>
      <c r="B180" s="353" t="s">
        <v>299</v>
      </c>
      <c r="C180" s="113">
        <v>6</v>
      </c>
      <c r="D180" s="113">
        <v>1</v>
      </c>
      <c r="E180" s="114">
        <f>C180+D180</f>
        <v>7</v>
      </c>
      <c r="F180" s="113">
        <v>70</v>
      </c>
      <c r="G180" s="113">
        <v>36</v>
      </c>
      <c r="H180" s="114">
        <f>F180+G180</f>
        <v>106</v>
      </c>
      <c r="I180" s="113">
        <v>258</v>
      </c>
      <c r="J180" s="113">
        <v>709</v>
      </c>
      <c r="K180" s="432">
        <f>I180+J180</f>
        <v>967</v>
      </c>
      <c r="L180" s="354"/>
      <c r="M180" s="354"/>
      <c r="N180" s="354"/>
    </row>
    <row r="181" spans="1:14">
      <c r="A181" s="907"/>
      <c r="B181" s="359" t="s">
        <v>298</v>
      </c>
      <c r="C181" s="103">
        <v>7</v>
      </c>
      <c r="D181" s="103">
        <v>3</v>
      </c>
      <c r="E181" s="95">
        <v>10</v>
      </c>
      <c r="F181" s="103">
        <v>117</v>
      </c>
      <c r="G181" s="103">
        <v>31</v>
      </c>
      <c r="H181" s="95">
        <v>148</v>
      </c>
      <c r="I181" s="103">
        <v>364</v>
      </c>
      <c r="J181" s="103">
        <v>737</v>
      </c>
      <c r="K181" s="433">
        <v>1101</v>
      </c>
      <c r="L181" s="354"/>
      <c r="M181" s="354"/>
      <c r="N181" s="354"/>
    </row>
    <row r="182" spans="1:14">
      <c r="A182" s="907">
        <v>30</v>
      </c>
      <c r="B182" s="363" t="s">
        <v>44</v>
      </c>
      <c r="C182" s="437"/>
      <c r="D182" s="364"/>
      <c r="E182" s="364"/>
      <c r="F182" s="364"/>
      <c r="G182" s="364"/>
      <c r="H182" s="364"/>
      <c r="I182" s="364"/>
      <c r="J182" s="364"/>
      <c r="K182" s="364"/>
      <c r="L182" s="364"/>
      <c r="M182" s="364"/>
      <c r="N182" s="365"/>
    </row>
    <row r="183" spans="1:14">
      <c r="A183" s="907"/>
      <c r="B183" s="353" t="s">
        <v>997</v>
      </c>
      <c r="C183" s="112">
        <v>2831</v>
      </c>
      <c r="D183" s="112">
        <v>2038</v>
      </c>
      <c r="E183" s="112">
        <v>4869</v>
      </c>
      <c r="F183" s="112">
        <v>65103</v>
      </c>
      <c r="G183" s="112">
        <v>49869</v>
      </c>
      <c r="H183" s="112">
        <v>114972</v>
      </c>
      <c r="I183" s="112">
        <v>76594</v>
      </c>
      <c r="J183" s="112">
        <v>85648</v>
      </c>
      <c r="K183" s="431">
        <v>162242</v>
      </c>
      <c r="L183" s="354">
        <v>20557</v>
      </c>
      <c r="M183" s="354">
        <v>18667</v>
      </c>
      <c r="N183" s="354">
        <v>39224</v>
      </c>
    </row>
    <row r="184" spans="1:14">
      <c r="A184" s="907"/>
      <c r="B184" s="353" t="s">
        <v>301</v>
      </c>
      <c r="C184" s="112">
        <v>3464</v>
      </c>
      <c r="D184" s="112">
        <v>7437</v>
      </c>
      <c r="E184" s="112">
        <v>10901</v>
      </c>
      <c r="F184" s="112">
        <v>72794</v>
      </c>
      <c r="G184" s="112">
        <v>56771</v>
      </c>
      <c r="H184" s="112">
        <v>129565</v>
      </c>
      <c r="I184" s="112">
        <v>76670</v>
      </c>
      <c r="J184" s="112">
        <v>87694</v>
      </c>
      <c r="K184" s="431">
        <v>164364</v>
      </c>
      <c r="L184" s="354"/>
      <c r="M184" s="354"/>
      <c r="N184" s="354"/>
    </row>
    <row r="185" spans="1:14">
      <c r="A185" s="907"/>
      <c r="B185" s="353" t="s">
        <v>300</v>
      </c>
      <c r="C185" s="112">
        <v>5889</v>
      </c>
      <c r="D185" s="112">
        <v>4310</v>
      </c>
      <c r="E185" s="112">
        <v>10199</v>
      </c>
      <c r="F185" s="112">
        <v>71882</v>
      </c>
      <c r="G185" s="112">
        <v>51689</v>
      </c>
      <c r="H185" s="112">
        <v>123571</v>
      </c>
      <c r="I185" s="112">
        <v>72974</v>
      </c>
      <c r="J185" s="112">
        <v>80926</v>
      </c>
      <c r="K185" s="431">
        <v>153900</v>
      </c>
      <c r="L185" s="354"/>
      <c r="M185" s="354"/>
      <c r="N185" s="354"/>
    </row>
    <row r="186" spans="1:14">
      <c r="A186" s="907"/>
      <c r="B186" s="353" t="s">
        <v>299</v>
      </c>
      <c r="C186" s="113">
        <v>3356</v>
      </c>
      <c r="D186" s="113">
        <v>2466</v>
      </c>
      <c r="E186" s="114">
        <f>C186+D186</f>
        <v>5822</v>
      </c>
      <c r="F186" s="113">
        <v>68582</v>
      </c>
      <c r="G186" s="113">
        <v>49215</v>
      </c>
      <c r="H186" s="114">
        <f>F186+G186</f>
        <v>117797</v>
      </c>
      <c r="I186" s="113">
        <v>64975</v>
      </c>
      <c r="J186" s="113">
        <v>82103</v>
      </c>
      <c r="K186" s="432">
        <f>I186+J186</f>
        <v>147078</v>
      </c>
      <c r="L186" s="354"/>
      <c r="M186" s="354"/>
      <c r="N186" s="354"/>
    </row>
    <row r="187" spans="1:14">
      <c r="A187" s="907"/>
      <c r="B187" s="359" t="s">
        <v>298</v>
      </c>
      <c r="C187" s="103">
        <v>3077</v>
      </c>
      <c r="D187" s="103">
        <v>2279</v>
      </c>
      <c r="E187" s="95">
        <v>5356</v>
      </c>
      <c r="F187" s="103">
        <v>65095</v>
      </c>
      <c r="G187" s="103">
        <v>46088</v>
      </c>
      <c r="H187" s="95">
        <v>111183</v>
      </c>
      <c r="I187" s="103">
        <v>65393</v>
      </c>
      <c r="J187" s="103">
        <v>75445</v>
      </c>
      <c r="K187" s="433">
        <v>140838</v>
      </c>
      <c r="L187" s="354"/>
      <c r="M187" s="354"/>
      <c r="N187" s="354"/>
    </row>
    <row r="188" spans="1:14">
      <c r="A188" s="907">
        <v>31</v>
      </c>
      <c r="B188" s="363" t="s">
        <v>142</v>
      </c>
      <c r="C188" s="437"/>
      <c r="D188" s="364"/>
      <c r="E188" s="364"/>
      <c r="F188" s="364"/>
      <c r="G188" s="364"/>
      <c r="H188" s="364"/>
      <c r="I188" s="364"/>
      <c r="J188" s="364"/>
      <c r="K188" s="364"/>
      <c r="L188" s="364"/>
      <c r="M188" s="364"/>
      <c r="N188" s="365"/>
    </row>
    <row r="189" spans="1:14">
      <c r="A189" s="907"/>
      <c r="B189" s="353" t="s">
        <v>997</v>
      </c>
      <c r="C189" s="112">
        <v>1761</v>
      </c>
      <c r="D189" s="112">
        <v>1343</v>
      </c>
      <c r="E189" s="112">
        <v>3104</v>
      </c>
      <c r="F189" s="112">
        <v>65893</v>
      </c>
      <c r="G189" s="112">
        <v>63061</v>
      </c>
      <c r="H189" s="112">
        <v>128954</v>
      </c>
      <c r="I189" s="112">
        <v>3769</v>
      </c>
      <c r="J189" s="112">
        <v>5896</v>
      </c>
      <c r="K189" s="431">
        <v>9665</v>
      </c>
      <c r="L189" s="354">
        <v>7201</v>
      </c>
      <c r="M189" s="354">
        <v>7214</v>
      </c>
      <c r="N189" s="354">
        <v>14415</v>
      </c>
    </row>
    <row r="190" spans="1:14">
      <c r="A190" s="907"/>
      <c r="B190" s="353" t="s">
        <v>301</v>
      </c>
      <c r="C190" s="112">
        <v>1468</v>
      </c>
      <c r="D190" s="112">
        <v>1472</v>
      </c>
      <c r="E190" s="112">
        <v>2940</v>
      </c>
      <c r="F190" s="112">
        <v>62229</v>
      </c>
      <c r="G190" s="112">
        <v>59689</v>
      </c>
      <c r="H190" s="112">
        <v>121918</v>
      </c>
      <c r="I190" s="112">
        <v>3744</v>
      </c>
      <c r="J190" s="112">
        <v>5161</v>
      </c>
      <c r="K190" s="431">
        <v>8905</v>
      </c>
      <c r="L190" s="354"/>
      <c r="M190" s="354"/>
      <c r="N190" s="354"/>
    </row>
    <row r="191" spans="1:14">
      <c r="A191" s="907"/>
      <c r="B191" s="353" t="s">
        <v>300</v>
      </c>
      <c r="C191" s="112">
        <v>1583</v>
      </c>
      <c r="D191" s="112">
        <v>1120</v>
      </c>
      <c r="E191" s="112">
        <v>2703</v>
      </c>
      <c r="F191" s="112">
        <v>67314</v>
      </c>
      <c r="G191" s="112">
        <v>62968</v>
      </c>
      <c r="H191" s="112">
        <v>130282</v>
      </c>
      <c r="I191" s="112">
        <v>5054</v>
      </c>
      <c r="J191" s="112">
        <v>5350</v>
      </c>
      <c r="K191" s="431">
        <v>10404</v>
      </c>
      <c r="L191" s="354"/>
      <c r="M191" s="354"/>
      <c r="N191" s="354"/>
    </row>
    <row r="192" spans="1:14">
      <c r="A192" s="907"/>
      <c r="B192" s="353" t="s">
        <v>299</v>
      </c>
      <c r="C192" s="113">
        <v>1617</v>
      </c>
      <c r="D192" s="113">
        <v>1054</v>
      </c>
      <c r="E192" s="114">
        <f>C192+D192</f>
        <v>2671</v>
      </c>
      <c r="F192" s="113">
        <v>58234</v>
      </c>
      <c r="G192" s="113">
        <v>51006</v>
      </c>
      <c r="H192" s="114">
        <f>F192+G192</f>
        <v>109240</v>
      </c>
      <c r="I192" s="113">
        <v>4286</v>
      </c>
      <c r="J192" s="113">
        <v>5580</v>
      </c>
      <c r="K192" s="432">
        <f>I192+J192</f>
        <v>9866</v>
      </c>
      <c r="L192" s="354"/>
      <c r="M192" s="354"/>
      <c r="N192" s="354"/>
    </row>
    <row r="193" spans="1:14">
      <c r="A193" s="907"/>
      <c r="B193" s="359" t="s">
        <v>298</v>
      </c>
      <c r="C193" s="103">
        <v>1980</v>
      </c>
      <c r="D193" s="103">
        <v>1101</v>
      </c>
      <c r="E193" s="95">
        <v>3081</v>
      </c>
      <c r="F193" s="103">
        <v>68133</v>
      </c>
      <c r="G193" s="103">
        <v>48670</v>
      </c>
      <c r="H193" s="95">
        <v>116803</v>
      </c>
      <c r="I193" s="103">
        <v>3688</v>
      </c>
      <c r="J193" s="103">
        <v>4330</v>
      </c>
      <c r="K193" s="433">
        <v>8018</v>
      </c>
      <c r="L193" s="354"/>
      <c r="M193" s="354"/>
      <c r="N193" s="354"/>
    </row>
    <row r="194" spans="1:14" ht="28">
      <c r="A194" s="907">
        <v>32</v>
      </c>
      <c r="B194" s="360" t="s">
        <v>173</v>
      </c>
      <c r="C194" s="437"/>
      <c r="D194" s="364"/>
      <c r="E194" s="364"/>
      <c r="F194" s="364"/>
      <c r="G194" s="364"/>
      <c r="H194" s="364"/>
      <c r="I194" s="364"/>
      <c r="J194" s="364"/>
      <c r="K194" s="364"/>
      <c r="L194" s="364"/>
      <c r="M194" s="364"/>
      <c r="N194" s="365"/>
    </row>
    <row r="195" spans="1:14">
      <c r="A195" s="907"/>
      <c r="B195" s="353" t="s">
        <v>997</v>
      </c>
      <c r="C195" s="268">
        <v>10</v>
      </c>
      <c r="D195" s="268">
        <v>10</v>
      </c>
      <c r="E195" s="270">
        <v>20</v>
      </c>
      <c r="F195" s="268">
        <v>135</v>
      </c>
      <c r="G195" s="268">
        <v>132</v>
      </c>
      <c r="H195" s="269">
        <v>267</v>
      </c>
      <c r="I195" s="268">
        <v>10</v>
      </c>
      <c r="J195" s="268">
        <v>297</v>
      </c>
      <c r="K195" s="269">
        <v>307</v>
      </c>
      <c r="L195" s="354">
        <v>45</v>
      </c>
      <c r="M195" s="354">
        <v>39</v>
      </c>
      <c r="N195" s="354">
        <v>84</v>
      </c>
    </row>
    <row r="196" spans="1:14">
      <c r="A196" s="907"/>
      <c r="B196" s="353" t="s">
        <v>301</v>
      </c>
      <c r="C196" s="271">
        <v>15</v>
      </c>
      <c r="D196" s="271">
        <v>10</v>
      </c>
      <c r="E196" s="271">
        <v>25</v>
      </c>
      <c r="F196" s="271">
        <v>129</v>
      </c>
      <c r="G196" s="271">
        <v>102</v>
      </c>
      <c r="H196" s="271">
        <v>231</v>
      </c>
      <c r="I196" s="271">
        <v>12</v>
      </c>
      <c r="J196" s="271">
        <v>302</v>
      </c>
      <c r="K196" s="271">
        <v>314</v>
      </c>
      <c r="L196" s="354"/>
      <c r="M196" s="354"/>
      <c r="N196" s="354"/>
    </row>
    <row r="197" spans="1:14">
      <c r="A197" s="907"/>
      <c r="B197" s="353" t="s">
        <v>300</v>
      </c>
      <c r="C197" s="271">
        <v>8</v>
      </c>
      <c r="D197" s="271">
        <v>7</v>
      </c>
      <c r="E197" s="271">
        <v>15</v>
      </c>
      <c r="F197" s="271">
        <v>127</v>
      </c>
      <c r="G197" s="271">
        <v>113</v>
      </c>
      <c r="H197" s="271">
        <v>240</v>
      </c>
      <c r="I197" s="271">
        <v>17</v>
      </c>
      <c r="J197" s="271">
        <v>276</v>
      </c>
      <c r="K197" s="271">
        <v>293</v>
      </c>
      <c r="L197" s="354"/>
      <c r="M197" s="354"/>
      <c r="N197" s="354"/>
    </row>
    <row r="198" spans="1:14">
      <c r="A198" s="907"/>
      <c r="B198" s="353" t="s">
        <v>299</v>
      </c>
      <c r="C198" s="271">
        <v>4</v>
      </c>
      <c r="D198" s="271">
        <v>6</v>
      </c>
      <c r="E198" s="271">
        <v>10</v>
      </c>
      <c r="F198" s="271">
        <v>116</v>
      </c>
      <c r="G198" s="271">
        <v>104</v>
      </c>
      <c r="H198" s="271">
        <v>220</v>
      </c>
      <c r="I198" s="271">
        <v>31</v>
      </c>
      <c r="J198" s="271">
        <v>55</v>
      </c>
      <c r="K198" s="271">
        <v>86</v>
      </c>
      <c r="L198" s="354"/>
      <c r="M198" s="354"/>
      <c r="N198" s="354"/>
    </row>
    <row r="199" spans="1:14">
      <c r="A199" s="907"/>
      <c r="B199" s="359" t="s">
        <v>298</v>
      </c>
      <c r="C199" s="271">
        <v>10</v>
      </c>
      <c r="D199" s="271">
        <v>8</v>
      </c>
      <c r="E199" s="271">
        <v>18</v>
      </c>
      <c r="F199" s="271">
        <v>108</v>
      </c>
      <c r="G199" s="271">
        <v>85</v>
      </c>
      <c r="H199" s="271">
        <v>193</v>
      </c>
      <c r="I199" s="271">
        <v>26</v>
      </c>
      <c r="J199" s="271">
        <v>52</v>
      </c>
      <c r="K199" s="271">
        <v>78</v>
      </c>
      <c r="L199" s="354"/>
      <c r="M199" s="354"/>
      <c r="N199" s="354"/>
    </row>
    <row r="200" spans="1:14">
      <c r="A200" s="907">
        <v>33</v>
      </c>
      <c r="B200" s="363" t="s">
        <v>45</v>
      </c>
      <c r="C200" s="437"/>
      <c r="D200" s="364"/>
      <c r="E200" s="364"/>
      <c r="F200" s="364"/>
      <c r="G200" s="364"/>
      <c r="H200" s="364"/>
      <c r="I200" s="364"/>
      <c r="J200" s="364"/>
      <c r="K200" s="364"/>
      <c r="L200" s="364"/>
      <c r="M200" s="364"/>
      <c r="N200" s="365"/>
    </row>
    <row r="201" spans="1:14">
      <c r="A201" s="907"/>
      <c r="B201" s="353" t="s">
        <v>997</v>
      </c>
      <c r="C201" s="112">
        <v>90</v>
      </c>
      <c r="D201" s="112">
        <v>47</v>
      </c>
      <c r="E201" s="112">
        <v>137</v>
      </c>
      <c r="F201" s="112">
        <v>656</v>
      </c>
      <c r="G201" s="112">
        <v>691</v>
      </c>
      <c r="H201" s="112">
        <v>1347</v>
      </c>
      <c r="I201" s="112">
        <v>333</v>
      </c>
      <c r="J201" s="112">
        <v>295</v>
      </c>
      <c r="K201" s="431">
        <v>628</v>
      </c>
      <c r="L201" s="354">
        <v>355</v>
      </c>
      <c r="M201" s="354">
        <v>166</v>
      </c>
      <c r="N201" s="354">
        <v>521</v>
      </c>
    </row>
    <row r="202" spans="1:14">
      <c r="A202" s="907"/>
      <c r="B202" s="353" t="s">
        <v>301</v>
      </c>
      <c r="C202" s="112">
        <v>290</v>
      </c>
      <c r="D202" s="112">
        <v>74</v>
      </c>
      <c r="E202" s="112">
        <v>364</v>
      </c>
      <c r="F202" s="112">
        <v>1233</v>
      </c>
      <c r="G202" s="112">
        <v>882</v>
      </c>
      <c r="H202" s="112">
        <v>2115</v>
      </c>
      <c r="I202" s="112">
        <v>300</v>
      </c>
      <c r="J202" s="112">
        <v>188</v>
      </c>
      <c r="K202" s="431">
        <v>488</v>
      </c>
      <c r="L202" s="354"/>
      <c r="M202" s="354"/>
      <c r="N202" s="354"/>
    </row>
    <row r="203" spans="1:14">
      <c r="A203" s="907"/>
      <c r="B203" s="353" t="s">
        <v>300</v>
      </c>
      <c r="C203" s="112">
        <v>165</v>
      </c>
      <c r="D203" s="112">
        <v>66</v>
      </c>
      <c r="E203" s="112">
        <v>231</v>
      </c>
      <c r="F203" s="112">
        <v>1346</v>
      </c>
      <c r="G203" s="112">
        <v>1002</v>
      </c>
      <c r="H203" s="112">
        <v>2348</v>
      </c>
      <c r="I203" s="112">
        <v>482</v>
      </c>
      <c r="J203" s="112">
        <v>304</v>
      </c>
      <c r="K203" s="431">
        <v>786</v>
      </c>
      <c r="L203" s="354"/>
      <c r="M203" s="354"/>
      <c r="N203" s="354"/>
    </row>
    <row r="204" spans="1:14">
      <c r="A204" s="907"/>
      <c r="B204" s="353" t="s">
        <v>299</v>
      </c>
      <c r="C204" s="113">
        <v>124</v>
      </c>
      <c r="D204" s="113">
        <v>36</v>
      </c>
      <c r="E204" s="114">
        <f>C204+D204</f>
        <v>160</v>
      </c>
      <c r="F204" s="113">
        <v>1052</v>
      </c>
      <c r="G204" s="113">
        <v>840</v>
      </c>
      <c r="H204" s="114">
        <f>F204+G204</f>
        <v>1892</v>
      </c>
      <c r="I204" s="113">
        <v>555</v>
      </c>
      <c r="J204" s="113">
        <v>388</v>
      </c>
      <c r="K204" s="432">
        <f>I204+J204</f>
        <v>943</v>
      </c>
      <c r="L204" s="354"/>
      <c r="M204" s="354"/>
      <c r="N204" s="354"/>
    </row>
    <row r="205" spans="1:14">
      <c r="A205" s="907"/>
      <c r="B205" s="359" t="s">
        <v>298</v>
      </c>
      <c r="C205" s="103">
        <v>169</v>
      </c>
      <c r="D205" s="103">
        <v>38</v>
      </c>
      <c r="E205" s="95">
        <v>207</v>
      </c>
      <c r="F205" s="103">
        <v>1350</v>
      </c>
      <c r="G205" s="103">
        <v>975</v>
      </c>
      <c r="H205" s="95">
        <v>2325</v>
      </c>
      <c r="I205" s="103">
        <v>1041</v>
      </c>
      <c r="J205" s="103">
        <v>614</v>
      </c>
      <c r="K205" s="433">
        <v>1655</v>
      </c>
      <c r="L205" s="354"/>
      <c r="M205" s="354"/>
      <c r="N205" s="354"/>
    </row>
    <row r="206" spans="1:14">
      <c r="A206" s="907">
        <v>34</v>
      </c>
      <c r="B206" s="363" t="s">
        <v>47</v>
      </c>
      <c r="C206" s="437"/>
      <c r="D206" s="364"/>
      <c r="E206" s="364"/>
      <c r="F206" s="364"/>
      <c r="G206" s="364"/>
      <c r="H206" s="364"/>
      <c r="I206" s="364"/>
      <c r="J206" s="364"/>
      <c r="K206" s="364"/>
      <c r="L206" s="364"/>
      <c r="M206" s="364"/>
      <c r="N206" s="365"/>
    </row>
    <row r="207" spans="1:14">
      <c r="A207" s="907"/>
      <c r="B207" s="353" t="s">
        <v>997</v>
      </c>
      <c r="C207" s="112">
        <v>9484</v>
      </c>
      <c r="D207" s="112">
        <v>5519</v>
      </c>
      <c r="E207" s="112">
        <v>15003</v>
      </c>
      <c r="F207" s="112">
        <v>137654</v>
      </c>
      <c r="G207" s="112">
        <v>161657</v>
      </c>
      <c r="H207" s="112">
        <v>299311</v>
      </c>
      <c r="I207" s="112">
        <v>10725</v>
      </c>
      <c r="J207" s="112">
        <v>12255</v>
      </c>
      <c r="K207" s="431">
        <v>22980</v>
      </c>
      <c r="L207" s="354">
        <v>23733</v>
      </c>
      <c r="M207" s="354">
        <v>16288</v>
      </c>
      <c r="N207" s="354">
        <v>40021</v>
      </c>
    </row>
    <row r="208" spans="1:14">
      <c r="A208" s="907"/>
      <c r="B208" s="353" t="s">
        <v>301</v>
      </c>
      <c r="C208" s="112">
        <v>9356</v>
      </c>
      <c r="D208" s="112">
        <v>8694</v>
      </c>
      <c r="E208" s="112">
        <v>18050</v>
      </c>
      <c r="F208" s="112">
        <v>158790</v>
      </c>
      <c r="G208" s="112">
        <v>198886</v>
      </c>
      <c r="H208" s="112">
        <v>357676</v>
      </c>
      <c r="I208" s="112">
        <v>13009</v>
      </c>
      <c r="J208" s="112">
        <v>14124</v>
      </c>
      <c r="K208" s="431">
        <v>27133</v>
      </c>
      <c r="L208" s="354"/>
      <c r="M208" s="354"/>
      <c r="N208" s="354"/>
    </row>
    <row r="209" spans="1:14">
      <c r="A209" s="907"/>
      <c r="B209" s="353" t="s">
        <v>300</v>
      </c>
      <c r="C209" s="112">
        <v>7790</v>
      </c>
      <c r="D209" s="112">
        <v>7001</v>
      </c>
      <c r="E209" s="112">
        <v>14791</v>
      </c>
      <c r="F209" s="112">
        <v>142299</v>
      </c>
      <c r="G209" s="112">
        <v>177217</v>
      </c>
      <c r="H209" s="112">
        <v>319516</v>
      </c>
      <c r="I209" s="112">
        <v>12012</v>
      </c>
      <c r="J209" s="112">
        <v>11943</v>
      </c>
      <c r="K209" s="431">
        <v>23955</v>
      </c>
      <c r="L209" s="354"/>
      <c r="M209" s="354"/>
      <c r="N209" s="354"/>
    </row>
    <row r="210" spans="1:14">
      <c r="A210" s="907"/>
      <c r="B210" s="353" t="s">
        <v>299</v>
      </c>
      <c r="C210" s="113">
        <v>8531</v>
      </c>
      <c r="D210" s="113">
        <v>8106</v>
      </c>
      <c r="E210" s="114">
        <f>C210+D210</f>
        <v>16637</v>
      </c>
      <c r="F210" s="113">
        <v>135983</v>
      </c>
      <c r="G210" s="113">
        <v>162990</v>
      </c>
      <c r="H210" s="114">
        <f>F210+G210</f>
        <v>298973</v>
      </c>
      <c r="I210" s="113">
        <v>9186</v>
      </c>
      <c r="J210" s="113">
        <v>9371</v>
      </c>
      <c r="K210" s="432">
        <f>I210+J210</f>
        <v>18557</v>
      </c>
      <c r="L210" s="354"/>
      <c r="M210" s="354"/>
      <c r="N210" s="354"/>
    </row>
    <row r="211" spans="1:14">
      <c r="A211" s="907"/>
      <c r="B211" s="359" t="s">
        <v>298</v>
      </c>
      <c r="C211" s="103">
        <v>8968</v>
      </c>
      <c r="D211" s="103">
        <v>10874</v>
      </c>
      <c r="E211" s="95">
        <v>19842</v>
      </c>
      <c r="F211" s="103">
        <v>136614</v>
      </c>
      <c r="G211" s="103">
        <v>158490</v>
      </c>
      <c r="H211" s="95">
        <v>295104</v>
      </c>
      <c r="I211" s="103">
        <v>16818</v>
      </c>
      <c r="J211" s="103">
        <v>14711</v>
      </c>
      <c r="K211" s="433">
        <v>31529</v>
      </c>
      <c r="L211" s="354"/>
      <c r="M211" s="354"/>
      <c r="N211" s="354"/>
    </row>
    <row r="212" spans="1:14">
      <c r="A212" s="907">
        <v>35</v>
      </c>
      <c r="B212" s="363" t="s">
        <v>46</v>
      </c>
      <c r="C212" s="437"/>
      <c r="D212" s="364"/>
      <c r="E212" s="364"/>
      <c r="F212" s="364"/>
      <c r="G212" s="364"/>
      <c r="H212" s="364"/>
      <c r="I212" s="364"/>
      <c r="J212" s="364"/>
      <c r="K212" s="364"/>
      <c r="L212" s="364"/>
      <c r="M212" s="364"/>
      <c r="N212" s="365"/>
    </row>
    <row r="213" spans="1:14">
      <c r="A213" s="907"/>
      <c r="B213" s="353" t="s">
        <v>997</v>
      </c>
      <c r="C213" s="112">
        <v>1497</v>
      </c>
      <c r="D213" s="112">
        <v>1458</v>
      </c>
      <c r="E213" s="112">
        <v>2955</v>
      </c>
      <c r="F213" s="112">
        <v>11100</v>
      </c>
      <c r="G213" s="112">
        <v>12540</v>
      </c>
      <c r="H213" s="112">
        <v>23640</v>
      </c>
      <c r="I213" s="112">
        <v>1889</v>
      </c>
      <c r="J213" s="112">
        <v>2369</v>
      </c>
      <c r="K213" s="112">
        <v>4258</v>
      </c>
      <c r="L213" s="354">
        <v>1970</v>
      </c>
      <c r="M213" s="354">
        <v>1234</v>
      </c>
      <c r="N213" s="354">
        <v>3204</v>
      </c>
    </row>
    <row r="214" spans="1:14">
      <c r="A214" s="907"/>
      <c r="B214" s="353" t="s">
        <v>301</v>
      </c>
      <c r="C214" s="112">
        <v>2009</v>
      </c>
      <c r="D214" s="112">
        <v>2200</v>
      </c>
      <c r="E214" s="112">
        <v>4209</v>
      </c>
      <c r="F214" s="112">
        <v>8380</v>
      </c>
      <c r="G214" s="112">
        <v>6979</v>
      </c>
      <c r="H214" s="112">
        <v>15359</v>
      </c>
      <c r="I214" s="112">
        <v>1864</v>
      </c>
      <c r="J214" s="112">
        <v>1927</v>
      </c>
      <c r="K214" s="112">
        <v>3791</v>
      </c>
      <c r="L214" s="354"/>
      <c r="M214" s="354"/>
      <c r="N214" s="354"/>
    </row>
    <row r="215" spans="1:14">
      <c r="A215" s="907"/>
      <c r="B215" s="353" t="s">
        <v>300</v>
      </c>
      <c r="C215" s="112">
        <v>879</v>
      </c>
      <c r="D215" s="112">
        <v>969</v>
      </c>
      <c r="E215" s="112">
        <v>1848</v>
      </c>
      <c r="F215" s="112">
        <v>7135</v>
      </c>
      <c r="G215" s="112">
        <v>5609</v>
      </c>
      <c r="H215" s="112">
        <v>12744</v>
      </c>
      <c r="I215" s="112">
        <v>1686</v>
      </c>
      <c r="J215" s="112">
        <v>1722</v>
      </c>
      <c r="K215" s="112">
        <v>3408</v>
      </c>
      <c r="L215" s="354"/>
      <c r="M215" s="354"/>
      <c r="N215" s="354"/>
    </row>
    <row r="216" spans="1:14">
      <c r="A216" s="907"/>
      <c r="B216" s="353" t="s">
        <v>299</v>
      </c>
      <c r="C216" s="113">
        <v>304</v>
      </c>
      <c r="D216" s="113">
        <v>96</v>
      </c>
      <c r="E216" s="114">
        <f>C216+D216</f>
        <v>400</v>
      </c>
      <c r="F216" s="113">
        <v>5670</v>
      </c>
      <c r="G216" s="113">
        <v>4230</v>
      </c>
      <c r="H216" s="114">
        <f>F216+G216</f>
        <v>9900</v>
      </c>
      <c r="I216" s="113">
        <v>1404</v>
      </c>
      <c r="J216" s="113">
        <v>1455</v>
      </c>
      <c r="K216" s="114">
        <f>I216+J216</f>
        <v>2859</v>
      </c>
      <c r="L216" s="354"/>
      <c r="M216" s="354"/>
      <c r="N216" s="354"/>
    </row>
    <row r="217" spans="1:14">
      <c r="A217" s="907"/>
      <c r="B217" s="359" t="s">
        <v>298</v>
      </c>
      <c r="C217" s="103">
        <v>511</v>
      </c>
      <c r="D217" s="103">
        <v>248</v>
      </c>
      <c r="E217" s="95">
        <v>759</v>
      </c>
      <c r="F217" s="103">
        <v>5758</v>
      </c>
      <c r="G217" s="103">
        <v>3645</v>
      </c>
      <c r="H217" s="95">
        <v>9403</v>
      </c>
      <c r="I217" s="103">
        <v>1109</v>
      </c>
      <c r="J217" s="103">
        <v>1294</v>
      </c>
      <c r="K217" s="95">
        <v>2403</v>
      </c>
      <c r="L217" s="354"/>
      <c r="M217" s="354"/>
      <c r="N217" s="354"/>
    </row>
    <row r="218" spans="1:14">
      <c r="A218" s="907">
        <v>36</v>
      </c>
      <c r="B218" s="363" t="s">
        <v>48</v>
      </c>
      <c r="C218" s="437"/>
      <c r="D218" s="364"/>
      <c r="E218" s="364"/>
      <c r="F218" s="364"/>
      <c r="G218" s="364"/>
      <c r="H218" s="364"/>
      <c r="I218" s="364"/>
      <c r="J218" s="364"/>
      <c r="K218" s="364"/>
      <c r="L218" s="364"/>
      <c r="M218" s="364"/>
      <c r="N218" s="365"/>
    </row>
    <row r="219" spans="1:14">
      <c r="A219" s="907"/>
      <c r="B219" s="353" t="s">
        <v>997</v>
      </c>
      <c r="C219" s="112">
        <v>4491</v>
      </c>
      <c r="D219" s="112">
        <v>2591</v>
      </c>
      <c r="E219" s="112">
        <v>7082</v>
      </c>
      <c r="F219" s="112">
        <v>110860</v>
      </c>
      <c r="G219" s="112">
        <v>127310</v>
      </c>
      <c r="H219" s="112">
        <v>238170</v>
      </c>
      <c r="I219" s="112">
        <v>7381</v>
      </c>
      <c r="J219" s="112">
        <v>7702</v>
      </c>
      <c r="K219" s="112">
        <v>15083</v>
      </c>
      <c r="L219" s="354">
        <v>8753</v>
      </c>
      <c r="M219" s="354">
        <v>8574</v>
      </c>
      <c r="N219" s="354">
        <v>17327</v>
      </c>
    </row>
    <row r="220" spans="1:14">
      <c r="A220" s="907"/>
      <c r="B220" s="353" t="s">
        <v>301</v>
      </c>
      <c r="C220" s="112">
        <v>2408</v>
      </c>
      <c r="D220" s="112">
        <v>1181</v>
      </c>
      <c r="E220" s="112">
        <v>3589</v>
      </c>
      <c r="F220" s="112">
        <v>111879</v>
      </c>
      <c r="G220" s="112">
        <v>123454</v>
      </c>
      <c r="H220" s="112">
        <v>235333</v>
      </c>
      <c r="I220" s="112">
        <v>5575</v>
      </c>
      <c r="J220" s="112">
        <v>10201</v>
      </c>
      <c r="K220" s="112">
        <v>15776</v>
      </c>
      <c r="L220" s="354"/>
      <c r="M220" s="354"/>
      <c r="N220" s="354"/>
    </row>
    <row r="221" spans="1:14">
      <c r="A221" s="907"/>
      <c r="B221" s="353" t="s">
        <v>300</v>
      </c>
      <c r="C221" s="112">
        <v>2474</v>
      </c>
      <c r="D221" s="112">
        <v>1364</v>
      </c>
      <c r="E221" s="112">
        <v>3838</v>
      </c>
      <c r="F221" s="112">
        <v>111257</v>
      </c>
      <c r="G221" s="112">
        <v>120913</v>
      </c>
      <c r="H221" s="112">
        <v>232170</v>
      </c>
      <c r="I221" s="112">
        <v>5758</v>
      </c>
      <c r="J221" s="112">
        <v>6736</v>
      </c>
      <c r="K221" s="112">
        <v>12494</v>
      </c>
      <c r="L221" s="354"/>
      <c r="M221" s="354"/>
      <c r="N221" s="354"/>
    </row>
    <row r="222" spans="1:14">
      <c r="A222" s="907"/>
      <c r="B222" s="353" t="s">
        <v>299</v>
      </c>
      <c r="C222" s="113">
        <v>2640</v>
      </c>
      <c r="D222" s="113">
        <v>1947</v>
      </c>
      <c r="E222" s="114">
        <f>C222+D222</f>
        <v>4587</v>
      </c>
      <c r="F222" s="113">
        <v>113100</v>
      </c>
      <c r="G222" s="113">
        <v>117635</v>
      </c>
      <c r="H222" s="114">
        <f>F222+G222</f>
        <v>230735</v>
      </c>
      <c r="I222" s="113">
        <v>5996</v>
      </c>
      <c r="J222" s="113">
        <v>6978</v>
      </c>
      <c r="K222" s="114">
        <f>I222+J222</f>
        <v>12974</v>
      </c>
      <c r="L222" s="354"/>
      <c r="M222" s="354"/>
      <c r="N222" s="354"/>
    </row>
    <row r="223" spans="1:14">
      <c r="A223" s="907"/>
      <c r="B223" s="359" t="s">
        <v>298</v>
      </c>
      <c r="C223" s="103">
        <v>2229</v>
      </c>
      <c r="D223" s="103">
        <v>1012</v>
      </c>
      <c r="E223" s="95">
        <v>3241</v>
      </c>
      <c r="F223" s="103">
        <v>114676</v>
      </c>
      <c r="G223" s="103">
        <v>110681</v>
      </c>
      <c r="H223" s="95">
        <v>225357</v>
      </c>
      <c r="I223" s="103">
        <v>7164</v>
      </c>
      <c r="J223" s="103">
        <v>6639</v>
      </c>
      <c r="K223" s="95">
        <v>13803</v>
      </c>
      <c r="L223" s="354"/>
      <c r="M223" s="354"/>
      <c r="N223" s="354"/>
    </row>
  </sheetData>
  <mergeCells count="44">
    <mergeCell ref="L2:N2"/>
    <mergeCell ref="B2:B3"/>
    <mergeCell ref="F2:H2"/>
    <mergeCell ref="I2:K2"/>
    <mergeCell ref="C2:E2"/>
    <mergeCell ref="A2:A3"/>
    <mergeCell ref="A5:A10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128:A133"/>
    <mergeCell ref="A89:A94"/>
    <mergeCell ref="A134:A139"/>
    <mergeCell ref="A140:A145"/>
    <mergeCell ref="A146:A151"/>
    <mergeCell ref="A95:A100"/>
    <mergeCell ref="A110:A115"/>
    <mergeCell ref="A116:A121"/>
    <mergeCell ref="C1:N1"/>
    <mergeCell ref="A212:A217"/>
    <mergeCell ref="A218:A223"/>
    <mergeCell ref="A107:A109"/>
    <mergeCell ref="A101:A106"/>
    <mergeCell ref="A182:A187"/>
    <mergeCell ref="A188:A193"/>
    <mergeCell ref="A194:A199"/>
    <mergeCell ref="A200:A205"/>
    <mergeCell ref="A206:A211"/>
    <mergeCell ref="A152:A157"/>
    <mergeCell ref="A158:A163"/>
    <mergeCell ref="A164:A169"/>
    <mergeCell ref="A170:A175"/>
    <mergeCell ref="A176:A181"/>
    <mergeCell ref="A122:A127"/>
  </mergeCells>
  <printOptions horizontalCentered="1"/>
  <pageMargins left="0.39370078740157483" right="0.39370078740157483" top="0.39370078740157483" bottom="0.39370078740157483" header="0.27559055118110237" footer="0.23622047244094491"/>
  <pageSetup paperSize="9" scale="56" firstPageNumber="2" pageOrder="overThenDown" orientation="portrait" useFirstPageNumber="1" r:id="rId1"/>
  <headerFooter alignWithMargins="0">
    <oddFooter>&amp;LAISHE 2020-21&amp;CT-46</oddFooter>
  </headerFooter>
  <rowBreaks count="2" manualBreakCount="2">
    <brk id="76" max="16383" man="1"/>
    <brk id="151" max="16383" man="1"/>
  </rowBreaks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00B050"/>
  </sheetPr>
  <dimension ref="A1:O223"/>
  <sheetViews>
    <sheetView showZeros="0" view="pageBreakPreview" zoomScaleSheetLayoutView="100" workbookViewId="0">
      <pane xSplit="2" ySplit="3" topLeftCell="C205" activePane="bottomRight" state="frozen"/>
      <selection activeCell="H31" sqref="H31"/>
      <selection pane="topRight" activeCell="H31" sqref="H31"/>
      <selection pane="bottomLeft" activeCell="H31" sqref="H31"/>
      <selection pane="bottomRight" activeCell="N178" sqref="N178"/>
    </sheetView>
  </sheetViews>
  <sheetFormatPr defaultColWidth="9.1796875" defaultRowHeight="14"/>
  <cols>
    <col min="1" max="1" width="4.26953125" style="438" bestFit="1" customWidth="1"/>
    <col min="2" max="2" width="29.26953125" style="440" customWidth="1"/>
    <col min="3" max="11" width="10.453125" style="440" customWidth="1"/>
    <col min="12" max="12" width="9" style="440" customWidth="1"/>
    <col min="13" max="14" width="12" style="440" customWidth="1"/>
    <col min="15" max="15" width="9" style="440" customWidth="1"/>
    <col min="16" max="16" width="11.7265625" style="440" customWidth="1"/>
    <col min="17" max="17" width="12" style="440" customWidth="1"/>
    <col min="18" max="16384" width="9.1796875" style="440"/>
  </cols>
  <sheetData>
    <row r="1" spans="1:15" ht="26.25" customHeight="1">
      <c r="B1" s="439" t="s">
        <v>319</v>
      </c>
      <c r="C1" s="1177" t="s">
        <v>320</v>
      </c>
      <c r="D1" s="1177"/>
      <c r="E1" s="1177"/>
      <c r="F1" s="1177"/>
      <c r="G1" s="1177"/>
      <c r="H1" s="1177"/>
      <c r="I1" s="1177"/>
      <c r="J1" s="1177"/>
      <c r="K1" s="1177"/>
    </row>
    <row r="2" spans="1:15" ht="16.5" customHeight="1">
      <c r="A2" s="1178" t="s">
        <v>1050</v>
      </c>
      <c r="B2" s="1180" t="s">
        <v>236</v>
      </c>
      <c r="C2" s="1181" t="s">
        <v>321</v>
      </c>
      <c r="D2" s="1181"/>
      <c r="E2" s="1181"/>
      <c r="F2" s="1181" t="s">
        <v>112</v>
      </c>
      <c r="G2" s="1181"/>
      <c r="H2" s="1181"/>
      <c r="I2" s="1181" t="s">
        <v>113</v>
      </c>
      <c r="J2" s="1181"/>
      <c r="K2" s="1181"/>
    </row>
    <row r="3" spans="1:15" ht="16.5" customHeight="1">
      <c r="A3" s="1179"/>
      <c r="B3" s="1180"/>
      <c r="C3" s="588" t="s">
        <v>87</v>
      </c>
      <c r="D3" s="588" t="s">
        <v>88</v>
      </c>
      <c r="E3" s="588" t="s">
        <v>309</v>
      </c>
      <c r="F3" s="588" t="s">
        <v>87</v>
      </c>
      <c r="G3" s="588" t="s">
        <v>88</v>
      </c>
      <c r="H3" s="588" t="s">
        <v>309</v>
      </c>
      <c r="I3" s="588" t="s">
        <v>87</v>
      </c>
      <c r="J3" s="588" t="s">
        <v>88</v>
      </c>
      <c r="K3" s="588" t="s">
        <v>309</v>
      </c>
    </row>
    <row r="4" spans="1:15" ht="12" customHeight="1">
      <c r="A4" s="441">
        <v>1</v>
      </c>
      <c r="B4" s="442">
        <v>1</v>
      </c>
      <c r="C4" s="442">
        <v>2</v>
      </c>
      <c r="D4" s="443">
        <v>3</v>
      </c>
      <c r="E4" s="443">
        <v>4</v>
      </c>
      <c r="F4" s="443">
        <v>5</v>
      </c>
      <c r="G4" s="442">
        <v>6</v>
      </c>
      <c r="H4" s="442">
        <v>7</v>
      </c>
      <c r="I4" s="442">
        <v>8</v>
      </c>
      <c r="J4" s="443">
        <v>9</v>
      </c>
      <c r="K4" s="443">
        <v>10</v>
      </c>
    </row>
    <row r="5" spans="1:15">
      <c r="A5" s="1182"/>
      <c r="B5" s="444" t="s">
        <v>302</v>
      </c>
      <c r="C5" s="445"/>
      <c r="D5" s="445"/>
      <c r="E5" s="445"/>
      <c r="F5" s="445"/>
      <c r="G5" s="445"/>
      <c r="H5" s="445"/>
      <c r="I5" s="445"/>
      <c r="J5" s="446"/>
      <c r="K5" s="446"/>
    </row>
    <row r="6" spans="1:15" ht="15.5">
      <c r="A6" s="1182"/>
      <c r="B6" s="447" t="s">
        <v>997</v>
      </c>
      <c r="C6" s="116">
        <v>26.711725716227374</v>
      </c>
      <c r="D6" s="116">
        <v>27.930727845029608</v>
      </c>
      <c r="E6" s="116">
        <v>27.291517192729735</v>
      </c>
      <c r="F6" s="116">
        <v>22.420931288622658</v>
      </c>
      <c r="G6" s="116">
        <v>23.931475240287789</v>
      </c>
      <c r="H6" s="116">
        <v>23.139777334943947</v>
      </c>
      <c r="I6" s="116">
        <v>18.760653940481273</v>
      </c>
      <c r="J6" s="116">
        <v>19.081669122527202</v>
      </c>
      <c r="K6" s="116">
        <v>18.921795991063082</v>
      </c>
      <c r="L6" s="448"/>
      <c r="M6" s="458"/>
      <c r="N6" s="458"/>
      <c r="O6" s="458"/>
    </row>
    <row r="7" spans="1:15">
      <c r="A7" s="1182"/>
      <c r="B7" s="447" t="s">
        <v>301</v>
      </c>
      <c r="C7" s="116">
        <v>24.82445858882231</v>
      </c>
      <c r="D7" s="116">
        <v>26.358719218695505</v>
      </c>
      <c r="E7" s="116">
        <v>25.553663067826331</v>
      </c>
      <c r="F7" s="116">
        <v>21.455807049406612</v>
      </c>
      <c r="G7" s="116">
        <v>23.24252663573311</v>
      </c>
      <c r="H7" s="116">
        <v>22.305427578400455</v>
      </c>
      <c r="I7" s="116">
        <v>16.979428166374795</v>
      </c>
      <c r="J7" s="116">
        <v>17.02898704479696</v>
      </c>
      <c r="K7" s="116">
        <v>17.004294471415182</v>
      </c>
    </row>
    <row r="8" spans="1:15">
      <c r="A8" s="1182"/>
      <c r="B8" s="449" t="s">
        <v>300</v>
      </c>
      <c r="C8" s="450">
        <v>24.392450481132144</v>
      </c>
      <c r="D8" s="450">
        <v>25.535215419819469</v>
      </c>
      <c r="E8" s="450">
        <v>24.935183463547791</v>
      </c>
      <c r="F8" s="450">
        <v>21.393192806506356</v>
      </c>
      <c r="G8" s="450">
        <v>22.762148273656287</v>
      </c>
      <c r="H8" s="450">
        <v>22.043651917121466</v>
      </c>
      <c r="I8" s="450">
        <v>16.737354768046465</v>
      </c>
      <c r="J8" s="450">
        <v>16.054940074584881</v>
      </c>
      <c r="K8" s="450">
        <v>16.395068447445183</v>
      </c>
    </row>
    <row r="9" spans="1:15">
      <c r="A9" s="1182"/>
      <c r="B9" s="449" t="s">
        <v>299</v>
      </c>
      <c r="C9" s="116">
        <v>24.503192287116025</v>
      </c>
      <c r="D9" s="116">
        <v>24.63265481398469</v>
      </c>
      <c r="E9" s="116">
        <v>24.564631938436996</v>
      </c>
      <c r="F9" s="116">
        <v>21.011494284205533</v>
      </c>
      <c r="G9" s="116">
        <v>20.986491447811321</v>
      </c>
      <c r="H9" s="116">
        <v>20.999624339223192</v>
      </c>
      <c r="I9" s="116">
        <v>16.019513324400464</v>
      </c>
      <c r="J9" s="116">
        <v>14.49853166344168</v>
      </c>
      <c r="K9" s="116">
        <v>15.256924457392051</v>
      </c>
    </row>
    <row r="10" spans="1:15">
      <c r="A10" s="1182"/>
      <c r="B10" s="449" t="s">
        <v>298</v>
      </c>
      <c r="C10" s="451">
        <v>24.334403141701173</v>
      </c>
      <c r="D10" s="451">
        <v>23.774765810459282</v>
      </c>
      <c r="E10" s="451">
        <v>24.069014175423824</v>
      </c>
      <c r="F10" s="451">
        <v>20.75988617848984</v>
      </c>
      <c r="G10" s="451">
        <v>19.869264074075385</v>
      </c>
      <c r="H10" s="451">
        <v>20.33737372760973</v>
      </c>
      <c r="I10" s="451">
        <v>15.807370081979066</v>
      </c>
      <c r="J10" s="451">
        <v>13.891077646530507</v>
      </c>
      <c r="K10" s="451">
        <v>14.846968124674536</v>
      </c>
    </row>
    <row r="11" spans="1:15">
      <c r="A11" s="1176">
        <v>1</v>
      </c>
      <c r="B11" s="444" t="s">
        <v>171</v>
      </c>
      <c r="C11" s="452"/>
      <c r="D11" s="452"/>
      <c r="E11" s="452"/>
      <c r="F11" s="452"/>
      <c r="G11" s="452"/>
      <c r="H11" s="452"/>
      <c r="I11" s="452"/>
      <c r="J11" s="453"/>
      <c r="K11" s="453"/>
    </row>
    <row r="12" spans="1:15">
      <c r="A12" s="1176"/>
      <c r="B12" s="447" t="s">
        <v>997</v>
      </c>
      <c r="C12" s="454">
        <v>21.606215593643853</v>
      </c>
      <c r="D12" s="454">
        <v>27.131586718980721</v>
      </c>
      <c r="E12" s="454">
        <v>24.261902830724306</v>
      </c>
      <c r="F12" s="454"/>
      <c r="G12" s="454"/>
      <c r="H12" s="454"/>
      <c r="I12" s="454">
        <v>10.344827586206897</v>
      </c>
      <c r="J12" s="454">
        <v>15.990730011587488</v>
      </c>
      <c r="K12" s="454">
        <v>13.110102156640183</v>
      </c>
    </row>
    <row r="13" spans="1:15">
      <c r="A13" s="1176"/>
      <c r="B13" s="447" t="s">
        <v>301</v>
      </c>
      <c r="C13" s="451">
        <v>18.198610609163556</v>
      </c>
      <c r="D13" s="451">
        <v>24.127380849780231</v>
      </c>
      <c r="E13" s="451">
        <v>21.058429815627015</v>
      </c>
      <c r="F13" s="451"/>
      <c r="G13" s="451"/>
      <c r="H13" s="451"/>
      <c r="I13" s="451">
        <v>8.6384439359267731</v>
      </c>
      <c r="J13" s="451">
        <v>16.923076923076923</v>
      </c>
      <c r="K13" s="451">
        <v>12.7108784176847</v>
      </c>
    </row>
    <row r="14" spans="1:15">
      <c r="A14" s="1176"/>
      <c r="B14" s="449" t="s">
        <v>300</v>
      </c>
      <c r="C14" s="451">
        <v>21.092878105237052</v>
      </c>
      <c r="D14" s="451">
        <v>28.217887181293762</v>
      </c>
      <c r="E14" s="451">
        <v>24.542663425866699</v>
      </c>
      <c r="F14" s="451"/>
      <c r="G14" s="451"/>
      <c r="H14" s="451"/>
      <c r="I14" s="451">
        <v>11.54299175500589</v>
      </c>
      <c r="J14" s="451">
        <v>19.165659008464328</v>
      </c>
      <c r="K14" s="451">
        <v>15.304295942720763</v>
      </c>
    </row>
    <row r="15" spans="1:15">
      <c r="A15" s="1176"/>
      <c r="B15" s="449" t="s">
        <v>299</v>
      </c>
      <c r="C15" s="116">
        <v>22.318272793084361</v>
      </c>
      <c r="D15" s="116">
        <v>24.126598235188187</v>
      </c>
      <c r="E15" s="116">
        <v>23.197286355181092</v>
      </c>
      <c r="F15" s="451"/>
      <c r="G15" s="451"/>
      <c r="H15" s="451"/>
      <c r="I15" s="116">
        <v>13.106796116504855</v>
      </c>
      <c r="J15" s="116">
        <v>17.614338689740418</v>
      </c>
      <c r="K15" s="116">
        <v>15.339865278628292</v>
      </c>
    </row>
    <row r="16" spans="1:15">
      <c r="A16" s="1176"/>
      <c r="B16" s="449" t="s">
        <v>298</v>
      </c>
      <c r="C16" s="451">
        <v>22.91309884512361</v>
      </c>
      <c r="D16" s="451">
        <v>25.968224729449691</v>
      </c>
      <c r="E16" s="451">
        <v>24.404333752922135</v>
      </c>
      <c r="F16" s="451"/>
      <c r="G16" s="451"/>
      <c r="H16" s="451"/>
      <c r="I16" s="451">
        <v>12.265331664580724</v>
      </c>
      <c r="J16" s="451">
        <v>16.877370417193426</v>
      </c>
      <c r="K16" s="451">
        <v>14.559748427672956</v>
      </c>
    </row>
    <row r="17" spans="1:11">
      <c r="A17" s="1176">
        <v>2</v>
      </c>
      <c r="B17" s="444" t="s">
        <v>15</v>
      </c>
      <c r="C17" s="452"/>
      <c r="D17" s="452"/>
      <c r="E17" s="452"/>
      <c r="F17" s="452"/>
      <c r="G17" s="452"/>
      <c r="H17" s="452"/>
      <c r="I17" s="452"/>
      <c r="J17" s="453"/>
      <c r="K17" s="453"/>
    </row>
    <row r="18" spans="1:11">
      <c r="A18" s="1176"/>
      <c r="B18" s="447" t="s">
        <v>997</v>
      </c>
      <c r="C18" s="451">
        <v>38.290971718636698</v>
      </c>
      <c r="D18" s="451">
        <v>36.03407860126876</v>
      </c>
      <c r="E18" s="451">
        <v>37.199019314268604</v>
      </c>
      <c r="F18" s="451">
        <v>33.990284195202229</v>
      </c>
      <c r="G18" s="451">
        <v>33.196219638740629</v>
      </c>
      <c r="H18" s="451">
        <v>33.602393413862494</v>
      </c>
      <c r="I18" s="451">
        <v>34.134920076050982</v>
      </c>
      <c r="J18" s="451">
        <v>29.596104459193544</v>
      </c>
      <c r="K18" s="451">
        <v>31.804059261796695</v>
      </c>
    </row>
    <row r="19" spans="1:11">
      <c r="A19" s="1176"/>
      <c r="B19" s="447" t="s">
        <v>301</v>
      </c>
      <c r="C19" s="451">
        <v>36.638894869034807</v>
      </c>
      <c r="D19" s="451">
        <v>33.50761168910649</v>
      </c>
      <c r="E19" s="451">
        <v>35.123282852593775</v>
      </c>
      <c r="F19" s="451">
        <v>32.758512695641279</v>
      </c>
      <c r="G19" s="451">
        <v>30.56031163468943</v>
      </c>
      <c r="H19" s="451">
        <v>31.684263308075174</v>
      </c>
      <c r="I19" s="451">
        <v>32.955408597729665</v>
      </c>
      <c r="J19" s="451">
        <v>27.003192443670521</v>
      </c>
      <c r="K19" s="451">
        <v>29.897563967456314</v>
      </c>
    </row>
    <row r="20" spans="1:11">
      <c r="A20" s="1176"/>
      <c r="B20" s="449" t="s">
        <v>300</v>
      </c>
      <c r="C20" s="451">
        <v>34.261576704545455</v>
      </c>
      <c r="D20" s="451">
        <v>30.111363292479954</v>
      </c>
      <c r="E20" s="451">
        <v>32.25199648325885</v>
      </c>
      <c r="F20" s="451">
        <v>30.143549012010851</v>
      </c>
      <c r="G20" s="451">
        <v>27.384255789742323</v>
      </c>
      <c r="H20" s="451">
        <v>28.794615008347215</v>
      </c>
      <c r="I20" s="451">
        <v>29.075974509641643</v>
      </c>
      <c r="J20" s="451">
        <v>23.827477788939479</v>
      </c>
      <c r="K20" s="451">
        <v>26.378654902144831</v>
      </c>
    </row>
    <row r="21" spans="1:11">
      <c r="A21" s="1176"/>
      <c r="B21" s="449" t="s">
        <v>299</v>
      </c>
      <c r="C21" s="116">
        <v>33.279350325045073</v>
      </c>
      <c r="D21" s="116">
        <v>28.078586047283764</v>
      </c>
      <c r="E21" s="116">
        <v>30.76012114645933</v>
      </c>
      <c r="F21" s="116">
        <v>28.295009165586482</v>
      </c>
      <c r="G21" s="116">
        <v>25.269697157887776</v>
      </c>
      <c r="H21" s="116">
        <v>26.815442133149404</v>
      </c>
      <c r="I21" s="116">
        <v>26.77948514905556</v>
      </c>
      <c r="J21" s="116">
        <v>22.211039065776315</v>
      </c>
      <c r="K21" s="116">
        <v>24.430815565668492</v>
      </c>
    </row>
    <row r="22" spans="1:11">
      <c r="A22" s="1176"/>
      <c r="B22" s="449" t="s">
        <v>298</v>
      </c>
      <c r="C22" s="451">
        <v>35.052400835073065</v>
      </c>
      <c r="D22" s="451">
        <v>29.312620281273134</v>
      </c>
      <c r="E22" s="451">
        <v>32.271036585365856</v>
      </c>
      <c r="F22" s="451">
        <v>31.50719774045616</v>
      </c>
      <c r="G22" s="451">
        <v>26.708347783007184</v>
      </c>
      <c r="H22" s="451">
        <v>29.159431755274333</v>
      </c>
      <c r="I22" s="451">
        <v>27.814869376005191</v>
      </c>
      <c r="J22" s="451">
        <v>22.019554784029406</v>
      </c>
      <c r="K22" s="451">
        <v>24.834329489843142</v>
      </c>
    </row>
    <row r="23" spans="1:11">
      <c r="A23" s="1176">
        <v>3</v>
      </c>
      <c r="B23" s="444" t="s">
        <v>16</v>
      </c>
      <c r="C23" s="452"/>
      <c r="D23" s="452"/>
      <c r="E23" s="452"/>
      <c r="F23" s="452"/>
      <c r="G23" s="452"/>
      <c r="H23" s="452"/>
      <c r="I23" s="452"/>
      <c r="J23" s="453"/>
      <c r="K23" s="453"/>
    </row>
    <row r="24" spans="1:11">
      <c r="A24" s="1176"/>
      <c r="B24" s="447" t="s">
        <v>997</v>
      </c>
      <c r="C24" s="451">
        <v>34.685553657057817</v>
      </c>
      <c r="D24" s="451">
        <v>32.753267216609508</v>
      </c>
      <c r="E24" s="451">
        <v>33.743440266174083</v>
      </c>
      <c r="F24" s="451"/>
      <c r="G24" s="451"/>
      <c r="H24" s="451"/>
      <c r="I24" s="451">
        <v>35.176257393920743</v>
      </c>
      <c r="J24" s="451">
        <v>33.971407412177605</v>
      </c>
      <c r="K24" s="451">
        <v>34.555750862297693</v>
      </c>
    </row>
    <row r="25" spans="1:11">
      <c r="A25" s="1176"/>
      <c r="B25" s="447" t="s">
        <v>301</v>
      </c>
      <c r="C25" s="451">
        <v>31.903274402942088</v>
      </c>
      <c r="D25" s="451">
        <v>31.377399909404506</v>
      </c>
      <c r="E25" s="451">
        <v>31.646567218338404</v>
      </c>
      <c r="F25" s="451"/>
      <c r="G25" s="451"/>
      <c r="H25" s="451"/>
      <c r="I25" s="451">
        <v>32.773874353644501</v>
      </c>
      <c r="J25" s="451">
        <v>31.091026468689474</v>
      </c>
      <c r="K25" s="451">
        <v>31.906200331194711</v>
      </c>
    </row>
    <row r="26" spans="1:11">
      <c r="A26" s="1176"/>
      <c r="B26" s="449" t="s">
        <v>300</v>
      </c>
      <c r="C26" s="451">
        <v>26.407533560408737</v>
      </c>
      <c r="D26" s="451">
        <v>27.298238259917795</v>
      </c>
      <c r="E26" s="451">
        <v>26.842857061558512</v>
      </c>
      <c r="F26" s="451"/>
      <c r="G26" s="451"/>
      <c r="H26" s="451"/>
      <c r="I26" s="451">
        <v>28.459466924457949</v>
      </c>
      <c r="J26" s="451">
        <v>30.025078877113504</v>
      </c>
      <c r="K26" s="451">
        <v>29.267620455513516</v>
      </c>
    </row>
    <row r="27" spans="1:11">
      <c r="A27" s="1176"/>
      <c r="B27" s="449" t="s">
        <v>299</v>
      </c>
      <c r="C27" s="116">
        <v>28.202904064896146</v>
      </c>
      <c r="D27" s="116">
        <v>25.973846855047704</v>
      </c>
      <c r="E27" s="116">
        <v>27.112141120053508</v>
      </c>
      <c r="F27" s="451"/>
      <c r="G27" s="451"/>
      <c r="H27" s="451"/>
      <c r="I27" s="116">
        <v>32.413350449293965</v>
      </c>
      <c r="J27" s="116">
        <v>28.206001622060018</v>
      </c>
      <c r="K27" s="116">
        <v>30.239069206008583</v>
      </c>
    </row>
    <row r="28" spans="1:11">
      <c r="A28" s="1176"/>
      <c r="B28" s="449" t="s">
        <v>298</v>
      </c>
      <c r="C28" s="451">
        <v>26.529901079136692</v>
      </c>
      <c r="D28" s="451">
        <v>26.872710676294016</v>
      </c>
      <c r="E28" s="451">
        <v>26.697704286402313</v>
      </c>
      <c r="F28" s="451"/>
      <c r="G28" s="451"/>
      <c r="H28" s="451"/>
      <c r="I28" s="451">
        <v>28.771159109530537</v>
      </c>
      <c r="J28" s="451">
        <v>28.83323847467274</v>
      </c>
      <c r="K28" s="451">
        <v>28.803277860976966</v>
      </c>
    </row>
    <row r="29" spans="1:11">
      <c r="A29" s="1176">
        <v>4</v>
      </c>
      <c r="B29" s="444" t="s">
        <v>17</v>
      </c>
      <c r="C29" s="452"/>
      <c r="D29" s="452"/>
      <c r="E29" s="452"/>
      <c r="F29" s="452"/>
      <c r="G29" s="452"/>
      <c r="H29" s="452"/>
      <c r="I29" s="452"/>
      <c r="J29" s="453"/>
      <c r="K29" s="453"/>
    </row>
    <row r="30" spans="1:11">
      <c r="A30" s="1176"/>
      <c r="B30" s="447" t="s">
        <v>997</v>
      </c>
      <c r="C30" s="451">
        <v>16.760684179572632</v>
      </c>
      <c r="D30" s="451">
        <v>18.351834625322997</v>
      </c>
      <c r="E30" s="451">
        <v>17.535166272576344</v>
      </c>
      <c r="F30" s="451">
        <v>17.041863148389684</v>
      </c>
      <c r="G30" s="451">
        <v>18.966225597143911</v>
      </c>
      <c r="H30" s="451">
        <v>17.945477042615185</v>
      </c>
      <c r="I30" s="451">
        <v>23.783384694401644</v>
      </c>
      <c r="J30" s="451">
        <v>25.567509219391422</v>
      </c>
      <c r="K30" s="451">
        <v>24.67542368970685</v>
      </c>
    </row>
    <row r="31" spans="1:11">
      <c r="A31" s="1176"/>
      <c r="B31" s="447" t="s">
        <v>301</v>
      </c>
      <c r="C31" s="451">
        <v>15.705619982158787</v>
      </c>
      <c r="D31" s="451">
        <v>17.42522193211488</v>
      </c>
      <c r="E31" s="451">
        <v>16.542946501220506</v>
      </c>
      <c r="F31" s="451">
        <v>17.527551266280295</v>
      </c>
      <c r="G31" s="451">
        <v>18.981054017879508</v>
      </c>
      <c r="H31" s="451">
        <v>18.2103974877109</v>
      </c>
      <c r="I31" s="451">
        <v>20.389440711526603</v>
      </c>
      <c r="J31" s="451">
        <v>22.344989214525519</v>
      </c>
      <c r="K31" s="451">
        <v>21.367599369680153</v>
      </c>
    </row>
    <row r="32" spans="1:11">
      <c r="A32" s="1176"/>
      <c r="B32" s="449" t="s">
        <v>300</v>
      </c>
      <c r="C32" s="451">
        <v>17.415998396150762</v>
      </c>
      <c r="D32" s="454">
        <v>18.611029023746703</v>
      </c>
      <c r="E32" s="451">
        <v>17.998123489794871</v>
      </c>
      <c r="F32" s="451">
        <v>19.26714933403446</v>
      </c>
      <c r="G32" s="451">
        <v>20.341545271746206</v>
      </c>
      <c r="H32" s="451">
        <v>19.772054399662807</v>
      </c>
      <c r="I32" s="451">
        <v>23.300847370688771</v>
      </c>
      <c r="J32" s="451">
        <v>23.571206136397159</v>
      </c>
      <c r="K32" s="451">
        <v>23.436125696313866</v>
      </c>
    </row>
    <row r="33" spans="1:11">
      <c r="A33" s="1176"/>
      <c r="B33" s="449" t="s">
        <v>299</v>
      </c>
      <c r="C33" s="116">
        <v>17.08094323365097</v>
      </c>
      <c r="D33" s="116">
        <v>18.208258411011808</v>
      </c>
      <c r="E33" s="116">
        <v>17.630302823408631</v>
      </c>
      <c r="F33" s="116">
        <v>18.41048692053732</v>
      </c>
      <c r="G33" s="116">
        <v>19.130956036083454</v>
      </c>
      <c r="H33" s="116">
        <v>18.749205236332642</v>
      </c>
      <c r="I33" s="116">
        <v>20.552016103928445</v>
      </c>
      <c r="J33" s="116">
        <v>19.915022610942703</v>
      </c>
      <c r="K33" s="116">
        <v>20.233162179137707</v>
      </c>
    </row>
    <row r="34" spans="1:11">
      <c r="A34" s="1176"/>
      <c r="B34" s="449" t="s">
        <v>298</v>
      </c>
      <c r="C34" s="451">
        <v>16.609743589743591</v>
      </c>
      <c r="D34" s="451">
        <v>17.055525606469001</v>
      </c>
      <c r="E34" s="451">
        <v>16.827069645203679</v>
      </c>
      <c r="F34" s="451">
        <v>18.087870556277309</v>
      </c>
      <c r="G34" s="451">
        <v>19.023903646506817</v>
      </c>
      <c r="H34" s="451">
        <v>18.528056383843861</v>
      </c>
      <c r="I34" s="451">
        <v>22.12154928099087</v>
      </c>
      <c r="J34" s="451">
        <v>21.827124319799079</v>
      </c>
      <c r="K34" s="451">
        <v>21.974113084944715</v>
      </c>
    </row>
    <row r="35" spans="1:11">
      <c r="A35" s="1176">
        <v>5</v>
      </c>
      <c r="B35" s="444" t="s">
        <v>18</v>
      </c>
      <c r="C35" s="452"/>
      <c r="D35" s="452"/>
      <c r="E35" s="452"/>
      <c r="F35" s="452"/>
      <c r="G35" s="452"/>
      <c r="H35" s="452"/>
      <c r="I35" s="452"/>
      <c r="J35" s="453"/>
      <c r="K35" s="453"/>
    </row>
    <row r="36" spans="1:11">
      <c r="A36" s="1176"/>
      <c r="B36" s="447" t="s">
        <v>997</v>
      </c>
      <c r="C36" s="451">
        <v>16.567159269193784</v>
      </c>
      <c r="D36" s="451">
        <v>15.107450721222918</v>
      </c>
      <c r="E36" s="451">
        <v>15.883618137782562</v>
      </c>
      <c r="F36" s="451">
        <v>13.330785056015451</v>
      </c>
      <c r="G36" s="451">
        <v>9.6545275012480545</v>
      </c>
      <c r="H36" s="451">
        <v>11.536745975730781</v>
      </c>
      <c r="I36" s="451">
        <v>21.977165194544426</v>
      </c>
      <c r="J36" s="451">
        <v>17.370490104418938</v>
      </c>
      <c r="K36" s="451">
        <v>19.735096433231362</v>
      </c>
    </row>
    <row r="37" spans="1:11">
      <c r="A37" s="1176"/>
      <c r="B37" s="447" t="s">
        <v>301</v>
      </c>
      <c r="C37" s="451">
        <v>12.654967250332716</v>
      </c>
      <c r="D37" s="451">
        <v>11.489803851213971</v>
      </c>
      <c r="E37" s="451">
        <v>12.111976590259877</v>
      </c>
      <c r="F37" s="451">
        <v>11.153165131284011</v>
      </c>
      <c r="G37" s="451">
        <v>7.1208728245040227</v>
      </c>
      <c r="H37" s="451">
        <v>9.1944900320159277</v>
      </c>
      <c r="I37" s="451">
        <v>18.983842366702277</v>
      </c>
      <c r="J37" s="451">
        <v>15.573242061584988</v>
      </c>
      <c r="K37" s="451">
        <v>17.331607100269157</v>
      </c>
    </row>
    <row r="38" spans="1:11">
      <c r="A38" s="1176"/>
      <c r="B38" s="449" t="s">
        <v>300</v>
      </c>
      <c r="C38" s="451">
        <v>12.397438314836764</v>
      </c>
      <c r="D38" s="451">
        <v>10.698170541669263</v>
      </c>
      <c r="E38" s="451">
        <v>11.609651784424216</v>
      </c>
      <c r="F38" s="451">
        <v>10.412216782526597</v>
      </c>
      <c r="G38" s="451">
        <v>6.5751990237434974</v>
      </c>
      <c r="H38" s="451">
        <v>8.5577095155899112</v>
      </c>
      <c r="I38" s="451">
        <v>17.981513694191481</v>
      </c>
      <c r="J38" s="451">
        <v>13.107063006267639</v>
      </c>
      <c r="K38" s="451">
        <v>15.63195646796933</v>
      </c>
    </row>
    <row r="39" spans="1:11">
      <c r="A39" s="1176"/>
      <c r="B39" s="449" t="s">
        <v>299</v>
      </c>
      <c r="C39" s="116">
        <v>12.139477273359867</v>
      </c>
      <c r="D39" s="116">
        <v>10.451786644103098</v>
      </c>
      <c r="E39" s="116">
        <v>11.361450753881929</v>
      </c>
      <c r="F39" s="116">
        <v>9.5947637460805542</v>
      </c>
      <c r="G39" s="116">
        <v>6.2911260709278247</v>
      </c>
      <c r="H39" s="116">
        <v>8.0066869780794629</v>
      </c>
      <c r="I39" s="116">
        <v>15.326417687762126</v>
      </c>
      <c r="J39" s="116">
        <v>10.837532691203675</v>
      </c>
      <c r="K39" s="116">
        <v>13.174440081709541</v>
      </c>
    </row>
    <row r="40" spans="1:11">
      <c r="A40" s="1176"/>
      <c r="B40" s="449" t="s">
        <v>298</v>
      </c>
      <c r="C40" s="451">
        <v>13.65891160380075</v>
      </c>
      <c r="D40" s="451">
        <v>11.86193394620361</v>
      </c>
      <c r="E40" s="451">
        <v>12.835553822152887</v>
      </c>
      <c r="F40" s="451">
        <v>10.136751796484662</v>
      </c>
      <c r="G40" s="451">
        <v>6.8675627682514273</v>
      </c>
      <c r="H40" s="451">
        <v>8.5744707828921118</v>
      </c>
      <c r="I40" s="451">
        <v>13.856717506228353</v>
      </c>
      <c r="J40" s="451">
        <v>10.421783235451148</v>
      </c>
      <c r="K40" s="451">
        <v>12.219635382873427</v>
      </c>
    </row>
    <row r="41" spans="1:11">
      <c r="A41" s="1176">
        <v>6</v>
      </c>
      <c r="B41" s="444" t="s">
        <v>19</v>
      </c>
      <c r="C41" s="452"/>
      <c r="D41" s="452"/>
      <c r="E41" s="452"/>
      <c r="F41" s="452"/>
      <c r="G41" s="452"/>
      <c r="H41" s="452"/>
      <c r="I41" s="452"/>
      <c r="J41" s="453"/>
      <c r="K41" s="453"/>
    </row>
    <row r="42" spans="1:11">
      <c r="A42" s="1176"/>
      <c r="B42" s="447" t="s">
        <v>997</v>
      </c>
      <c r="C42" s="451">
        <v>57.815400843881861</v>
      </c>
      <c r="D42" s="451">
        <v>76.952644313861043</v>
      </c>
      <c r="E42" s="451">
        <v>66.097232610321612</v>
      </c>
      <c r="F42" s="451">
        <v>53.251962638244223</v>
      </c>
      <c r="G42" s="451">
        <v>50.427921904252472</v>
      </c>
      <c r="H42" s="451">
        <v>51.948653068781439</v>
      </c>
      <c r="I42" s="451"/>
      <c r="J42" s="451"/>
      <c r="K42" s="451"/>
    </row>
    <row r="43" spans="1:11">
      <c r="A43" s="1176"/>
      <c r="B43" s="447" t="s">
        <v>301</v>
      </c>
      <c r="C43" s="451">
        <v>57.660608163796468</v>
      </c>
      <c r="D43" s="451">
        <v>75.551130506009116</v>
      </c>
      <c r="E43" s="451">
        <v>65.431447482226218</v>
      </c>
      <c r="F43" s="451">
        <v>40.217967599410898</v>
      </c>
      <c r="G43" s="451">
        <v>41.22789045960527</v>
      </c>
      <c r="H43" s="451">
        <v>40.686972198500811</v>
      </c>
      <c r="I43" s="451"/>
      <c r="J43" s="451"/>
      <c r="K43" s="451"/>
    </row>
    <row r="44" spans="1:11">
      <c r="A44" s="1176"/>
      <c r="B44" s="449" t="s">
        <v>300</v>
      </c>
      <c r="C44" s="451">
        <v>54.188610193698118</v>
      </c>
      <c r="D44" s="451">
        <v>72.797725567165045</v>
      </c>
      <c r="E44" s="451">
        <v>62.302725968436157</v>
      </c>
      <c r="F44" s="451">
        <v>39.871499575706146</v>
      </c>
      <c r="G44" s="451">
        <v>40.568078721473931</v>
      </c>
      <c r="H44" s="451">
        <v>40.195283355500052</v>
      </c>
      <c r="I44" s="451"/>
      <c r="J44" s="451"/>
      <c r="K44" s="451"/>
    </row>
    <row r="45" spans="1:11">
      <c r="A45" s="1176"/>
      <c r="B45" s="449" t="s">
        <v>299</v>
      </c>
      <c r="C45" s="116">
        <v>62.109971605369438</v>
      </c>
      <c r="D45" s="116">
        <v>76.386266939133947</v>
      </c>
      <c r="E45" s="116">
        <v>68.35997752381175</v>
      </c>
      <c r="F45" s="116">
        <v>40.569217326176513</v>
      </c>
      <c r="G45" s="116">
        <v>38.822689975026762</v>
      </c>
      <c r="H45" s="116">
        <v>39.7543030262676</v>
      </c>
      <c r="I45" s="451"/>
      <c r="J45" s="451"/>
      <c r="K45" s="451"/>
    </row>
    <row r="46" spans="1:11">
      <c r="A46" s="1176"/>
      <c r="B46" s="449" t="s">
        <v>298</v>
      </c>
      <c r="C46" s="451">
        <v>59.184833449774423</v>
      </c>
      <c r="D46" s="451">
        <v>76.771457462382457</v>
      </c>
      <c r="E46" s="451">
        <v>66.917263298984125</v>
      </c>
      <c r="F46" s="451">
        <v>37.122089283416955</v>
      </c>
      <c r="G46" s="451">
        <v>42.869654065099986</v>
      </c>
      <c r="H46" s="451">
        <v>39.814688183807441</v>
      </c>
      <c r="I46" s="451"/>
      <c r="J46" s="451"/>
      <c r="K46" s="451"/>
    </row>
    <row r="47" spans="1:11">
      <c r="A47" s="1176">
        <v>7</v>
      </c>
      <c r="B47" s="444" t="s">
        <v>20</v>
      </c>
      <c r="C47" s="452"/>
      <c r="D47" s="452"/>
      <c r="E47" s="452"/>
      <c r="F47" s="452"/>
      <c r="G47" s="452"/>
      <c r="H47" s="452"/>
      <c r="I47" s="452"/>
      <c r="J47" s="453"/>
      <c r="K47" s="453"/>
    </row>
    <row r="48" spans="1:11">
      <c r="A48" s="1176"/>
      <c r="B48" s="447" t="s">
        <v>997</v>
      </c>
      <c r="C48" s="451">
        <v>18.004756242568369</v>
      </c>
      <c r="D48" s="451">
        <v>21.300583302952973</v>
      </c>
      <c r="E48" s="451">
        <v>19.634743674499671</v>
      </c>
      <c r="F48" s="451">
        <v>18.338804873948092</v>
      </c>
      <c r="G48" s="451">
        <v>20.415792204929438</v>
      </c>
      <c r="H48" s="451">
        <v>19.357957144563301</v>
      </c>
      <c r="I48" s="451">
        <v>11.958366096925051</v>
      </c>
      <c r="J48" s="451">
        <v>16.169724542611089</v>
      </c>
      <c r="K48" s="451">
        <v>14.106000087206146</v>
      </c>
    </row>
    <row r="49" spans="1:11">
      <c r="A49" s="1176"/>
      <c r="B49" s="447" t="s">
        <v>301</v>
      </c>
      <c r="C49" s="451">
        <v>16.345895745955662</v>
      </c>
      <c r="D49" s="451">
        <v>19.184020555487578</v>
      </c>
      <c r="E49" s="451">
        <v>17.750181620050853</v>
      </c>
      <c r="F49" s="451">
        <v>16.754283879770458</v>
      </c>
      <c r="G49" s="451">
        <v>18.520744806284707</v>
      </c>
      <c r="H49" s="451">
        <v>17.62147536443744</v>
      </c>
      <c r="I49" s="451">
        <v>9.6103435691569796</v>
      </c>
      <c r="J49" s="451">
        <v>12.57350041142212</v>
      </c>
      <c r="K49" s="451">
        <v>11.122142652125461</v>
      </c>
    </row>
    <row r="50" spans="1:11">
      <c r="A50" s="1176"/>
      <c r="B50" s="449" t="s">
        <v>300</v>
      </c>
      <c r="C50" s="451">
        <v>17.076388888888889</v>
      </c>
      <c r="D50" s="451">
        <v>18.734692620426266</v>
      </c>
      <c r="E50" s="451">
        <v>17.89729828627188</v>
      </c>
      <c r="F50" s="451">
        <v>17.028724991461594</v>
      </c>
      <c r="G50" s="451">
        <v>18.154942036407654</v>
      </c>
      <c r="H50" s="451">
        <v>17.58187480849001</v>
      </c>
      <c r="I50" s="451">
        <v>9.8035053353482322</v>
      </c>
      <c r="J50" s="451">
        <v>11.938378918849182</v>
      </c>
      <c r="K50" s="451">
        <v>10.89320000740852</v>
      </c>
    </row>
    <row r="51" spans="1:11">
      <c r="A51" s="1176"/>
      <c r="B51" s="449" t="s">
        <v>299</v>
      </c>
      <c r="C51" s="116">
        <v>17.476749847839319</v>
      </c>
      <c r="D51" s="116">
        <v>17.846296985485672</v>
      </c>
      <c r="E51" s="116">
        <v>17.659775129024329</v>
      </c>
      <c r="F51" s="116">
        <v>17.807108530326982</v>
      </c>
      <c r="G51" s="116">
        <v>16.982485420143643</v>
      </c>
      <c r="H51" s="116">
        <v>17.401891334646439</v>
      </c>
      <c r="I51" s="116">
        <v>10.345002902210339</v>
      </c>
      <c r="J51" s="116">
        <v>11.134860608717892</v>
      </c>
      <c r="K51" s="116">
        <v>10.748360105152296</v>
      </c>
    </row>
    <row r="52" spans="1:11">
      <c r="A52" s="1176"/>
      <c r="B52" s="449" t="s">
        <v>298</v>
      </c>
      <c r="C52" s="451">
        <v>15.529202453987731</v>
      </c>
      <c r="D52" s="451">
        <v>15.422860712054964</v>
      </c>
      <c r="E52" s="451">
        <v>15.476508820798514</v>
      </c>
      <c r="F52" s="451">
        <v>15.252248550426884</v>
      </c>
      <c r="G52" s="451">
        <v>14.231963970428559</v>
      </c>
      <c r="H52" s="451">
        <v>14.750635943331414</v>
      </c>
      <c r="I52" s="451">
        <v>9.3780094337406759</v>
      </c>
      <c r="J52" s="451">
        <v>9.6917740316708887</v>
      </c>
      <c r="K52" s="451">
        <v>9.5383060115567098</v>
      </c>
    </row>
    <row r="53" spans="1:11">
      <c r="A53" s="1176">
        <v>8</v>
      </c>
      <c r="B53" s="444" t="s">
        <v>23</v>
      </c>
      <c r="C53" s="452"/>
      <c r="D53" s="452"/>
      <c r="E53" s="452"/>
      <c r="F53" s="452"/>
      <c r="G53" s="452"/>
      <c r="H53" s="452"/>
      <c r="I53" s="452"/>
      <c r="J53" s="453"/>
      <c r="K53" s="453"/>
    </row>
    <row r="54" spans="1:11">
      <c r="A54" s="1176"/>
      <c r="B54" s="447" t="s">
        <v>997</v>
      </c>
      <c r="C54" s="451">
        <v>46.674020823004462</v>
      </c>
      <c r="D54" s="451">
        <v>48.531911079239869</v>
      </c>
      <c r="E54" s="451">
        <v>47.565181872903942</v>
      </c>
      <c r="F54" s="451">
        <v>26.256958039749918</v>
      </c>
      <c r="G54" s="451">
        <v>23.842120254198903</v>
      </c>
      <c r="H54" s="451">
        <v>25.070379879270117</v>
      </c>
      <c r="I54" s="451"/>
      <c r="J54" s="451"/>
      <c r="K54" s="451"/>
    </row>
    <row r="55" spans="1:11">
      <c r="A55" s="1176"/>
      <c r="B55" s="447" t="s">
        <v>301</v>
      </c>
      <c r="C55" s="451">
        <v>47.973060344827587</v>
      </c>
      <c r="D55" s="451">
        <v>50.181941677232388</v>
      </c>
      <c r="E55" s="451">
        <v>49.028650566952308</v>
      </c>
      <c r="F55" s="451">
        <v>36.648717136522016</v>
      </c>
      <c r="G55" s="451">
        <v>38.351873342957155</v>
      </c>
      <c r="H55" s="451">
        <v>37.48247548878085</v>
      </c>
      <c r="I55" s="451"/>
      <c r="J55" s="451"/>
      <c r="K55" s="451"/>
    </row>
    <row r="56" spans="1:11">
      <c r="A56" s="1176"/>
      <c r="B56" s="449" t="s">
        <v>300</v>
      </c>
      <c r="C56" s="451">
        <v>45.716115083984697</v>
      </c>
      <c r="D56" s="451">
        <v>48.295571010248899</v>
      </c>
      <c r="E56" s="451">
        <v>46.944149167901017</v>
      </c>
      <c r="F56" s="451">
        <v>33.656840404187136</v>
      </c>
      <c r="G56" s="451">
        <v>35.075267177028017</v>
      </c>
      <c r="H56" s="451">
        <v>34.34872581845238</v>
      </c>
      <c r="I56" s="451"/>
      <c r="J56" s="451"/>
      <c r="K56" s="451"/>
    </row>
    <row r="57" spans="1:11">
      <c r="A57" s="1176"/>
      <c r="B57" s="449" t="s">
        <v>299</v>
      </c>
      <c r="C57" s="116">
        <v>47.137852915707128</v>
      </c>
      <c r="D57" s="116">
        <v>46.173230413032861</v>
      </c>
      <c r="E57" s="116">
        <v>46.68037428471338</v>
      </c>
      <c r="F57" s="116">
        <v>33.286277652801935</v>
      </c>
      <c r="G57" s="116">
        <v>30.761041826230628</v>
      </c>
      <c r="H57" s="116">
        <v>32.059054860064236</v>
      </c>
      <c r="I57" s="451"/>
      <c r="J57" s="451"/>
      <c r="K57" s="451"/>
    </row>
    <row r="58" spans="1:11">
      <c r="A58" s="1176"/>
      <c r="B58" s="449" t="s">
        <v>298</v>
      </c>
      <c r="C58" s="451">
        <v>44.439832635983265</v>
      </c>
      <c r="D58" s="451">
        <v>46.425233644859816</v>
      </c>
      <c r="E58" s="451">
        <v>45.377748344370858</v>
      </c>
      <c r="F58" s="451">
        <v>30.024394477894216</v>
      </c>
      <c r="G58" s="451">
        <v>29.424708751807373</v>
      </c>
      <c r="H58" s="451">
        <v>29.734086554437667</v>
      </c>
      <c r="I58" s="451"/>
      <c r="J58" s="451"/>
      <c r="K58" s="451"/>
    </row>
    <row r="59" spans="1:11">
      <c r="A59" s="1176">
        <v>9</v>
      </c>
      <c r="B59" s="444" t="s">
        <v>24</v>
      </c>
      <c r="C59" s="452"/>
      <c r="D59" s="452"/>
      <c r="E59" s="452"/>
      <c r="F59" s="452"/>
      <c r="G59" s="452"/>
      <c r="H59" s="452"/>
      <c r="I59" s="452"/>
      <c r="J59" s="453"/>
      <c r="K59" s="453"/>
    </row>
    <row r="60" spans="1:11">
      <c r="A60" s="1176"/>
      <c r="B60" s="447" t="s">
        <v>997</v>
      </c>
      <c r="C60" s="451">
        <v>30.756035312330027</v>
      </c>
      <c r="D60" s="451">
        <v>37.307157958320744</v>
      </c>
      <c r="E60" s="451">
        <v>33.79601858963219</v>
      </c>
      <c r="F60" s="451">
        <v>51.050539466212378</v>
      </c>
      <c r="G60" s="451">
        <v>38.959537572254341</v>
      </c>
      <c r="H60" s="451">
        <v>45.058722429103412</v>
      </c>
      <c r="I60" s="451">
        <v>24.183460736622656</v>
      </c>
      <c r="J60" s="451">
        <v>31.92771084337349</v>
      </c>
      <c r="K60" s="451">
        <v>28.055137263987028</v>
      </c>
    </row>
    <row r="61" spans="1:11">
      <c r="A61" s="1176"/>
      <c r="B61" s="447" t="s">
        <v>301</v>
      </c>
      <c r="C61" s="451">
        <v>26.942598447211648</v>
      </c>
      <c r="D61" s="451">
        <v>34.216079471833162</v>
      </c>
      <c r="E61" s="451">
        <v>30.329427853978359</v>
      </c>
      <c r="F61" s="451">
        <v>32.399299474605954</v>
      </c>
      <c r="G61" s="451">
        <v>31.877213695395511</v>
      </c>
      <c r="H61" s="451">
        <v>32.139712356912241</v>
      </c>
      <c r="I61" s="451">
        <v>22.029054536794476</v>
      </c>
      <c r="J61" s="451">
        <v>31.380901668441602</v>
      </c>
      <c r="K61" s="451">
        <v>26.719686628286542</v>
      </c>
    </row>
    <row r="62" spans="1:11">
      <c r="A62" s="1176"/>
      <c r="B62" s="449" t="s">
        <v>300</v>
      </c>
      <c r="C62" s="451">
        <v>29.836032926181627</v>
      </c>
      <c r="D62" s="451">
        <v>34.949680934244711</v>
      </c>
      <c r="E62" s="451">
        <v>32.225745235092354</v>
      </c>
      <c r="F62" s="451">
        <v>33.153153153153156</v>
      </c>
      <c r="G62" s="451">
        <v>31.019915509957759</v>
      </c>
      <c r="H62" s="451">
        <v>32.089102950030103</v>
      </c>
      <c r="I62" s="451">
        <v>24.40279309077545</v>
      </c>
      <c r="J62" s="451">
        <v>31.708791873261578</v>
      </c>
      <c r="K62" s="451">
        <v>28.079357351509248</v>
      </c>
    </row>
    <row r="63" spans="1:11">
      <c r="A63" s="1176"/>
      <c r="B63" s="449" t="s">
        <v>299</v>
      </c>
      <c r="C63" s="116">
        <v>28.189804771339883</v>
      </c>
      <c r="D63" s="116">
        <v>32.104243021709841</v>
      </c>
      <c r="E63" s="116">
        <v>30.026022870204201</v>
      </c>
      <c r="F63" s="116">
        <v>31.910946196660483</v>
      </c>
      <c r="G63" s="116">
        <v>29.117828500925352</v>
      </c>
      <c r="H63" s="116">
        <v>30.512662137121684</v>
      </c>
      <c r="I63" s="116">
        <v>23.375804213447708</v>
      </c>
      <c r="J63" s="116">
        <v>27.534619188921859</v>
      </c>
      <c r="K63" s="116">
        <v>25.4761161411177</v>
      </c>
    </row>
    <row r="64" spans="1:11">
      <c r="A64" s="1176"/>
      <c r="B64" s="449" t="s">
        <v>298</v>
      </c>
      <c r="C64" s="451">
        <v>28.299516227513973</v>
      </c>
      <c r="D64" s="451">
        <v>32.406051732552463</v>
      </c>
      <c r="E64" s="451">
        <v>30.233699433455918</v>
      </c>
      <c r="F64" s="451">
        <v>26.64117272147865</v>
      </c>
      <c r="G64" s="451">
        <v>26.435331230283911</v>
      </c>
      <c r="H64" s="451">
        <v>26.546146527117031</v>
      </c>
      <c r="I64" s="451">
        <v>21.999739955792485</v>
      </c>
      <c r="J64" s="451">
        <v>26.10675436377435</v>
      </c>
      <c r="K64" s="451">
        <v>24.081554145027891</v>
      </c>
    </row>
    <row r="65" spans="1:11">
      <c r="A65" s="1176">
        <v>10</v>
      </c>
      <c r="B65" s="444" t="s">
        <v>25</v>
      </c>
      <c r="C65" s="452"/>
      <c r="D65" s="452"/>
      <c r="E65" s="452"/>
      <c r="F65" s="452"/>
      <c r="G65" s="452"/>
      <c r="H65" s="452"/>
      <c r="I65" s="452"/>
      <c r="J65" s="453"/>
      <c r="K65" s="453"/>
    </row>
    <row r="66" spans="1:11">
      <c r="A66" s="1176"/>
      <c r="B66" s="447" t="s">
        <v>997</v>
      </c>
      <c r="C66" s="451">
        <v>23.55725190839695</v>
      </c>
      <c r="D66" s="451">
        <v>20.605971525736351</v>
      </c>
      <c r="E66" s="451">
        <v>22.183113711387243</v>
      </c>
      <c r="F66" s="451">
        <v>30.08968546229876</v>
      </c>
      <c r="G66" s="451">
        <v>26.707179323160634</v>
      </c>
      <c r="H66" s="451">
        <v>28.509950366343656</v>
      </c>
      <c r="I66" s="451">
        <v>17.700175991873664</v>
      </c>
      <c r="J66" s="451">
        <v>17.884121206178786</v>
      </c>
      <c r="K66" s="451">
        <v>17.790449152100603</v>
      </c>
    </row>
    <row r="67" spans="1:11">
      <c r="A67" s="1176"/>
      <c r="B67" s="447" t="s">
        <v>301</v>
      </c>
      <c r="C67" s="451">
        <v>21.799662281364988</v>
      </c>
      <c r="D67" s="451">
        <v>19.640426392419691</v>
      </c>
      <c r="E67" s="451">
        <v>20.793603790346463</v>
      </c>
      <c r="F67" s="451">
        <v>27.864521205949274</v>
      </c>
      <c r="G67" s="451">
        <v>25.697902336283619</v>
      </c>
      <c r="H67" s="451">
        <v>26.851939657624918</v>
      </c>
      <c r="I67" s="451">
        <v>15.67766219139919</v>
      </c>
      <c r="J67" s="451">
        <v>16.689974589927292</v>
      </c>
      <c r="K67" s="451">
        <v>16.17479668256739</v>
      </c>
    </row>
    <row r="68" spans="1:11">
      <c r="A68" s="1176"/>
      <c r="B68" s="449" t="s">
        <v>300</v>
      </c>
      <c r="C68" s="451">
        <v>21.070171000708289</v>
      </c>
      <c r="D68" s="451">
        <v>18.680315051832977</v>
      </c>
      <c r="E68" s="451">
        <v>19.955877190613776</v>
      </c>
      <c r="F68" s="451">
        <v>27.58758715829125</v>
      </c>
      <c r="G68" s="451">
        <v>24.817253989496933</v>
      </c>
      <c r="H68" s="451">
        <v>26.291948862339243</v>
      </c>
      <c r="I68" s="451">
        <v>14.351724233668417</v>
      </c>
      <c r="J68" s="451">
        <v>14.817787009063444</v>
      </c>
      <c r="K68" s="451">
        <v>14.580755129931367</v>
      </c>
    </row>
    <row r="69" spans="1:11">
      <c r="A69" s="1176"/>
      <c r="B69" s="449" t="s">
        <v>299</v>
      </c>
      <c r="C69" s="116">
        <v>21.012821814858071</v>
      </c>
      <c r="D69" s="116">
        <v>18.159874608150471</v>
      </c>
      <c r="E69" s="116">
        <v>19.681667975838998</v>
      </c>
      <c r="F69" s="116">
        <v>27.976784061641329</v>
      </c>
      <c r="G69" s="116">
        <v>24.200710298512938</v>
      </c>
      <c r="H69" s="116">
        <v>26.209536604309353</v>
      </c>
      <c r="I69" s="116">
        <v>13.259194531749174</v>
      </c>
      <c r="J69" s="116">
        <v>13.6069536594147</v>
      </c>
      <c r="K69" s="116">
        <v>13.430203972620202</v>
      </c>
    </row>
    <row r="70" spans="1:11">
      <c r="A70" s="1176"/>
      <c r="B70" s="449" t="s">
        <v>298</v>
      </c>
      <c r="C70" s="451">
        <v>22.098496432212027</v>
      </c>
      <c r="D70" s="451">
        <v>17.194035496072154</v>
      </c>
      <c r="E70" s="451">
        <v>19.808504279309876</v>
      </c>
      <c r="F70" s="451">
        <v>30.450061208324332</v>
      </c>
      <c r="G70" s="451">
        <v>21.638478578960704</v>
      </c>
      <c r="H70" s="451">
        <v>26.323204557374915</v>
      </c>
      <c r="I70" s="451">
        <v>14.408584534731322</v>
      </c>
      <c r="J70" s="451">
        <v>12.531190840513244</v>
      </c>
      <c r="K70" s="451">
        <v>13.484757155643232</v>
      </c>
    </row>
    <row r="71" spans="1:11">
      <c r="A71" s="1176">
        <v>11</v>
      </c>
      <c r="B71" s="444" t="s">
        <v>26</v>
      </c>
      <c r="C71" s="452"/>
      <c r="D71" s="452"/>
      <c r="E71" s="452"/>
      <c r="F71" s="452"/>
      <c r="G71" s="452"/>
      <c r="H71" s="452"/>
      <c r="I71" s="452"/>
      <c r="J71" s="453"/>
      <c r="K71" s="453"/>
    </row>
    <row r="72" spans="1:11">
      <c r="A72" s="1176"/>
      <c r="B72" s="447" t="s">
        <v>997</v>
      </c>
      <c r="C72" s="451">
        <v>28.908720410897722</v>
      </c>
      <c r="D72" s="451">
        <v>33.658899420747765</v>
      </c>
      <c r="E72" s="451">
        <v>31.088659980666989</v>
      </c>
      <c r="F72" s="451">
        <v>20.502186441700569</v>
      </c>
      <c r="G72" s="451">
        <v>23.783236642079906</v>
      </c>
      <c r="H72" s="451">
        <v>21.999731927951359</v>
      </c>
      <c r="I72" s="451"/>
      <c r="J72" s="451"/>
      <c r="K72" s="451"/>
    </row>
    <row r="73" spans="1:11">
      <c r="A73" s="1176"/>
      <c r="B73" s="447" t="s">
        <v>301</v>
      </c>
      <c r="C73" s="451">
        <v>25.691084579334973</v>
      </c>
      <c r="D73" s="451">
        <v>31.175299855015158</v>
      </c>
      <c r="E73" s="451">
        <v>28.205359840473744</v>
      </c>
      <c r="F73" s="451">
        <v>16.781748403535815</v>
      </c>
      <c r="G73" s="451">
        <v>20.630506926568057</v>
      </c>
      <c r="H73" s="451">
        <v>18.536609715051767</v>
      </c>
      <c r="I73" s="451"/>
      <c r="J73" s="451"/>
      <c r="K73" s="451"/>
    </row>
    <row r="74" spans="1:11">
      <c r="A74" s="1176"/>
      <c r="B74" s="449" t="s">
        <v>300</v>
      </c>
      <c r="C74" s="451">
        <v>25.495595450490633</v>
      </c>
      <c r="D74" s="451">
        <v>31.116653470572707</v>
      </c>
      <c r="E74" s="451">
        <v>28.070016922519038</v>
      </c>
      <c r="F74" s="451">
        <v>17.63499282203896</v>
      </c>
      <c r="G74" s="451">
        <v>21.122530783009534</v>
      </c>
      <c r="H74" s="451">
        <v>19.223571298155925</v>
      </c>
      <c r="I74" s="451"/>
      <c r="J74" s="451"/>
      <c r="K74" s="451"/>
    </row>
    <row r="75" spans="1:11">
      <c r="A75" s="1176"/>
      <c r="B75" s="449" t="s">
        <v>299</v>
      </c>
      <c r="C75" s="116">
        <v>26.041307292476677</v>
      </c>
      <c r="D75" s="116">
        <v>29.46583655389788</v>
      </c>
      <c r="E75" s="116">
        <v>27.608148976554357</v>
      </c>
      <c r="F75" s="116">
        <v>17.332628233489274</v>
      </c>
      <c r="G75" s="116">
        <v>18.677987038842716</v>
      </c>
      <c r="H75" s="116">
        <v>17.944822036945098</v>
      </c>
      <c r="I75" s="451"/>
      <c r="J75" s="451"/>
      <c r="K75" s="451"/>
    </row>
    <row r="76" spans="1:11">
      <c r="A76" s="1176"/>
      <c r="B76" s="449" t="s">
        <v>298</v>
      </c>
      <c r="C76" s="451">
        <v>27.456013363028951</v>
      </c>
      <c r="D76" s="451">
        <v>28.583333333333332</v>
      </c>
      <c r="E76" s="451">
        <v>27.971281741233373</v>
      </c>
      <c r="F76" s="451">
        <v>17.61900401585412</v>
      </c>
      <c r="G76" s="451">
        <v>17.559185620923241</v>
      </c>
      <c r="H76" s="451">
        <v>17.591836851177497</v>
      </c>
      <c r="I76" s="451"/>
      <c r="J76" s="451"/>
      <c r="K76" s="451"/>
    </row>
    <row r="77" spans="1:11">
      <c r="A77" s="1176">
        <v>12</v>
      </c>
      <c r="B77" s="455" t="s">
        <v>27</v>
      </c>
      <c r="C77" s="456"/>
      <c r="D77" s="456"/>
      <c r="E77" s="456"/>
      <c r="F77" s="456"/>
      <c r="G77" s="456"/>
      <c r="H77" s="456"/>
      <c r="I77" s="456"/>
      <c r="J77" s="457"/>
      <c r="K77" s="457"/>
    </row>
    <row r="78" spans="1:11">
      <c r="A78" s="1176"/>
      <c r="B78" s="447" t="s">
        <v>997</v>
      </c>
      <c r="C78" s="451">
        <v>33.5</v>
      </c>
      <c r="D78" s="451">
        <v>44.657053112507143</v>
      </c>
      <c r="E78" s="451">
        <v>38.724926450922709</v>
      </c>
      <c r="F78" s="451">
        <v>24.777430691136278</v>
      </c>
      <c r="G78" s="451">
        <v>33.519734351508333</v>
      </c>
      <c r="H78" s="451">
        <v>28.924589390075578</v>
      </c>
      <c r="I78" s="451">
        <v>35.385298689762379</v>
      </c>
      <c r="J78" s="451">
        <v>44.23058734512437</v>
      </c>
      <c r="K78" s="451">
        <v>39.669270057946399</v>
      </c>
    </row>
    <row r="79" spans="1:11">
      <c r="A79" s="1176"/>
      <c r="B79" s="447" t="s">
        <v>301</v>
      </c>
      <c r="C79" s="451">
        <v>33.1</v>
      </c>
      <c r="D79" s="451">
        <v>44.5</v>
      </c>
      <c r="E79" s="451">
        <v>38.5</v>
      </c>
      <c r="F79" s="451">
        <v>23.7</v>
      </c>
      <c r="G79" s="451">
        <v>33</v>
      </c>
      <c r="H79" s="451">
        <v>28.2</v>
      </c>
      <c r="I79" s="451">
        <v>33.4</v>
      </c>
      <c r="J79" s="451">
        <v>43</v>
      </c>
      <c r="K79" s="451">
        <v>38.1</v>
      </c>
    </row>
    <row r="80" spans="1:11">
      <c r="A80" s="1176"/>
      <c r="B80" s="449" t="s">
        <v>300</v>
      </c>
      <c r="C80" s="451">
        <v>32.297654690618756</v>
      </c>
      <c r="D80" s="451">
        <v>43.300897363993265</v>
      </c>
      <c r="E80" s="451">
        <v>37.478214945867435</v>
      </c>
      <c r="F80" s="451">
        <v>23.903549121193045</v>
      </c>
      <c r="G80" s="451">
        <v>32.160990843619217</v>
      </c>
      <c r="H80" s="451">
        <v>27.841464588388455</v>
      </c>
      <c r="I80" s="451">
        <v>33.265773704617601</v>
      </c>
      <c r="J80" s="451">
        <v>42.158547345934153</v>
      </c>
      <c r="K80" s="451">
        <v>37.595242940152389</v>
      </c>
    </row>
    <row r="81" spans="1:11">
      <c r="A81" s="1176"/>
      <c r="B81" s="449" t="s">
        <v>299</v>
      </c>
      <c r="C81" s="116">
        <v>31.892644135188871</v>
      </c>
      <c r="D81" s="116">
        <v>40.959421901056139</v>
      </c>
      <c r="E81" s="116">
        <v>36.172658094988194</v>
      </c>
      <c r="F81" s="116">
        <v>23.522092653143901</v>
      </c>
      <c r="G81" s="116">
        <v>29.477718003516273</v>
      </c>
      <c r="H81" s="116">
        <v>26.369649257037008</v>
      </c>
      <c r="I81" s="116">
        <v>34.168604906306228</v>
      </c>
      <c r="J81" s="116">
        <v>39.464236398784898</v>
      </c>
      <c r="K81" s="116">
        <v>36.753308022375485</v>
      </c>
    </row>
    <row r="82" spans="1:11">
      <c r="A82" s="1176"/>
      <c r="B82" s="449" t="s">
        <v>298</v>
      </c>
      <c r="C82" s="451">
        <v>31.151485148514851</v>
      </c>
      <c r="D82" s="451">
        <v>39.768044077134981</v>
      </c>
      <c r="E82" s="451">
        <v>35.22946544980443</v>
      </c>
      <c r="F82" s="451">
        <v>21.42781658004208</v>
      </c>
      <c r="G82" s="451">
        <v>26.109232824108858</v>
      </c>
      <c r="H82" s="451">
        <v>23.671850380900455</v>
      </c>
      <c r="I82" s="451">
        <v>31.765528696944529</v>
      </c>
      <c r="J82" s="451">
        <v>37.428714813632006</v>
      </c>
      <c r="K82" s="451">
        <v>34.536565764800429</v>
      </c>
    </row>
    <row r="83" spans="1:11">
      <c r="A83" s="1176">
        <v>13</v>
      </c>
      <c r="B83" s="455" t="s">
        <v>57</v>
      </c>
      <c r="C83" s="456"/>
      <c r="D83" s="456"/>
      <c r="E83" s="456"/>
      <c r="F83" s="456"/>
      <c r="G83" s="456"/>
      <c r="H83" s="456"/>
      <c r="I83" s="456"/>
      <c r="J83" s="457"/>
      <c r="K83" s="457"/>
    </row>
    <row r="84" spans="1:11">
      <c r="A84" s="1176"/>
      <c r="B84" s="447" t="s">
        <v>997</v>
      </c>
      <c r="C84" s="451">
        <v>23.03834246249107</v>
      </c>
      <c r="D84" s="451">
        <v>27.231238398302835</v>
      </c>
      <c r="E84" s="451">
        <v>25.022208281053953</v>
      </c>
      <c r="F84" s="451">
        <v>15.353826448927313</v>
      </c>
      <c r="G84" s="451">
        <v>19.435501005115466</v>
      </c>
      <c r="H84" s="451">
        <v>17.276527603489026</v>
      </c>
      <c r="I84" s="451">
        <v>17.132316835173693</v>
      </c>
      <c r="J84" s="451">
        <v>15.704707459947773</v>
      </c>
      <c r="K84" s="451">
        <v>16.459259456437831</v>
      </c>
    </row>
    <row r="85" spans="1:11">
      <c r="A85" s="1176"/>
      <c r="B85" s="447" t="s">
        <v>301</v>
      </c>
      <c r="C85" s="451">
        <v>24.075519574673756</v>
      </c>
      <c r="D85" s="451">
        <v>26.281752411575564</v>
      </c>
      <c r="E85" s="451">
        <v>25.121728081321475</v>
      </c>
      <c r="F85" s="451">
        <v>13.738406096768477</v>
      </c>
      <c r="G85" s="451">
        <v>19.326551507745155</v>
      </c>
      <c r="H85" s="451">
        <v>16.376635324570021</v>
      </c>
      <c r="I85" s="451">
        <v>15.665205892498946</v>
      </c>
      <c r="J85" s="451">
        <v>14.378423094477407</v>
      </c>
      <c r="K85" s="451">
        <v>15.057183871250363</v>
      </c>
    </row>
    <row r="86" spans="1:11">
      <c r="A86" s="1176"/>
      <c r="B86" s="449" t="s">
        <v>300</v>
      </c>
      <c r="C86" s="451">
        <v>23.947755702722588</v>
      </c>
      <c r="D86" s="451">
        <v>26.919712970484699</v>
      </c>
      <c r="E86" s="451">
        <v>25.360296010296011</v>
      </c>
      <c r="F86" s="451">
        <v>14.599010643081996</v>
      </c>
      <c r="G86" s="451">
        <v>19.480649521870465</v>
      </c>
      <c r="H86" s="451">
        <v>16.908971736778515</v>
      </c>
      <c r="I86" s="451">
        <v>16.898139142838616</v>
      </c>
      <c r="J86" s="451">
        <v>17.052710474351031</v>
      </c>
      <c r="K86" s="451">
        <v>16.971227686951774</v>
      </c>
    </row>
    <row r="87" spans="1:11">
      <c r="A87" s="1176"/>
      <c r="B87" s="449" t="s">
        <v>299</v>
      </c>
      <c r="C87" s="116">
        <v>22.039529870129421</v>
      </c>
      <c r="D87" s="116">
        <v>24.932718337104141</v>
      </c>
      <c r="E87" s="116">
        <v>23.417849382297039</v>
      </c>
      <c r="F87" s="116">
        <v>12.495434623813003</v>
      </c>
      <c r="G87" s="116">
        <v>15.986371609769263</v>
      </c>
      <c r="H87" s="116">
        <v>14.151199999999999</v>
      </c>
      <c r="I87" s="116">
        <v>14.877175429820172</v>
      </c>
      <c r="J87" s="116">
        <v>15.132489402304545</v>
      </c>
      <c r="K87" s="116">
        <v>14.99847864571808</v>
      </c>
    </row>
    <row r="88" spans="1:11">
      <c r="A88" s="1176"/>
      <c r="B88" s="449" t="s">
        <v>298</v>
      </c>
      <c r="C88" s="451">
        <v>20.370922882427305</v>
      </c>
      <c r="D88" s="451">
        <v>24.442047026279393</v>
      </c>
      <c r="E88" s="451">
        <v>22.315059445178338</v>
      </c>
      <c r="F88" s="451">
        <v>11.490558457211732</v>
      </c>
      <c r="G88" s="451">
        <v>16.248977086743043</v>
      </c>
      <c r="H88" s="451">
        <v>13.753049793708305</v>
      </c>
      <c r="I88" s="451">
        <v>10.96674152497059</v>
      </c>
      <c r="J88" s="451">
        <v>10.502989074417645</v>
      </c>
      <c r="K88" s="451">
        <v>10.746065778226201</v>
      </c>
    </row>
    <row r="89" spans="1:11">
      <c r="A89" s="1176">
        <v>14</v>
      </c>
      <c r="B89" s="455" t="s">
        <v>29</v>
      </c>
      <c r="C89" s="456"/>
      <c r="D89" s="456"/>
      <c r="E89" s="456"/>
      <c r="F89" s="456"/>
      <c r="G89" s="456"/>
      <c r="H89" s="456"/>
      <c r="I89" s="456"/>
      <c r="J89" s="457"/>
      <c r="K89" s="457"/>
    </row>
    <row r="90" spans="1:11">
      <c r="A90" s="1176"/>
      <c r="B90" s="447" t="s">
        <v>997</v>
      </c>
      <c r="C90" s="451">
        <v>16.543951884253026</v>
      </c>
      <c r="D90" s="451">
        <v>17.520623608017818</v>
      </c>
      <c r="E90" s="451">
        <v>17.018279755981482</v>
      </c>
      <c r="F90" s="451">
        <v>13.425943863084818</v>
      </c>
      <c r="G90" s="451">
        <v>12.556644317079888</v>
      </c>
      <c r="H90" s="451">
        <v>13.006244717129617</v>
      </c>
      <c r="I90" s="451">
        <v>11.59320903956764</v>
      </c>
      <c r="J90" s="451">
        <v>13.249771926255061</v>
      </c>
      <c r="K90" s="451">
        <v>12.444862849897888</v>
      </c>
    </row>
    <row r="91" spans="1:11">
      <c r="A91" s="1176"/>
      <c r="B91" s="447" t="s">
        <v>301</v>
      </c>
      <c r="C91" s="451">
        <v>17.538563829787236</v>
      </c>
      <c r="D91" s="451">
        <v>18.662146118721463</v>
      </c>
      <c r="E91" s="451">
        <v>18.082809873484916</v>
      </c>
      <c r="F91" s="451">
        <v>14.031892460834921</v>
      </c>
      <c r="G91" s="451">
        <v>13.08937177513557</v>
      </c>
      <c r="H91" s="451">
        <v>13.578041798361367</v>
      </c>
      <c r="I91" s="451">
        <v>12.179864013032086</v>
      </c>
      <c r="J91" s="451">
        <v>14.253299289176852</v>
      </c>
      <c r="K91" s="451">
        <v>13.243208505961885</v>
      </c>
    </row>
    <row r="92" spans="1:11">
      <c r="A92" s="1176"/>
      <c r="B92" s="449" t="s">
        <v>300</v>
      </c>
      <c r="C92" s="451">
        <v>16.532781862745097</v>
      </c>
      <c r="D92" s="451">
        <v>16.943466042154569</v>
      </c>
      <c r="E92" s="451">
        <v>16.731164306077197</v>
      </c>
      <c r="F92" s="451">
        <v>14.409600046915319</v>
      </c>
      <c r="G92" s="451">
        <v>13.379753615425816</v>
      </c>
      <c r="H92" s="451">
        <v>13.915069625836148</v>
      </c>
      <c r="I92" s="451">
        <v>11.340893447198741</v>
      </c>
      <c r="J92" s="451">
        <v>12.700335236399459</v>
      </c>
      <c r="K92" s="451">
        <v>12.03626482536102</v>
      </c>
    </row>
    <row r="93" spans="1:11">
      <c r="A93" s="1176"/>
      <c r="B93" s="449" t="s">
        <v>299</v>
      </c>
      <c r="C93" s="116">
        <v>15.819106670182698</v>
      </c>
      <c r="D93" s="116">
        <v>16.087853505488518</v>
      </c>
      <c r="E93" s="116">
        <v>15.948551237021366</v>
      </c>
      <c r="F93" s="116">
        <v>13.018769805193593</v>
      </c>
      <c r="G93" s="116">
        <v>11.450527790447644</v>
      </c>
      <c r="H93" s="116">
        <v>12.26788705315272</v>
      </c>
      <c r="I93" s="116">
        <v>10.435791236229388</v>
      </c>
      <c r="J93" s="116">
        <v>11.746537739524669</v>
      </c>
      <c r="K93" s="116">
        <v>11.104425997143469</v>
      </c>
    </row>
    <row r="94" spans="1:11">
      <c r="A94" s="1176"/>
      <c r="B94" s="449" t="s">
        <v>298</v>
      </c>
      <c r="C94" s="451">
        <v>16.034899635036496</v>
      </c>
      <c r="D94" s="451">
        <v>15.780345679012346</v>
      </c>
      <c r="E94" s="451">
        <v>15.912663030590469</v>
      </c>
      <c r="F94" s="451">
        <v>12.78357211079274</v>
      </c>
      <c r="G94" s="451">
        <v>11.241576347261555</v>
      </c>
      <c r="H94" s="451">
        <v>12.047483077414588</v>
      </c>
      <c r="I94" s="451">
        <v>10.237139784986732</v>
      </c>
      <c r="J94" s="451">
        <v>12.348448053495449</v>
      </c>
      <c r="K94" s="451">
        <v>11.311051605990565</v>
      </c>
    </row>
    <row r="95" spans="1:11">
      <c r="A95" s="1176">
        <v>15</v>
      </c>
      <c r="B95" s="444" t="s">
        <v>30</v>
      </c>
      <c r="C95" s="452"/>
      <c r="D95" s="452"/>
      <c r="E95" s="452"/>
      <c r="F95" s="452"/>
      <c r="G95" s="452"/>
      <c r="H95" s="452"/>
      <c r="I95" s="452"/>
      <c r="J95" s="453"/>
      <c r="K95" s="453"/>
    </row>
    <row r="96" spans="1:11">
      <c r="A96" s="1176"/>
      <c r="B96" s="447" t="s">
        <v>997</v>
      </c>
      <c r="C96" s="451">
        <v>34.834623925297507</v>
      </c>
      <c r="D96" s="451">
        <v>37.168916855030851</v>
      </c>
      <c r="E96" s="451">
        <v>35.96070081339149</v>
      </c>
      <c r="F96" s="451">
        <v>25.327307534176175</v>
      </c>
      <c r="G96" s="451">
        <v>25.873407523037411</v>
      </c>
      <c r="H96" s="451">
        <v>25.59433235994636</v>
      </c>
      <c r="I96" s="451">
        <v>23.155650319829423</v>
      </c>
      <c r="J96" s="451">
        <v>23.62630448642663</v>
      </c>
      <c r="K96" s="451">
        <v>23.383868789508366</v>
      </c>
    </row>
    <row r="97" spans="1:11">
      <c r="A97" s="1176"/>
      <c r="B97" s="447" t="s">
        <v>301</v>
      </c>
      <c r="C97" s="451">
        <v>30.722955815134583</v>
      </c>
      <c r="D97" s="451">
        <v>33.307340283670747</v>
      </c>
      <c r="E97" s="451">
        <v>31.968964610304219</v>
      </c>
      <c r="F97" s="451">
        <v>23.430857117389859</v>
      </c>
      <c r="G97" s="451">
        <v>23.807509500954257</v>
      </c>
      <c r="H97" s="451">
        <v>23.614923786728173</v>
      </c>
      <c r="I97" s="451">
        <v>21.059016431934069</v>
      </c>
      <c r="J97" s="451">
        <v>21.618730934257783</v>
      </c>
      <c r="K97" s="451">
        <v>21.330265052659602</v>
      </c>
    </row>
    <row r="98" spans="1:11">
      <c r="A98" s="1176"/>
      <c r="B98" s="449" t="s">
        <v>300</v>
      </c>
      <c r="C98" s="451">
        <v>27.781671234409082</v>
      </c>
      <c r="D98" s="451">
        <v>29.923527996631982</v>
      </c>
      <c r="E98" s="451">
        <v>28.813742537529706</v>
      </c>
      <c r="F98" s="451">
        <v>20.931468986004774</v>
      </c>
      <c r="G98" s="451">
        <v>21.251038979709534</v>
      </c>
      <c r="H98" s="451">
        <v>21.08757008568876</v>
      </c>
      <c r="I98" s="451">
        <v>18.761369498520271</v>
      </c>
      <c r="J98" s="451">
        <v>19.304939586894939</v>
      </c>
      <c r="K98" s="451">
        <v>19.024646837992492</v>
      </c>
    </row>
    <row r="99" spans="1:11">
      <c r="A99" s="1176"/>
      <c r="B99" s="449" t="s">
        <v>299</v>
      </c>
      <c r="C99" s="116">
        <v>26.927789012500845</v>
      </c>
      <c r="D99" s="116">
        <v>29.018339015198208</v>
      </c>
      <c r="E99" s="116">
        <v>27.934579339440084</v>
      </c>
      <c r="F99" s="116">
        <v>19.769336627779687</v>
      </c>
      <c r="G99" s="116">
        <v>19.736462378003989</v>
      </c>
      <c r="H99" s="116">
        <v>19.753288999740658</v>
      </c>
      <c r="I99" s="116">
        <v>17.719679347930565</v>
      </c>
      <c r="J99" s="116">
        <v>17.725009731811756</v>
      </c>
      <c r="K99" s="116">
        <v>17.722259689768716</v>
      </c>
    </row>
    <row r="100" spans="1:11">
      <c r="A100" s="1176"/>
      <c r="B100" s="449" t="s">
        <v>298</v>
      </c>
      <c r="C100" s="451">
        <v>26.218081890629293</v>
      </c>
      <c r="D100" s="451">
        <v>27.160734379626888</v>
      </c>
      <c r="E100" s="451">
        <v>26.671807297605472</v>
      </c>
      <c r="F100" s="451">
        <v>18.967324071174556</v>
      </c>
      <c r="G100" s="451">
        <v>18.814060997378572</v>
      </c>
      <c r="H100" s="451">
        <v>18.892563741850665</v>
      </c>
      <c r="I100" s="451">
        <v>16.838558698651543</v>
      </c>
      <c r="J100" s="451">
        <v>16.37660415412892</v>
      </c>
      <c r="K100" s="451">
        <v>16.615089209654986</v>
      </c>
    </row>
    <row r="101" spans="1:11">
      <c r="A101" s="1176">
        <v>16</v>
      </c>
      <c r="B101" s="444" t="s">
        <v>31</v>
      </c>
      <c r="C101" s="452"/>
      <c r="D101" s="452"/>
      <c r="E101" s="452"/>
      <c r="F101" s="452"/>
      <c r="G101" s="452"/>
      <c r="H101" s="452"/>
      <c r="I101" s="452"/>
      <c r="J101" s="453"/>
      <c r="K101" s="453"/>
    </row>
    <row r="102" spans="1:11">
      <c r="A102" s="1176"/>
      <c r="B102" s="447" t="s">
        <v>997</v>
      </c>
      <c r="C102" s="451">
        <v>34.455424208841272</v>
      </c>
      <c r="D102" s="451">
        <v>52.341721940434383</v>
      </c>
      <c r="E102" s="451">
        <v>43.154206198608478</v>
      </c>
      <c r="F102" s="451">
        <v>23.424573796101338</v>
      </c>
      <c r="G102" s="451">
        <v>44.64732438105645</v>
      </c>
      <c r="H102" s="451">
        <v>33.734956589764543</v>
      </c>
      <c r="I102" s="451">
        <v>23.103727714748786</v>
      </c>
      <c r="J102" s="451">
        <v>35.12903225806452</v>
      </c>
      <c r="K102" s="451">
        <v>29.130962004850446</v>
      </c>
    </row>
    <row r="103" spans="1:11">
      <c r="A103" s="1176"/>
      <c r="B103" s="447" t="s">
        <v>301</v>
      </c>
      <c r="C103" s="451">
        <v>29.847882295001231</v>
      </c>
      <c r="D103" s="451">
        <v>42.276576459924897</v>
      </c>
      <c r="E103" s="451">
        <v>35.905743136636161</v>
      </c>
      <c r="F103" s="451">
        <v>17.272900141258283</v>
      </c>
      <c r="G103" s="451">
        <v>33.522040036357652</v>
      </c>
      <c r="H103" s="451">
        <v>25.184426300915426</v>
      </c>
      <c r="I103" s="451">
        <v>17.663979256978486</v>
      </c>
      <c r="J103" s="451">
        <v>27.607386591730226</v>
      </c>
      <c r="K103" s="451">
        <v>22.658439699151089</v>
      </c>
    </row>
    <row r="104" spans="1:11">
      <c r="A104" s="1176"/>
      <c r="B104" s="449" t="s">
        <v>300</v>
      </c>
      <c r="C104" s="451">
        <v>28.203865566908775</v>
      </c>
      <c r="D104" s="451">
        <v>41.101070001289159</v>
      </c>
      <c r="E104" s="451">
        <v>34.503841309823677</v>
      </c>
      <c r="F104" s="451">
        <v>16.612116849782026</v>
      </c>
      <c r="G104" s="451">
        <v>32.027676039276606</v>
      </c>
      <c r="H104" s="451">
        <v>24.134226227729798</v>
      </c>
      <c r="I104" s="451">
        <v>17.305355262091872</v>
      </c>
      <c r="J104" s="451">
        <v>25.799360511590731</v>
      </c>
      <c r="K104" s="451">
        <v>21.581329846091943</v>
      </c>
    </row>
    <row r="105" spans="1:11">
      <c r="A105" s="1176"/>
      <c r="B105" s="449" t="s">
        <v>299</v>
      </c>
      <c r="C105" s="116">
        <v>29.553036891606986</v>
      </c>
      <c r="D105" s="116">
        <v>38.681751744096964</v>
      </c>
      <c r="E105" s="116">
        <v>34.021891268971075</v>
      </c>
      <c r="F105" s="116">
        <v>16.462073273403764</v>
      </c>
      <c r="G105" s="116">
        <v>30.87412116095436</v>
      </c>
      <c r="H105" s="116">
        <v>23.50982004392219</v>
      </c>
      <c r="I105" s="116">
        <v>16.144841832394992</v>
      </c>
      <c r="J105" s="116">
        <v>24.286680727446377</v>
      </c>
      <c r="K105" s="116">
        <v>20.251716247139587</v>
      </c>
    </row>
    <row r="106" spans="1:11">
      <c r="A106" s="1176"/>
      <c r="B106" s="449" t="s">
        <v>298</v>
      </c>
      <c r="C106" s="451">
        <v>26.370461538461537</v>
      </c>
      <c r="D106" s="451">
        <v>38.634057507987215</v>
      </c>
      <c r="E106" s="451">
        <v>32.386927899686519</v>
      </c>
      <c r="F106" s="451">
        <v>15.817843613800219</v>
      </c>
      <c r="G106" s="451">
        <v>29.120281419529835</v>
      </c>
      <c r="H106" s="451">
        <v>22.336960096375201</v>
      </c>
      <c r="I106" s="451">
        <v>14.352826826502509</v>
      </c>
      <c r="J106" s="451">
        <v>20.234557629066128</v>
      </c>
      <c r="K106" s="451">
        <v>17.325909755462536</v>
      </c>
    </row>
    <row r="107" spans="1:11">
      <c r="A107" s="1183">
        <v>17</v>
      </c>
      <c r="B107" s="444" t="s">
        <v>172</v>
      </c>
      <c r="C107" s="458"/>
      <c r="D107" s="458"/>
      <c r="E107" s="458"/>
      <c r="F107" s="458"/>
      <c r="G107" s="458"/>
      <c r="H107" s="458"/>
      <c r="I107" s="458"/>
      <c r="J107" s="459"/>
      <c r="K107" s="459"/>
    </row>
    <row r="108" spans="1:11">
      <c r="A108" s="1184"/>
      <c r="B108" s="447" t="s">
        <v>997</v>
      </c>
      <c r="C108" s="451">
        <v>5.4183578659103135</v>
      </c>
      <c r="D108" s="451">
        <v>11.928161928161927</v>
      </c>
      <c r="E108" s="451">
        <v>8.3823881948698826</v>
      </c>
      <c r="F108" s="451">
        <v>0</v>
      </c>
      <c r="G108" s="451">
        <v>266.66666666666663</v>
      </c>
      <c r="H108" s="451">
        <v>17.391304347826086</v>
      </c>
      <c r="I108" s="451">
        <v>6.1368893727037692</v>
      </c>
      <c r="J108" s="451">
        <v>12.354892205638475</v>
      </c>
      <c r="K108" s="451">
        <v>9.3461943639715557</v>
      </c>
    </row>
    <row r="109" spans="1:11">
      <c r="A109" s="1185"/>
      <c r="B109" s="447" t="s">
        <v>301</v>
      </c>
      <c r="C109" s="451">
        <v>5.0312248186946009</v>
      </c>
      <c r="D109" s="451">
        <v>11.343533349270858</v>
      </c>
      <c r="E109" s="451">
        <v>7.9178965781130426</v>
      </c>
      <c r="F109" s="451">
        <v>0</v>
      </c>
      <c r="G109" s="451">
        <v>0</v>
      </c>
      <c r="H109" s="451">
        <v>0</v>
      </c>
      <c r="I109" s="451">
        <v>6.4667554123169619</v>
      </c>
      <c r="J109" s="451">
        <v>12.328142307942921</v>
      </c>
      <c r="K109" s="451">
        <v>9.5040345724028494</v>
      </c>
    </row>
    <row r="110" spans="1:11">
      <c r="A110" s="1176">
        <v>18</v>
      </c>
      <c r="B110" s="444" t="s">
        <v>32</v>
      </c>
      <c r="C110" s="452"/>
      <c r="D110" s="452"/>
      <c r="E110" s="452"/>
      <c r="F110" s="452"/>
      <c r="G110" s="452"/>
      <c r="H110" s="452"/>
      <c r="I110" s="452"/>
      <c r="J110" s="453"/>
      <c r="K110" s="453"/>
    </row>
    <row r="111" spans="1:11">
      <c r="A111" s="1176"/>
      <c r="B111" s="447" t="s">
        <v>997</v>
      </c>
      <c r="C111" s="451">
        <v>3.2734432685207975</v>
      </c>
      <c r="D111" s="451">
        <v>11.40491452991453</v>
      </c>
      <c r="E111" s="451">
        <v>7.1730498270782634</v>
      </c>
      <c r="F111" s="451"/>
      <c r="G111" s="451"/>
      <c r="H111" s="451"/>
      <c r="I111" s="451">
        <v>1.8959913326110509</v>
      </c>
      <c r="J111" s="451">
        <v>6.9716775599128544</v>
      </c>
      <c r="K111" s="451">
        <v>4.4269418794133628</v>
      </c>
    </row>
    <row r="112" spans="1:11">
      <c r="A112" s="1176"/>
      <c r="B112" s="447" t="s">
        <v>301</v>
      </c>
      <c r="C112" s="451">
        <v>3.3662363958491524</v>
      </c>
      <c r="D112" s="451">
        <v>11.65075034106412</v>
      </c>
      <c r="E112" s="451">
        <v>7.3529411764705888</v>
      </c>
      <c r="F112" s="451"/>
      <c r="G112" s="451"/>
      <c r="H112" s="451"/>
      <c r="I112" s="451">
        <v>1.9498607242339834</v>
      </c>
      <c r="J112" s="451">
        <v>7.1210013908205845</v>
      </c>
      <c r="K112" s="451">
        <v>4.5372303409881702</v>
      </c>
    </row>
    <row r="113" spans="1:11">
      <c r="A113" s="1176"/>
      <c r="B113" s="449" t="s">
        <v>300</v>
      </c>
      <c r="C113" s="451">
        <v>3.3072916666666665</v>
      </c>
      <c r="D113" s="451">
        <v>11.656441717791409</v>
      </c>
      <c r="E113" s="451">
        <v>7.34006734006734</v>
      </c>
      <c r="F113" s="451"/>
      <c r="G113" s="451"/>
      <c r="H113" s="451"/>
      <c r="I113" s="451">
        <v>1.8343364860991689</v>
      </c>
      <c r="J113" s="451">
        <v>6.9945976684674438</v>
      </c>
      <c r="K113" s="451">
        <v>4.4247787610619467</v>
      </c>
    </row>
    <row r="114" spans="1:11">
      <c r="A114" s="1176"/>
      <c r="B114" s="449" t="s">
        <v>299</v>
      </c>
      <c r="C114" s="116">
        <v>3.1115879828326181</v>
      </c>
      <c r="D114" s="116">
        <v>12.432278300541775</v>
      </c>
      <c r="E114" s="116">
        <v>7.6306331213713028</v>
      </c>
      <c r="F114" s="451"/>
      <c r="G114" s="451"/>
      <c r="H114" s="451"/>
      <c r="I114" s="116">
        <v>1.6533805727782698</v>
      </c>
      <c r="J114" s="116">
        <v>5.2906976744186052</v>
      </c>
      <c r="K114" s="116">
        <v>3.4861579024461693</v>
      </c>
    </row>
    <row r="115" spans="1:11">
      <c r="A115" s="1176"/>
      <c r="B115" s="449" t="s">
        <v>298</v>
      </c>
      <c r="C115" s="451">
        <v>4.1205752212389379</v>
      </c>
      <c r="D115" s="451">
        <v>11</v>
      </c>
      <c r="E115" s="451">
        <v>7.4389551391254969</v>
      </c>
      <c r="F115" s="451"/>
      <c r="G115" s="451"/>
      <c r="H115" s="451"/>
      <c r="I115" s="451">
        <v>2.1613394216133943</v>
      </c>
      <c r="J115" s="451">
        <v>5.4431885782272458</v>
      </c>
      <c r="K115" s="451">
        <v>3.8206979542719615</v>
      </c>
    </row>
    <row r="116" spans="1:11">
      <c r="A116" s="1176">
        <v>19</v>
      </c>
      <c r="B116" s="444" t="s">
        <v>33</v>
      </c>
      <c r="C116" s="452"/>
      <c r="D116" s="452"/>
      <c r="E116" s="452"/>
      <c r="F116" s="452"/>
      <c r="G116" s="452"/>
      <c r="H116" s="452"/>
      <c r="I116" s="452"/>
      <c r="J116" s="453"/>
      <c r="K116" s="453"/>
    </row>
    <row r="117" spans="1:11">
      <c r="A117" s="1176"/>
      <c r="B117" s="447" t="s">
        <v>997</v>
      </c>
      <c r="C117" s="451">
        <v>27.333121145812612</v>
      </c>
      <c r="D117" s="451">
        <v>26.796030460851679</v>
      </c>
      <c r="E117" s="451">
        <v>27.077369539846615</v>
      </c>
      <c r="F117" s="451">
        <v>25.5</v>
      </c>
      <c r="G117" s="451">
        <v>25.781039693930353</v>
      </c>
      <c r="H117" s="451">
        <v>25.632876072313859</v>
      </c>
      <c r="I117" s="451">
        <v>15.292030858387479</v>
      </c>
      <c r="J117" s="451">
        <v>16.117247229833389</v>
      </c>
      <c r="K117" s="451">
        <v>15.712031219228944</v>
      </c>
    </row>
    <row r="118" spans="1:11">
      <c r="A118" s="1176"/>
      <c r="B118" s="447" t="s">
        <v>301</v>
      </c>
      <c r="C118" s="451">
        <v>22.946591820368887</v>
      </c>
      <c r="D118" s="451">
        <v>22.972545720232031</v>
      </c>
      <c r="E118" s="451">
        <v>22.958925152031647</v>
      </c>
      <c r="F118" s="451">
        <v>21.588199181613</v>
      </c>
      <c r="G118" s="451">
        <v>21.830079563768145</v>
      </c>
      <c r="H118" s="451">
        <v>21.700495308978457</v>
      </c>
      <c r="I118" s="451">
        <v>11.820105681011594</v>
      </c>
      <c r="J118" s="451">
        <v>11.404172338391644</v>
      </c>
      <c r="K118" s="451">
        <v>11.60882080456939</v>
      </c>
    </row>
    <row r="119" spans="1:11">
      <c r="A119" s="1176"/>
      <c r="B119" s="449" t="s">
        <v>300</v>
      </c>
      <c r="C119" s="451">
        <v>20.766579106890283</v>
      </c>
      <c r="D119" s="451">
        <v>20.199982076443966</v>
      </c>
      <c r="E119" s="451">
        <v>20.497896391993539</v>
      </c>
      <c r="F119" s="451">
        <v>19.08464314591674</v>
      </c>
      <c r="G119" s="451">
        <v>18.453104315925213</v>
      </c>
      <c r="H119" s="451">
        <v>18.792058640627687</v>
      </c>
      <c r="I119" s="451">
        <v>11.16198092731492</v>
      </c>
      <c r="J119" s="451">
        <v>10.512873092065075</v>
      </c>
      <c r="K119" s="451">
        <v>10.832897443280318</v>
      </c>
    </row>
    <row r="120" spans="1:11">
      <c r="A120" s="1176"/>
      <c r="B120" s="449" t="s">
        <v>299</v>
      </c>
      <c r="C120" s="116">
        <v>20.84355291578602</v>
      </c>
      <c r="D120" s="116">
        <v>19.546968634403974</v>
      </c>
      <c r="E120" s="116">
        <v>20.230025738498934</v>
      </c>
      <c r="F120" s="116">
        <v>19.832057635613022</v>
      </c>
      <c r="G120" s="116">
        <v>17.943377928983224</v>
      </c>
      <c r="H120" s="116">
        <v>18.959006974693356</v>
      </c>
      <c r="I120" s="116">
        <v>10.714396991075601</v>
      </c>
      <c r="J120" s="116">
        <v>9.1935888701638646</v>
      </c>
      <c r="K120" s="116">
        <v>9.9449311901009185</v>
      </c>
    </row>
    <row r="121" spans="1:11">
      <c r="A121" s="1176"/>
      <c r="B121" s="449" t="s">
        <v>298</v>
      </c>
      <c r="C121" s="451">
        <v>20.080270991582839</v>
      </c>
      <c r="D121" s="451">
        <v>18.249781960064265</v>
      </c>
      <c r="E121" s="451">
        <v>19.216005635023841</v>
      </c>
      <c r="F121" s="451">
        <v>17.508155662001816</v>
      </c>
      <c r="G121" s="451">
        <v>15.45772659580382</v>
      </c>
      <c r="H121" s="451">
        <v>16.562445179137711</v>
      </c>
      <c r="I121" s="451">
        <v>9.9783291943440542</v>
      </c>
      <c r="J121" s="451">
        <v>8.5603831792660863</v>
      </c>
      <c r="K121" s="451">
        <v>9.262382431388577</v>
      </c>
    </row>
    <row r="122" spans="1:11">
      <c r="A122" s="1176">
        <v>20</v>
      </c>
      <c r="B122" s="455" t="s">
        <v>34</v>
      </c>
      <c r="C122" s="456"/>
      <c r="D122" s="456"/>
      <c r="E122" s="456"/>
      <c r="F122" s="456"/>
      <c r="G122" s="456"/>
      <c r="H122" s="456"/>
      <c r="I122" s="456"/>
      <c r="J122" s="457"/>
      <c r="K122" s="457"/>
    </row>
    <row r="123" spans="1:11">
      <c r="A123" s="1176"/>
      <c r="B123" s="447" t="s">
        <v>997</v>
      </c>
      <c r="C123" s="451">
        <v>36.226804873084639</v>
      </c>
      <c r="D123" s="451">
        <v>33.469955683003128</v>
      </c>
      <c r="E123" s="451">
        <v>34.926852691261658</v>
      </c>
      <c r="F123" s="451">
        <v>34.637798751894231</v>
      </c>
      <c r="G123" s="451">
        <v>33.080887167952625</v>
      </c>
      <c r="H123" s="451">
        <v>33.890932072491772</v>
      </c>
      <c r="I123" s="451">
        <v>18.591942474356429</v>
      </c>
      <c r="J123" s="451">
        <v>14.429389370184959</v>
      </c>
      <c r="K123" s="451">
        <v>16.509280283303823</v>
      </c>
    </row>
    <row r="124" spans="1:11">
      <c r="A124" s="1176"/>
      <c r="B124" s="447" t="s">
        <v>301</v>
      </c>
      <c r="C124" s="451">
        <v>33.475044124880647</v>
      </c>
      <c r="D124" s="451">
        <v>31.69638796855714</v>
      </c>
      <c r="E124" s="451">
        <v>32.637091220714034</v>
      </c>
      <c r="F124" s="451">
        <v>30.915749088953088</v>
      </c>
      <c r="G124" s="451">
        <v>31.380438456398174</v>
      </c>
      <c r="H124" s="451">
        <v>31.138470213690777</v>
      </c>
      <c r="I124" s="451">
        <v>17.563264093675169</v>
      </c>
      <c r="J124" s="451">
        <v>13.763261999505294</v>
      </c>
      <c r="K124" s="451">
        <v>15.6636004820029</v>
      </c>
    </row>
    <row r="125" spans="1:11">
      <c r="A125" s="1176"/>
      <c r="B125" s="449" t="s">
        <v>300</v>
      </c>
      <c r="C125" s="451">
        <v>33.465173198191714</v>
      </c>
      <c r="D125" s="451">
        <v>30.85581530889781</v>
      </c>
      <c r="E125" s="451">
        <v>32.2369499946657</v>
      </c>
      <c r="F125" s="451">
        <v>31.898347665071014</v>
      </c>
      <c r="G125" s="451">
        <v>30.936729240447402</v>
      </c>
      <c r="H125" s="451">
        <v>31.437854201523617</v>
      </c>
      <c r="I125" s="451">
        <v>17.3645218505686</v>
      </c>
      <c r="J125" s="451">
        <v>13.210391578975239</v>
      </c>
      <c r="K125" s="451">
        <v>15.289572481150056</v>
      </c>
    </row>
    <row r="126" spans="1:11">
      <c r="A126" s="1176"/>
      <c r="B126" s="449" t="s">
        <v>299</v>
      </c>
      <c r="C126" s="116">
        <v>32.539730394154795</v>
      </c>
      <c r="D126" s="116">
        <v>30.028383143127584</v>
      </c>
      <c r="E126" s="116">
        <v>31.358677850380225</v>
      </c>
      <c r="F126" s="116">
        <v>31.958214901846414</v>
      </c>
      <c r="G126" s="116">
        <v>29.678673108501503</v>
      </c>
      <c r="H126" s="116">
        <v>30.867546581946197</v>
      </c>
      <c r="I126" s="116">
        <v>17.777273765677105</v>
      </c>
      <c r="J126" s="116">
        <v>12.67357731758092</v>
      </c>
      <c r="K126" s="116">
        <v>15.230125178547171</v>
      </c>
    </row>
    <row r="127" spans="1:11">
      <c r="A127" s="1176"/>
      <c r="B127" s="449" t="s">
        <v>298</v>
      </c>
      <c r="C127" s="451">
        <v>31.937316412377015</v>
      </c>
      <c r="D127" s="451">
        <v>28.580196267696266</v>
      </c>
      <c r="E127" s="451">
        <v>30.359883589084586</v>
      </c>
      <c r="F127" s="451">
        <v>31.903867422712988</v>
      </c>
      <c r="G127" s="451">
        <v>28.500965400209822</v>
      </c>
      <c r="H127" s="451">
        <v>30.277131447916673</v>
      </c>
      <c r="I127" s="451">
        <v>17.906375740128887</v>
      </c>
      <c r="J127" s="451">
        <v>11.901527957746016</v>
      </c>
      <c r="K127" s="451">
        <v>14.911948385911741</v>
      </c>
    </row>
    <row r="128" spans="1:11">
      <c r="A128" s="1176">
        <v>21</v>
      </c>
      <c r="B128" s="455" t="s">
        <v>35</v>
      </c>
      <c r="C128" s="456"/>
      <c r="D128" s="456"/>
      <c r="E128" s="456"/>
      <c r="F128" s="456"/>
      <c r="G128" s="456"/>
      <c r="H128" s="456"/>
      <c r="I128" s="456"/>
      <c r="J128" s="457"/>
      <c r="K128" s="457"/>
    </row>
    <row r="129" spans="1:11">
      <c r="A129" s="1176"/>
      <c r="B129" s="447" t="s">
        <v>997</v>
      </c>
      <c r="C129" s="451">
        <v>36.931684208269921</v>
      </c>
      <c r="D129" s="451">
        <v>38.604034441436241</v>
      </c>
      <c r="E129" s="451">
        <v>37.753371932005273</v>
      </c>
      <c r="F129" s="451">
        <v>79.151177199504346</v>
      </c>
      <c r="G129" s="451">
        <v>68.943593087707853</v>
      </c>
      <c r="H129" s="451">
        <v>74.177918983320097</v>
      </c>
      <c r="I129" s="451">
        <v>18.543556138913836</v>
      </c>
      <c r="J129" s="451">
        <v>19.952391028353787</v>
      </c>
      <c r="K129" s="451">
        <v>19.223483397923911</v>
      </c>
    </row>
    <row r="130" spans="1:11">
      <c r="A130" s="1176"/>
      <c r="B130" s="447" t="s">
        <v>301</v>
      </c>
      <c r="C130" s="451">
        <v>32.814772519149763</v>
      </c>
      <c r="D130" s="451">
        <v>35.395374455466481</v>
      </c>
      <c r="E130" s="451">
        <v>34.084234898722713</v>
      </c>
      <c r="F130" s="451">
        <v>52.203020395453834</v>
      </c>
      <c r="G130" s="451">
        <v>53.277750531306204</v>
      </c>
      <c r="H130" s="451">
        <v>52.72727272727272</v>
      </c>
      <c r="I130" s="451">
        <v>17.518798484217211</v>
      </c>
      <c r="J130" s="451">
        <v>19.386975619071869</v>
      </c>
      <c r="K130" s="451">
        <v>18.421511329847228</v>
      </c>
    </row>
    <row r="131" spans="1:11">
      <c r="A131" s="1176"/>
      <c r="B131" s="449" t="s">
        <v>300</v>
      </c>
      <c r="C131" s="451">
        <v>29.607589384824479</v>
      </c>
      <c r="D131" s="451">
        <v>31.075577178437126</v>
      </c>
      <c r="E131" s="451">
        <v>30.330517649774396</v>
      </c>
      <c r="F131" s="451">
        <v>52.034428794992174</v>
      </c>
      <c r="G131" s="451">
        <v>49.565502541400228</v>
      </c>
      <c r="H131" s="451">
        <v>50.828729281767963</v>
      </c>
      <c r="I131" s="451">
        <v>18.2711100474652</v>
      </c>
      <c r="J131" s="451">
        <v>18.569391837255818</v>
      </c>
      <c r="K131" s="451">
        <v>18.41541755888651</v>
      </c>
    </row>
    <row r="132" spans="1:11">
      <c r="A132" s="1176"/>
      <c r="B132" s="449" t="s">
        <v>299</v>
      </c>
      <c r="C132" s="116">
        <v>27.907529209606626</v>
      </c>
      <c r="D132" s="116">
        <v>29.88289226267511</v>
      </c>
      <c r="E132" s="116">
        <v>28.881615450964137</v>
      </c>
      <c r="F132" s="116">
        <v>55.427942101950912</v>
      </c>
      <c r="G132" s="116">
        <v>51.216705031239727</v>
      </c>
      <c r="H132" s="116">
        <v>53.364418361604628</v>
      </c>
      <c r="I132" s="116">
        <v>17.678251019937651</v>
      </c>
      <c r="J132" s="116">
        <v>17.178280678168644</v>
      </c>
      <c r="K132" s="116">
        <v>17.43606706497695</v>
      </c>
    </row>
    <row r="133" spans="1:11">
      <c r="A133" s="1176"/>
      <c r="B133" s="449" t="s">
        <v>298</v>
      </c>
      <c r="C133" s="451">
        <v>27.39514650761949</v>
      </c>
      <c r="D133" s="451">
        <v>28.613911940792612</v>
      </c>
      <c r="E133" s="451">
        <v>27.996952697555233</v>
      </c>
      <c r="F133" s="451">
        <v>47.319310453898467</v>
      </c>
      <c r="G133" s="451">
        <v>44.600164880461669</v>
      </c>
      <c r="H133" s="451">
        <v>45.988052954472067</v>
      </c>
      <c r="I133" s="451">
        <v>16.33833472727456</v>
      </c>
      <c r="J133" s="451">
        <v>15.957071166418782</v>
      </c>
      <c r="K133" s="451">
        <v>16.15350683722982</v>
      </c>
    </row>
    <row r="134" spans="1:11">
      <c r="A134" s="1176">
        <v>22</v>
      </c>
      <c r="B134" s="455" t="s">
        <v>36</v>
      </c>
      <c r="C134" s="456"/>
      <c r="D134" s="456"/>
      <c r="E134" s="456"/>
      <c r="F134" s="456"/>
      <c r="G134" s="456"/>
      <c r="H134" s="456"/>
      <c r="I134" s="456"/>
      <c r="J134" s="457"/>
      <c r="K134" s="457"/>
    </row>
    <row r="135" spans="1:11">
      <c r="A135" s="1176"/>
      <c r="B135" s="447" t="s">
        <v>997</v>
      </c>
      <c r="C135" s="451">
        <v>22.583619750188618</v>
      </c>
      <c r="D135" s="451">
        <v>28.988591861059081</v>
      </c>
      <c r="E135" s="451">
        <v>25.761351636747627</v>
      </c>
      <c r="F135" s="451">
        <v>164.51361867704279</v>
      </c>
      <c r="G135" s="451">
        <v>154.97716894977168</v>
      </c>
      <c r="H135" s="451">
        <v>160.12605042016807</v>
      </c>
      <c r="I135" s="451">
        <v>18.728376647088314</v>
      </c>
      <c r="J135" s="451">
        <v>25.459777840235603</v>
      </c>
      <c r="K135" s="451">
        <v>22.115736427673188</v>
      </c>
    </row>
    <row r="136" spans="1:11">
      <c r="A136" s="1176"/>
      <c r="B136" s="447" t="s">
        <v>301</v>
      </c>
      <c r="C136" s="451">
        <v>20.980685384501967</v>
      </c>
      <c r="D136" s="451">
        <v>25.448986778499854</v>
      </c>
      <c r="E136" s="451">
        <v>23.200055124015783</v>
      </c>
      <c r="F136" s="451">
        <v>87.881157154026582</v>
      </c>
      <c r="G136" s="451">
        <v>75.45787545787546</v>
      </c>
      <c r="H136" s="451">
        <v>82.194092827004212</v>
      </c>
      <c r="I136" s="451">
        <v>18.168246622378145</v>
      </c>
      <c r="J136" s="451">
        <v>24.147311281162121</v>
      </c>
      <c r="K136" s="451">
        <v>21.180432306633374</v>
      </c>
    </row>
    <row r="137" spans="1:11">
      <c r="A137" s="1176"/>
      <c r="B137" s="449" t="s">
        <v>300</v>
      </c>
      <c r="C137" s="451">
        <v>20.884029361798966</v>
      </c>
      <c r="D137" s="451">
        <v>25.397521775418923</v>
      </c>
      <c r="E137" s="451">
        <v>23.128496970954686</v>
      </c>
      <c r="F137" s="451">
        <v>71.462264150943398</v>
      </c>
      <c r="G137" s="451">
        <v>193.93939393939394</v>
      </c>
      <c r="H137" s="451">
        <v>127.95425667090217</v>
      </c>
      <c r="I137" s="451">
        <v>18.530720948260772</v>
      </c>
      <c r="J137" s="451">
        <v>23.580981870234872</v>
      </c>
      <c r="K137" s="451">
        <v>21.077876967219972</v>
      </c>
    </row>
    <row r="138" spans="1:11">
      <c r="A138" s="1176"/>
      <c r="B138" s="449" t="s">
        <v>299</v>
      </c>
      <c r="C138" s="116">
        <v>21.504331688054471</v>
      </c>
      <c r="D138" s="116">
        <v>23.280840515830288</v>
      </c>
      <c r="E138" s="116">
        <v>22.388780571696337</v>
      </c>
      <c r="F138" s="116">
        <v>44.865718799368089</v>
      </c>
      <c r="G138" s="116">
        <v>34.622467771639045</v>
      </c>
      <c r="H138" s="116">
        <v>40.153126329221607</v>
      </c>
      <c r="I138" s="116">
        <v>16.330185300382666</v>
      </c>
      <c r="J138" s="116">
        <v>19.065572558586531</v>
      </c>
      <c r="K138" s="116">
        <v>17.711395429136687</v>
      </c>
    </row>
    <row r="139" spans="1:11">
      <c r="A139" s="1176"/>
      <c r="B139" s="449" t="s">
        <v>298</v>
      </c>
      <c r="C139" s="451">
        <v>20.787198665547493</v>
      </c>
      <c r="D139" s="451">
        <v>22.278231771940114</v>
      </c>
      <c r="E139" s="451">
        <v>21.530449985653874</v>
      </c>
      <c r="F139" s="451">
        <v>46.269841269841272</v>
      </c>
      <c r="G139" s="451">
        <v>41.551246537396118</v>
      </c>
      <c r="H139" s="451">
        <v>44.107600341588387</v>
      </c>
      <c r="I139" s="451">
        <v>15.481438441814346</v>
      </c>
      <c r="J139" s="451">
        <v>19.818873705799501</v>
      </c>
      <c r="K139" s="451">
        <v>17.674062739097167</v>
      </c>
    </row>
    <row r="140" spans="1:11">
      <c r="A140" s="1176">
        <v>23</v>
      </c>
      <c r="B140" s="455" t="s">
        <v>37</v>
      </c>
      <c r="C140" s="456"/>
      <c r="D140" s="456"/>
      <c r="E140" s="456"/>
      <c r="F140" s="456"/>
      <c r="G140" s="456"/>
      <c r="H140" s="456"/>
      <c r="I140" s="456"/>
      <c r="J140" s="457"/>
      <c r="K140" s="457"/>
    </row>
    <row r="141" spans="1:11">
      <c r="A141" s="1176"/>
      <c r="B141" s="447" t="s">
        <v>997</v>
      </c>
      <c r="C141" s="451">
        <v>26.15833140334864</v>
      </c>
      <c r="D141" s="451">
        <v>27.50884812250596</v>
      </c>
      <c r="E141" s="451">
        <v>26.821967544795665</v>
      </c>
      <c r="F141" s="451">
        <v>163.9344262295082</v>
      </c>
      <c r="G141" s="451">
        <v>168.18181818181819</v>
      </c>
      <c r="H141" s="451">
        <v>165.42553191489361</v>
      </c>
      <c r="I141" s="451">
        <v>26.313245246535612</v>
      </c>
      <c r="J141" s="451">
        <v>27.531552252889835</v>
      </c>
      <c r="K141" s="451">
        <v>26.920420310088911</v>
      </c>
    </row>
    <row r="142" spans="1:11">
      <c r="A142" s="1176"/>
      <c r="B142" s="447" t="s">
        <v>301</v>
      </c>
      <c r="C142" s="451">
        <v>23.497507259080699</v>
      </c>
      <c r="D142" s="451">
        <v>22.741093778726896</v>
      </c>
      <c r="E142" s="451">
        <v>23.12536094238142</v>
      </c>
      <c r="F142" s="451">
        <v>131.96721311475409</v>
      </c>
      <c r="G142" s="451">
        <v>92.424242424242422</v>
      </c>
      <c r="H142" s="451">
        <v>118.08510638297874</v>
      </c>
      <c r="I142" s="451">
        <v>23.389590880975501</v>
      </c>
      <c r="J142" s="451">
        <v>23.200343073465042</v>
      </c>
      <c r="K142" s="451">
        <v>23.295161076103479</v>
      </c>
    </row>
    <row r="143" spans="1:11">
      <c r="A143" s="1176"/>
      <c r="B143" s="449" t="s">
        <v>300</v>
      </c>
      <c r="C143" s="451">
        <v>23.20540890376062</v>
      </c>
      <c r="D143" s="451">
        <v>22.675177304964539</v>
      </c>
      <c r="E143" s="451">
        <v>22.944382336500837</v>
      </c>
      <c r="F143" s="451">
        <v>118.18181818181819</v>
      </c>
      <c r="G143" s="451">
        <v>116.66666666666667</v>
      </c>
      <c r="H143" s="451">
        <v>117.64705882352942</v>
      </c>
      <c r="I143" s="451">
        <v>23.447540643785722</v>
      </c>
      <c r="J143" s="451">
        <v>22.82718319886094</v>
      </c>
      <c r="K143" s="451">
        <v>23.137623923771137</v>
      </c>
    </row>
    <row r="144" spans="1:11">
      <c r="A144" s="1176"/>
      <c r="B144" s="449" t="s">
        <v>299</v>
      </c>
      <c r="C144" s="116">
        <v>21.959019797867921</v>
      </c>
      <c r="D144" s="116">
        <v>19.396784748897424</v>
      </c>
      <c r="E144" s="116">
        <v>20.695341004771258</v>
      </c>
      <c r="F144" s="116">
        <v>108.33333333333333</v>
      </c>
      <c r="G144" s="116">
        <v>92.424242424242422</v>
      </c>
      <c r="H144" s="116">
        <v>102.68817204301075</v>
      </c>
      <c r="I144" s="116">
        <v>22.158541123930036</v>
      </c>
      <c r="J144" s="116">
        <v>19.560269550600239</v>
      </c>
      <c r="K144" s="116">
        <v>20.858941353293947</v>
      </c>
    </row>
    <row r="145" spans="1:11">
      <c r="A145" s="1176"/>
      <c r="B145" s="449" t="s">
        <v>298</v>
      </c>
      <c r="C145" s="451">
        <v>22.659001378081545</v>
      </c>
      <c r="D145" s="451">
        <v>22.033076012043207</v>
      </c>
      <c r="E145" s="451">
        <v>22.350072928924245</v>
      </c>
      <c r="F145" s="451">
        <v>104.16666666666667</v>
      </c>
      <c r="G145" s="451">
        <v>87.878787878787875</v>
      </c>
      <c r="H145" s="451">
        <v>98.918918918918919</v>
      </c>
      <c r="I145" s="451">
        <v>22.556165900824698</v>
      </c>
      <c r="J145" s="451">
        <v>21.859660116676402</v>
      </c>
      <c r="K145" s="451">
        <v>22.207361358100332</v>
      </c>
    </row>
    <row r="146" spans="1:11">
      <c r="A146" s="1176">
        <v>24</v>
      </c>
      <c r="B146" s="455" t="s">
        <v>38</v>
      </c>
      <c r="C146" s="456"/>
      <c r="D146" s="456"/>
      <c r="E146" s="456"/>
      <c r="F146" s="456"/>
      <c r="G146" s="456"/>
      <c r="H146" s="456"/>
      <c r="I146" s="456"/>
      <c r="J146" s="457"/>
      <c r="K146" s="457"/>
    </row>
    <row r="147" spans="1:11">
      <c r="A147" s="1176"/>
      <c r="B147" s="447" t="s">
        <v>997</v>
      </c>
      <c r="C147" s="451">
        <v>15.352254840371844</v>
      </c>
      <c r="D147" s="451">
        <v>19.336524887988706</v>
      </c>
      <c r="E147" s="451">
        <v>17.261421161177427</v>
      </c>
      <c r="F147" s="451"/>
      <c r="G147" s="451"/>
      <c r="H147" s="451"/>
      <c r="I147" s="451">
        <v>15.169561621174523</v>
      </c>
      <c r="J147" s="451">
        <v>18.852748730592506</v>
      </c>
      <c r="K147" s="451">
        <v>16.973056028096362</v>
      </c>
    </row>
    <row r="148" spans="1:11">
      <c r="A148" s="1176"/>
      <c r="B148" s="447" t="s">
        <v>301</v>
      </c>
      <c r="C148" s="451">
        <v>14.368916886580971</v>
      </c>
      <c r="D148" s="451">
        <v>18.697642217008347</v>
      </c>
      <c r="E148" s="451">
        <v>16.445661520746683</v>
      </c>
      <c r="F148" s="451"/>
      <c r="G148" s="451"/>
      <c r="H148" s="451"/>
      <c r="I148" s="451">
        <v>15.345608711916539</v>
      </c>
      <c r="J148" s="451">
        <v>19.444540488209665</v>
      </c>
      <c r="K148" s="451">
        <v>17.355063712216559</v>
      </c>
    </row>
    <row r="149" spans="1:11">
      <c r="A149" s="1176"/>
      <c r="B149" s="449" t="s">
        <v>300</v>
      </c>
      <c r="C149" s="451">
        <v>15.676558244328149</v>
      </c>
      <c r="D149" s="451">
        <v>18.107138724979752</v>
      </c>
      <c r="E149" s="451">
        <v>16.844078710925199</v>
      </c>
      <c r="F149" s="451"/>
      <c r="G149" s="451"/>
      <c r="H149" s="451"/>
      <c r="I149" s="451">
        <v>15.552807693271728</v>
      </c>
      <c r="J149" s="451">
        <v>18.619828908707976</v>
      </c>
      <c r="K149" s="451">
        <v>17.058187913181829</v>
      </c>
    </row>
    <row r="150" spans="1:11">
      <c r="A150" s="1176"/>
      <c r="B150" s="449" t="s">
        <v>299</v>
      </c>
      <c r="C150" s="116">
        <v>15.850084202228674</v>
      </c>
      <c r="D150" s="116">
        <v>16.581332755847047</v>
      </c>
      <c r="E150" s="116">
        <v>16.201830084808808</v>
      </c>
      <c r="F150" s="451"/>
      <c r="G150" s="451"/>
      <c r="H150" s="451"/>
      <c r="I150" s="116">
        <v>14.799637230862247</v>
      </c>
      <c r="J150" s="116">
        <v>16.542679853301586</v>
      </c>
      <c r="K150" s="116">
        <v>15.656203288490284</v>
      </c>
    </row>
    <row r="151" spans="1:11">
      <c r="A151" s="1176"/>
      <c r="B151" s="449" t="s">
        <v>298</v>
      </c>
      <c r="C151" s="451">
        <v>14.543883026614326</v>
      </c>
      <c r="D151" s="451">
        <v>15.952414188885269</v>
      </c>
      <c r="E151" s="451">
        <v>15.222140480467248</v>
      </c>
      <c r="F151" s="451"/>
      <c r="G151" s="451"/>
      <c r="H151" s="451"/>
      <c r="I151" s="451">
        <v>13.653167676699471</v>
      </c>
      <c r="J151" s="451">
        <v>15.778833166310836</v>
      </c>
      <c r="K151" s="451">
        <v>14.69903487070869</v>
      </c>
    </row>
    <row r="152" spans="1:11">
      <c r="A152" s="1176">
        <v>25</v>
      </c>
      <c r="B152" s="455" t="s">
        <v>39</v>
      </c>
      <c r="C152" s="456"/>
      <c r="D152" s="456"/>
      <c r="E152" s="456"/>
      <c r="F152" s="456"/>
      <c r="G152" s="456"/>
      <c r="H152" s="456"/>
      <c r="I152" s="456"/>
      <c r="J152" s="457"/>
      <c r="K152" s="457"/>
    </row>
    <row r="153" spans="1:11">
      <c r="A153" s="1176"/>
      <c r="B153" s="447" t="s">
        <v>997</v>
      </c>
      <c r="C153" s="451">
        <v>21.332265130618204</v>
      </c>
      <c r="D153" s="451">
        <v>20.129654422224082</v>
      </c>
      <c r="E153" s="451">
        <v>20.740247971330888</v>
      </c>
      <c r="F153" s="451">
        <v>21.443933969723446</v>
      </c>
      <c r="G153" s="451">
        <v>18.415357600493572</v>
      </c>
      <c r="H153" s="451">
        <v>19.951568074217075</v>
      </c>
      <c r="I153" s="451">
        <v>14.203099021371953</v>
      </c>
      <c r="J153" s="451">
        <v>12.754841809580132</v>
      </c>
      <c r="K153" s="451">
        <v>13.458833629799452</v>
      </c>
    </row>
    <row r="154" spans="1:11">
      <c r="A154" s="1176"/>
      <c r="B154" s="447" t="s">
        <v>301</v>
      </c>
      <c r="C154" s="451">
        <v>21.553555428850697</v>
      </c>
      <c r="D154" s="451">
        <v>19.490374152506906</v>
      </c>
      <c r="E154" s="451">
        <v>20.536017998678997</v>
      </c>
      <c r="F154" s="451">
        <v>20.544070950480933</v>
      </c>
      <c r="G154" s="451">
        <v>16.939367972293894</v>
      </c>
      <c r="H154" s="451">
        <v>18.764523557019061</v>
      </c>
      <c r="I154" s="451">
        <v>13.736820941340316</v>
      </c>
      <c r="J154" s="451">
        <v>11.985085194448912</v>
      </c>
      <c r="K154" s="451">
        <v>12.835012938463544</v>
      </c>
    </row>
    <row r="155" spans="1:11">
      <c r="A155" s="1176"/>
      <c r="B155" s="449" t="s">
        <v>300</v>
      </c>
      <c r="C155" s="451">
        <v>22.831370624795554</v>
      </c>
      <c r="D155" s="451">
        <v>19.292807502302605</v>
      </c>
      <c r="E155" s="451">
        <v>21.082950643332921</v>
      </c>
      <c r="F155" s="451">
        <v>21.425019518905454</v>
      </c>
      <c r="G155" s="451">
        <v>16.7177979664623</v>
      </c>
      <c r="H155" s="451">
        <v>19.096877238722708</v>
      </c>
      <c r="I155" s="451">
        <v>13.582330582744156</v>
      </c>
      <c r="J155" s="451">
        <v>10.881947192644398</v>
      </c>
      <c r="K155" s="451">
        <v>12.189660171211452</v>
      </c>
    </row>
    <row r="156" spans="1:11">
      <c r="A156" s="1176"/>
      <c r="B156" s="449" t="s">
        <v>299</v>
      </c>
      <c r="C156" s="116">
        <v>22.562404269339233</v>
      </c>
      <c r="D156" s="116">
        <v>19.524313601194695</v>
      </c>
      <c r="E156" s="116">
        <v>21.058475067623601</v>
      </c>
      <c r="F156" s="116">
        <v>20.64498969966894</v>
      </c>
      <c r="G156" s="116">
        <v>15.331463169571279</v>
      </c>
      <c r="H156" s="116">
        <v>18.012085345988343</v>
      </c>
      <c r="I156" s="116">
        <v>13.557890990340789</v>
      </c>
      <c r="J156" s="116">
        <v>10.433296274166308</v>
      </c>
      <c r="K156" s="116">
        <v>11.943569413329866</v>
      </c>
    </row>
    <row r="157" spans="1:11">
      <c r="A157" s="1176"/>
      <c r="B157" s="449" t="s">
        <v>298</v>
      </c>
      <c r="C157" s="451">
        <v>21.949958779884586</v>
      </c>
      <c r="D157" s="451">
        <v>18.423921240050273</v>
      </c>
      <c r="E157" s="451">
        <v>20.201225846665281</v>
      </c>
      <c r="F157" s="451">
        <v>19.193118811533299</v>
      </c>
      <c r="G157" s="451">
        <v>14.339142935215216</v>
      </c>
      <c r="H157" s="451">
        <v>16.783445275656497</v>
      </c>
      <c r="I157" s="451">
        <v>12.491165376216001</v>
      </c>
      <c r="J157" s="451">
        <v>9.4427224530204761</v>
      </c>
      <c r="K157" s="451">
        <v>10.913364288341302</v>
      </c>
    </row>
    <row r="158" spans="1:11">
      <c r="A158" s="1176">
        <v>26</v>
      </c>
      <c r="B158" s="444" t="s">
        <v>40</v>
      </c>
      <c r="C158" s="452"/>
      <c r="D158" s="452"/>
      <c r="E158" s="452"/>
      <c r="F158" s="452"/>
      <c r="G158" s="452"/>
      <c r="H158" s="452"/>
      <c r="I158" s="452"/>
      <c r="J158" s="453"/>
      <c r="K158" s="453"/>
    </row>
    <row r="159" spans="1:11">
      <c r="A159" s="1176"/>
      <c r="B159" s="447" t="s">
        <v>997</v>
      </c>
      <c r="C159" s="451">
        <v>60.321251484042179</v>
      </c>
      <c r="D159" s="451">
        <v>61.144892507314587</v>
      </c>
      <c r="E159" s="451">
        <v>60.752305182916679</v>
      </c>
      <c r="F159" s="451">
        <v>45.548521516147126</v>
      </c>
      <c r="G159" s="451">
        <v>45.617961305226686</v>
      </c>
      <c r="H159" s="451">
        <v>45.585051840036463</v>
      </c>
      <c r="I159" s="451"/>
      <c r="J159" s="451"/>
      <c r="K159" s="451"/>
    </row>
    <row r="160" spans="1:11">
      <c r="A160" s="1176"/>
      <c r="B160" s="447" t="s">
        <v>301</v>
      </c>
      <c r="C160" s="451">
        <v>54.768329792731244</v>
      </c>
      <c r="D160" s="451">
        <v>54.532224532224525</v>
      </c>
      <c r="E160" s="451">
        <v>54.644778928846662</v>
      </c>
      <c r="F160" s="451">
        <v>40.286584863707489</v>
      </c>
      <c r="G160" s="451">
        <v>38.087161713737927</v>
      </c>
      <c r="H160" s="451">
        <v>39.126206037970746</v>
      </c>
      <c r="I160" s="451"/>
      <c r="J160" s="451"/>
      <c r="K160" s="451"/>
    </row>
    <row r="161" spans="1:11">
      <c r="A161" s="1176"/>
      <c r="B161" s="449" t="s">
        <v>300</v>
      </c>
      <c r="C161" s="451">
        <v>54.463323541134613</v>
      </c>
      <c r="D161" s="451">
        <v>53.709384004567852</v>
      </c>
      <c r="E161" s="451">
        <v>54.066410346032853</v>
      </c>
      <c r="F161" s="451">
        <v>42.500211738799017</v>
      </c>
      <c r="G161" s="451">
        <v>39.477055233215282</v>
      </c>
      <c r="H161" s="451">
        <v>40.90039078076402</v>
      </c>
      <c r="I161" s="451"/>
      <c r="J161" s="451"/>
      <c r="K161" s="451"/>
    </row>
    <row r="162" spans="1:11">
      <c r="A162" s="1176"/>
      <c r="B162" s="449" t="s">
        <v>299</v>
      </c>
      <c r="C162" s="116">
        <v>54.842259617302204</v>
      </c>
      <c r="D162" s="116">
        <v>50.18631772882631</v>
      </c>
      <c r="E162" s="116">
        <v>52.383346253688842</v>
      </c>
      <c r="F162" s="116">
        <v>39.368843169732372</v>
      </c>
      <c r="G162" s="116">
        <v>35.10785824345146</v>
      </c>
      <c r="H162" s="116">
        <v>37.106866794814117</v>
      </c>
      <c r="I162" s="451"/>
      <c r="J162" s="451"/>
      <c r="K162" s="451"/>
    </row>
    <row r="163" spans="1:11">
      <c r="A163" s="1176"/>
      <c r="B163" s="449" t="s">
        <v>298</v>
      </c>
      <c r="C163" s="451">
        <v>52.351808662169141</v>
      </c>
      <c r="D163" s="451">
        <v>46.483078504075884</v>
      </c>
      <c r="E163" s="451">
        <v>49.242067463354324</v>
      </c>
      <c r="F163" s="451">
        <v>38.670857656039516</v>
      </c>
      <c r="G163" s="451">
        <v>34.455039798250453</v>
      </c>
      <c r="H163" s="451">
        <v>36.425453324378779</v>
      </c>
      <c r="I163" s="451"/>
      <c r="J163" s="451"/>
      <c r="K163" s="451"/>
    </row>
    <row r="164" spans="1:11">
      <c r="A164" s="1176">
        <v>27</v>
      </c>
      <c r="B164" s="444" t="s">
        <v>41</v>
      </c>
      <c r="C164" s="452"/>
      <c r="D164" s="452"/>
      <c r="E164" s="452"/>
      <c r="F164" s="452"/>
      <c r="G164" s="452"/>
      <c r="H164" s="452"/>
      <c r="I164" s="452"/>
      <c r="J164" s="453"/>
      <c r="K164" s="453"/>
    </row>
    <row r="165" spans="1:11">
      <c r="A165" s="1176"/>
      <c r="B165" s="447" t="s">
        <v>997</v>
      </c>
      <c r="C165" s="451">
        <v>23.943439432104419</v>
      </c>
      <c r="D165" s="451">
        <v>29.116933221099888</v>
      </c>
      <c r="E165" s="451">
        <v>26.2682826881856</v>
      </c>
      <c r="F165" s="451">
        <v>14.334025889900733</v>
      </c>
      <c r="G165" s="451">
        <v>21.258368683285799</v>
      </c>
      <c r="H165" s="451">
        <v>17.480687659369693</v>
      </c>
      <c r="I165" s="451"/>
      <c r="J165" s="451"/>
      <c r="K165" s="451"/>
    </row>
    <row r="166" spans="1:11">
      <c r="A166" s="1176"/>
      <c r="B166" s="447" t="s">
        <v>301</v>
      </c>
      <c r="C166" s="451">
        <v>24.076248160307937</v>
      </c>
      <c r="D166" s="451">
        <v>30.774113082039911</v>
      </c>
      <c r="E166" s="451">
        <v>27.087762477412923</v>
      </c>
      <c r="F166" s="451">
        <v>15.491527791263582</v>
      </c>
      <c r="G166" s="451">
        <v>22.050266820302859</v>
      </c>
      <c r="H166" s="451">
        <v>18.473671743280338</v>
      </c>
      <c r="I166" s="451"/>
      <c r="J166" s="451"/>
      <c r="K166" s="451"/>
    </row>
    <row r="167" spans="1:11">
      <c r="A167" s="1176"/>
      <c r="B167" s="449" t="s">
        <v>300</v>
      </c>
      <c r="C167" s="451">
        <v>24.447492163009404</v>
      </c>
      <c r="D167" s="451">
        <v>33.053532311062433</v>
      </c>
      <c r="E167" s="451">
        <v>28.319044099531901</v>
      </c>
      <c r="F167" s="451">
        <v>17.038427133993807</v>
      </c>
      <c r="G167" s="451">
        <v>24.256363573976106</v>
      </c>
      <c r="H167" s="451">
        <v>20.322059624279078</v>
      </c>
      <c r="I167" s="451"/>
      <c r="J167" s="451"/>
      <c r="K167" s="451"/>
    </row>
    <row r="168" spans="1:11">
      <c r="A168" s="1176"/>
      <c r="B168" s="449" t="s">
        <v>299</v>
      </c>
      <c r="C168" s="116">
        <v>26.525608776583599</v>
      </c>
      <c r="D168" s="116">
        <v>32.496649680263722</v>
      </c>
      <c r="E168" s="116">
        <v>29.213177086880343</v>
      </c>
      <c r="F168" s="116">
        <v>18.635912268658906</v>
      </c>
      <c r="G168" s="116">
        <v>22.959836938528859</v>
      </c>
      <c r="H168" s="116">
        <v>20.603993093694456</v>
      </c>
      <c r="I168" s="451"/>
      <c r="J168" s="451"/>
      <c r="K168" s="451"/>
    </row>
    <row r="169" spans="1:11">
      <c r="A169" s="1176"/>
      <c r="B169" s="449" t="s">
        <v>298</v>
      </c>
      <c r="C169" s="451">
        <v>25.895892661555315</v>
      </c>
      <c r="D169" s="451">
        <v>29.725334224598932</v>
      </c>
      <c r="E169" s="451">
        <v>27.620409391932572</v>
      </c>
      <c r="F169" s="451">
        <v>18.584782522710196</v>
      </c>
      <c r="G169" s="451">
        <v>21.087755604828775</v>
      </c>
      <c r="H169" s="451">
        <v>19.724615424659671</v>
      </c>
      <c r="I169" s="451"/>
      <c r="J169" s="451"/>
      <c r="K169" s="451"/>
    </row>
    <row r="170" spans="1:11">
      <c r="A170" s="1176">
        <v>28</v>
      </c>
      <c r="B170" s="444" t="s">
        <v>42</v>
      </c>
      <c r="C170" s="452"/>
      <c r="D170" s="452"/>
      <c r="E170" s="452"/>
      <c r="F170" s="452"/>
      <c r="G170" s="452"/>
      <c r="H170" s="452"/>
      <c r="I170" s="452"/>
      <c r="J170" s="453"/>
      <c r="K170" s="453"/>
    </row>
    <row r="171" spans="1:11">
      <c r="A171" s="1176"/>
      <c r="B171" s="447" t="s">
        <v>997</v>
      </c>
      <c r="C171" s="451">
        <v>26.088901587819912</v>
      </c>
      <c r="D171" s="451">
        <v>26.038296720645949</v>
      </c>
      <c r="E171" s="451">
        <v>26.064862432501929</v>
      </c>
      <c r="F171" s="451">
        <v>22.931161518679129</v>
      </c>
      <c r="G171" s="451">
        <v>22.604347956550441</v>
      </c>
      <c r="H171" s="451">
        <v>22.778587492696513</v>
      </c>
      <c r="I171" s="451">
        <v>22.821287588720253</v>
      </c>
      <c r="J171" s="451">
        <v>23.75791256646044</v>
      </c>
      <c r="K171" s="451">
        <v>23.281470648625771</v>
      </c>
    </row>
    <row r="172" spans="1:11">
      <c r="A172" s="1176"/>
      <c r="B172" s="447" t="s">
        <v>301</v>
      </c>
      <c r="C172" s="451">
        <v>23.674289474766585</v>
      </c>
      <c r="D172" s="451">
        <v>24.04162110442865</v>
      </c>
      <c r="E172" s="451">
        <v>23.848565746525153</v>
      </c>
      <c r="F172" s="451">
        <v>20.558212396507312</v>
      </c>
      <c r="G172" s="451">
        <v>20.848366675043664</v>
      </c>
      <c r="H172" s="451">
        <v>20.693510921118875</v>
      </c>
      <c r="I172" s="451">
        <v>21.256200652106063</v>
      </c>
      <c r="J172" s="451">
        <v>21.70739103317333</v>
      </c>
      <c r="K172" s="451">
        <v>21.477609189338175</v>
      </c>
    </row>
    <row r="173" spans="1:11">
      <c r="A173" s="1176"/>
      <c r="B173" s="449" t="s">
        <v>300</v>
      </c>
      <c r="C173" s="451">
        <v>22.432668794296845</v>
      </c>
      <c r="D173" s="451">
        <v>23.057647167119253</v>
      </c>
      <c r="E173" s="451">
        <v>22.728802285514895</v>
      </c>
      <c r="F173" s="451">
        <v>20.037686347314711</v>
      </c>
      <c r="G173" s="451">
        <v>19.253530847314053</v>
      </c>
      <c r="H173" s="451">
        <v>19.672545023277198</v>
      </c>
      <c r="I173" s="451">
        <v>21.518767105870701</v>
      </c>
      <c r="J173" s="451">
        <v>20.404760495821165</v>
      </c>
      <c r="K173" s="451">
        <v>20.972780237309244</v>
      </c>
    </row>
    <row r="174" spans="1:11">
      <c r="A174" s="1176"/>
      <c r="B174" s="449" t="s">
        <v>299</v>
      </c>
      <c r="C174" s="116">
        <v>22.023112876199658</v>
      </c>
      <c r="D174" s="116">
        <v>20.498774961571495</v>
      </c>
      <c r="E174" s="116">
        <v>21.3017800887331</v>
      </c>
      <c r="F174" s="116">
        <v>17.66534654574583</v>
      </c>
      <c r="G174" s="116">
        <v>16.107018394028128</v>
      </c>
      <c r="H174" s="116">
        <v>16.940675421441668</v>
      </c>
      <c r="I174" s="116">
        <v>19.212865786940327</v>
      </c>
      <c r="J174" s="116">
        <v>17.118149944260601</v>
      </c>
      <c r="K174" s="116">
        <v>18.187522216589478</v>
      </c>
    </row>
    <row r="175" spans="1:11">
      <c r="A175" s="1176"/>
      <c r="B175" s="449" t="s">
        <v>298</v>
      </c>
      <c r="C175" s="451">
        <v>20.94237002736266</v>
      </c>
      <c r="D175" s="451">
        <v>19.109208362696734</v>
      </c>
      <c r="E175" s="451">
        <v>20.076054618117229</v>
      </c>
      <c r="F175" s="451">
        <v>16.835109596109575</v>
      </c>
      <c r="G175" s="451">
        <v>14.422519731590469</v>
      </c>
      <c r="H175" s="451">
        <v>15.714708171488597</v>
      </c>
      <c r="I175" s="451">
        <v>18.892632673555003</v>
      </c>
      <c r="J175" s="451">
        <v>16.045537803376604</v>
      </c>
      <c r="K175" s="451">
        <v>17.500792510020364</v>
      </c>
    </row>
    <row r="176" spans="1:11">
      <c r="A176" s="1176">
        <v>29</v>
      </c>
      <c r="B176" s="444" t="s">
        <v>43</v>
      </c>
      <c r="C176" s="452"/>
      <c r="D176" s="452"/>
      <c r="E176" s="452"/>
      <c r="F176" s="452"/>
      <c r="G176" s="452"/>
      <c r="H176" s="452"/>
      <c r="I176" s="452"/>
      <c r="J176" s="453"/>
      <c r="K176" s="453"/>
    </row>
    <row r="177" spans="1:11">
      <c r="A177" s="1176"/>
      <c r="B177" s="447" t="s">
        <v>997</v>
      </c>
      <c r="C177" s="451">
        <v>36.273828650831561</v>
      </c>
      <c r="D177" s="451">
        <v>44.00253294040283</v>
      </c>
      <c r="E177" s="451">
        <v>39.916434220645797</v>
      </c>
      <c r="F177" s="451">
        <v>41.151079136690647</v>
      </c>
      <c r="G177" s="451">
        <v>36.578449905482039</v>
      </c>
      <c r="H177" s="451">
        <v>38.847893358724114</v>
      </c>
      <c r="I177" s="451">
        <v>28.763753160664251</v>
      </c>
      <c r="J177" s="451">
        <v>41.609649432178877</v>
      </c>
      <c r="K177" s="451">
        <v>35.085039916695592</v>
      </c>
    </row>
    <row r="178" spans="1:11">
      <c r="A178" s="1176"/>
      <c r="B178" s="447" t="s">
        <v>301</v>
      </c>
      <c r="C178" s="451">
        <v>72.14206195018663</v>
      </c>
      <c r="D178" s="451">
        <v>61.117217459270655</v>
      </c>
      <c r="E178" s="451">
        <v>66.939090741423826</v>
      </c>
      <c r="F178" s="451">
        <v>32.835101253616202</v>
      </c>
      <c r="G178" s="451">
        <v>29.431279620853079</v>
      </c>
      <c r="H178" s="451">
        <v>31.118546845124285</v>
      </c>
      <c r="I178" s="451">
        <v>24.637581587083478</v>
      </c>
      <c r="J178" s="451">
        <v>38.363044708545559</v>
      </c>
      <c r="K178" s="451">
        <v>31.400090620752152</v>
      </c>
    </row>
    <row r="179" spans="1:11">
      <c r="A179" s="1176"/>
      <c r="B179" s="449" t="s">
        <v>300</v>
      </c>
      <c r="C179" s="451">
        <v>47.163268441498587</v>
      </c>
      <c r="D179" s="451">
        <v>49.194101508916319</v>
      </c>
      <c r="E179" s="451">
        <v>48.122981467118898</v>
      </c>
      <c r="F179" s="451">
        <v>35.530780416868637</v>
      </c>
      <c r="G179" s="451">
        <v>29.800380228136881</v>
      </c>
      <c r="H179" s="451">
        <v>32.637389008879289</v>
      </c>
      <c r="I179" s="451">
        <v>23.860182370820667</v>
      </c>
      <c r="J179" s="451">
        <v>37.708407236608728</v>
      </c>
      <c r="K179" s="451">
        <v>30.690886182276355</v>
      </c>
    </row>
    <row r="180" spans="1:11">
      <c r="A180" s="1176"/>
      <c r="B180" s="449" t="s">
        <v>299</v>
      </c>
      <c r="C180" s="116">
        <v>29.984544328761309</v>
      </c>
      <c r="D180" s="116">
        <v>37.863162771283001</v>
      </c>
      <c r="E180" s="116">
        <v>33.712742258608195</v>
      </c>
      <c r="F180" s="116">
        <v>33.284600389863549</v>
      </c>
      <c r="G180" s="116">
        <v>25.166825548141087</v>
      </c>
      <c r="H180" s="116">
        <v>29.180722891566262</v>
      </c>
      <c r="I180" s="116">
        <v>26.225864703431036</v>
      </c>
      <c r="J180" s="116">
        <v>35.987193169690499</v>
      </c>
      <c r="K180" s="116">
        <v>31.048783916772106</v>
      </c>
    </row>
    <row r="181" spans="1:11">
      <c r="A181" s="1176"/>
      <c r="B181" s="449" t="s">
        <v>298</v>
      </c>
      <c r="C181" s="451">
        <v>30.386740331491712</v>
      </c>
      <c r="D181" s="451">
        <v>37.978269974623672</v>
      </c>
      <c r="E181" s="451">
        <v>33.983982815382099</v>
      </c>
      <c r="F181" s="451">
        <v>24.803921568627452</v>
      </c>
      <c r="G181" s="451">
        <v>23.183556405353727</v>
      </c>
      <c r="H181" s="451">
        <v>23.983543078412392</v>
      </c>
      <c r="I181" s="451">
        <v>19.184300579649417</v>
      </c>
      <c r="J181" s="451">
        <v>30.476666190951907</v>
      </c>
      <c r="K181" s="451">
        <v>24.769703172978506</v>
      </c>
    </row>
    <row r="182" spans="1:11">
      <c r="A182" s="1176">
        <v>30</v>
      </c>
      <c r="B182" s="444" t="s">
        <v>44</v>
      </c>
      <c r="C182" s="452"/>
      <c r="D182" s="452"/>
      <c r="E182" s="452"/>
      <c r="F182" s="452"/>
      <c r="G182" s="452"/>
      <c r="H182" s="452"/>
      <c r="I182" s="452"/>
      <c r="J182" s="453"/>
      <c r="K182" s="453"/>
    </row>
    <row r="183" spans="1:11">
      <c r="A183" s="1176"/>
      <c r="B183" s="447" t="s">
        <v>997</v>
      </c>
      <c r="C183" s="451">
        <v>45.404092001748253</v>
      </c>
      <c r="D183" s="451">
        <v>48.572265738323175</v>
      </c>
      <c r="E183" s="451">
        <v>46.94053012183798</v>
      </c>
      <c r="F183" s="451">
        <v>34.674994012881761</v>
      </c>
      <c r="G183" s="451">
        <v>38.924449135494122</v>
      </c>
      <c r="H183" s="451">
        <v>36.761768279305713</v>
      </c>
      <c r="I183" s="451">
        <v>42.877520905066405</v>
      </c>
      <c r="J183" s="451">
        <v>38.238138935046258</v>
      </c>
      <c r="K183" s="451">
        <v>40.567540534199381</v>
      </c>
    </row>
    <row r="184" spans="1:11">
      <c r="A184" s="1176"/>
      <c r="B184" s="447" t="s">
        <v>301</v>
      </c>
      <c r="C184" s="451">
        <v>48.12932387809235</v>
      </c>
      <c r="D184" s="451">
        <v>49.946244266055047</v>
      </c>
      <c r="E184" s="451">
        <v>49.0116531618077</v>
      </c>
      <c r="F184" s="451">
        <v>37.25238698880348</v>
      </c>
      <c r="G184" s="451">
        <v>40.742858839521887</v>
      </c>
      <c r="H184" s="451">
        <v>38.968745477120898</v>
      </c>
      <c r="I184" s="451">
        <v>42.011891997270688</v>
      </c>
      <c r="J184" s="451">
        <v>38.052988897330948</v>
      </c>
      <c r="K184" s="451">
        <v>40.038613812991834</v>
      </c>
    </row>
    <row r="185" spans="1:11">
      <c r="A185" s="1176"/>
      <c r="B185" s="449" t="s">
        <v>300</v>
      </c>
      <c r="C185" s="451">
        <v>46.584862139255442</v>
      </c>
      <c r="D185" s="451">
        <v>47.529781807877583</v>
      </c>
      <c r="E185" s="451">
        <v>47.04434094854907</v>
      </c>
      <c r="F185" s="451">
        <v>38.794213014529348</v>
      </c>
      <c r="G185" s="451">
        <v>41.008939257452148</v>
      </c>
      <c r="H185" s="451">
        <v>39.884655615971049</v>
      </c>
      <c r="I185" s="451">
        <v>40.532708700586802</v>
      </c>
      <c r="J185" s="451">
        <v>32.032461240310077</v>
      </c>
      <c r="K185" s="451">
        <v>36.289318063634497</v>
      </c>
    </row>
    <row r="186" spans="1:11">
      <c r="A186" s="1176"/>
      <c r="B186" s="449" t="s">
        <v>299</v>
      </c>
      <c r="C186" s="116">
        <v>46.231325568865707</v>
      </c>
      <c r="D186" s="116">
        <v>47.664706304045076</v>
      </c>
      <c r="E186" s="116">
        <v>46.929229230057487</v>
      </c>
      <c r="F186" s="116">
        <v>39.340156620816956</v>
      </c>
      <c r="G186" s="116">
        <v>42.006205539579234</v>
      </c>
      <c r="H186" s="116">
        <v>40.654526686917244</v>
      </c>
      <c r="I186" s="116">
        <v>43.034915165003468</v>
      </c>
      <c r="J186" s="116">
        <v>35.165229885057471</v>
      </c>
      <c r="K186" s="116">
        <v>39.101812175328561</v>
      </c>
    </row>
    <row r="187" spans="1:11">
      <c r="A187" s="1176"/>
      <c r="B187" s="449" t="s">
        <v>298</v>
      </c>
      <c r="C187" s="451">
        <v>45.720126448893573</v>
      </c>
      <c r="D187" s="451">
        <v>45.300886181113263</v>
      </c>
      <c r="E187" s="451">
        <v>45.515741865802617</v>
      </c>
      <c r="F187" s="451">
        <v>36.579629037610417</v>
      </c>
      <c r="G187" s="451">
        <v>37.765183397863943</v>
      </c>
      <c r="H187" s="451">
        <v>37.164843876953071</v>
      </c>
      <c r="I187" s="451">
        <v>42.384137374887338</v>
      </c>
      <c r="J187" s="451">
        <v>27.479343734463413</v>
      </c>
      <c r="K187" s="451">
        <v>34.924941647610808</v>
      </c>
    </row>
    <row r="188" spans="1:11">
      <c r="A188" s="1176">
        <v>31</v>
      </c>
      <c r="B188" s="444" t="s">
        <v>142</v>
      </c>
      <c r="C188" s="452"/>
      <c r="D188" s="452"/>
      <c r="E188" s="452"/>
      <c r="F188" s="452"/>
      <c r="G188" s="452"/>
      <c r="H188" s="452"/>
      <c r="I188" s="452"/>
      <c r="J188" s="453"/>
      <c r="K188" s="453"/>
    </row>
    <row r="189" spans="1:11">
      <c r="A189" s="1176"/>
      <c r="B189" s="447" t="s">
        <v>997</v>
      </c>
      <c r="C189" s="451">
        <v>37.40755572710605</v>
      </c>
      <c r="D189" s="451">
        <v>40.947538461538464</v>
      </c>
      <c r="E189" s="451">
        <v>39.123601650673692</v>
      </c>
      <c r="F189" s="451">
        <v>31.75869375545307</v>
      </c>
      <c r="G189" s="451">
        <v>39.279159176994256</v>
      </c>
      <c r="H189" s="451">
        <v>35.401438073917433</v>
      </c>
      <c r="I189" s="451">
        <v>34.153443710035091</v>
      </c>
      <c r="J189" s="451">
        <v>33.260792946612888</v>
      </c>
      <c r="K189" s="451">
        <v>33.715734118983157</v>
      </c>
    </row>
    <row r="190" spans="1:11">
      <c r="A190" s="1176"/>
      <c r="B190" s="447" t="s">
        <v>301</v>
      </c>
      <c r="C190" s="451">
        <v>32.233039478727484</v>
      </c>
      <c r="D190" s="451">
        <v>36.424796747967477</v>
      </c>
      <c r="E190" s="451">
        <v>34.267311106727163</v>
      </c>
      <c r="F190" s="451">
        <v>27.643153306870122</v>
      </c>
      <c r="G190" s="451">
        <v>36.220415752389115</v>
      </c>
      <c r="H190" s="451">
        <v>31.802437128875184</v>
      </c>
      <c r="I190" s="451">
        <v>29.660550409680543</v>
      </c>
      <c r="J190" s="451">
        <v>29.458262426483223</v>
      </c>
      <c r="K190" s="451">
        <v>29.561249312921429</v>
      </c>
    </row>
    <row r="191" spans="1:11">
      <c r="A191" s="1176"/>
      <c r="B191" s="449" t="s">
        <v>300</v>
      </c>
      <c r="C191" s="451">
        <v>33.363260062803313</v>
      </c>
      <c r="D191" s="451">
        <v>36.517220543806644</v>
      </c>
      <c r="E191" s="451">
        <v>34.89556729781301</v>
      </c>
      <c r="F191" s="451">
        <v>28.774146725468448</v>
      </c>
      <c r="G191" s="451">
        <v>36.381091224913924</v>
      </c>
      <c r="H191" s="451">
        <v>32.466951662618598</v>
      </c>
      <c r="I191" s="451">
        <v>30.4254133382872</v>
      </c>
      <c r="J191" s="451">
        <v>28.742495234851773</v>
      </c>
      <c r="K191" s="451">
        <v>29.59830695600299</v>
      </c>
    </row>
    <row r="192" spans="1:11">
      <c r="A192" s="1176"/>
      <c r="B192" s="449" t="s">
        <v>299</v>
      </c>
      <c r="C192" s="116">
        <v>34.744502075620062</v>
      </c>
      <c r="D192" s="116">
        <v>34.130456981745091</v>
      </c>
      <c r="E192" s="116">
        <v>34.445854767561272</v>
      </c>
      <c r="F192" s="116">
        <v>28.61485612650289</v>
      </c>
      <c r="G192" s="116">
        <v>32.36615925634468</v>
      </c>
      <c r="H192" s="116">
        <v>30.437900265760781</v>
      </c>
      <c r="I192" s="116">
        <v>30.188599681626027</v>
      </c>
      <c r="J192" s="116">
        <v>26.558374750273543</v>
      </c>
      <c r="K192" s="116">
        <v>28.402715477417885</v>
      </c>
    </row>
    <row r="193" spans="1:11">
      <c r="A193" s="1176"/>
      <c r="B193" s="449" t="s">
        <v>298</v>
      </c>
      <c r="C193" s="451">
        <v>35.722806194274987</v>
      </c>
      <c r="D193" s="451">
        <v>33.505637982195843</v>
      </c>
      <c r="E193" s="451">
        <v>34.643318083313268</v>
      </c>
      <c r="F193" s="451">
        <v>32.800034636033018</v>
      </c>
      <c r="G193" s="451">
        <v>33.151958663636307</v>
      </c>
      <c r="H193" s="451">
        <v>32.971194391539882</v>
      </c>
      <c r="I193" s="451">
        <v>34.937677661852241</v>
      </c>
      <c r="J193" s="451">
        <v>28.208102465052793</v>
      </c>
      <c r="K193" s="451">
        <v>31.623597804311672</v>
      </c>
    </row>
    <row r="194" spans="1:11">
      <c r="A194" s="1176">
        <v>32</v>
      </c>
      <c r="B194" s="460" t="s">
        <v>998</v>
      </c>
      <c r="C194" s="461"/>
      <c r="D194" s="461"/>
      <c r="E194" s="461"/>
      <c r="F194" s="461"/>
      <c r="G194" s="461"/>
      <c r="H194" s="461"/>
      <c r="I194" s="461"/>
      <c r="J194" s="462"/>
      <c r="K194" s="462"/>
    </row>
    <row r="195" spans="1:11">
      <c r="A195" s="1176"/>
      <c r="B195" s="447" t="s">
        <v>997</v>
      </c>
      <c r="C195" s="451">
        <v>7.9015888198097697</v>
      </c>
      <c r="D195" s="451">
        <v>15.55229743561371</v>
      </c>
      <c r="E195" s="451">
        <v>10.383666143145613</v>
      </c>
      <c r="F195" s="451">
        <v>22.602739726027394</v>
      </c>
      <c r="G195" s="451">
        <v>30.424242424242426</v>
      </c>
      <c r="H195" s="451">
        <v>26.096372495939363</v>
      </c>
      <c r="I195" s="451">
        <v>6.2701705855232825</v>
      </c>
      <c r="J195" s="451">
        <v>7.5122714661734369</v>
      </c>
      <c r="K195" s="451">
        <v>6.9151490524915964</v>
      </c>
    </row>
    <row r="196" spans="1:11">
      <c r="A196" s="1176"/>
      <c r="B196" s="447" t="s">
        <v>301</v>
      </c>
      <c r="C196" s="451">
        <v>7.2661713286713283</v>
      </c>
      <c r="D196" s="451">
        <v>14.140814827371869</v>
      </c>
      <c r="E196" s="451">
        <v>9.5064911149986191</v>
      </c>
      <c r="F196" s="451">
        <v>20.22132796780684</v>
      </c>
      <c r="G196" s="451">
        <v>28.836633663366335</v>
      </c>
      <c r="H196" s="451">
        <v>24.084350721420645</v>
      </c>
      <c r="I196" s="451">
        <v>5.6969026548672561</v>
      </c>
      <c r="J196" s="451">
        <v>7.2513260190365472</v>
      </c>
      <c r="K196" s="451">
        <v>6.5066807979105956</v>
      </c>
    </row>
    <row r="197" spans="1:11">
      <c r="A197" s="1176"/>
      <c r="B197" s="449" t="s">
        <v>300</v>
      </c>
      <c r="C197" s="451">
        <v>7.0184807813927348</v>
      </c>
      <c r="D197" s="451">
        <v>13.022893270590952</v>
      </c>
      <c r="E197" s="451">
        <v>8.9844414617086024</v>
      </c>
      <c r="F197" s="451">
        <v>19.23474663908997</v>
      </c>
      <c r="G197" s="451">
        <v>27.054361567635905</v>
      </c>
      <c r="H197" s="451">
        <v>22.766078542970973</v>
      </c>
      <c r="I197" s="451">
        <v>6.3831517319889413</v>
      </c>
      <c r="J197" s="451">
        <v>6.8077208611729763</v>
      </c>
      <c r="K197" s="451">
        <v>6.6053479256413237</v>
      </c>
    </row>
    <row r="198" spans="1:11">
      <c r="A198" s="1176"/>
      <c r="B198" s="449" t="s">
        <v>299</v>
      </c>
      <c r="C198" s="451">
        <v>6.7415405100298145</v>
      </c>
      <c r="D198" s="451">
        <v>12.418474251143575</v>
      </c>
      <c r="E198" s="451">
        <v>8.6095223297953947</v>
      </c>
      <c r="F198" s="451">
        <v>21.85501066098081</v>
      </c>
      <c r="G198" s="451">
        <v>29.974160206718349</v>
      </c>
      <c r="H198" s="451">
        <v>25.540619520748098</v>
      </c>
      <c r="I198" s="451">
        <v>6.8263673674512111</v>
      </c>
      <c r="J198" s="451">
        <v>6.9216757741347905</v>
      </c>
      <c r="K198" s="451">
        <v>6.8760949195731804</v>
      </c>
    </row>
    <row r="199" spans="1:11">
      <c r="A199" s="1176"/>
      <c r="B199" s="449" t="s">
        <v>298</v>
      </c>
      <c r="C199" s="451">
        <v>7.2382259484134686</v>
      </c>
      <c r="D199" s="451">
        <v>11.750324469530048</v>
      </c>
      <c r="E199" s="451">
        <v>8.7307688467797497</v>
      </c>
      <c r="F199" s="451">
        <v>20.659340659340657</v>
      </c>
      <c r="G199" s="451">
        <v>33.201058201058203</v>
      </c>
      <c r="H199" s="451">
        <v>26.334733053389321</v>
      </c>
      <c r="I199" s="451">
        <v>8.2887238818856837</v>
      </c>
      <c r="J199" s="451">
        <v>6.6211286191104559</v>
      </c>
      <c r="K199" s="451">
        <v>7.4108894702419885</v>
      </c>
    </row>
    <row r="200" spans="1:11">
      <c r="A200" s="1176">
        <v>33</v>
      </c>
      <c r="B200" s="444" t="s">
        <v>45</v>
      </c>
      <c r="C200" s="452"/>
      <c r="D200" s="452"/>
      <c r="E200" s="452"/>
      <c r="F200" s="452"/>
      <c r="G200" s="452"/>
      <c r="H200" s="452"/>
      <c r="I200" s="452"/>
      <c r="J200" s="453"/>
      <c r="K200" s="453"/>
    </row>
    <row r="201" spans="1:11">
      <c r="A201" s="1176"/>
      <c r="B201" s="447" t="s">
        <v>997</v>
      </c>
      <c r="C201" s="451">
        <v>19.953852492789451</v>
      </c>
      <c r="D201" s="451">
        <v>18.385415367733245</v>
      </c>
      <c r="E201" s="451">
        <v>19.173070795105136</v>
      </c>
      <c r="F201" s="451">
        <v>16.862387654739699</v>
      </c>
      <c r="G201" s="451">
        <v>15.795844260641518</v>
      </c>
      <c r="H201" s="451">
        <v>16.344006362418153</v>
      </c>
      <c r="I201" s="451">
        <v>13.995515103548344</v>
      </c>
      <c r="J201" s="451">
        <v>12.413479946983456</v>
      </c>
      <c r="K201" s="451">
        <v>13.175963482396021</v>
      </c>
    </row>
    <row r="202" spans="1:11">
      <c r="A202" s="1176"/>
      <c r="B202" s="447" t="s">
        <v>301</v>
      </c>
      <c r="C202" s="451">
        <v>19.482278669781778</v>
      </c>
      <c r="D202" s="451">
        <v>16.347151878947038</v>
      </c>
      <c r="E202" s="451">
        <v>17.919667233190246</v>
      </c>
      <c r="F202" s="451">
        <v>17.20654675645725</v>
      </c>
      <c r="G202" s="451">
        <v>13.582106327975721</v>
      </c>
      <c r="H202" s="451">
        <v>15.442511760201292</v>
      </c>
      <c r="I202" s="451">
        <v>13.646309926397453</v>
      </c>
      <c r="J202" s="451">
        <v>9.8411096478812556</v>
      </c>
      <c r="K202" s="451">
        <v>11.672709631294046</v>
      </c>
    </row>
    <row r="203" spans="1:11">
      <c r="A203" s="1176"/>
      <c r="B203" s="449" t="s">
        <v>300</v>
      </c>
      <c r="C203" s="451">
        <v>18.515001582621153</v>
      </c>
      <c r="D203" s="451">
        <v>15.989080587106564</v>
      </c>
      <c r="E203" s="451">
        <v>17.254415154960725</v>
      </c>
      <c r="F203" s="451">
        <v>16.834143937608467</v>
      </c>
      <c r="G203" s="451">
        <v>14.258983723341901</v>
      </c>
      <c r="H203" s="451">
        <v>15.57947929254092</v>
      </c>
      <c r="I203" s="451">
        <v>13.958666666666666</v>
      </c>
      <c r="J203" s="451">
        <v>11.302426621244662</v>
      </c>
      <c r="K203" s="451">
        <v>12.579317771026419</v>
      </c>
    </row>
    <row r="204" spans="1:11">
      <c r="A204" s="1176"/>
      <c r="B204" s="449" t="s">
        <v>299</v>
      </c>
      <c r="C204" s="116">
        <v>21.040241706294267</v>
      </c>
      <c r="D204" s="116">
        <v>17.371685136217167</v>
      </c>
      <c r="E204" s="116">
        <v>19.207089355958292</v>
      </c>
      <c r="F204" s="116">
        <v>17.920768617651493</v>
      </c>
      <c r="G204" s="116">
        <v>14.98304318335971</v>
      </c>
      <c r="H204" s="116">
        <v>16.487407750603964</v>
      </c>
      <c r="I204" s="116">
        <v>14.49541530376964</v>
      </c>
      <c r="J204" s="116">
        <v>10.8200779847744</v>
      </c>
      <c r="K204" s="116">
        <v>12.584550234584665</v>
      </c>
    </row>
    <row r="205" spans="1:11">
      <c r="A205" s="1176"/>
      <c r="B205" s="449" t="s">
        <v>298</v>
      </c>
      <c r="C205" s="451">
        <v>19.30312063187322</v>
      </c>
      <c r="D205" s="451">
        <v>15.723704127283126</v>
      </c>
      <c r="E205" s="451">
        <v>17.512222624266851</v>
      </c>
      <c r="F205" s="451">
        <v>18.393294201737096</v>
      </c>
      <c r="G205" s="451">
        <v>14.287009953971385</v>
      </c>
      <c r="H205" s="451">
        <v>16.38714108472173</v>
      </c>
      <c r="I205" s="451">
        <v>13.662034478575569</v>
      </c>
      <c r="J205" s="451">
        <v>11.478299731850234</v>
      </c>
      <c r="K205" s="451">
        <v>12.525283857751241</v>
      </c>
    </row>
    <row r="206" spans="1:11">
      <c r="A206" s="1176">
        <v>34</v>
      </c>
      <c r="B206" s="444" t="s">
        <v>47</v>
      </c>
      <c r="C206" s="452"/>
      <c r="D206" s="452"/>
      <c r="E206" s="452"/>
      <c r="F206" s="452"/>
      <c r="G206" s="452"/>
      <c r="H206" s="452"/>
      <c r="I206" s="452"/>
      <c r="J206" s="453"/>
      <c r="K206" s="453"/>
    </row>
    <row r="207" spans="1:11">
      <c r="A207" s="1176"/>
      <c r="B207" s="447" t="s">
        <v>997</v>
      </c>
      <c r="C207" s="451">
        <v>22.32467600746563</v>
      </c>
      <c r="D207" s="451">
        <v>24.274572553934295</v>
      </c>
      <c r="E207" s="451">
        <v>23.237928697207703</v>
      </c>
      <c r="F207" s="451">
        <v>18.548713506601651</v>
      </c>
      <c r="G207" s="451">
        <v>21.942870137734367</v>
      </c>
      <c r="H207" s="451">
        <v>20.111224321394776</v>
      </c>
      <c r="I207" s="451">
        <v>39.763522696384889</v>
      </c>
      <c r="J207" s="451">
        <v>44.175612441508392</v>
      </c>
      <c r="K207" s="451">
        <v>41.955689277899346</v>
      </c>
    </row>
    <row r="208" spans="1:11">
      <c r="A208" s="1176"/>
      <c r="B208" s="447" t="s">
        <v>301</v>
      </c>
      <c r="C208" s="451">
        <v>20.792069363242256</v>
      </c>
      <c r="D208" s="451">
        <v>24.5245580160502</v>
      </c>
      <c r="E208" s="451">
        <v>22.537993663606663</v>
      </c>
      <c r="F208" s="451">
        <v>18.66359177384911</v>
      </c>
      <c r="G208" s="451">
        <v>23.092397548246741</v>
      </c>
      <c r="H208" s="451">
        <v>20.699775828141696</v>
      </c>
      <c r="I208" s="451">
        <v>33.142786642539889</v>
      </c>
      <c r="J208" s="451">
        <v>35.285604953732694</v>
      </c>
      <c r="K208" s="451">
        <v>34.20618314654071</v>
      </c>
    </row>
    <row r="209" spans="1:11">
      <c r="A209" s="1176"/>
      <c r="B209" s="449" t="s">
        <v>300</v>
      </c>
      <c r="C209" s="451">
        <v>21.327163795870334</v>
      </c>
      <c r="D209" s="451">
        <v>25.01484944629183</v>
      </c>
      <c r="E209" s="451">
        <v>23.049891686975361</v>
      </c>
      <c r="F209" s="451">
        <v>19.302986069033174</v>
      </c>
      <c r="G209" s="451">
        <v>23.974372194858759</v>
      </c>
      <c r="H209" s="451">
        <v>21.447869036187416</v>
      </c>
      <c r="I209" s="451">
        <v>38.165299998617201</v>
      </c>
      <c r="J209" s="451">
        <v>38.12210668505255</v>
      </c>
      <c r="K209" s="451">
        <v>38.144157338633747</v>
      </c>
    </row>
    <row r="210" spans="1:11">
      <c r="A210" s="1176"/>
      <c r="B210" s="449" t="s">
        <v>299</v>
      </c>
      <c r="C210" s="116">
        <v>22.316382613171381</v>
      </c>
      <c r="D210" s="116">
        <v>24.27388726224601</v>
      </c>
      <c r="E210" s="116">
        <v>23.229632135446881</v>
      </c>
      <c r="F210" s="116">
        <v>18.685710996929807</v>
      </c>
      <c r="G210" s="116">
        <v>20.374896151867667</v>
      </c>
      <c r="H210" s="116">
        <v>19.460262405724304</v>
      </c>
      <c r="I210" s="116">
        <v>33.829950477784756</v>
      </c>
      <c r="J210" s="116">
        <v>30.004411367096896</v>
      </c>
      <c r="K210" s="116">
        <v>31.936206483607826</v>
      </c>
    </row>
    <row r="211" spans="1:11">
      <c r="A211" s="1176"/>
      <c r="B211" s="449" t="s">
        <v>298</v>
      </c>
      <c r="C211" s="451">
        <v>21.916816387641212</v>
      </c>
      <c r="D211" s="451">
        <v>22.917100951786551</v>
      </c>
      <c r="E211" s="451">
        <v>22.382854754289038</v>
      </c>
      <c r="F211" s="451">
        <v>18.569905907573446</v>
      </c>
      <c r="G211" s="451">
        <v>19.30630837060097</v>
      </c>
      <c r="H211" s="451">
        <v>18.907108491013172</v>
      </c>
      <c r="I211" s="451">
        <v>33.756016550792353</v>
      </c>
      <c r="J211" s="451">
        <v>26.00716783971674</v>
      </c>
      <c r="K211" s="451">
        <v>29.925069913399888</v>
      </c>
    </row>
    <row r="212" spans="1:11">
      <c r="A212" s="1176">
        <v>35</v>
      </c>
      <c r="B212" s="444" t="s">
        <v>46</v>
      </c>
      <c r="C212" s="452"/>
      <c r="D212" s="452"/>
      <c r="E212" s="452"/>
      <c r="F212" s="452"/>
      <c r="G212" s="452"/>
      <c r="H212" s="452"/>
      <c r="I212" s="452"/>
      <c r="J212" s="453"/>
      <c r="K212" s="453"/>
    </row>
    <row r="213" spans="1:11">
      <c r="A213" s="1176"/>
      <c r="B213" s="447" t="s">
        <v>997</v>
      </c>
      <c r="C213" s="451">
        <v>42.76795735129069</v>
      </c>
      <c r="D213" s="451">
        <v>48.88387596899225</v>
      </c>
      <c r="E213" s="451">
        <v>45.673221387538668</v>
      </c>
      <c r="F213" s="451">
        <v>31.663715634052199</v>
      </c>
      <c r="G213" s="451">
        <v>39.621371338499934</v>
      </c>
      <c r="H213" s="451">
        <v>35.438433889302111</v>
      </c>
      <c r="I213" s="451">
        <v>46.606768220377631</v>
      </c>
      <c r="J213" s="451">
        <v>51.95594379035321</v>
      </c>
      <c r="K213" s="451">
        <v>49.227727378460109</v>
      </c>
    </row>
    <row r="214" spans="1:11">
      <c r="A214" s="1176"/>
      <c r="B214" s="447" t="s">
        <v>301</v>
      </c>
      <c r="C214" s="451">
        <v>35.02575288488601</v>
      </c>
      <c r="D214" s="451">
        <v>37.830650154798761</v>
      </c>
      <c r="E214" s="451">
        <v>36.361418251511132</v>
      </c>
      <c r="F214" s="451">
        <v>25.879686396908557</v>
      </c>
      <c r="G214" s="451">
        <v>29.464658967023777</v>
      </c>
      <c r="H214" s="451">
        <v>27.584365572454221</v>
      </c>
      <c r="I214" s="451">
        <v>39.701711044011347</v>
      </c>
      <c r="J214" s="451">
        <v>41.514979142965494</v>
      </c>
      <c r="K214" s="451">
        <v>40.591316494005355</v>
      </c>
    </row>
    <row r="215" spans="1:11">
      <c r="A215" s="1176"/>
      <c r="B215" s="449" t="s">
        <v>300</v>
      </c>
      <c r="C215" s="451">
        <v>34.032044042913604</v>
      </c>
      <c r="D215" s="451">
        <v>35.11159196290572</v>
      </c>
      <c r="E215" s="451">
        <v>34.547366091190788</v>
      </c>
      <c r="F215" s="451">
        <v>25.453230760056055</v>
      </c>
      <c r="G215" s="451">
        <v>27.580082824546182</v>
      </c>
      <c r="H215" s="451">
        <v>26.467031295107162</v>
      </c>
      <c r="I215" s="451">
        <v>41.104125556422375</v>
      </c>
      <c r="J215" s="451">
        <v>43.390600596336789</v>
      </c>
      <c r="K215" s="451">
        <v>42.229729729729733</v>
      </c>
    </row>
    <row r="216" spans="1:11">
      <c r="A216" s="1176"/>
      <c r="B216" s="449" t="s">
        <v>299</v>
      </c>
      <c r="C216" s="116">
        <v>31.805136423829016</v>
      </c>
      <c r="D216" s="116">
        <v>32.799771859920483</v>
      </c>
      <c r="E216" s="116">
        <v>32.281080717572387</v>
      </c>
      <c r="F216" s="116">
        <v>23.138814943319474</v>
      </c>
      <c r="G216" s="116">
        <v>24.153626149131767</v>
      </c>
      <c r="H216" s="116">
        <v>23.6238120153374</v>
      </c>
      <c r="I216" s="116">
        <v>36.864153201675641</v>
      </c>
      <c r="J216" s="116">
        <v>38.460447972781402</v>
      </c>
      <c r="K216" s="116">
        <v>37.651859624577362</v>
      </c>
    </row>
    <row r="217" spans="1:11">
      <c r="A217" s="1176"/>
      <c r="B217" s="449" t="s">
        <v>298</v>
      </c>
      <c r="C217" s="451">
        <v>29.842897727272728</v>
      </c>
      <c r="D217" s="451">
        <v>29.983359013867489</v>
      </c>
      <c r="E217" s="451">
        <v>29.910273466371031</v>
      </c>
      <c r="F217" s="451">
        <v>21.318681318681318</v>
      </c>
      <c r="G217" s="451">
        <v>21.545478280734965</v>
      </c>
      <c r="H217" s="451">
        <v>21.427315254475747</v>
      </c>
      <c r="I217" s="451">
        <v>35.225121219117987</v>
      </c>
      <c r="J217" s="451">
        <v>36.746248938378784</v>
      </c>
      <c r="K217" s="451">
        <v>35.976662777129519</v>
      </c>
    </row>
    <row r="218" spans="1:11">
      <c r="A218" s="1176">
        <v>36</v>
      </c>
      <c r="B218" s="444" t="s">
        <v>48</v>
      </c>
      <c r="C218" s="452"/>
      <c r="D218" s="452"/>
      <c r="E218" s="452"/>
      <c r="F218" s="452"/>
      <c r="G218" s="452"/>
      <c r="H218" s="452"/>
      <c r="I218" s="452"/>
      <c r="J218" s="453"/>
      <c r="K218" s="453"/>
    </row>
    <row r="219" spans="1:11">
      <c r="A219" s="1176"/>
      <c r="B219" s="447" t="s">
        <v>997</v>
      </c>
      <c r="C219" s="451">
        <v>20.307040831588395</v>
      </c>
      <c r="D219" s="451">
        <v>22.279601499309528</v>
      </c>
      <c r="E219" s="451">
        <v>21.266831768703565</v>
      </c>
      <c r="F219" s="451">
        <v>16.675465884053921</v>
      </c>
      <c r="G219" s="451">
        <v>17.451658636421779</v>
      </c>
      <c r="H219" s="451">
        <v>17.057880782760844</v>
      </c>
      <c r="I219" s="451">
        <v>11.452265204304096</v>
      </c>
      <c r="J219" s="451">
        <v>11.788763177788249</v>
      </c>
      <c r="K219" s="451">
        <v>11.621282409761058</v>
      </c>
    </row>
    <row r="220" spans="1:11">
      <c r="A220" s="1176"/>
      <c r="B220" s="447" t="s">
        <v>301</v>
      </c>
      <c r="C220" s="451">
        <v>19.835125913288582</v>
      </c>
      <c r="D220" s="451">
        <v>21.372189580885234</v>
      </c>
      <c r="E220" s="451">
        <v>20.582677690358715</v>
      </c>
      <c r="F220" s="451">
        <v>16.985400697877786</v>
      </c>
      <c r="G220" s="451">
        <v>17.49389970201797</v>
      </c>
      <c r="H220" s="451">
        <v>17.235815997849432</v>
      </c>
      <c r="I220" s="451">
        <v>11.297839467085433</v>
      </c>
      <c r="J220" s="451">
        <v>11.476614384626254</v>
      </c>
      <c r="K220" s="451">
        <v>11.387595713787988</v>
      </c>
    </row>
    <row r="221" spans="1:11">
      <c r="A221" s="1176"/>
      <c r="B221" s="449" t="s">
        <v>300</v>
      </c>
      <c r="C221" s="451">
        <v>19.434018835994408</v>
      </c>
      <c r="D221" s="451">
        <v>20.239140579428351</v>
      </c>
      <c r="E221" s="451">
        <v>19.825415429986577</v>
      </c>
      <c r="F221" s="451">
        <v>16.283349134554257</v>
      </c>
      <c r="G221" s="451">
        <v>16.022721502252711</v>
      </c>
      <c r="H221" s="451">
        <v>16.1550571743917</v>
      </c>
      <c r="I221" s="451">
        <v>10.678550566243947</v>
      </c>
      <c r="J221" s="451">
        <v>10.340054618233511</v>
      </c>
      <c r="K221" s="451">
        <v>10.508678225117571</v>
      </c>
    </row>
    <row r="222" spans="1:11">
      <c r="A222" s="1176"/>
      <c r="B222" s="449" t="s">
        <v>299</v>
      </c>
      <c r="C222" s="116">
        <v>19.370095981898473</v>
      </c>
      <c r="D222" s="116">
        <v>18.811988416988417</v>
      </c>
      <c r="E222" s="116">
        <v>19.098900583478734</v>
      </c>
      <c r="F222" s="116">
        <v>16.370190061052263</v>
      </c>
      <c r="G222" s="116">
        <v>14.985200735399582</v>
      </c>
      <c r="H222" s="116">
        <v>15.688735903947965</v>
      </c>
      <c r="I222" s="116">
        <v>10.664872156745457</v>
      </c>
      <c r="J222" s="116">
        <v>9.5109570385043938</v>
      </c>
      <c r="K222" s="116">
        <v>10.086032490812178</v>
      </c>
    </row>
    <row r="223" spans="1:11">
      <c r="A223" s="1176"/>
      <c r="B223" s="449" t="s">
        <v>298</v>
      </c>
      <c r="C223" s="451">
        <v>19.246705286024621</v>
      </c>
      <c r="D223" s="451">
        <v>18.263523097565653</v>
      </c>
      <c r="E223" s="451">
        <v>18.769164882226981</v>
      </c>
      <c r="F223" s="451">
        <v>16.418148572917808</v>
      </c>
      <c r="G223" s="451">
        <v>14.105067097527041</v>
      </c>
      <c r="H223" s="451">
        <v>15.280527520443371</v>
      </c>
      <c r="I223" s="451">
        <v>11.175605172712212</v>
      </c>
      <c r="J223" s="451">
        <v>9.4069234268012334</v>
      </c>
      <c r="K223" s="451">
        <v>10.288751363779255</v>
      </c>
    </row>
  </sheetData>
  <mergeCells count="43">
    <mergeCell ref="A218:A223"/>
    <mergeCell ref="A182:A187"/>
    <mergeCell ref="A188:A193"/>
    <mergeCell ref="A194:A199"/>
    <mergeCell ref="A200:A205"/>
    <mergeCell ref="A206:A211"/>
    <mergeCell ref="A212:A217"/>
    <mergeCell ref="A176:A181"/>
    <mergeCell ref="A110:A115"/>
    <mergeCell ref="A116:A121"/>
    <mergeCell ref="A122:A127"/>
    <mergeCell ref="A128:A133"/>
    <mergeCell ref="A134:A139"/>
    <mergeCell ref="A140:A145"/>
    <mergeCell ref="A146:A151"/>
    <mergeCell ref="A152:A157"/>
    <mergeCell ref="A158:A163"/>
    <mergeCell ref="A164:A169"/>
    <mergeCell ref="A170:A175"/>
    <mergeCell ref="A107:A109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95:A100"/>
    <mergeCell ref="A101:A106"/>
    <mergeCell ref="A35:A40"/>
    <mergeCell ref="C1:K1"/>
    <mergeCell ref="A2:A3"/>
    <mergeCell ref="B2:B3"/>
    <mergeCell ref="C2:E2"/>
    <mergeCell ref="F2:H2"/>
    <mergeCell ref="I2:K2"/>
    <mergeCell ref="A5:A10"/>
    <mergeCell ref="A11:A16"/>
    <mergeCell ref="A17:A22"/>
    <mergeCell ref="A23:A28"/>
    <mergeCell ref="A29:A34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0" firstPageNumber="2" pageOrder="overThenDown" orientation="portrait" useFirstPageNumber="1" r:id="rId1"/>
  <headerFooter alignWithMargins="0">
    <oddFooter>&amp;LAISHE 2020-21&amp;CT-47</oddFooter>
  </headerFooter>
  <rowBreaks count="3" manualBreakCount="3">
    <brk id="70" max="16383" man="1"/>
    <brk id="139" max="16383" man="1"/>
    <brk id="199" max="16383" man="1"/>
  </rowBreaks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00B050"/>
  </sheetPr>
  <dimension ref="A1:W41"/>
  <sheetViews>
    <sheetView showZeros="0" view="pageBreakPreview" topLeftCell="M16" zoomScale="70" zoomScaleSheetLayoutView="70" workbookViewId="0">
      <selection activeCell="Q41" sqref="Q41"/>
    </sheetView>
  </sheetViews>
  <sheetFormatPr defaultColWidth="9.1796875" defaultRowHeight="14"/>
  <cols>
    <col min="1" max="1" width="8.26953125" style="275" bestFit="1" customWidth="1"/>
    <col min="2" max="2" width="33.453125" style="117" customWidth="1"/>
    <col min="3" max="17" width="15.26953125" style="117" customWidth="1"/>
    <col min="18" max="21" width="9.1796875" style="117"/>
    <col min="22" max="22" width="17.453125" style="117" customWidth="1"/>
    <col min="23" max="16384" width="9.1796875" style="117"/>
  </cols>
  <sheetData>
    <row r="1" spans="1:23" ht="33" customHeight="1">
      <c r="B1" s="370" t="s">
        <v>322</v>
      </c>
      <c r="C1" s="1164" t="s">
        <v>323</v>
      </c>
      <c r="D1" s="1164"/>
      <c r="E1" s="1164"/>
      <c r="F1" s="1164"/>
      <c r="G1" s="1164"/>
      <c r="H1" s="1164" t="s">
        <v>323</v>
      </c>
      <c r="I1" s="1164"/>
      <c r="J1" s="1164"/>
      <c r="K1" s="1164"/>
      <c r="L1" s="1164"/>
      <c r="M1" s="1164" t="s">
        <v>323</v>
      </c>
      <c r="N1" s="1164"/>
      <c r="O1" s="1164"/>
      <c r="P1" s="1164"/>
      <c r="Q1" s="1164"/>
    </row>
    <row r="2" spans="1:23" s="118" customFormat="1" ht="27" customHeight="1">
      <c r="A2" s="1150" t="s">
        <v>235</v>
      </c>
      <c r="B2" s="1186" t="s">
        <v>236</v>
      </c>
      <c r="C2" s="1187" t="s">
        <v>136</v>
      </c>
      <c r="D2" s="1188"/>
      <c r="E2" s="1188"/>
      <c r="F2" s="1188"/>
      <c r="G2" s="1188"/>
      <c r="H2" s="1188" t="s">
        <v>112</v>
      </c>
      <c r="I2" s="1188"/>
      <c r="J2" s="1188"/>
      <c r="K2" s="1188"/>
      <c r="L2" s="1189"/>
      <c r="M2" s="1187" t="s">
        <v>113</v>
      </c>
      <c r="N2" s="1188"/>
      <c r="O2" s="1188"/>
      <c r="P2" s="1188"/>
      <c r="Q2" s="1189"/>
    </row>
    <row r="3" spans="1:23" s="118" customFormat="1" ht="27.75" customHeight="1">
      <c r="A3" s="1151"/>
      <c r="B3" s="1186"/>
      <c r="C3" s="586" t="s">
        <v>298</v>
      </c>
      <c r="D3" s="586" t="s">
        <v>299</v>
      </c>
      <c r="E3" s="586" t="s">
        <v>300</v>
      </c>
      <c r="F3" s="586" t="s">
        <v>301</v>
      </c>
      <c r="G3" s="586" t="s">
        <v>997</v>
      </c>
      <c r="H3" s="586" t="s">
        <v>298</v>
      </c>
      <c r="I3" s="586" t="s">
        <v>299</v>
      </c>
      <c r="J3" s="586" t="s">
        <v>300</v>
      </c>
      <c r="K3" s="586" t="s">
        <v>301</v>
      </c>
      <c r="L3" s="586" t="s">
        <v>997</v>
      </c>
      <c r="M3" s="586" t="s">
        <v>298</v>
      </c>
      <c r="N3" s="586" t="s">
        <v>299</v>
      </c>
      <c r="O3" s="586" t="s">
        <v>300</v>
      </c>
      <c r="P3" s="586" t="s">
        <v>301</v>
      </c>
      <c r="Q3" s="586" t="s">
        <v>997</v>
      </c>
    </row>
    <row r="4" spans="1:23" s="118" customFormat="1" ht="12.5">
      <c r="A4" s="350">
        <v>1</v>
      </c>
      <c r="B4" s="350">
        <v>2</v>
      </c>
      <c r="C4" s="350">
        <v>3</v>
      </c>
      <c r="D4" s="350">
        <v>4</v>
      </c>
      <c r="E4" s="350">
        <v>5</v>
      </c>
      <c r="F4" s="350">
        <v>6</v>
      </c>
      <c r="G4" s="350">
        <v>7</v>
      </c>
      <c r="H4" s="350">
        <v>3</v>
      </c>
      <c r="I4" s="350">
        <v>4</v>
      </c>
      <c r="J4" s="350">
        <v>5</v>
      </c>
      <c r="K4" s="350">
        <v>6</v>
      </c>
      <c r="L4" s="350">
        <v>7</v>
      </c>
      <c r="M4" s="350">
        <v>3</v>
      </c>
      <c r="N4" s="350">
        <v>4</v>
      </c>
      <c r="O4" s="350">
        <v>5</v>
      </c>
      <c r="P4" s="350">
        <v>6</v>
      </c>
      <c r="Q4" s="350">
        <v>7</v>
      </c>
    </row>
    <row r="5" spans="1:23" s="119" customFormat="1" ht="25.5" customHeight="1">
      <c r="A5" s="300"/>
      <c r="B5" s="371" t="s">
        <v>302</v>
      </c>
      <c r="C5" s="372">
        <v>0.9770022166566783</v>
      </c>
      <c r="D5" s="372">
        <v>1.0052834963441371</v>
      </c>
      <c r="E5" s="372">
        <v>1.0468491240587439</v>
      </c>
      <c r="F5" s="567">
        <v>1.0618043944194628</v>
      </c>
      <c r="G5" s="372">
        <v>1.05</v>
      </c>
      <c r="H5" s="372">
        <v>0.95709889270311777</v>
      </c>
      <c r="I5" s="372">
        <v>0.99881004006397556</v>
      </c>
      <c r="J5" s="372">
        <v>1.0639902364986673</v>
      </c>
      <c r="K5" s="372">
        <v>1.0832744059551001</v>
      </c>
      <c r="L5" s="372">
        <v>1.07</v>
      </c>
      <c r="M5" s="372">
        <v>0.87877221666156868</v>
      </c>
      <c r="N5" s="372">
        <v>0.90505444015942305</v>
      </c>
      <c r="O5" s="372">
        <v>0.95922804392218575</v>
      </c>
      <c r="P5" s="372">
        <v>1.0029187601570888</v>
      </c>
      <c r="Q5" s="372">
        <v>1.02</v>
      </c>
    </row>
    <row r="6" spans="1:23" ht="30.75" customHeight="1">
      <c r="A6" s="282">
        <v>1</v>
      </c>
      <c r="B6" s="371" t="s">
        <v>171</v>
      </c>
      <c r="C6" s="566">
        <v>1.133335342590567</v>
      </c>
      <c r="D6" s="566">
        <v>1.0810244349492923</v>
      </c>
      <c r="E6" s="566">
        <v>1.3377921704429552</v>
      </c>
      <c r="F6" s="568">
        <v>1.3257814768360041</v>
      </c>
      <c r="G6" s="566">
        <v>1.2557306299841944</v>
      </c>
      <c r="H6" s="566"/>
      <c r="I6" s="566"/>
      <c r="J6" s="566"/>
      <c r="K6" s="566"/>
      <c r="L6" s="566"/>
      <c r="M6" s="566">
        <v>1.376022343197709</v>
      </c>
      <c r="N6" s="566">
        <v>1.3439088037357503</v>
      </c>
      <c r="O6" s="566">
        <v>1.6603718875700217</v>
      </c>
      <c r="P6" s="566">
        <v>1.9590422822210902</v>
      </c>
      <c r="Q6" s="566">
        <v>1.5457705677867903</v>
      </c>
    </row>
    <row r="7" spans="1:23" ht="25.5" customHeight="1">
      <c r="A7" s="282">
        <v>2</v>
      </c>
      <c r="B7" s="371" t="s">
        <v>15</v>
      </c>
      <c r="C7" s="566">
        <v>0.8362514288020817</v>
      </c>
      <c r="D7" s="566">
        <v>0.84372398418344796</v>
      </c>
      <c r="E7" s="566">
        <v>0.87886682951415673</v>
      </c>
      <c r="F7" s="568">
        <v>0.91453663678664321</v>
      </c>
      <c r="G7" s="566">
        <v>0.94105939295686558</v>
      </c>
      <c r="H7" s="566">
        <v>0.84769035961306349</v>
      </c>
      <c r="I7" s="566">
        <v>0.89307965973807812</v>
      </c>
      <c r="J7" s="566">
        <v>0.90846156764191655</v>
      </c>
      <c r="K7" s="566">
        <v>0.93289679902823142</v>
      </c>
      <c r="L7" s="566">
        <v>0.97663848434154366</v>
      </c>
      <c r="M7" s="566">
        <v>0.79164688808586758</v>
      </c>
      <c r="N7" s="566">
        <v>0.82940500693530472</v>
      </c>
      <c r="O7" s="566">
        <v>0.81949025581372159</v>
      </c>
      <c r="P7" s="566">
        <v>0.81938575768503141</v>
      </c>
      <c r="Q7" s="566">
        <v>0.86703306740589481</v>
      </c>
    </row>
    <row r="8" spans="1:23" ht="25.5" customHeight="1">
      <c r="A8" s="282">
        <v>3</v>
      </c>
      <c r="B8" s="371" t="s">
        <v>16</v>
      </c>
      <c r="C8" s="566">
        <v>1.0129216311864393</v>
      </c>
      <c r="D8" s="566">
        <v>0.92096355734433299</v>
      </c>
      <c r="E8" s="566">
        <v>1.0337291893418035</v>
      </c>
      <c r="F8" s="568">
        <v>0.98351659811166325</v>
      </c>
      <c r="G8" s="566">
        <v>0.94429131910209174</v>
      </c>
      <c r="H8" s="566"/>
      <c r="I8" s="566"/>
      <c r="J8" s="566"/>
      <c r="K8" s="566"/>
      <c r="L8" s="566"/>
      <c r="M8" s="566">
        <v>1.0021576942696633</v>
      </c>
      <c r="N8" s="566">
        <v>0.87019704014197052</v>
      </c>
      <c r="O8" s="566">
        <v>1.05501199150396</v>
      </c>
      <c r="P8" s="566">
        <v>0.94865276327124592</v>
      </c>
      <c r="Q8" s="566">
        <v>0.9657482043001151</v>
      </c>
      <c r="U8" s="617"/>
      <c r="V8" s="617"/>
      <c r="W8" s="617"/>
    </row>
    <row r="9" spans="1:23" ht="25.5" customHeight="1">
      <c r="A9" s="282">
        <v>4</v>
      </c>
      <c r="B9" s="371" t="s">
        <v>17</v>
      </c>
      <c r="C9" s="566">
        <v>1.0268385850941539</v>
      </c>
      <c r="D9" s="566">
        <v>1.0659984148381179</v>
      </c>
      <c r="E9" s="566">
        <v>1.0686168315139524</v>
      </c>
      <c r="F9" s="568">
        <v>1.1094895936556164</v>
      </c>
      <c r="G9" s="566">
        <v>1.0949335020398276</v>
      </c>
      <c r="H9" s="566">
        <v>1.0517492143321792</v>
      </c>
      <c r="I9" s="566">
        <v>1.0391336263215523</v>
      </c>
      <c r="J9" s="566">
        <v>1.05576309806318</v>
      </c>
      <c r="K9" s="566">
        <v>1.0829267437029539</v>
      </c>
      <c r="L9" s="566">
        <v>1.1129197219809892</v>
      </c>
      <c r="M9" s="566">
        <v>0.98669058132177068</v>
      </c>
      <c r="N9" s="566">
        <v>0.96900579048962587</v>
      </c>
      <c r="O9" s="566">
        <v>1.0116029585279582</v>
      </c>
      <c r="P9" s="566">
        <v>1.0959098648494758</v>
      </c>
      <c r="Q9" s="566">
        <v>1.075015585372495</v>
      </c>
    </row>
    <row r="10" spans="1:23" ht="25.5" customHeight="1">
      <c r="A10" s="282">
        <v>5</v>
      </c>
      <c r="B10" s="371" t="s">
        <v>18</v>
      </c>
      <c r="C10" s="566">
        <v>0.86843917658145542</v>
      </c>
      <c r="D10" s="566">
        <v>0.86097501636578588</v>
      </c>
      <c r="E10" s="566">
        <v>0.86293396022516333</v>
      </c>
      <c r="F10" s="568">
        <v>0.90792837499535128</v>
      </c>
      <c r="G10" s="566">
        <v>0.91189143991117672</v>
      </c>
      <c r="H10" s="566">
        <v>0.67749145940744437</v>
      </c>
      <c r="I10" s="566">
        <v>0.65568327031478391</v>
      </c>
      <c r="J10" s="566">
        <v>0.63148887130142706</v>
      </c>
      <c r="K10" s="566">
        <v>0.6384620635204592</v>
      </c>
      <c r="L10" s="566">
        <v>0.72422797762323055</v>
      </c>
      <c r="M10" s="566">
        <v>0.75211053633493918</v>
      </c>
      <c r="N10" s="566">
        <v>0.70711453334964591</v>
      </c>
      <c r="O10" s="566">
        <v>0.72891877898475133</v>
      </c>
      <c r="P10" s="566">
        <v>0.820341939253589</v>
      </c>
      <c r="Q10" s="566">
        <v>0.79038811196318248</v>
      </c>
    </row>
    <row r="11" spans="1:23" ht="25.5" customHeight="1">
      <c r="A11" s="282">
        <v>6</v>
      </c>
      <c r="B11" s="371" t="s">
        <v>19</v>
      </c>
      <c r="C11" s="566">
        <v>1.2971474782898973</v>
      </c>
      <c r="D11" s="566">
        <v>1.2298551257513426</v>
      </c>
      <c r="E11" s="566">
        <v>1.3434137784111517</v>
      </c>
      <c r="F11" s="568">
        <v>1.3102728693285899</v>
      </c>
      <c r="G11" s="566">
        <v>1.3310059809436454</v>
      </c>
      <c r="H11" s="566">
        <v>1.1548286988321685</v>
      </c>
      <c r="I11" s="566">
        <v>0.95694944427673645</v>
      </c>
      <c r="J11" s="566">
        <v>1.0174706031421055</v>
      </c>
      <c r="K11" s="566">
        <v>1.0251112356112486</v>
      </c>
      <c r="L11" s="566">
        <v>0.94696832578404166</v>
      </c>
      <c r="M11" s="566"/>
      <c r="N11" s="566"/>
      <c r="O11" s="566"/>
      <c r="P11" s="566"/>
      <c r="Q11" s="566"/>
    </row>
    <row r="12" spans="1:23" ht="25.5" customHeight="1">
      <c r="A12" s="282">
        <v>7</v>
      </c>
      <c r="B12" s="371" t="s">
        <v>20</v>
      </c>
      <c r="C12" s="566">
        <v>0.99315214401719265</v>
      </c>
      <c r="D12" s="566">
        <v>1.0211450722167339</v>
      </c>
      <c r="E12" s="566">
        <v>1.0971109139249215</v>
      </c>
      <c r="F12" s="568">
        <v>1.1736292004819699</v>
      </c>
      <c r="G12" s="566">
        <v>1.1830531341819741</v>
      </c>
      <c r="H12" s="566">
        <v>0.93310595636931393</v>
      </c>
      <c r="I12" s="566">
        <v>0.95369135259781579</v>
      </c>
      <c r="J12" s="566">
        <v>1.0661363105875958</v>
      </c>
      <c r="K12" s="566">
        <v>1.1054333888091223</v>
      </c>
      <c r="L12" s="566">
        <v>1.1132564169397916</v>
      </c>
      <c r="M12" s="566">
        <v>1.0334574837173158</v>
      </c>
      <c r="N12" s="566">
        <v>1.0763516176818848</v>
      </c>
      <c r="O12" s="566">
        <v>1.2177663509605379</v>
      </c>
      <c r="P12" s="566">
        <v>1.3083299593757467</v>
      </c>
      <c r="Q12" s="566">
        <v>1.3521683824990889</v>
      </c>
    </row>
    <row r="13" spans="1:23" ht="25.5" customHeight="1">
      <c r="A13" s="282">
        <v>8</v>
      </c>
      <c r="B13" s="371" t="s">
        <v>23</v>
      </c>
      <c r="C13" s="566">
        <v>1.044676158552158</v>
      </c>
      <c r="D13" s="566">
        <v>0.97953613830483066</v>
      </c>
      <c r="E13" s="566">
        <v>1.0564233404681369</v>
      </c>
      <c r="F13" s="568">
        <v>1.0460442030699624</v>
      </c>
      <c r="G13" s="566">
        <v>1.0398056611252935</v>
      </c>
      <c r="H13" s="566">
        <v>0.98002671705741251</v>
      </c>
      <c r="I13" s="566">
        <v>0.92413582999843957</v>
      </c>
      <c r="J13" s="566">
        <v>1.0421437887753842</v>
      </c>
      <c r="K13" s="566">
        <v>1.0464724645092112</v>
      </c>
      <c r="L13" s="566">
        <v>0.90803055777081121</v>
      </c>
      <c r="M13" s="566"/>
      <c r="N13" s="566"/>
      <c r="O13" s="566"/>
      <c r="P13" s="566"/>
      <c r="Q13" s="566"/>
    </row>
    <row r="14" spans="1:23" ht="25.5" customHeight="1">
      <c r="A14" s="282">
        <v>9</v>
      </c>
      <c r="B14" s="371" t="s">
        <v>24</v>
      </c>
      <c r="C14" s="566">
        <v>1.1451097422310683</v>
      </c>
      <c r="D14" s="566">
        <v>1.1388600695223581</v>
      </c>
      <c r="E14" s="566">
        <v>1.1713916867136773</v>
      </c>
      <c r="F14" s="568">
        <v>1.269962121095052</v>
      </c>
      <c r="G14" s="566">
        <v>1.2130028327599294</v>
      </c>
      <c r="H14" s="566">
        <v>0.99227355742381473</v>
      </c>
      <c r="I14" s="566">
        <v>0.91247148616271889</v>
      </c>
      <c r="J14" s="566">
        <v>0.93565506021883449</v>
      </c>
      <c r="K14" s="566">
        <v>0.98388589297680207</v>
      </c>
      <c r="L14" s="566">
        <v>0.76315623653770737</v>
      </c>
      <c r="M14" s="566">
        <v>1.1866846797387027</v>
      </c>
      <c r="N14" s="566">
        <v>1.1779110971968894</v>
      </c>
      <c r="O14" s="566">
        <v>1.2993919079389271</v>
      </c>
      <c r="P14" s="566">
        <v>1.4245233092517435</v>
      </c>
      <c r="Q14" s="566">
        <v>1.3202291926325991</v>
      </c>
    </row>
    <row r="15" spans="1:23" ht="25.5" customHeight="1">
      <c r="A15" s="282">
        <v>10</v>
      </c>
      <c r="B15" s="371" t="s">
        <v>25</v>
      </c>
      <c r="C15" s="566">
        <v>0.7780635912861994</v>
      </c>
      <c r="D15" s="566">
        <v>0.86422826825237276</v>
      </c>
      <c r="E15" s="566">
        <v>0.88657633823688597</v>
      </c>
      <c r="F15" s="568">
        <v>0.90095094772220041</v>
      </c>
      <c r="G15" s="566">
        <v>0.87471881719749245</v>
      </c>
      <c r="H15" s="566">
        <v>0.71062184180586319</v>
      </c>
      <c r="I15" s="566">
        <v>0.86502831223172194</v>
      </c>
      <c r="J15" s="566">
        <v>0.89958044707212781</v>
      </c>
      <c r="K15" s="566">
        <v>0.92224453262082007</v>
      </c>
      <c r="L15" s="566">
        <v>0.88758585916837585</v>
      </c>
      <c r="M15" s="566">
        <v>0.86970311416137402</v>
      </c>
      <c r="N15" s="566">
        <v>1.0262277717423043</v>
      </c>
      <c r="O15" s="566">
        <v>1.0324743402121446</v>
      </c>
      <c r="P15" s="566">
        <v>1.0645703668167732</v>
      </c>
      <c r="Q15" s="566">
        <v>1.0103922816580793</v>
      </c>
    </row>
    <row r="16" spans="1:23" ht="25.5" customHeight="1">
      <c r="A16" s="282">
        <v>11</v>
      </c>
      <c r="B16" s="371" t="s">
        <v>26</v>
      </c>
      <c r="C16" s="566">
        <v>1.0410591281188106</v>
      </c>
      <c r="D16" s="566">
        <v>1.1315037383860735</v>
      </c>
      <c r="E16" s="566">
        <v>1.2204717293619398</v>
      </c>
      <c r="F16" s="568">
        <v>1.2134676431718847</v>
      </c>
      <c r="G16" s="566">
        <v>1.1643164741411165</v>
      </c>
      <c r="H16" s="566">
        <v>0.99660489350720094</v>
      </c>
      <c r="I16" s="566">
        <v>1.0776200116468202</v>
      </c>
      <c r="J16" s="566">
        <v>1.1977623691806722</v>
      </c>
      <c r="K16" s="566">
        <v>1.2293419273418096</v>
      </c>
      <c r="L16" s="566">
        <v>1.1600341607325266</v>
      </c>
      <c r="M16" s="566"/>
      <c r="N16" s="566"/>
      <c r="O16" s="566"/>
      <c r="P16" s="566"/>
      <c r="Q16" s="566"/>
    </row>
    <row r="17" spans="1:17" ht="25.5" customHeight="1">
      <c r="A17" s="282">
        <v>12</v>
      </c>
      <c r="B17" s="371" t="s">
        <v>27</v>
      </c>
      <c r="C17" s="566">
        <v>1.2766018662526246</v>
      </c>
      <c r="D17" s="566">
        <v>1.284290563285827</v>
      </c>
      <c r="E17" s="566">
        <v>1.3406824049230588</v>
      </c>
      <c r="F17" s="568">
        <v>1.3433856086005993</v>
      </c>
      <c r="G17" s="566">
        <v>1.3330463615673773</v>
      </c>
      <c r="H17" s="566">
        <v>1.2184737874052487</v>
      </c>
      <c r="I17" s="566">
        <v>1.25319283612193</v>
      </c>
      <c r="J17" s="566">
        <v>1.3454483549936553</v>
      </c>
      <c r="K17" s="566">
        <v>1.3925763122474542</v>
      </c>
      <c r="L17" s="566">
        <v>1.3528333413318545</v>
      </c>
      <c r="M17" s="566">
        <v>1.1782808707739911</v>
      </c>
      <c r="N17" s="566">
        <v>1.1549853003071036</v>
      </c>
      <c r="O17" s="566">
        <v>1.267325020613671</v>
      </c>
      <c r="P17" s="566">
        <v>1.2870379390352003</v>
      </c>
      <c r="Q17" s="566">
        <v>1.2499707218218592</v>
      </c>
    </row>
    <row r="18" spans="1:17" ht="25.5" customHeight="1">
      <c r="A18" s="282">
        <v>13</v>
      </c>
      <c r="B18" s="371" t="s">
        <v>57</v>
      </c>
      <c r="C18" s="566">
        <v>1.1998497646546975</v>
      </c>
      <c r="D18" s="566">
        <v>1.1312726942917195</v>
      </c>
      <c r="E18" s="566">
        <v>1.1241017030846123</v>
      </c>
      <c r="F18" s="568">
        <v>1.091638015539347</v>
      </c>
      <c r="G18" s="566">
        <v>1.1819964236853522</v>
      </c>
      <c r="H18" s="566">
        <v>1.4141155233882319</v>
      </c>
      <c r="I18" s="566">
        <v>1.2793769957631931</v>
      </c>
      <c r="J18" s="566">
        <v>1.3343814863989925</v>
      </c>
      <c r="K18" s="566">
        <v>1.4067535470720371</v>
      </c>
      <c r="L18" s="566">
        <v>1.2658408683832243</v>
      </c>
      <c r="M18" s="566">
        <v>0.9577128311543579</v>
      </c>
      <c r="N18" s="566">
        <v>1.0171614547189258</v>
      </c>
      <c r="O18" s="566">
        <v>1.0091472398354537</v>
      </c>
      <c r="P18" s="566">
        <v>0.91785726872331141</v>
      </c>
      <c r="Q18" s="566">
        <v>0.91667155184201643</v>
      </c>
    </row>
    <row r="19" spans="1:17" ht="25.5" customHeight="1">
      <c r="A19" s="282">
        <v>14</v>
      </c>
      <c r="B19" s="371" t="s">
        <v>29</v>
      </c>
      <c r="C19" s="566">
        <v>0.98412500471983333</v>
      </c>
      <c r="D19" s="566">
        <v>1.0169887491695329</v>
      </c>
      <c r="E19" s="566">
        <v>1.0248405974759098</v>
      </c>
      <c r="F19" s="568">
        <v>1.0640635287950972</v>
      </c>
      <c r="G19" s="566">
        <v>1.0590349712449547</v>
      </c>
      <c r="H19" s="566">
        <v>0.87937676964098865</v>
      </c>
      <c r="I19" s="566">
        <v>0.87953992287963123</v>
      </c>
      <c r="J19" s="566">
        <v>0.92853053324613521</v>
      </c>
      <c r="K19" s="566">
        <v>0.93283010910110198</v>
      </c>
      <c r="L19" s="566">
        <v>0.93525225824941038</v>
      </c>
      <c r="M19" s="566">
        <v>1.2062400546298151</v>
      </c>
      <c r="N19" s="566">
        <v>1.1256010659493485</v>
      </c>
      <c r="O19" s="566">
        <v>1.1198707840374347</v>
      </c>
      <c r="P19" s="566">
        <v>1.1702346819247123</v>
      </c>
      <c r="Q19" s="566">
        <v>1.1428907976241582</v>
      </c>
    </row>
    <row r="20" spans="1:17" ht="25.5" customHeight="1">
      <c r="A20" s="282">
        <v>15</v>
      </c>
      <c r="B20" s="371" t="s">
        <v>30</v>
      </c>
      <c r="C20" s="566">
        <v>1.035954288835085</v>
      </c>
      <c r="D20" s="566">
        <v>1.0776354123142771</v>
      </c>
      <c r="E20" s="566">
        <v>1.07709603731723</v>
      </c>
      <c r="F20" s="568">
        <v>1.0841190048277536</v>
      </c>
      <c r="G20" s="566">
        <v>1.0670107113755329</v>
      </c>
      <c r="H20" s="566">
        <v>0.99191962591977301</v>
      </c>
      <c r="I20" s="566">
        <v>0.99833710911020135</v>
      </c>
      <c r="J20" s="566">
        <v>1.0152674422382124</v>
      </c>
      <c r="K20" s="566">
        <v>1.016075057846896</v>
      </c>
      <c r="L20" s="566">
        <v>1.0215617071859826</v>
      </c>
      <c r="M20" s="566">
        <v>0.97256567187311482</v>
      </c>
      <c r="N20" s="566">
        <v>1.0003008171748782</v>
      </c>
      <c r="O20" s="566">
        <v>1.0289728363602422</v>
      </c>
      <c r="P20" s="566">
        <v>1.0265783781561117</v>
      </c>
      <c r="Q20" s="566">
        <v>1.0203256725721999</v>
      </c>
    </row>
    <row r="21" spans="1:17" ht="25.5" customHeight="1">
      <c r="A21" s="282">
        <v>16</v>
      </c>
      <c r="B21" s="371" t="s">
        <v>31</v>
      </c>
      <c r="C21" s="566">
        <v>1.4650504865695704</v>
      </c>
      <c r="D21" s="566">
        <v>1.3088926151979501</v>
      </c>
      <c r="E21" s="566">
        <v>1.4572849917960362</v>
      </c>
      <c r="F21" s="568">
        <v>1.4164012053546982</v>
      </c>
      <c r="G21" s="566">
        <v>1.5191141349234494</v>
      </c>
      <c r="H21" s="566">
        <v>1.8409766925577613</v>
      </c>
      <c r="I21" s="566">
        <v>1.8754697933968498</v>
      </c>
      <c r="J21" s="566">
        <v>1.9279707895683897</v>
      </c>
      <c r="K21" s="566">
        <v>1.9407302631413037</v>
      </c>
      <c r="L21" s="566">
        <v>1.9060037023378975</v>
      </c>
      <c r="M21" s="566">
        <v>1.4097959846978017</v>
      </c>
      <c r="N21" s="566">
        <v>1.5042997001503353</v>
      </c>
      <c r="O21" s="566">
        <v>1.4908310243191218</v>
      </c>
      <c r="P21" s="566">
        <v>1.5629200074396266</v>
      </c>
      <c r="Q21" s="566">
        <v>1.5204919609418315</v>
      </c>
    </row>
    <row r="22" spans="1:17" ht="25.5" customHeight="1">
      <c r="A22" s="282">
        <v>17</v>
      </c>
      <c r="B22" s="371" t="s">
        <v>172</v>
      </c>
      <c r="C22" s="566"/>
      <c r="D22" s="566"/>
      <c r="E22" s="566"/>
      <c r="F22" s="568">
        <v>2.2546266084396613</v>
      </c>
      <c r="G22" s="566">
        <v>2.2014348670485853</v>
      </c>
      <c r="H22" s="566"/>
      <c r="I22" s="566"/>
      <c r="J22" s="566"/>
      <c r="K22" s="566"/>
      <c r="L22" s="566"/>
      <c r="M22" s="566"/>
      <c r="N22" s="566"/>
      <c r="O22" s="566"/>
      <c r="P22" s="566">
        <v>1.9063875965467965</v>
      </c>
      <c r="Q22" s="566">
        <v>2.0132173574110235</v>
      </c>
    </row>
    <row r="23" spans="1:17" ht="25.5" customHeight="1">
      <c r="A23" s="282">
        <v>18</v>
      </c>
      <c r="B23" s="371" t="s">
        <v>32</v>
      </c>
      <c r="C23" s="566">
        <v>2.6548048835879809</v>
      </c>
      <c r="D23" s="566">
        <v>3.9954770262430808</v>
      </c>
      <c r="E23" s="566">
        <v>3.524467417032993</v>
      </c>
      <c r="F23" s="568">
        <v>3.4610612479356639</v>
      </c>
      <c r="G23" s="566">
        <v>3.4840727620332883</v>
      </c>
      <c r="H23" s="566"/>
      <c r="I23" s="566"/>
      <c r="J23" s="566"/>
      <c r="K23" s="566"/>
      <c r="L23" s="566"/>
      <c r="M23" s="566">
        <v>2.5184330252783806</v>
      </c>
      <c r="N23" s="566">
        <v>3.1999273255813958</v>
      </c>
      <c r="O23" s="566">
        <v>3.8131486352004549</v>
      </c>
      <c r="P23" s="566">
        <v>3.6520564275779854</v>
      </c>
      <c r="Q23" s="566">
        <v>3.6770619358854657</v>
      </c>
    </row>
    <row r="24" spans="1:17" ht="25.5" customHeight="1">
      <c r="A24" s="282">
        <v>19</v>
      </c>
      <c r="B24" s="371" t="s">
        <v>33</v>
      </c>
      <c r="C24" s="566">
        <v>0.90884141791284234</v>
      </c>
      <c r="D24" s="566">
        <v>0.93779446879231088</v>
      </c>
      <c r="E24" s="566">
        <v>0.97271591880733388</v>
      </c>
      <c r="F24" s="568">
        <v>1.0011310568500245</v>
      </c>
      <c r="G24" s="566">
        <v>0.98035018825344744</v>
      </c>
      <c r="H24" s="566">
        <v>0.88288720378194552</v>
      </c>
      <c r="I24" s="566">
        <v>0.90476632625158171</v>
      </c>
      <c r="J24" s="566">
        <v>0.96690853346520922</v>
      </c>
      <c r="K24" s="566">
        <v>1.0112042871255886</v>
      </c>
      <c r="L24" s="566">
        <v>1.0108636027904114</v>
      </c>
      <c r="M24" s="566">
        <v>0.85789745081955282</v>
      </c>
      <c r="N24" s="566">
        <v>0.85805938288655248</v>
      </c>
      <c r="O24" s="566">
        <v>0.94184653786126904</v>
      </c>
      <c r="P24" s="566">
        <v>0.96481136854062777</v>
      </c>
      <c r="Q24" s="566">
        <v>1.0539638180885105</v>
      </c>
    </row>
    <row r="25" spans="1:17" ht="25.5" customHeight="1">
      <c r="A25" s="282">
        <v>20</v>
      </c>
      <c r="B25" s="371" t="s">
        <v>34</v>
      </c>
      <c r="C25" s="566">
        <v>0.89488408790101948</v>
      </c>
      <c r="D25" s="566">
        <v>0.92282212481150949</v>
      </c>
      <c r="E25" s="566">
        <v>0.92202765920736696</v>
      </c>
      <c r="F25" s="568">
        <v>0.94686620427778601</v>
      </c>
      <c r="G25" s="566">
        <v>0.92390029427823595</v>
      </c>
      <c r="H25" s="566">
        <v>0.8933388865551587</v>
      </c>
      <c r="I25" s="566">
        <v>0.92867117890201034</v>
      </c>
      <c r="J25" s="566">
        <v>0.96985366029863063</v>
      </c>
      <c r="K25" s="566">
        <v>1.0150308299536281</v>
      </c>
      <c r="L25" s="566">
        <v>0.95505165916883028</v>
      </c>
      <c r="M25" s="566">
        <v>0.66465308951795465</v>
      </c>
      <c r="N25" s="566">
        <v>0.71290893556750068</v>
      </c>
      <c r="O25" s="566">
        <v>0.76076909532309789</v>
      </c>
      <c r="P25" s="566">
        <v>0.78363918723181303</v>
      </c>
      <c r="Q25" s="566">
        <v>0.77610983306812542</v>
      </c>
    </row>
    <row r="26" spans="1:17" ht="25.5" customHeight="1">
      <c r="A26" s="282">
        <v>21</v>
      </c>
      <c r="B26" s="371" t="s">
        <v>35</v>
      </c>
      <c r="C26" s="566">
        <v>1.0444883706985886</v>
      </c>
      <c r="D26" s="566">
        <v>1.0707824414777825</v>
      </c>
      <c r="E26" s="566">
        <v>1.0495814696202546</v>
      </c>
      <c r="F26" s="568">
        <v>1.0786414696250219</v>
      </c>
      <c r="G26" s="566">
        <v>1.0452822628866689</v>
      </c>
      <c r="H26" s="566">
        <v>0.94253623843301848</v>
      </c>
      <c r="I26" s="566">
        <v>0.92402321083894323</v>
      </c>
      <c r="J26" s="566">
        <v>0.95255206387833824</v>
      </c>
      <c r="K26" s="566">
        <v>1.0205875086864891</v>
      </c>
      <c r="L26" s="566">
        <v>0.8710368629632913</v>
      </c>
      <c r="M26" s="566">
        <v>0.97666447852734273</v>
      </c>
      <c r="N26" s="566">
        <v>0.97171833677408825</v>
      </c>
      <c r="O26" s="566">
        <v>1.0163253239138581</v>
      </c>
      <c r="P26" s="566">
        <v>1.1066384282311204</v>
      </c>
      <c r="Q26" s="566">
        <v>1.0759743642959345</v>
      </c>
    </row>
    <row r="27" spans="1:17" ht="25.5" customHeight="1">
      <c r="A27" s="282">
        <v>22</v>
      </c>
      <c r="B27" s="371" t="s">
        <v>36</v>
      </c>
      <c r="C27" s="566">
        <v>1.0717284291347946</v>
      </c>
      <c r="D27" s="566">
        <v>1.0826116734779838</v>
      </c>
      <c r="E27" s="566">
        <v>1.2161217232281827</v>
      </c>
      <c r="F27" s="568">
        <v>1.2129721366156387</v>
      </c>
      <c r="G27" s="566">
        <v>1.2836114042708751</v>
      </c>
      <c r="H27" s="566">
        <v>0.89802007953892116</v>
      </c>
      <c r="I27" s="566">
        <v>0.77169091899463083</v>
      </c>
      <c r="J27" s="566">
        <v>2.7138713871387137</v>
      </c>
      <c r="K27" s="566">
        <v>0.85863543336852954</v>
      </c>
      <c r="L27" s="566">
        <v>0.94203246026706067</v>
      </c>
      <c r="M27" s="566">
        <v>1.2801700423566604</v>
      </c>
      <c r="N27" s="566">
        <v>1.1675049736355267</v>
      </c>
      <c r="O27" s="566">
        <v>1.2725345082943522</v>
      </c>
      <c r="P27" s="566">
        <v>1.3290942039183604</v>
      </c>
      <c r="Q27" s="566">
        <v>1.3594225660873718</v>
      </c>
    </row>
    <row r="28" spans="1:17" ht="25.5" customHeight="1">
      <c r="A28" s="282">
        <v>23</v>
      </c>
      <c r="B28" s="371" t="s">
        <v>37</v>
      </c>
      <c r="C28" s="566">
        <v>0.97237630398646757</v>
      </c>
      <c r="D28" s="566">
        <v>0.88331742160825988</v>
      </c>
      <c r="E28" s="566">
        <v>0.97715051689047572</v>
      </c>
      <c r="F28" s="568">
        <v>0.96780877767102358</v>
      </c>
      <c r="G28" s="566">
        <v>1.0516285499381828</v>
      </c>
      <c r="H28" s="566">
        <v>0.84363636363636352</v>
      </c>
      <c r="I28" s="566">
        <v>0.85314685314685312</v>
      </c>
      <c r="J28" s="566">
        <v>0.98717948717948723</v>
      </c>
      <c r="K28" s="566">
        <v>0.70035761340109171</v>
      </c>
      <c r="L28" s="566">
        <v>1.0259090909090909</v>
      </c>
      <c r="M28" s="566">
        <v>0.96912126878252458</v>
      </c>
      <c r="N28" s="566">
        <v>0.88274175818714873</v>
      </c>
      <c r="O28" s="566">
        <v>0.97354274999031953</v>
      </c>
      <c r="P28" s="566">
        <v>0.99190888765547358</v>
      </c>
      <c r="Q28" s="566">
        <v>1.0463001425684892</v>
      </c>
    </row>
    <row r="29" spans="1:17" ht="25.5" customHeight="1">
      <c r="A29" s="282">
        <v>24</v>
      </c>
      <c r="B29" s="371" t="s">
        <v>38</v>
      </c>
      <c r="C29" s="566">
        <v>1.0968469809399199</v>
      </c>
      <c r="D29" s="566">
        <v>1.0461353103421087</v>
      </c>
      <c r="E29" s="566">
        <v>1.1550455426994632</v>
      </c>
      <c r="F29" s="568">
        <v>1.3012562021616216</v>
      </c>
      <c r="G29" s="566">
        <v>1.2595234438878269</v>
      </c>
      <c r="H29" s="566"/>
      <c r="I29" s="566"/>
      <c r="J29" s="566"/>
      <c r="K29" s="566"/>
      <c r="L29" s="566"/>
      <c r="M29" s="566">
        <v>1.1556902793509984</v>
      </c>
      <c r="N29" s="566">
        <v>1.1177760370236984</v>
      </c>
      <c r="O29" s="566">
        <v>1.1972004846921027</v>
      </c>
      <c r="P29" s="566">
        <v>1.2671077995824385</v>
      </c>
      <c r="Q29" s="566">
        <v>1.2428011567767907</v>
      </c>
    </row>
    <row r="30" spans="1:17" ht="25.5" customHeight="1">
      <c r="A30" s="282">
        <v>25</v>
      </c>
      <c r="B30" s="371" t="s">
        <v>39</v>
      </c>
      <c r="C30" s="566">
        <v>0.83936017487806636</v>
      </c>
      <c r="D30" s="566">
        <v>0.86534721070160525</v>
      </c>
      <c r="E30" s="566">
        <v>0.84501311022256531</v>
      </c>
      <c r="F30" s="568">
        <v>0.90427652258327174</v>
      </c>
      <c r="G30" s="566">
        <v>0.94362480022489437</v>
      </c>
      <c r="H30" s="566">
        <v>0.7470981176127931</v>
      </c>
      <c r="I30" s="566">
        <v>0.74262391953710361</v>
      </c>
      <c r="J30" s="566">
        <v>0.78029324322017546</v>
      </c>
      <c r="K30" s="566">
        <v>0.8245380388884096</v>
      </c>
      <c r="L30" s="566">
        <v>0.85876768817205362</v>
      </c>
      <c r="M30" s="566">
        <v>0.75595208041997741</v>
      </c>
      <c r="N30" s="566">
        <v>0.7695368167216734</v>
      </c>
      <c r="O30" s="566">
        <v>0.80118409181333772</v>
      </c>
      <c r="P30" s="566">
        <v>0.87247881046337017</v>
      </c>
      <c r="Q30" s="566">
        <v>0.89803230903251663</v>
      </c>
    </row>
    <row r="31" spans="1:17" ht="25.5" customHeight="1">
      <c r="A31" s="282">
        <v>26</v>
      </c>
      <c r="B31" s="371" t="s">
        <v>40</v>
      </c>
      <c r="C31" s="566">
        <v>0.88789823488306407</v>
      </c>
      <c r="D31" s="566">
        <v>0.91510302600648152</v>
      </c>
      <c r="E31" s="566">
        <v>0.98615693116859948</v>
      </c>
      <c r="F31" s="568">
        <v>0.99568901842725077</v>
      </c>
      <c r="G31" s="566">
        <v>1.0136542429576465</v>
      </c>
      <c r="H31" s="566">
        <v>0.89098204401653225</v>
      </c>
      <c r="I31" s="566">
        <v>0.89176758616171758</v>
      </c>
      <c r="J31" s="566">
        <v>0.92886726014063936</v>
      </c>
      <c r="K31" s="566">
        <v>0.94540556968503597</v>
      </c>
      <c r="L31" s="566">
        <v>1.0015245234481418</v>
      </c>
      <c r="M31" s="566"/>
      <c r="N31" s="566"/>
      <c r="O31" s="566"/>
      <c r="P31" s="566"/>
      <c r="Q31" s="566"/>
    </row>
    <row r="32" spans="1:17" ht="25.5" customHeight="1">
      <c r="A32" s="282">
        <v>27</v>
      </c>
      <c r="B32" s="371" t="s">
        <v>41</v>
      </c>
      <c r="C32" s="566">
        <v>1.1478783378156627</v>
      </c>
      <c r="D32" s="566">
        <v>1.2251047640026744</v>
      </c>
      <c r="E32" s="566">
        <v>1.3520213889698882</v>
      </c>
      <c r="F32" s="568">
        <v>1.2781938812532287</v>
      </c>
      <c r="G32" s="566">
        <v>1.2160714547158424</v>
      </c>
      <c r="H32" s="566">
        <v>1.1346786317816742</v>
      </c>
      <c r="I32" s="566">
        <v>1.2320210895788422</v>
      </c>
      <c r="J32" s="566">
        <v>1.4236269218525228</v>
      </c>
      <c r="K32" s="566">
        <v>1.423375868243161</v>
      </c>
      <c r="L32" s="566">
        <v>1.4830703423149054</v>
      </c>
      <c r="M32" s="566"/>
      <c r="N32" s="566"/>
      <c r="O32" s="566"/>
      <c r="P32" s="566"/>
      <c r="Q32" s="566"/>
    </row>
    <row r="33" spans="1:17" ht="25.5" customHeight="1">
      <c r="A33" s="282">
        <v>28</v>
      </c>
      <c r="B33" s="371" t="s">
        <v>42</v>
      </c>
      <c r="C33" s="566">
        <v>0.91246637022119403</v>
      </c>
      <c r="D33" s="566">
        <v>0.93078462962084196</v>
      </c>
      <c r="E33" s="566">
        <v>1.0278601881280081</v>
      </c>
      <c r="F33" s="568">
        <v>1.0155160572000941</v>
      </c>
      <c r="G33" s="566">
        <v>0.99806029138468644</v>
      </c>
      <c r="H33" s="566">
        <v>0.85669295167067805</v>
      </c>
      <c r="I33" s="566">
        <v>0.91178615445316702</v>
      </c>
      <c r="J33" s="566">
        <v>0.96086596593993778</v>
      </c>
      <c r="K33" s="566">
        <v>1.0141137893188441</v>
      </c>
      <c r="L33" s="566">
        <v>0.98574805895189943</v>
      </c>
      <c r="M33" s="566">
        <v>0.84930131658338837</v>
      </c>
      <c r="N33" s="566">
        <v>0.89097327458022535</v>
      </c>
      <c r="O33" s="566">
        <v>0.94823092770284156</v>
      </c>
      <c r="P33" s="566">
        <v>1.0212262947857789</v>
      </c>
      <c r="Q33" s="566">
        <v>1.0410417236143648</v>
      </c>
    </row>
    <row r="34" spans="1:17" ht="25.5" customHeight="1">
      <c r="A34" s="282">
        <v>29</v>
      </c>
      <c r="B34" s="371" t="s">
        <v>43</v>
      </c>
      <c r="C34" s="566">
        <v>1.2498303391648882</v>
      </c>
      <c r="D34" s="566">
        <v>1.2627559837540865</v>
      </c>
      <c r="E34" s="566">
        <v>1.0430596337897315</v>
      </c>
      <c r="F34" s="568">
        <v>0.84717868892452097</v>
      </c>
      <c r="G34" s="566">
        <v>1.2130655786012292</v>
      </c>
      <c r="H34" s="566">
        <v>0.93467302503797633</v>
      </c>
      <c r="I34" s="566">
        <v>0.75611019069964147</v>
      </c>
      <c r="J34" s="566">
        <v>0.83872011474278829</v>
      </c>
      <c r="K34" s="566">
        <v>0.89633588742509962</v>
      </c>
      <c r="L34" s="566">
        <v>0.88888191203881173</v>
      </c>
      <c r="M34" s="566">
        <v>1.5886253483372419</v>
      </c>
      <c r="N34" s="566">
        <v>1.3722023497277642</v>
      </c>
      <c r="O34" s="566">
        <v>1.5803905708081876</v>
      </c>
      <c r="P34" s="566">
        <v>1.5570945781731194</v>
      </c>
      <c r="Q34" s="566">
        <v>1.446600142886846</v>
      </c>
    </row>
    <row r="35" spans="1:17" ht="25.5" customHeight="1">
      <c r="A35" s="282">
        <v>30</v>
      </c>
      <c r="B35" s="371" t="s">
        <v>44</v>
      </c>
      <c r="C35" s="566">
        <v>0.99083029072001927</v>
      </c>
      <c r="D35" s="566">
        <v>1.031004534642733</v>
      </c>
      <c r="E35" s="566">
        <v>1.0202838352466839</v>
      </c>
      <c r="F35" s="568">
        <v>1.0377507980906777</v>
      </c>
      <c r="G35" s="566">
        <v>1.0697772733006701</v>
      </c>
      <c r="H35" s="566">
        <v>1.0324102346427451</v>
      </c>
      <c r="I35" s="566">
        <v>1.0677691485689595</v>
      </c>
      <c r="J35" s="566">
        <v>1.0570890880578847</v>
      </c>
      <c r="K35" s="566">
        <v>1.0936979381151468</v>
      </c>
      <c r="L35" s="566">
        <v>1.1225509980198898</v>
      </c>
      <c r="M35" s="566">
        <v>0.64834028569247149</v>
      </c>
      <c r="N35" s="566">
        <v>0.8171325480770153</v>
      </c>
      <c r="O35" s="566">
        <v>0.79028671577151066</v>
      </c>
      <c r="P35" s="566">
        <v>0.90576708375340698</v>
      </c>
      <c r="Q35" s="566">
        <v>0.89179920219053621</v>
      </c>
    </row>
    <row r="36" spans="1:17" ht="25.5" customHeight="1">
      <c r="A36" s="282">
        <v>31</v>
      </c>
      <c r="B36" s="371" t="s">
        <v>142</v>
      </c>
      <c r="C36" s="566">
        <v>0.93793409733767019</v>
      </c>
      <c r="D36" s="566">
        <v>0.98232684145138915</v>
      </c>
      <c r="E36" s="566">
        <v>1.0945339416791491</v>
      </c>
      <c r="F36" s="568">
        <v>1.1300453614374897</v>
      </c>
      <c r="G36" s="566">
        <v>1.0946328265941014</v>
      </c>
      <c r="H36" s="566">
        <v>1.0107293797554919</v>
      </c>
      <c r="I36" s="566">
        <v>1.1310963477592801</v>
      </c>
      <c r="J36" s="566">
        <v>1.2643673354425642</v>
      </c>
      <c r="K36" s="566">
        <v>1.3102852395420206</v>
      </c>
      <c r="L36" s="566">
        <v>1.2368002122332218</v>
      </c>
      <c r="M36" s="566">
        <v>0.8073834425421087</v>
      </c>
      <c r="N36" s="566">
        <v>0.87974848222052571</v>
      </c>
      <c r="O36" s="566">
        <v>0.94468709152037555</v>
      </c>
      <c r="P36" s="566">
        <v>0.99317989786422523</v>
      </c>
      <c r="Q36" s="566">
        <v>0.97386352102584839</v>
      </c>
    </row>
    <row r="37" spans="1:17" ht="30.75" customHeight="1">
      <c r="A37" s="282">
        <v>32</v>
      </c>
      <c r="B37" s="371" t="s">
        <v>998</v>
      </c>
      <c r="C37" s="566">
        <v>1.6233707752803126</v>
      </c>
      <c r="D37" s="566">
        <v>1.8420825674291845</v>
      </c>
      <c r="E37" s="566">
        <v>1.8555145588083684</v>
      </c>
      <c r="F37" s="568">
        <v>1.9461163503775543</v>
      </c>
      <c r="G37" s="566">
        <v>1.9682493977189939</v>
      </c>
      <c r="H37" s="566">
        <v>1.6070724980299451</v>
      </c>
      <c r="I37" s="566">
        <v>1.3715005987269175</v>
      </c>
      <c r="J37" s="566">
        <v>1.4065358944034365</v>
      </c>
      <c r="K37" s="566">
        <v>1.4260504408649821</v>
      </c>
      <c r="L37" s="566">
        <v>1.3460422405876953</v>
      </c>
      <c r="M37" s="566">
        <v>0.7988115798597637</v>
      </c>
      <c r="N37" s="566">
        <v>1.0139618045079173</v>
      </c>
      <c r="O37" s="566">
        <v>1.0665140273975193</v>
      </c>
      <c r="P37" s="566">
        <v>1.2728541206231143</v>
      </c>
      <c r="Q37" s="566">
        <v>1.1980968242742782</v>
      </c>
    </row>
    <row r="38" spans="1:17" ht="25.5" customHeight="1">
      <c r="A38" s="282">
        <v>33</v>
      </c>
      <c r="B38" s="371" t="s">
        <v>45</v>
      </c>
      <c r="C38" s="566">
        <v>0.81456798758850535</v>
      </c>
      <c r="D38" s="566">
        <v>0.82564094931572773</v>
      </c>
      <c r="E38" s="566">
        <v>0.86357435702919361</v>
      </c>
      <c r="F38" s="568">
        <v>0.83907802347075988</v>
      </c>
      <c r="G38" s="566">
        <v>0.92139677660627295</v>
      </c>
      <c r="H38" s="566">
        <v>0.77675101573823002</v>
      </c>
      <c r="I38" s="566">
        <v>0.83607146004897359</v>
      </c>
      <c r="J38" s="566">
        <v>0.8470275516348944</v>
      </c>
      <c r="K38" s="566">
        <v>0.78935689538510367</v>
      </c>
      <c r="L38" s="566">
        <v>0.93675015567570608</v>
      </c>
      <c r="M38" s="566">
        <v>0.84016035458336691</v>
      </c>
      <c r="N38" s="566">
        <v>0.74644829127183121</v>
      </c>
      <c r="O38" s="566">
        <v>0.80970675001752757</v>
      </c>
      <c r="P38" s="566">
        <v>0.72115536734546759</v>
      </c>
      <c r="Q38" s="566">
        <v>0.88696127689049553</v>
      </c>
    </row>
    <row r="39" spans="1:17" ht="25.5" customHeight="1">
      <c r="A39" s="282">
        <v>34</v>
      </c>
      <c r="B39" s="371" t="s">
        <v>47</v>
      </c>
      <c r="C39" s="566">
        <v>1.0456400485569335</v>
      </c>
      <c r="D39" s="566">
        <v>1.087716037272066</v>
      </c>
      <c r="E39" s="566">
        <v>1.1729102700067207</v>
      </c>
      <c r="F39" s="568">
        <v>1.1795150154417295</v>
      </c>
      <c r="G39" s="566">
        <v>1.0873426582234205</v>
      </c>
      <c r="H39" s="566">
        <v>1.039655691670855</v>
      </c>
      <c r="I39" s="566">
        <v>1.0903998330711315</v>
      </c>
      <c r="J39" s="566">
        <v>1.2420032894972481</v>
      </c>
      <c r="K39" s="566">
        <v>1.2372965412050614</v>
      </c>
      <c r="L39" s="566">
        <v>1.1829860938832608</v>
      </c>
      <c r="M39" s="566">
        <v>0.77044540491275104</v>
      </c>
      <c r="N39" s="566">
        <v>0.88691857195593615</v>
      </c>
      <c r="O39" s="566">
        <v>0.99886825693584969</v>
      </c>
      <c r="P39" s="566">
        <v>1.064654138298752</v>
      </c>
      <c r="Q39" s="566">
        <v>1.1109582211518858</v>
      </c>
    </row>
    <row r="40" spans="1:17" ht="25.5" customHeight="1">
      <c r="A40" s="282">
        <v>35</v>
      </c>
      <c r="B40" s="371" t="s">
        <v>46</v>
      </c>
      <c r="C40" s="566">
        <v>1.0047066906129023</v>
      </c>
      <c r="D40" s="566">
        <v>1.0312727926344081</v>
      </c>
      <c r="E40" s="566">
        <v>1.0317215127786867</v>
      </c>
      <c r="F40" s="568">
        <v>1.0800809986620756</v>
      </c>
      <c r="G40" s="566">
        <v>1.1430023549515391</v>
      </c>
      <c r="H40" s="566">
        <v>1.0106384141994236</v>
      </c>
      <c r="I40" s="566">
        <v>1.0438575272025885</v>
      </c>
      <c r="J40" s="566">
        <v>1.0835592182595466</v>
      </c>
      <c r="K40" s="566">
        <v>1.1385245754192548</v>
      </c>
      <c r="L40" s="566">
        <v>1.2513178111001544</v>
      </c>
      <c r="M40" s="566">
        <v>1.0431830371795916</v>
      </c>
      <c r="N40" s="566">
        <v>1.0433020870538592</v>
      </c>
      <c r="O40" s="566">
        <v>1.0556264124090375</v>
      </c>
      <c r="P40" s="566">
        <v>1.0456722909736573</v>
      </c>
      <c r="Q40" s="566">
        <v>1.1147725056730449</v>
      </c>
    </row>
    <row r="41" spans="1:17" ht="25.5" customHeight="1">
      <c r="A41" s="282">
        <v>36</v>
      </c>
      <c r="B41" s="371" t="s">
        <v>48</v>
      </c>
      <c r="C41" s="566">
        <v>0.94891685751675769</v>
      </c>
      <c r="D41" s="566">
        <v>0.9711871554259921</v>
      </c>
      <c r="E41" s="566">
        <v>1.0414284739676567</v>
      </c>
      <c r="F41" s="568">
        <v>1.0774920045537444</v>
      </c>
      <c r="G41" s="566">
        <v>1.097136785417437</v>
      </c>
      <c r="H41" s="566">
        <v>0.85911435353884791</v>
      </c>
      <c r="I41" s="566">
        <v>0.91539564779105231</v>
      </c>
      <c r="J41" s="566">
        <v>0.98399422439770223</v>
      </c>
      <c r="K41" s="566">
        <v>1.0299374158540586</v>
      </c>
      <c r="L41" s="566">
        <v>1.0465469905167748</v>
      </c>
      <c r="M41" s="566">
        <v>0.84173727341141058</v>
      </c>
      <c r="N41" s="566">
        <v>0.89180225498425503</v>
      </c>
      <c r="O41" s="566">
        <v>0.96830132086647991</v>
      </c>
      <c r="P41" s="566">
        <v>1.0158238146383347</v>
      </c>
      <c r="Q41" s="566">
        <v>1.0293826563986388</v>
      </c>
    </row>
  </sheetData>
  <mergeCells count="8">
    <mergeCell ref="A2:A3"/>
    <mergeCell ref="C1:G1"/>
    <mergeCell ref="H1:L1"/>
    <mergeCell ref="M1:Q1"/>
    <mergeCell ref="B2:B3"/>
    <mergeCell ref="C2:G2"/>
    <mergeCell ref="H2:L2"/>
    <mergeCell ref="M2:Q2"/>
  </mergeCells>
  <printOptions horizontalCentered="1"/>
  <pageMargins left="0.31496062992126" right="0.511811023622047" top="0.43307086614173201" bottom="0.511811023622047" header="0.27559055118110198" footer="0.23622047244094499"/>
  <pageSetup paperSize="9" scale="73" firstPageNumber="2" pageOrder="overThenDown" orientation="portrait" useFirstPageNumber="1" r:id="rId1"/>
  <headerFooter alignWithMargins="0">
    <oddFooter>&amp;LAISHE 2020-21&amp;CT-48</oddFooter>
  </headerFooter>
  <colBreaks count="2" manualBreakCount="2">
    <brk id="7" max="40" man="1"/>
    <brk id="12" max="40" man="1"/>
  </colBreaks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00B050"/>
  </sheetPr>
  <dimension ref="A1:H223"/>
  <sheetViews>
    <sheetView view="pageBreakPreview" topLeftCell="A188" zoomScale="50" zoomScaleSheetLayoutView="50" workbookViewId="0">
      <selection activeCell="H189" sqref="H189"/>
    </sheetView>
  </sheetViews>
  <sheetFormatPr defaultColWidth="9.1796875" defaultRowHeight="14"/>
  <cols>
    <col min="1" max="1" width="4.26953125" style="427" bestFit="1" customWidth="1"/>
    <col min="2" max="2" width="32" style="376" customWidth="1"/>
    <col min="3" max="8" width="17.81640625" style="376" customWidth="1"/>
    <col min="9" max="9" width="31.1796875" style="376" customWidth="1"/>
    <col min="10" max="10" width="12.7265625" style="376" customWidth="1"/>
    <col min="11" max="11" width="34" style="376" customWidth="1"/>
    <col min="12" max="16384" width="9.1796875" style="376"/>
  </cols>
  <sheetData>
    <row r="1" spans="1:8" s="375" customFormat="1" ht="22.9" customHeight="1">
      <c r="A1" s="427"/>
      <c r="B1" s="373" t="s">
        <v>324</v>
      </c>
      <c r="C1" s="906" t="s">
        <v>325</v>
      </c>
      <c r="D1" s="906"/>
      <c r="E1" s="906"/>
      <c r="F1" s="906"/>
      <c r="G1" s="906"/>
      <c r="H1" s="906"/>
    </row>
    <row r="2" spans="1:8" ht="28.5" customHeight="1">
      <c r="A2" s="1193" t="s">
        <v>1050</v>
      </c>
      <c r="B2" s="1190" t="s">
        <v>236</v>
      </c>
      <c r="C2" s="1191" t="s">
        <v>326</v>
      </c>
      <c r="D2" s="1192"/>
      <c r="E2" s="1191" t="s">
        <v>327</v>
      </c>
      <c r="F2" s="1192"/>
      <c r="G2" s="1191" t="s">
        <v>328</v>
      </c>
      <c r="H2" s="1192"/>
    </row>
    <row r="3" spans="1:8" s="378" customFormat="1" ht="27" customHeight="1">
      <c r="A3" s="1193"/>
      <c r="B3" s="1190"/>
      <c r="C3" s="377" t="s">
        <v>329</v>
      </c>
      <c r="D3" s="377" t="s">
        <v>330</v>
      </c>
      <c r="E3" s="377" t="s">
        <v>329</v>
      </c>
      <c r="F3" s="377" t="s">
        <v>330</v>
      </c>
      <c r="G3" s="377" t="s">
        <v>329</v>
      </c>
      <c r="H3" s="377" t="s">
        <v>330</v>
      </c>
    </row>
    <row r="4" spans="1:8" s="378" customFormat="1" ht="12.5">
      <c r="A4" s="379">
        <v>1</v>
      </c>
      <c r="B4" s="380">
        <v>2</v>
      </c>
      <c r="C4" s="379">
        <v>3</v>
      </c>
      <c r="D4" s="380">
        <v>4</v>
      </c>
      <c r="E4" s="379">
        <v>5</v>
      </c>
      <c r="F4" s="380">
        <v>6</v>
      </c>
      <c r="G4" s="379">
        <v>7</v>
      </c>
      <c r="H4" s="379">
        <v>8</v>
      </c>
    </row>
    <row r="5" spans="1:8" ht="15" customHeight="1">
      <c r="A5" s="909"/>
      <c r="B5" s="381" t="s">
        <v>302</v>
      </c>
      <c r="C5" s="382"/>
      <c r="D5" s="382"/>
      <c r="E5" s="382"/>
      <c r="F5" s="382"/>
      <c r="G5" s="382"/>
      <c r="H5" s="383"/>
    </row>
    <row r="6" spans="1:8" ht="15" customHeight="1">
      <c r="A6" s="909"/>
      <c r="B6" s="384" t="s">
        <v>997</v>
      </c>
      <c r="C6" s="120">
        <v>26.6788172036078</v>
      </c>
      <c r="D6" s="120">
        <v>23.731255842740818</v>
      </c>
      <c r="E6" s="120">
        <v>26.898640291319836</v>
      </c>
      <c r="F6" s="120">
        <v>24</v>
      </c>
      <c r="G6" s="120">
        <v>38.250026479572597</v>
      </c>
      <c r="H6" s="120">
        <v>18.881608771729137</v>
      </c>
    </row>
    <row r="7" spans="1:8" ht="15" customHeight="1">
      <c r="A7" s="909"/>
      <c r="B7" s="384" t="s">
        <v>301</v>
      </c>
      <c r="C7" s="120">
        <v>25.6369658239065</v>
      </c>
      <c r="D7" s="120">
        <v>22.785018321451666</v>
      </c>
      <c r="E7" s="120">
        <v>32</v>
      </c>
      <c r="F7" s="120">
        <v>28</v>
      </c>
      <c r="G7" s="120">
        <v>38</v>
      </c>
      <c r="H7" s="120">
        <v>18</v>
      </c>
    </row>
    <row r="8" spans="1:8" ht="15" customHeight="1">
      <c r="A8" s="909"/>
      <c r="B8" s="384" t="s">
        <v>300</v>
      </c>
      <c r="C8" s="121">
        <v>26.406421242971998</v>
      </c>
      <c r="D8" s="121">
        <v>23.599454634932314</v>
      </c>
      <c r="E8" s="121">
        <v>33</v>
      </c>
      <c r="F8" s="121">
        <v>29</v>
      </c>
      <c r="G8" s="121">
        <v>39</v>
      </c>
      <c r="H8" s="121">
        <v>18</v>
      </c>
    </row>
    <row r="9" spans="1:8" ht="15" customHeight="1">
      <c r="A9" s="909"/>
      <c r="B9" s="384" t="s">
        <v>299</v>
      </c>
      <c r="C9" s="121">
        <v>28.520906774609401</v>
      </c>
      <c r="D9" s="121">
        <v>25.382881236666371</v>
      </c>
      <c r="E9" s="121">
        <v>34</v>
      </c>
      <c r="F9" s="121">
        <v>30</v>
      </c>
      <c r="G9" s="121">
        <v>46</v>
      </c>
      <c r="H9" s="121">
        <v>20</v>
      </c>
    </row>
    <row r="10" spans="1:8" ht="15" customHeight="1">
      <c r="A10" s="909"/>
      <c r="B10" s="384" t="s">
        <v>298</v>
      </c>
      <c r="C10" s="121">
        <v>26.143118321611144</v>
      </c>
      <c r="D10" s="121">
        <v>23.148666042850053</v>
      </c>
      <c r="E10" s="121">
        <v>27.839233536561014</v>
      </c>
      <c r="F10" s="121">
        <v>25</v>
      </c>
      <c r="G10" s="121">
        <v>26</v>
      </c>
      <c r="H10" s="121">
        <v>19.196706517843428</v>
      </c>
    </row>
    <row r="11" spans="1:8" ht="15" customHeight="1">
      <c r="A11" s="907">
        <v>1</v>
      </c>
      <c r="B11" s="381" t="s">
        <v>171</v>
      </c>
      <c r="C11" s="382"/>
      <c r="D11" s="382"/>
      <c r="E11" s="382"/>
      <c r="F11" s="382"/>
      <c r="G11" s="382"/>
      <c r="H11" s="383"/>
    </row>
    <row r="12" spans="1:8" ht="15" customHeight="1">
      <c r="A12" s="907"/>
      <c r="B12" s="384" t="s">
        <v>997</v>
      </c>
      <c r="C12" s="120">
        <v>26.401766004415013</v>
      </c>
      <c r="D12" s="120">
        <v>17.068432671081677</v>
      </c>
      <c r="E12" s="120">
        <v>26.9</v>
      </c>
      <c r="F12" s="120">
        <v>17</v>
      </c>
      <c r="G12" s="120"/>
      <c r="H12" s="120"/>
    </row>
    <row r="13" spans="1:8" ht="15" customHeight="1">
      <c r="A13" s="907"/>
      <c r="B13" s="384" t="s">
        <v>301</v>
      </c>
      <c r="C13" s="120">
        <v>21.881209503239742</v>
      </c>
      <c r="D13" s="120">
        <v>13.025917926565874</v>
      </c>
      <c r="E13" s="120">
        <v>22</v>
      </c>
      <c r="F13" s="120">
        <v>13</v>
      </c>
      <c r="G13" s="120" t="s">
        <v>191</v>
      </c>
      <c r="H13" s="120" t="s">
        <v>191</v>
      </c>
    </row>
    <row r="14" spans="1:8" ht="15" customHeight="1">
      <c r="A14" s="907"/>
      <c r="B14" s="384" t="s">
        <v>300</v>
      </c>
      <c r="C14" s="121">
        <v>25.188183807439824</v>
      </c>
      <c r="D14" s="121">
        <v>16.312910284463896</v>
      </c>
      <c r="E14" s="121">
        <v>26</v>
      </c>
      <c r="F14" s="121">
        <v>17</v>
      </c>
      <c r="G14" s="121">
        <v>467</v>
      </c>
      <c r="H14" s="121">
        <v>16</v>
      </c>
    </row>
    <row r="15" spans="1:8" ht="15" customHeight="1">
      <c r="A15" s="907"/>
      <c r="B15" s="385" t="s">
        <v>299</v>
      </c>
      <c r="C15" s="121">
        <v>28.961748633879782</v>
      </c>
      <c r="D15" s="121">
        <v>18.084699453551913</v>
      </c>
      <c r="E15" s="121">
        <v>30</v>
      </c>
      <c r="F15" s="121">
        <v>19</v>
      </c>
      <c r="G15" s="121">
        <v>456</v>
      </c>
      <c r="H15" s="121">
        <v>14</v>
      </c>
    </row>
    <row r="16" spans="1:8" ht="15" customHeight="1">
      <c r="A16" s="907"/>
      <c r="B16" s="384" t="s">
        <v>298</v>
      </c>
      <c r="C16" s="121">
        <v>31.932352941176472</v>
      </c>
      <c r="D16" s="121">
        <v>19.05</v>
      </c>
      <c r="E16" s="121">
        <v>34.79807692307692</v>
      </c>
      <c r="F16" s="121">
        <v>20.275641025641026</v>
      </c>
      <c r="G16" s="121">
        <v>438</v>
      </c>
      <c r="H16" s="121">
        <v>15.1</v>
      </c>
    </row>
    <row r="17" spans="1:8" ht="15" customHeight="1">
      <c r="A17" s="907">
        <v>2</v>
      </c>
      <c r="B17" s="381" t="s">
        <v>15</v>
      </c>
      <c r="C17" s="382"/>
      <c r="D17" s="382"/>
      <c r="E17" s="382"/>
      <c r="F17" s="382"/>
      <c r="G17" s="382"/>
      <c r="H17" s="383"/>
    </row>
    <row r="18" spans="1:8" ht="15" customHeight="1">
      <c r="A18" s="907"/>
      <c r="B18" s="384" t="s">
        <v>997</v>
      </c>
      <c r="C18" s="120">
        <v>19.080828752972362</v>
      </c>
      <c r="D18" s="120">
        <v>17.590067438506217</v>
      </c>
      <c r="E18" s="120">
        <v>19.09401296063449</v>
      </c>
      <c r="F18" s="120">
        <v>18</v>
      </c>
      <c r="G18" s="120">
        <v>42.904062029857656</v>
      </c>
      <c r="H18" s="120">
        <v>25.201249855340816</v>
      </c>
    </row>
    <row r="19" spans="1:8" ht="15" customHeight="1">
      <c r="A19" s="907"/>
      <c r="B19" s="384" t="s">
        <v>301</v>
      </c>
      <c r="C19" s="120">
        <v>19.021516588628092</v>
      </c>
      <c r="D19" s="120">
        <v>16.368138203475141</v>
      </c>
      <c r="E19" s="120">
        <v>22</v>
      </c>
      <c r="F19" s="120">
        <v>19</v>
      </c>
      <c r="G19" s="120">
        <v>46</v>
      </c>
      <c r="H19" s="120">
        <v>16</v>
      </c>
    </row>
    <row r="20" spans="1:8" ht="15" customHeight="1">
      <c r="A20" s="907"/>
      <c r="B20" s="384" t="s">
        <v>300</v>
      </c>
      <c r="C20" s="121">
        <v>17.714943962655184</v>
      </c>
      <c r="D20" s="121">
        <v>15.857270770035614</v>
      </c>
      <c r="E20" s="121">
        <v>20</v>
      </c>
      <c r="F20" s="121">
        <v>18</v>
      </c>
      <c r="G20" s="121">
        <v>39</v>
      </c>
      <c r="H20" s="121">
        <v>16</v>
      </c>
    </row>
    <row r="21" spans="1:8" ht="15" customHeight="1">
      <c r="A21" s="907"/>
      <c r="B21" s="385" t="s">
        <v>299</v>
      </c>
      <c r="C21" s="121">
        <v>18.808740839540917</v>
      </c>
      <c r="D21" s="121">
        <v>17.570606551705282</v>
      </c>
      <c r="E21" s="121">
        <v>20</v>
      </c>
      <c r="F21" s="121">
        <v>19</v>
      </c>
      <c r="G21" s="121">
        <v>47</v>
      </c>
      <c r="H21" s="121">
        <v>27</v>
      </c>
    </row>
    <row r="22" spans="1:8" ht="15" customHeight="1">
      <c r="A22" s="907"/>
      <c r="B22" s="384" t="s">
        <v>298</v>
      </c>
      <c r="C22" s="386">
        <v>18.030210118135088</v>
      </c>
      <c r="D22" s="386">
        <v>14.975180609412732</v>
      </c>
      <c r="E22" s="386">
        <v>18.578606503282963</v>
      </c>
      <c r="F22" s="386">
        <v>13.959027303945145</v>
      </c>
      <c r="G22" s="386">
        <v>47.410200590887889</v>
      </c>
      <c r="H22" s="386">
        <v>16.809205411289067</v>
      </c>
    </row>
    <row r="23" spans="1:8" ht="15" customHeight="1">
      <c r="A23" s="907">
        <v>3</v>
      </c>
      <c r="B23" s="381" t="s">
        <v>16</v>
      </c>
      <c r="C23" s="382"/>
      <c r="D23" s="382"/>
      <c r="E23" s="382"/>
      <c r="F23" s="382"/>
      <c r="G23" s="382"/>
      <c r="H23" s="383"/>
    </row>
    <row r="24" spans="1:8" ht="15" customHeight="1">
      <c r="A24" s="907"/>
      <c r="B24" s="384" t="s">
        <v>997</v>
      </c>
      <c r="C24" s="120">
        <v>27.593330245484019</v>
      </c>
      <c r="D24" s="120">
        <v>22.529874942102825</v>
      </c>
      <c r="E24" s="120">
        <v>28.904244817374135</v>
      </c>
      <c r="F24" s="120">
        <v>24</v>
      </c>
      <c r="G24" s="120">
        <v>32.673094582185492</v>
      </c>
      <c r="H24" s="120">
        <v>22.634527089072545</v>
      </c>
    </row>
    <row r="25" spans="1:8" ht="15" customHeight="1">
      <c r="A25" s="907"/>
      <c r="B25" s="384" t="s">
        <v>301</v>
      </c>
      <c r="C25" s="120">
        <v>27.852295409181636</v>
      </c>
      <c r="D25" s="120">
        <v>19.83882235528942</v>
      </c>
      <c r="E25" s="120">
        <v>63</v>
      </c>
      <c r="F25" s="120">
        <v>45</v>
      </c>
      <c r="G25" s="120">
        <v>33</v>
      </c>
      <c r="H25" s="120">
        <v>18</v>
      </c>
    </row>
    <row r="26" spans="1:8" ht="15" customHeight="1">
      <c r="A26" s="907"/>
      <c r="B26" s="384" t="s">
        <v>300</v>
      </c>
      <c r="C26" s="121">
        <v>31.361702127659573</v>
      </c>
      <c r="D26" s="121">
        <v>22.472074468085108</v>
      </c>
      <c r="E26" s="121">
        <v>63</v>
      </c>
      <c r="F26" s="121">
        <v>45</v>
      </c>
      <c r="G26" s="121">
        <v>36</v>
      </c>
      <c r="H26" s="121">
        <v>17</v>
      </c>
    </row>
    <row r="27" spans="1:8" ht="15" customHeight="1">
      <c r="A27" s="907"/>
      <c r="B27" s="385" t="s">
        <v>299</v>
      </c>
      <c r="C27" s="121">
        <v>42.644986389776882</v>
      </c>
      <c r="D27" s="121">
        <v>29.388921699749929</v>
      </c>
      <c r="E27" s="121">
        <v>88</v>
      </c>
      <c r="F27" s="121">
        <v>60</v>
      </c>
      <c r="G27" s="121">
        <v>45</v>
      </c>
      <c r="H27" s="121">
        <v>17</v>
      </c>
    </row>
    <row r="28" spans="1:8" ht="15" customHeight="1">
      <c r="A28" s="907"/>
      <c r="B28" s="384" t="s">
        <v>298</v>
      </c>
      <c r="C28" s="386">
        <v>41.097969991173876</v>
      </c>
      <c r="D28" s="386">
        <v>26.719329214474847</v>
      </c>
      <c r="E28" s="386">
        <v>43.643939393939391</v>
      </c>
      <c r="F28" s="386">
        <v>20.414772727272727</v>
      </c>
      <c r="G28" s="386">
        <v>27.288107202680067</v>
      </c>
      <c r="H28" s="386">
        <v>13.800670016750418</v>
      </c>
    </row>
    <row r="29" spans="1:8" ht="15" customHeight="1">
      <c r="A29" s="907">
        <v>4</v>
      </c>
      <c r="B29" s="381" t="s">
        <v>17</v>
      </c>
      <c r="C29" s="382"/>
      <c r="D29" s="382"/>
      <c r="E29" s="382"/>
      <c r="F29" s="382"/>
      <c r="G29" s="382"/>
      <c r="H29" s="383"/>
    </row>
    <row r="30" spans="1:8" ht="15" customHeight="1">
      <c r="A30" s="907"/>
      <c r="B30" s="384" t="s">
        <v>997</v>
      </c>
      <c r="C30" s="120">
        <v>29.433310445455326</v>
      </c>
      <c r="D30" s="120">
        <v>27.291648785511974</v>
      </c>
      <c r="E30" s="120">
        <v>27.060708417016613</v>
      </c>
      <c r="F30" s="120">
        <v>28</v>
      </c>
      <c r="G30" s="120">
        <v>30.736760925449872</v>
      </c>
      <c r="H30" s="120">
        <v>17.907712082262211</v>
      </c>
    </row>
    <row r="31" spans="1:8" ht="15" customHeight="1">
      <c r="A31" s="907"/>
      <c r="B31" s="384" t="s">
        <v>301</v>
      </c>
      <c r="C31" s="120">
        <v>28.188951473136914</v>
      </c>
      <c r="D31" s="120">
        <v>24.427772963604852</v>
      </c>
      <c r="E31" s="120">
        <v>35</v>
      </c>
      <c r="F31" s="120">
        <v>30</v>
      </c>
      <c r="G31" s="120">
        <v>38</v>
      </c>
      <c r="H31" s="120">
        <v>15</v>
      </c>
    </row>
    <row r="32" spans="1:8" ht="15" customHeight="1">
      <c r="A32" s="907"/>
      <c r="B32" s="384" t="s">
        <v>300</v>
      </c>
      <c r="C32" s="121">
        <v>30.643047835791499</v>
      </c>
      <c r="D32" s="616">
        <v>26.254103024202372</v>
      </c>
      <c r="E32" s="121">
        <v>37</v>
      </c>
      <c r="F32" s="121">
        <v>31</v>
      </c>
      <c r="G32" s="121">
        <v>41</v>
      </c>
      <c r="H32" s="121">
        <v>11</v>
      </c>
    </row>
    <row r="33" spans="1:8" ht="15" customHeight="1">
      <c r="A33" s="907"/>
      <c r="B33" s="385" t="s">
        <v>299</v>
      </c>
      <c r="C33" s="121">
        <v>34.384809987503573</v>
      </c>
      <c r="D33" s="121">
        <v>28.858907716619548</v>
      </c>
      <c r="E33" s="121">
        <v>41</v>
      </c>
      <c r="F33" s="121">
        <v>35</v>
      </c>
      <c r="G33" s="121">
        <v>48</v>
      </c>
      <c r="H33" s="121">
        <v>12</v>
      </c>
    </row>
    <row r="34" spans="1:8" ht="15" customHeight="1">
      <c r="A34" s="907"/>
      <c r="B34" s="384" t="s">
        <v>298</v>
      </c>
      <c r="C34" s="386">
        <v>30.217093775071973</v>
      </c>
      <c r="D34" s="386">
        <v>25.761102458822975</v>
      </c>
      <c r="E34" s="386">
        <v>30.943616236162363</v>
      </c>
      <c r="F34" s="386">
        <v>24.406838868388682</v>
      </c>
      <c r="G34" s="386">
        <v>33.73644251626898</v>
      </c>
      <c r="H34" s="386">
        <v>14.296818510484455</v>
      </c>
    </row>
    <row r="35" spans="1:8" ht="15" customHeight="1">
      <c r="A35" s="907">
        <v>5</v>
      </c>
      <c r="B35" s="381" t="s">
        <v>18</v>
      </c>
      <c r="C35" s="382"/>
      <c r="D35" s="382"/>
      <c r="E35" s="382"/>
      <c r="F35" s="382"/>
      <c r="G35" s="382"/>
      <c r="H35" s="383"/>
    </row>
    <row r="36" spans="1:8" ht="15" customHeight="1">
      <c r="A36" s="907"/>
      <c r="B36" s="384" t="s">
        <v>997</v>
      </c>
      <c r="C36" s="120">
        <v>65.565425902690649</v>
      </c>
      <c r="D36" s="120">
        <v>59.445643384915655</v>
      </c>
      <c r="E36" s="120">
        <v>70.044245885531808</v>
      </c>
      <c r="F36" s="120">
        <v>63</v>
      </c>
      <c r="G36" s="120">
        <v>90.301861343404369</v>
      </c>
      <c r="H36" s="120">
        <v>31.093336930132182</v>
      </c>
    </row>
    <row r="37" spans="1:8" ht="15" customHeight="1">
      <c r="A37" s="907"/>
      <c r="B37" s="384" t="s">
        <v>301</v>
      </c>
      <c r="C37" s="120">
        <v>58.736763861202149</v>
      </c>
      <c r="D37" s="120">
        <v>54.179376288137313</v>
      </c>
      <c r="E37" s="120">
        <v>70</v>
      </c>
      <c r="F37" s="120">
        <v>65</v>
      </c>
      <c r="G37" s="120">
        <v>71</v>
      </c>
      <c r="H37" s="120">
        <v>27</v>
      </c>
    </row>
    <row r="38" spans="1:8" ht="15" customHeight="1">
      <c r="A38" s="907"/>
      <c r="B38" s="384" t="s">
        <v>300</v>
      </c>
      <c r="C38" s="121">
        <v>60.756446124763706</v>
      </c>
      <c r="D38" s="121">
        <v>56.471909262759922</v>
      </c>
      <c r="E38" s="121">
        <v>71</v>
      </c>
      <c r="F38" s="121">
        <v>66</v>
      </c>
      <c r="G38" s="121">
        <v>96</v>
      </c>
      <c r="H38" s="121">
        <v>43</v>
      </c>
    </row>
    <row r="39" spans="1:8" ht="15" customHeight="1">
      <c r="A39" s="907"/>
      <c r="B39" s="385" t="s">
        <v>299</v>
      </c>
      <c r="C39" s="121">
        <v>66.866584256765705</v>
      </c>
      <c r="D39" s="121">
        <v>61.439936426647833</v>
      </c>
      <c r="E39" s="121">
        <v>77</v>
      </c>
      <c r="F39" s="121">
        <v>70</v>
      </c>
      <c r="G39" s="121">
        <v>106</v>
      </c>
      <c r="H39" s="121">
        <v>32</v>
      </c>
    </row>
    <row r="40" spans="1:8" ht="15" customHeight="1">
      <c r="A40" s="907"/>
      <c r="B40" s="385" t="s">
        <v>298</v>
      </c>
      <c r="C40" s="386">
        <v>70.258229793774817</v>
      </c>
      <c r="D40" s="386">
        <v>64.50006404508774</v>
      </c>
      <c r="E40" s="386">
        <v>72.868378290542736</v>
      </c>
      <c r="F40" s="386">
        <v>63.229537118714887</v>
      </c>
      <c r="G40" s="386">
        <v>75.769982748706155</v>
      </c>
      <c r="H40" s="386">
        <v>43.615296147211041</v>
      </c>
    </row>
    <row r="41" spans="1:8" ht="15" customHeight="1">
      <c r="A41" s="907">
        <v>6</v>
      </c>
      <c r="B41" s="381" t="s">
        <v>19</v>
      </c>
      <c r="C41" s="382"/>
      <c r="D41" s="382"/>
      <c r="E41" s="382"/>
      <c r="F41" s="382"/>
      <c r="G41" s="382"/>
      <c r="H41" s="383"/>
    </row>
    <row r="42" spans="1:8" ht="15" customHeight="1">
      <c r="A42" s="907"/>
      <c r="B42" s="384" t="s">
        <v>997</v>
      </c>
      <c r="C42" s="120">
        <v>30.156975156975157</v>
      </c>
      <c r="D42" s="120">
        <v>20.26945126945127</v>
      </c>
      <c r="E42" s="120">
        <v>30.919756662804172</v>
      </c>
      <c r="F42" s="120">
        <v>20</v>
      </c>
      <c r="G42" s="120">
        <v>35.90336658354115</v>
      </c>
      <c r="H42" s="120">
        <v>13.32356608478803</v>
      </c>
    </row>
    <row r="43" spans="1:8" ht="15" customHeight="1">
      <c r="A43" s="907"/>
      <c r="B43" s="384" t="s">
        <v>301</v>
      </c>
      <c r="C43" s="120">
        <v>28.338735387885229</v>
      </c>
      <c r="D43" s="120">
        <v>20.299681190223168</v>
      </c>
      <c r="E43" s="120">
        <v>54</v>
      </c>
      <c r="F43" s="120">
        <v>38</v>
      </c>
      <c r="G43" s="120">
        <v>32</v>
      </c>
      <c r="H43" s="120">
        <v>13</v>
      </c>
    </row>
    <row r="44" spans="1:8" ht="15" customHeight="1">
      <c r="A44" s="907"/>
      <c r="B44" s="384" t="s">
        <v>300</v>
      </c>
      <c r="C44" s="121">
        <v>28.031993204983014</v>
      </c>
      <c r="D44" s="121">
        <v>21.093714609286522</v>
      </c>
      <c r="E44" s="121">
        <v>50</v>
      </c>
      <c r="F44" s="121">
        <v>38</v>
      </c>
      <c r="G44" s="121">
        <v>31</v>
      </c>
      <c r="H44" s="121">
        <v>15</v>
      </c>
    </row>
    <row r="45" spans="1:8" ht="15" customHeight="1">
      <c r="A45" s="907"/>
      <c r="B45" s="385" t="s">
        <v>299</v>
      </c>
      <c r="C45" s="121">
        <v>31.108009525033342</v>
      </c>
      <c r="D45" s="121">
        <v>22.270560965362559</v>
      </c>
      <c r="E45" s="121">
        <v>56</v>
      </c>
      <c r="F45" s="121">
        <v>40</v>
      </c>
      <c r="G45" s="121">
        <v>37</v>
      </c>
      <c r="H45" s="121">
        <v>16</v>
      </c>
    </row>
    <row r="46" spans="1:8" ht="15" customHeight="1">
      <c r="A46" s="907"/>
      <c r="B46" s="385" t="s">
        <v>298</v>
      </c>
      <c r="C46" s="386">
        <v>30.756023177798109</v>
      </c>
      <c r="D46" s="386">
        <v>22.474839890210429</v>
      </c>
      <c r="E46" s="386">
        <v>32.433322357589724</v>
      </c>
      <c r="F46" s="386">
        <v>16.163977609483041</v>
      </c>
      <c r="G46" s="386">
        <v>19.244507441530828</v>
      </c>
      <c r="H46" s="386">
        <v>15.773210489014883</v>
      </c>
    </row>
    <row r="47" spans="1:8" ht="15" customHeight="1">
      <c r="A47" s="907">
        <v>7</v>
      </c>
      <c r="B47" s="381" t="s">
        <v>56</v>
      </c>
      <c r="C47" s="382"/>
      <c r="D47" s="382"/>
      <c r="E47" s="382"/>
      <c r="F47" s="382"/>
      <c r="G47" s="382"/>
      <c r="H47" s="383"/>
    </row>
    <row r="48" spans="1:8" ht="15" customHeight="1">
      <c r="A48" s="907"/>
      <c r="B48" s="384" t="s">
        <v>997</v>
      </c>
      <c r="C48" s="120">
        <v>29.244461489870506</v>
      </c>
      <c r="D48" s="120">
        <v>25.554527816631321</v>
      </c>
      <c r="E48" s="120">
        <v>28.181210235452561</v>
      </c>
      <c r="F48" s="120">
        <v>26</v>
      </c>
      <c r="G48" s="120">
        <v>48.452878621195453</v>
      </c>
      <c r="H48" s="120">
        <v>18.463879721305464</v>
      </c>
    </row>
    <row r="49" spans="1:8" ht="15" customHeight="1">
      <c r="A49" s="907"/>
      <c r="B49" s="384" t="s">
        <v>301</v>
      </c>
      <c r="C49" s="120">
        <v>26.372610748819429</v>
      </c>
      <c r="D49" s="120">
        <v>22.668540589161232</v>
      </c>
      <c r="E49" s="120">
        <v>30</v>
      </c>
      <c r="F49" s="120">
        <v>26</v>
      </c>
      <c r="G49" s="120">
        <v>49</v>
      </c>
      <c r="H49" s="120">
        <v>18</v>
      </c>
    </row>
    <row r="50" spans="1:8" ht="15" customHeight="1">
      <c r="A50" s="907"/>
      <c r="B50" s="384" t="s">
        <v>300</v>
      </c>
      <c r="C50" s="121">
        <v>28.450024236548714</v>
      </c>
      <c r="D50" s="121">
        <v>23.38788172564227</v>
      </c>
      <c r="E50" s="121">
        <v>33</v>
      </c>
      <c r="F50" s="121">
        <v>27</v>
      </c>
      <c r="G50" s="121">
        <v>67</v>
      </c>
      <c r="H50" s="121">
        <v>21</v>
      </c>
    </row>
    <row r="51" spans="1:8" ht="15" customHeight="1">
      <c r="A51" s="907"/>
      <c r="B51" s="385" t="s">
        <v>299</v>
      </c>
      <c r="C51" s="121">
        <v>29.269908350305499</v>
      </c>
      <c r="D51" s="121">
        <v>23.113391038696538</v>
      </c>
      <c r="E51" s="121">
        <v>33</v>
      </c>
      <c r="F51" s="121">
        <v>26</v>
      </c>
      <c r="G51" s="121">
        <v>88</v>
      </c>
      <c r="H51" s="121">
        <v>21</v>
      </c>
    </row>
    <row r="52" spans="1:8" ht="15" customHeight="1">
      <c r="A52" s="907"/>
      <c r="B52" s="385" t="s">
        <v>298</v>
      </c>
      <c r="C52" s="386">
        <v>26.836580260827564</v>
      </c>
      <c r="D52" s="386">
        <v>23.008586915687221</v>
      </c>
      <c r="E52" s="386">
        <v>27.524903355930306</v>
      </c>
      <c r="F52" s="386">
        <v>21.58535492184436</v>
      </c>
      <c r="G52" s="386">
        <v>40.642165242165241</v>
      </c>
      <c r="H52" s="386">
        <v>19.765242165242164</v>
      </c>
    </row>
    <row r="53" spans="1:8" ht="15" customHeight="1">
      <c r="A53" s="907">
        <v>8</v>
      </c>
      <c r="B53" s="381" t="s">
        <v>23</v>
      </c>
      <c r="C53" s="382"/>
      <c r="D53" s="382"/>
      <c r="E53" s="382"/>
      <c r="F53" s="382"/>
      <c r="G53" s="382"/>
      <c r="H53" s="383"/>
    </row>
    <row r="54" spans="1:8" ht="15" customHeight="1">
      <c r="A54" s="907"/>
      <c r="B54" s="384" t="s">
        <v>997</v>
      </c>
      <c r="C54" s="120">
        <v>49.944089529246526</v>
      </c>
      <c r="D54" s="120">
        <v>20.459245163336504</v>
      </c>
      <c r="E54" s="120">
        <v>52.852258792367685</v>
      </c>
      <c r="F54" s="120">
        <v>21</v>
      </c>
      <c r="G54" s="120">
        <v>122.76481481481481</v>
      </c>
      <c r="H54" s="120">
        <v>22.338888888888889</v>
      </c>
    </row>
    <row r="55" spans="1:8" ht="15" customHeight="1">
      <c r="A55" s="907"/>
      <c r="B55" s="384" t="s">
        <v>301</v>
      </c>
      <c r="C55" s="120">
        <v>52.05661244370922</v>
      </c>
      <c r="D55" s="120">
        <v>20.74892013601691</v>
      </c>
      <c r="E55" s="120">
        <v>80</v>
      </c>
      <c r="F55" s="120">
        <v>30</v>
      </c>
      <c r="G55" s="120">
        <v>125</v>
      </c>
      <c r="H55" s="120">
        <v>21</v>
      </c>
    </row>
    <row r="56" spans="1:8" ht="15" customHeight="1">
      <c r="A56" s="907"/>
      <c r="B56" s="384" t="s">
        <v>300</v>
      </c>
      <c r="C56" s="121">
        <v>52.189470625272435</v>
      </c>
      <c r="D56" s="121">
        <v>21.06703153000436</v>
      </c>
      <c r="E56" s="121">
        <v>76</v>
      </c>
      <c r="F56" s="121">
        <v>29</v>
      </c>
      <c r="G56" s="121">
        <v>139</v>
      </c>
      <c r="H56" s="121">
        <v>22</v>
      </c>
    </row>
    <row r="57" spans="1:8" ht="15" customHeight="1">
      <c r="A57" s="907"/>
      <c r="B57" s="385" t="s">
        <v>299</v>
      </c>
      <c r="C57" s="121">
        <v>60.781515214711881</v>
      </c>
      <c r="D57" s="121">
        <v>24.451455826863544</v>
      </c>
      <c r="E57" s="121">
        <v>82</v>
      </c>
      <c r="F57" s="121">
        <v>32</v>
      </c>
      <c r="G57" s="121">
        <v>199</v>
      </c>
      <c r="H57" s="121">
        <v>31</v>
      </c>
    </row>
    <row r="58" spans="1:8" ht="15" customHeight="1">
      <c r="A58" s="907"/>
      <c r="B58" s="385" t="s">
        <v>298</v>
      </c>
      <c r="C58" s="386">
        <v>56.872841965471444</v>
      </c>
      <c r="D58" s="386">
        <v>22.058543603364321</v>
      </c>
      <c r="E58" s="386">
        <v>60.883262583383868</v>
      </c>
      <c r="F58" s="386">
        <v>16.203941782898728</v>
      </c>
      <c r="G58" s="386">
        <v>145.53735831598428</v>
      </c>
      <c r="H58" s="386">
        <v>24.891047883414295</v>
      </c>
    </row>
    <row r="59" spans="1:8" ht="15" customHeight="1">
      <c r="A59" s="907">
        <v>9</v>
      </c>
      <c r="B59" s="381" t="s">
        <v>24</v>
      </c>
      <c r="C59" s="382"/>
      <c r="D59" s="382"/>
      <c r="E59" s="382"/>
      <c r="F59" s="382"/>
      <c r="G59" s="382"/>
      <c r="H59" s="383"/>
    </row>
    <row r="60" spans="1:8" ht="15" customHeight="1">
      <c r="A60" s="907"/>
      <c r="B60" s="384" t="s">
        <v>997</v>
      </c>
      <c r="C60" s="120">
        <v>16.948271014900197</v>
      </c>
      <c r="D60" s="120">
        <v>14.996907506325556</v>
      </c>
      <c r="E60" s="120">
        <v>17.062479661568499</v>
      </c>
      <c r="F60" s="120">
        <v>15</v>
      </c>
      <c r="G60" s="120">
        <v>35.812709030100336</v>
      </c>
      <c r="H60" s="120">
        <v>12.59866220735786</v>
      </c>
    </row>
    <row r="61" spans="1:8" ht="15" customHeight="1">
      <c r="A61" s="907"/>
      <c r="B61" s="384" t="s">
        <v>301</v>
      </c>
      <c r="C61" s="120">
        <v>14.504534212695795</v>
      </c>
      <c r="D61" s="120">
        <v>13.153888430887607</v>
      </c>
      <c r="E61" s="120">
        <v>17</v>
      </c>
      <c r="F61" s="120">
        <v>15</v>
      </c>
      <c r="G61" s="120">
        <v>31</v>
      </c>
      <c r="H61" s="120">
        <v>12</v>
      </c>
    </row>
    <row r="62" spans="1:8" ht="15" customHeight="1">
      <c r="A62" s="907"/>
      <c r="B62" s="384" t="s">
        <v>300</v>
      </c>
      <c r="C62" s="121">
        <v>15.997659449970744</v>
      </c>
      <c r="D62" s="121">
        <v>14.521650087770626</v>
      </c>
      <c r="E62" s="121">
        <v>19</v>
      </c>
      <c r="F62" s="121">
        <v>17</v>
      </c>
      <c r="G62" s="121">
        <v>33</v>
      </c>
      <c r="H62" s="121">
        <v>12</v>
      </c>
    </row>
    <row r="63" spans="1:8" ht="15" customHeight="1">
      <c r="A63" s="907"/>
      <c r="B63" s="385" t="s">
        <v>299</v>
      </c>
      <c r="C63" s="121">
        <v>17.182804718110937</v>
      </c>
      <c r="D63" s="121">
        <v>15.192842793569572</v>
      </c>
      <c r="E63" s="121">
        <v>19</v>
      </c>
      <c r="F63" s="121">
        <v>16</v>
      </c>
      <c r="G63" s="121">
        <v>67</v>
      </c>
      <c r="H63" s="121">
        <v>21</v>
      </c>
    </row>
    <row r="64" spans="1:8" ht="15" customHeight="1">
      <c r="A64" s="907"/>
      <c r="B64" s="385" t="s">
        <v>298</v>
      </c>
      <c r="C64" s="386">
        <v>17.788377192982455</v>
      </c>
      <c r="D64" s="386">
        <v>15.558845029239766</v>
      </c>
      <c r="E64" s="386">
        <v>19.79467680608365</v>
      </c>
      <c r="F64" s="386">
        <v>15.537547528517111</v>
      </c>
      <c r="G64" s="386">
        <v>43.262411347517734</v>
      </c>
      <c r="H64" s="386">
        <v>20.26241134751773</v>
      </c>
    </row>
    <row r="65" spans="1:8" ht="15" customHeight="1">
      <c r="A65" s="907">
        <v>10</v>
      </c>
      <c r="B65" s="381" t="s">
        <v>25</v>
      </c>
      <c r="C65" s="382"/>
      <c r="D65" s="382"/>
      <c r="E65" s="382"/>
      <c r="F65" s="382"/>
      <c r="G65" s="382"/>
      <c r="H65" s="383"/>
    </row>
    <row r="66" spans="1:8" ht="15" customHeight="1">
      <c r="A66" s="907"/>
      <c r="B66" s="384" t="s">
        <v>997</v>
      </c>
      <c r="C66" s="120">
        <v>27.005197590957842</v>
      </c>
      <c r="D66" s="120">
        <v>25.565497896213184</v>
      </c>
      <c r="E66" s="120">
        <v>27.649229074889867</v>
      </c>
      <c r="F66" s="120">
        <v>26</v>
      </c>
      <c r="G66" s="120">
        <v>26.530417520491802</v>
      </c>
      <c r="H66" s="120">
        <v>20.943007172131146</v>
      </c>
    </row>
    <row r="67" spans="1:8" ht="15" customHeight="1">
      <c r="A67" s="907"/>
      <c r="B67" s="384" t="s">
        <v>301</v>
      </c>
      <c r="C67" s="120">
        <v>25.581903689474728</v>
      </c>
      <c r="D67" s="120">
        <v>24.536811949393918</v>
      </c>
      <c r="E67" s="120">
        <v>34</v>
      </c>
      <c r="F67" s="120">
        <v>32</v>
      </c>
      <c r="G67" s="120">
        <v>25</v>
      </c>
      <c r="H67" s="120">
        <v>20</v>
      </c>
    </row>
    <row r="68" spans="1:8" ht="15" customHeight="1">
      <c r="A68" s="907"/>
      <c r="B68" s="384" t="s">
        <v>300</v>
      </c>
      <c r="C68" s="121">
        <v>25.692294321124997</v>
      </c>
      <c r="D68" s="121">
        <v>24.443150411097012</v>
      </c>
      <c r="E68" s="121">
        <v>33</v>
      </c>
      <c r="F68" s="121">
        <v>32</v>
      </c>
      <c r="G68" s="121">
        <v>27</v>
      </c>
      <c r="H68" s="121">
        <v>21</v>
      </c>
    </row>
    <row r="69" spans="1:8" ht="15" customHeight="1">
      <c r="A69" s="907"/>
      <c r="B69" s="385" t="s">
        <v>299</v>
      </c>
      <c r="C69" s="121">
        <v>26.781692866225605</v>
      </c>
      <c r="D69" s="121">
        <v>25.578276173451524</v>
      </c>
      <c r="E69" s="121">
        <v>32</v>
      </c>
      <c r="F69" s="121">
        <v>30</v>
      </c>
      <c r="G69" s="121">
        <v>30</v>
      </c>
      <c r="H69" s="121">
        <v>23</v>
      </c>
    </row>
    <row r="70" spans="1:8" ht="15" customHeight="1">
      <c r="A70" s="907"/>
      <c r="B70" s="385" t="s">
        <v>298</v>
      </c>
      <c r="C70" s="386">
        <v>28.349581008302064</v>
      </c>
      <c r="D70" s="386">
        <v>26.79244842805203</v>
      </c>
      <c r="E70" s="386">
        <v>30.286800101342791</v>
      </c>
      <c r="F70" s="386">
        <v>23.944113672831687</v>
      </c>
      <c r="G70" s="386">
        <v>9.8419104035542393</v>
      </c>
      <c r="H70" s="386">
        <v>27.232629890164137</v>
      </c>
    </row>
    <row r="71" spans="1:8" ht="15" customHeight="1">
      <c r="A71" s="907">
        <v>11</v>
      </c>
      <c r="B71" s="381" t="s">
        <v>26</v>
      </c>
      <c r="C71" s="382"/>
      <c r="D71" s="382"/>
      <c r="E71" s="382"/>
      <c r="F71" s="382"/>
      <c r="G71" s="382"/>
      <c r="H71" s="383"/>
    </row>
    <row r="72" spans="1:8" ht="15" customHeight="1">
      <c r="A72" s="907"/>
      <c r="B72" s="384" t="s">
        <v>997</v>
      </c>
      <c r="C72" s="120">
        <v>26.020659262278379</v>
      </c>
      <c r="D72" s="120">
        <v>21.643570409618913</v>
      </c>
      <c r="E72" s="120">
        <v>27.178012840455921</v>
      </c>
      <c r="F72" s="120">
        <v>22</v>
      </c>
      <c r="G72" s="120">
        <v>38.538109219025252</v>
      </c>
      <c r="H72" s="120">
        <v>18.358778625954198</v>
      </c>
    </row>
    <row r="73" spans="1:8" ht="15" customHeight="1">
      <c r="A73" s="907"/>
      <c r="B73" s="384" t="s">
        <v>301</v>
      </c>
      <c r="C73" s="120">
        <v>23.796003160765721</v>
      </c>
      <c r="D73" s="120">
        <v>20.184445973847211</v>
      </c>
      <c r="E73" s="120">
        <v>32</v>
      </c>
      <c r="F73" s="120">
        <v>27</v>
      </c>
      <c r="G73" s="120">
        <v>33</v>
      </c>
      <c r="H73" s="120">
        <v>16</v>
      </c>
    </row>
    <row r="74" spans="1:8" ht="15" customHeight="1">
      <c r="A74" s="907"/>
      <c r="B74" s="384" t="s">
        <v>300</v>
      </c>
      <c r="C74" s="121">
        <v>26.036185777952181</v>
      </c>
      <c r="D74" s="121">
        <v>22.676598368696919</v>
      </c>
      <c r="E74" s="121">
        <v>35</v>
      </c>
      <c r="F74" s="121">
        <v>30</v>
      </c>
      <c r="G74" s="121">
        <v>33</v>
      </c>
      <c r="H74" s="121">
        <v>17</v>
      </c>
    </row>
    <row r="75" spans="1:8" ht="15" customHeight="1">
      <c r="A75" s="907"/>
      <c r="B75" s="385" t="s">
        <v>299</v>
      </c>
      <c r="C75" s="121">
        <v>29.401416796648562</v>
      </c>
      <c r="D75" s="121">
        <v>24.92903363712751</v>
      </c>
      <c r="E75" s="121">
        <v>38</v>
      </c>
      <c r="F75" s="121">
        <v>32</v>
      </c>
      <c r="G75" s="121">
        <v>43</v>
      </c>
      <c r="H75" s="121">
        <v>19</v>
      </c>
    </row>
    <row r="76" spans="1:8" ht="15" customHeight="1">
      <c r="A76" s="907"/>
      <c r="B76" s="385" t="s">
        <v>298</v>
      </c>
      <c r="C76" s="386">
        <v>25.707498680298947</v>
      </c>
      <c r="D76" s="386">
        <v>20.827772066790764</v>
      </c>
      <c r="E76" s="386">
        <v>27.625688421852249</v>
      </c>
      <c r="F76" s="386">
        <v>18.794422991707286</v>
      </c>
      <c r="G76" s="386">
        <v>29.226440226440225</v>
      </c>
      <c r="H76" s="386">
        <v>17.229603729603731</v>
      </c>
    </row>
    <row r="77" spans="1:8" ht="15" customHeight="1">
      <c r="A77" s="907">
        <v>12</v>
      </c>
      <c r="B77" s="381" t="s">
        <v>27</v>
      </c>
      <c r="C77" s="382"/>
      <c r="D77" s="382"/>
      <c r="E77" s="382"/>
      <c r="F77" s="382"/>
      <c r="G77" s="382"/>
      <c r="H77" s="383"/>
    </row>
    <row r="78" spans="1:8" ht="15" customHeight="1">
      <c r="A78" s="907"/>
      <c r="B78" s="384" t="s">
        <v>997</v>
      </c>
      <c r="C78" s="120">
        <v>26.569847470238095</v>
      </c>
      <c r="D78" s="120">
        <v>21.858072916666668</v>
      </c>
      <c r="E78" s="120">
        <v>28.659572237366323</v>
      </c>
      <c r="F78" s="120">
        <v>23</v>
      </c>
      <c r="G78" s="120">
        <v>33.081146408839778</v>
      </c>
      <c r="H78" s="120">
        <v>15.587707182320441</v>
      </c>
    </row>
    <row r="79" spans="1:8" ht="15" customHeight="1">
      <c r="A79" s="907"/>
      <c r="B79" s="384" t="s">
        <v>301</v>
      </c>
      <c r="C79" s="120">
        <v>26.851683517298952</v>
      </c>
      <c r="D79" s="120">
        <v>22.57156107967721</v>
      </c>
      <c r="E79" s="120">
        <v>42</v>
      </c>
      <c r="F79" s="120">
        <v>35</v>
      </c>
      <c r="G79" s="120">
        <v>31</v>
      </c>
      <c r="H79" s="120">
        <v>15</v>
      </c>
    </row>
    <row r="80" spans="1:8" ht="15" customHeight="1">
      <c r="A80" s="907"/>
      <c r="B80" s="384" t="s">
        <v>300</v>
      </c>
      <c r="C80" s="121">
        <v>27.265392373451157</v>
      </c>
      <c r="D80" s="121">
        <v>23.479396791854768</v>
      </c>
      <c r="E80" s="121">
        <v>42</v>
      </c>
      <c r="F80" s="121">
        <v>36</v>
      </c>
      <c r="G80" s="121">
        <v>30</v>
      </c>
      <c r="H80" s="121">
        <v>16</v>
      </c>
    </row>
    <row r="81" spans="1:8" ht="15" customHeight="1">
      <c r="A81" s="907"/>
      <c r="B81" s="385" t="s">
        <v>299</v>
      </c>
      <c r="C81" s="121">
        <v>27.139285362732551</v>
      </c>
      <c r="D81" s="121">
        <v>23.31892902844768</v>
      </c>
      <c r="E81" s="121">
        <v>43</v>
      </c>
      <c r="F81" s="121">
        <v>37</v>
      </c>
      <c r="G81" s="121">
        <v>29</v>
      </c>
      <c r="H81" s="121">
        <v>15</v>
      </c>
    </row>
    <row r="82" spans="1:8" ht="15" customHeight="1">
      <c r="A82" s="907"/>
      <c r="B82" s="385" t="s">
        <v>298</v>
      </c>
      <c r="C82" s="386">
        <v>27.088721804511277</v>
      </c>
      <c r="D82" s="386">
        <v>23.027067669172933</v>
      </c>
      <c r="E82" s="386">
        <v>29.912317571511966</v>
      </c>
      <c r="F82" s="386">
        <v>20.575248102743725</v>
      </c>
      <c r="G82" s="386">
        <v>14.829795021961933</v>
      </c>
      <c r="H82" s="386">
        <v>14.442532942898975</v>
      </c>
    </row>
    <row r="83" spans="1:8" ht="15" customHeight="1">
      <c r="A83" s="907">
        <v>13</v>
      </c>
      <c r="B83" s="381" t="s">
        <v>57</v>
      </c>
      <c r="C83" s="382"/>
      <c r="D83" s="382"/>
      <c r="E83" s="382"/>
      <c r="F83" s="382"/>
      <c r="G83" s="382"/>
      <c r="H83" s="383"/>
    </row>
    <row r="84" spans="1:8" ht="15" customHeight="1">
      <c r="A84" s="907"/>
      <c r="B84" s="384" t="s">
        <v>997</v>
      </c>
      <c r="C84" s="120">
        <v>34.491573033707866</v>
      </c>
      <c r="D84" s="120">
        <v>25.111218398876403</v>
      </c>
      <c r="E84" s="120">
        <v>37.578840284842322</v>
      </c>
      <c r="F84" s="120">
        <v>27</v>
      </c>
      <c r="G84" s="120">
        <v>65.453960595094486</v>
      </c>
      <c r="H84" s="120">
        <v>22.486127864897465</v>
      </c>
    </row>
    <row r="85" spans="1:8" ht="15" customHeight="1">
      <c r="A85" s="907"/>
      <c r="B85" s="384" t="s">
        <v>301</v>
      </c>
      <c r="C85" s="120">
        <v>34.927656567441041</v>
      </c>
      <c r="D85" s="120">
        <v>24.528133557106262</v>
      </c>
      <c r="E85" s="120">
        <v>51</v>
      </c>
      <c r="F85" s="120">
        <v>35</v>
      </c>
      <c r="G85" s="120">
        <v>61</v>
      </c>
      <c r="H85" s="120">
        <v>14</v>
      </c>
    </row>
    <row r="86" spans="1:8" ht="15" customHeight="1">
      <c r="A86" s="907"/>
      <c r="B86" s="384" t="s">
        <v>300</v>
      </c>
      <c r="C86" s="121">
        <v>35.181128369933937</v>
      </c>
      <c r="D86" s="121">
        <v>24.703535083020888</v>
      </c>
      <c r="E86" s="121">
        <v>51</v>
      </c>
      <c r="F86" s="121">
        <v>35</v>
      </c>
      <c r="G86" s="121">
        <v>63</v>
      </c>
      <c r="H86" s="121">
        <v>14</v>
      </c>
    </row>
    <row r="87" spans="1:8" ht="15" customHeight="1">
      <c r="A87" s="907"/>
      <c r="B87" s="385" t="s">
        <v>299</v>
      </c>
      <c r="C87" s="121">
        <v>36.757373326965777</v>
      </c>
      <c r="D87" s="121">
        <v>26.151418144319713</v>
      </c>
      <c r="E87" s="121">
        <v>53</v>
      </c>
      <c r="F87" s="121">
        <v>37</v>
      </c>
      <c r="G87" s="121">
        <v>62</v>
      </c>
      <c r="H87" s="121">
        <v>14</v>
      </c>
    </row>
    <row r="88" spans="1:8" ht="15" customHeight="1">
      <c r="A88" s="907"/>
      <c r="B88" s="385" t="s">
        <v>298</v>
      </c>
      <c r="C88" s="386">
        <v>37.757040679481449</v>
      </c>
      <c r="D88" s="386">
        <v>27.077223960661602</v>
      </c>
      <c r="E88" s="386">
        <v>41.195731324544887</v>
      </c>
      <c r="F88" s="386">
        <v>25.613559322033897</v>
      </c>
      <c r="G88" s="386">
        <v>47.544051767048281</v>
      </c>
      <c r="H88" s="386">
        <v>14.233947237431558</v>
      </c>
    </row>
    <row r="89" spans="1:8" ht="15" customHeight="1">
      <c r="A89" s="907">
        <v>14</v>
      </c>
      <c r="B89" s="381" t="s">
        <v>29</v>
      </c>
      <c r="C89" s="382"/>
      <c r="D89" s="382"/>
      <c r="E89" s="382"/>
      <c r="F89" s="382"/>
      <c r="G89" s="382"/>
      <c r="H89" s="383"/>
    </row>
    <row r="90" spans="1:8" ht="15" customHeight="1">
      <c r="A90" s="907"/>
      <c r="B90" s="384" t="s">
        <v>997</v>
      </c>
      <c r="C90" s="120">
        <v>54.443208675100792</v>
      </c>
      <c r="D90" s="120">
        <v>49.670373974697625</v>
      </c>
      <c r="E90" s="120">
        <v>60.68863728265265</v>
      </c>
      <c r="F90" s="120">
        <v>55</v>
      </c>
      <c r="G90" s="120">
        <v>47.32776617954071</v>
      </c>
      <c r="H90" s="120">
        <v>26.849985087980912</v>
      </c>
    </row>
    <row r="91" spans="1:8" ht="15" customHeight="1">
      <c r="A91" s="907"/>
      <c r="B91" s="384" t="s">
        <v>301</v>
      </c>
      <c r="C91" s="120">
        <v>59.728229105786092</v>
      </c>
      <c r="D91" s="120">
        <v>54.290838690824081</v>
      </c>
      <c r="E91" s="120">
        <v>85</v>
      </c>
      <c r="F91" s="120">
        <v>77</v>
      </c>
      <c r="G91" s="120">
        <v>64</v>
      </c>
      <c r="H91" s="120">
        <v>37</v>
      </c>
    </row>
    <row r="92" spans="1:8" ht="15" customHeight="1">
      <c r="A92" s="907"/>
      <c r="B92" s="384" t="s">
        <v>300</v>
      </c>
      <c r="C92" s="121">
        <v>59.799773572699337</v>
      </c>
      <c r="D92" s="121">
        <v>54.077551350477115</v>
      </c>
      <c r="E92" s="121">
        <v>81</v>
      </c>
      <c r="F92" s="121">
        <v>73</v>
      </c>
      <c r="G92" s="121">
        <v>62</v>
      </c>
      <c r="H92" s="121">
        <v>29</v>
      </c>
    </row>
    <row r="93" spans="1:8" ht="15" customHeight="1">
      <c r="A93" s="907"/>
      <c r="B93" s="385" t="s">
        <v>299</v>
      </c>
      <c r="C93" s="121">
        <v>59.20418091803753</v>
      </c>
      <c r="D93" s="121">
        <v>55.520006586394793</v>
      </c>
      <c r="E93" s="121">
        <v>77</v>
      </c>
      <c r="F93" s="121">
        <v>72</v>
      </c>
      <c r="G93" s="121">
        <v>49</v>
      </c>
      <c r="H93" s="121">
        <v>26</v>
      </c>
    </row>
    <row r="94" spans="1:8" ht="15" customHeight="1">
      <c r="A94" s="907"/>
      <c r="B94" s="385" t="s">
        <v>298</v>
      </c>
      <c r="C94" s="386">
        <v>61.46153141601026</v>
      </c>
      <c r="D94" s="386">
        <v>56.422971240153878</v>
      </c>
      <c r="E94" s="386">
        <v>66.430253994264646</v>
      </c>
      <c r="F94" s="386">
        <v>56.168988119623108</v>
      </c>
      <c r="G94" s="386">
        <v>33.873768472906406</v>
      </c>
      <c r="H94" s="386">
        <v>27.820197044334975</v>
      </c>
    </row>
    <row r="95" spans="1:8" ht="15" customHeight="1">
      <c r="A95" s="907">
        <v>15</v>
      </c>
      <c r="B95" s="381" t="s">
        <v>30</v>
      </c>
      <c r="C95" s="382"/>
      <c r="D95" s="382"/>
      <c r="E95" s="382"/>
      <c r="F95" s="382"/>
      <c r="G95" s="382"/>
      <c r="H95" s="383"/>
    </row>
    <row r="96" spans="1:8" ht="15" customHeight="1">
      <c r="A96" s="907"/>
      <c r="B96" s="384" t="s">
        <v>997</v>
      </c>
      <c r="C96" s="120">
        <v>15.675347348033176</v>
      </c>
      <c r="D96" s="120">
        <v>14.881687561349997</v>
      </c>
      <c r="E96" s="120">
        <v>15.792246954429238</v>
      </c>
      <c r="F96" s="120">
        <v>15</v>
      </c>
      <c r="G96" s="120">
        <v>18.821394870035171</v>
      </c>
      <c r="H96" s="120">
        <v>13.654027622887535</v>
      </c>
    </row>
    <row r="97" spans="1:8" ht="15" customHeight="1">
      <c r="A97" s="907"/>
      <c r="B97" s="384" t="s">
        <v>301</v>
      </c>
      <c r="C97" s="120">
        <v>14.746387361156044</v>
      </c>
      <c r="D97" s="120">
        <v>14.167488946403537</v>
      </c>
      <c r="E97" s="120">
        <v>18</v>
      </c>
      <c r="F97" s="120">
        <v>18</v>
      </c>
      <c r="G97" s="120">
        <v>17</v>
      </c>
      <c r="H97" s="120">
        <v>13</v>
      </c>
    </row>
    <row r="98" spans="1:8" ht="15" customHeight="1">
      <c r="A98" s="907"/>
      <c r="B98" s="384" t="s">
        <v>300</v>
      </c>
      <c r="C98" s="121">
        <v>14.913294884390679</v>
      </c>
      <c r="D98" s="121">
        <v>14.473514478351845</v>
      </c>
      <c r="E98" s="121">
        <v>18</v>
      </c>
      <c r="F98" s="121">
        <v>17</v>
      </c>
      <c r="G98" s="121">
        <v>17</v>
      </c>
      <c r="H98" s="121">
        <v>14</v>
      </c>
    </row>
    <row r="99" spans="1:8" ht="15" customHeight="1">
      <c r="A99" s="907"/>
      <c r="B99" s="385" t="s">
        <v>299</v>
      </c>
      <c r="C99" s="121">
        <v>16.181536676830362</v>
      </c>
      <c r="D99" s="121">
        <v>15.670839753548531</v>
      </c>
      <c r="E99" s="121">
        <v>18</v>
      </c>
      <c r="F99" s="121">
        <v>18</v>
      </c>
      <c r="G99" s="121">
        <v>19</v>
      </c>
      <c r="H99" s="121">
        <v>14</v>
      </c>
    </row>
    <row r="100" spans="1:8" ht="15" customHeight="1">
      <c r="A100" s="907"/>
      <c r="B100" s="385" t="s">
        <v>298</v>
      </c>
      <c r="C100" s="386">
        <v>14.630342832571049</v>
      </c>
      <c r="D100" s="386">
        <v>14.139681795082288</v>
      </c>
      <c r="E100" s="386">
        <v>15.491769337183284</v>
      </c>
      <c r="F100" s="386">
        <v>13.276778668053144</v>
      </c>
      <c r="G100" s="386">
        <v>4.7295817490494301</v>
      </c>
      <c r="H100" s="386">
        <v>13.412623574144487</v>
      </c>
    </row>
    <row r="101" spans="1:8" ht="15" customHeight="1">
      <c r="A101" s="907">
        <v>16</v>
      </c>
      <c r="B101" s="381" t="s">
        <v>31</v>
      </c>
      <c r="C101" s="382"/>
      <c r="D101" s="382"/>
      <c r="E101" s="382"/>
      <c r="F101" s="382"/>
      <c r="G101" s="382"/>
      <c r="H101" s="383"/>
    </row>
    <row r="102" spans="1:8" ht="15" customHeight="1">
      <c r="A102" s="907"/>
      <c r="B102" s="384" t="s">
        <v>997</v>
      </c>
      <c r="C102" s="120">
        <v>22.184282907662084</v>
      </c>
      <c r="D102" s="120">
        <v>16.310036018336607</v>
      </c>
      <c r="E102" s="120">
        <v>21.676242581932886</v>
      </c>
      <c r="F102" s="120">
        <v>16</v>
      </c>
      <c r="G102" s="120">
        <v>93.597114781517874</v>
      </c>
      <c r="H102" s="120">
        <v>18.581643320091992</v>
      </c>
    </row>
    <row r="103" spans="1:8" ht="15" customHeight="1">
      <c r="A103" s="907"/>
      <c r="B103" s="384" t="s">
        <v>301</v>
      </c>
      <c r="C103" s="120">
        <v>18.484242503005294</v>
      </c>
      <c r="D103" s="120">
        <v>14.319454823093668</v>
      </c>
      <c r="E103" s="120">
        <v>20</v>
      </c>
      <c r="F103" s="120">
        <v>16</v>
      </c>
      <c r="G103" s="120">
        <v>67</v>
      </c>
      <c r="H103" s="120">
        <v>12</v>
      </c>
    </row>
    <row r="104" spans="1:8" ht="15" customHeight="1">
      <c r="A104" s="907"/>
      <c r="B104" s="384" t="s">
        <v>300</v>
      </c>
      <c r="C104" s="121">
        <v>18.499594840975082</v>
      </c>
      <c r="D104" s="121">
        <v>14.319721115537849</v>
      </c>
      <c r="E104" s="121">
        <v>21</v>
      </c>
      <c r="F104" s="121">
        <v>16</v>
      </c>
      <c r="G104" s="121">
        <v>67</v>
      </c>
      <c r="H104" s="121">
        <v>12</v>
      </c>
    </row>
    <row r="105" spans="1:8" ht="15" customHeight="1">
      <c r="A105" s="907"/>
      <c r="B105" s="385" t="s">
        <v>299</v>
      </c>
      <c r="C105" s="121">
        <v>19.590730305395542</v>
      </c>
      <c r="D105" s="121">
        <v>15.055082567638427</v>
      </c>
      <c r="E105" s="121">
        <v>22</v>
      </c>
      <c r="F105" s="121">
        <v>16</v>
      </c>
      <c r="G105" s="121">
        <v>70</v>
      </c>
      <c r="H105" s="121">
        <v>12</v>
      </c>
    </row>
    <row r="106" spans="1:8" ht="15" customHeight="1">
      <c r="A106" s="907"/>
      <c r="B106" s="385" t="s">
        <v>298</v>
      </c>
      <c r="C106" s="386">
        <v>18.783735136904113</v>
      </c>
      <c r="D106" s="386">
        <v>14.509508745136541</v>
      </c>
      <c r="E106" s="386">
        <v>19.248853689037098</v>
      </c>
      <c r="F106" s="386">
        <v>13.4991166954485</v>
      </c>
      <c r="G106" s="386">
        <v>59.757375381485247</v>
      </c>
      <c r="H106" s="386">
        <v>13.911495422177008</v>
      </c>
    </row>
    <row r="107" spans="1:8" ht="15" customHeight="1">
      <c r="A107" s="907">
        <v>17</v>
      </c>
      <c r="B107" s="381" t="s">
        <v>172</v>
      </c>
      <c r="C107" s="387"/>
      <c r="D107" s="387"/>
      <c r="E107" s="387"/>
      <c r="F107" s="387"/>
      <c r="G107" s="387"/>
      <c r="H107" s="388"/>
    </row>
    <row r="108" spans="1:8" ht="15" customHeight="1">
      <c r="A108" s="907"/>
      <c r="B108" s="384" t="s">
        <v>997</v>
      </c>
      <c r="C108" s="120">
        <v>17.448484848484849</v>
      </c>
      <c r="D108" s="120">
        <v>17.448484848484849</v>
      </c>
      <c r="E108" s="120">
        <v>21.658536585365855</v>
      </c>
      <c r="F108" s="120">
        <v>22</v>
      </c>
      <c r="G108" s="120">
        <v>7.7209302325581399</v>
      </c>
      <c r="H108" s="120">
        <v>7.7209302325581399</v>
      </c>
    </row>
    <row r="109" spans="1:8" ht="15" customHeight="1">
      <c r="A109" s="907"/>
      <c r="B109" s="384" t="s">
        <v>301</v>
      </c>
      <c r="C109" s="120">
        <v>14.557788944723619</v>
      </c>
      <c r="D109" s="120">
        <v>14.557788944723619</v>
      </c>
      <c r="E109" s="120">
        <v>28</v>
      </c>
      <c r="F109" s="120">
        <v>28</v>
      </c>
      <c r="G109" s="120">
        <v>7</v>
      </c>
      <c r="H109" s="120">
        <v>7</v>
      </c>
    </row>
    <row r="110" spans="1:8" ht="15" customHeight="1">
      <c r="A110" s="907">
        <v>18</v>
      </c>
      <c r="B110" s="381" t="s">
        <v>149</v>
      </c>
      <c r="C110" s="382"/>
      <c r="D110" s="382"/>
      <c r="E110" s="382"/>
      <c r="F110" s="382"/>
      <c r="G110" s="382"/>
      <c r="H110" s="383"/>
    </row>
    <row r="111" spans="1:8" ht="15" customHeight="1">
      <c r="A111" s="907"/>
      <c r="B111" s="384" t="s">
        <v>997</v>
      </c>
      <c r="C111" s="120">
        <v>12.88</v>
      </c>
      <c r="D111" s="120">
        <v>12.88</v>
      </c>
      <c r="E111" s="120">
        <v>12.88</v>
      </c>
      <c r="F111" s="120">
        <v>13</v>
      </c>
      <c r="G111" s="120">
        <v>12.88</v>
      </c>
      <c r="H111" s="120">
        <v>12.88</v>
      </c>
    </row>
    <row r="112" spans="1:8" ht="15" customHeight="1">
      <c r="A112" s="907"/>
      <c r="B112" s="384" t="s">
        <v>301</v>
      </c>
      <c r="C112" s="120">
        <v>12.444444444444445</v>
      </c>
      <c r="D112" s="120">
        <v>12.444444444444445</v>
      </c>
      <c r="E112" s="120">
        <v>0</v>
      </c>
      <c r="F112" s="120">
        <v>0</v>
      </c>
      <c r="G112" s="120">
        <v>12</v>
      </c>
      <c r="H112" s="120">
        <v>12</v>
      </c>
    </row>
    <row r="113" spans="1:8" ht="15" customHeight="1">
      <c r="A113" s="907"/>
      <c r="B113" s="384" t="s">
        <v>300</v>
      </c>
      <c r="C113" s="121">
        <v>12.111111111111111</v>
      </c>
      <c r="D113" s="121">
        <v>12.111111111111111</v>
      </c>
      <c r="E113" s="121">
        <v>0</v>
      </c>
      <c r="F113" s="121">
        <v>0</v>
      </c>
      <c r="G113" s="121">
        <v>12</v>
      </c>
      <c r="H113" s="121">
        <v>12</v>
      </c>
    </row>
    <row r="114" spans="1:8" ht="15" customHeight="1">
      <c r="A114" s="907"/>
      <c r="B114" s="385" t="s">
        <v>299</v>
      </c>
      <c r="C114" s="121">
        <v>12.266666666666667</v>
      </c>
      <c r="D114" s="121">
        <v>12.266666666666667</v>
      </c>
      <c r="E114" s="121">
        <v>0</v>
      </c>
      <c r="F114" s="121">
        <v>0</v>
      </c>
      <c r="G114" s="121">
        <v>12</v>
      </c>
      <c r="H114" s="121">
        <v>12</v>
      </c>
    </row>
    <row r="115" spans="1:8" ht="15" customHeight="1">
      <c r="A115" s="907"/>
      <c r="B115" s="385" t="s">
        <v>298</v>
      </c>
      <c r="C115" s="386">
        <v>14.162162162162161</v>
      </c>
      <c r="D115" s="386">
        <v>14.162162162162161</v>
      </c>
      <c r="E115" s="386">
        <v>14.162162162162161</v>
      </c>
      <c r="F115" s="386">
        <v>0</v>
      </c>
      <c r="G115" s="386">
        <v>0</v>
      </c>
      <c r="H115" s="386">
        <v>14.162162162162161</v>
      </c>
    </row>
    <row r="116" spans="1:8" ht="15" customHeight="1">
      <c r="A116" s="907">
        <v>19</v>
      </c>
      <c r="B116" s="381" t="s">
        <v>33</v>
      </c>
      <c r="C116" s="382"/>
      <c r="D116" s="382"/>
      <c r="E116" s="382"/>
      <c r="F116" s="382"/>
      <c r="G116" s="382"/>
      <c r="H116" s="383"/>
    </row>
    <row r="117" spans="1:8" ht="15" customHeight="1">
      <c r="A117" s="907"/>
      <c r="B117" s="384" t="s">
        <v>997</v>
      </c>
      <c r="C117" s="120">
        <v>32.8244080807033</v>
      </c>
      <c r="D117" s="120">
        <v>31.070239361012423</v>
      </c>
      <c r="E117" s="120">
        <v>32.426073653152663</v>
      </c>
      <c r="F117" s="120">
        <v>32</v>
      </c>
      <c r="G117" s="120">
        <v>35.417158445607392</v>
      </c>
      <c r="H117" s="120">
        <v>27.885424785658614</v>
      </c>
    </row>
    <row r="118" spans="1:8" ht="15" customHeight="1">
      <c r="A118" s="907"/>
      <c r="B118" s="384" t="s">
        <v>301</v>
      </c>
      <c r="C118" s="120">
        <v>34.039777867906281</v>
      </c>
      <c r="D118" s="120">
        <v>31.601862540167847</v>
      </c>
      <c r="E118" s="120">
        <v>44</v>
      </c>
      <c r="F118" s="120">
        <v>41</v>
      </c>
      <c r="G118" s="120">
        <v>40</v>
      </c>
      <c r="H118" s="120">
        <v>28</v>
      </c>
    </row>
    <row r="119" spans="1:8" ht="15" customHeight="1">
      <c r="A119" s="907"/>
      <c r="B119" s="384" t="s">
        <v>300</v>
      </c>
      <c r="C119" s="121">
        <v>32.599080832657478</v>
      </c>
      <c r="D119" s="121">
        <v>29.487074209245741</v>
      </c>
      <c r="E119" s="121">
        <v>41</v>
      </c>
      <c r="F119" s="121">
        <v>37</v>
      </c>
      <c r="G119" s="121">
        <v>47</v>
      </c>
      <c r="H119" s="121">
        <v>30</v>
      </c>
    </row>
    <row r="120" spans="1:8" ht="15" customHeight="1">
      <c r="A120" s="907"/>
      <c r="B120" s="385" t="s">
        <v>299</v>
      </c>
      <c r="C120" s="121">
        <v>34.602291409058132</v>
      </c>
      <c r="D120" s="121">
        <v>31.293207173418566</v>
      </c>
      <c r="E120" s="121">
        <v>43</v>
      </c>
      <c r="F120" s="121">
        <v>39</v>
      </c>
      <c r="G120" s="121">
        <v>59</v>
      </c>
      <c r="H120" s="121">
        <v>40</v>
      </c>
    </row>
    <row r="121" spans="1:8" ht="15" customHeight="1">
      <c r="A121" s="907"/>
      <c r="B121" s="385" t="s">
        <v>298</v>
      </c>
      <c r="C121" s="386">
        <v>27.689339641791978</v>
      </c>
      <c r="D121" s="386">
        <v>25.230774035383583</v>
      </c>
      <c r="E121" s="386">
        <v>28.583422433503856</v>
      </c>
      <c r="F121" s="386">
        <v>20.555261296530851</v>
      </c>
      <c r="G121" s="386">
        <v>15.390909090909091</v>
      </c>
      <c r="H121" s="386">
        <v>32.317399804496581</v>
      </c>
    </row>
    <row r="122" spans="1:8" ht="15" customHeight="1">
      <c r="A122" s="907">
        <v>20</v>
      </c>
      <c r="B122" s="381" t="s">
        <v>34</v>
      </c>
      <c r="C122" s="382"/>
      <c r="D122" s="382"/>
      <c r="E122" s="382"/>
      <c r="F122" s="382"/>
      <c r="G122" s="382"/>
      <c r="H122" s="383"/>
    </row>
    <row r="123" spans="1:8" ht="15" customHeight="1">
      <c r="A123" s="907"/>
      <c r="B123" s="384" t="s">
        <v>997</v>
      </c>
      <c r="C123" s="120">
        <v>27.397386167341846</v>
      </c>
      <c r="D123" s="120">
        <v>22.420500021515554</v>
      </c>
      <c r="E123" s="120">
        <v>30.07264944821361</v>
      </c>
      <c r="F123" s="120">
        <v>24</v>
      </c>
      <c r="G123" s="120">
        <v>57.198706488589757</v>
      </c>
      <c r="H123" s="120">
        <v>14.628246923966769</v>
      </c>
    </row>
    <row r="124" spans="1:8" ht="15" customHeight="1">
      <c r="A124" s="907"/>
      <c r="B124" s="384" t="s">
        <v>301</v>
      </c>
      <c r="C124" s="120">
        <v>26.147365323786872</v>
      </c>
      <c r="D124" s="120">
        <v>22.066001765441484</v>
      </c>
      <c r="E124" s="120">
        <v>33</v>
      </c>
      <c r="F124" s="120">
        <v>27</v>
      </c>
      <c r="G124" s="120">
        <v>62</v>
      </c>
      <c r="H124" s="120">
        <v>19</v>
      </c>
    </row>
    <row r="125" spans="1:8" ht="15" customHeight="1">
      <c r="A125" s="907"/>
      <c r="B125" s="384" t="s">
        <v>300</v>
      </c>
      <c r="C125" s="121">
        <v>26.616035082641769</v>
      </c>
      <c r="D125" s="121">
        <v>22.582676372696444</v>
      </c>
      <c r="E125" s="121">
        <v>33</v>
      </c>
      <c r="F125" s="121">
        <v>28</v>
      </c>
      <c r="G125" s="121">
        <v>58</v>
      </c>
      <c r="H125" s="121">
        <v>19</v>
      </c>
    </row>
    <row r="126" spans="1:8" ht="15" customHeight="1">
      <c r="A126" s="907"/>
      <c r="B126" s="385" t="s">
        <v>299</v>
      </c>
      <c r="C126" s="121">
        <v>27.075376968915201</v>
      </c>
      <c r="D126" s="121">
        <v>22.361565878628049</v>
      </c>
      <c r="E126" s="121">
        <v>32</v>
      </c>
      <c r="F126" s="121">
        <v>26</v>
      </c>
      <c r="G126" s="121">
        <v>62</v>
      </c>
      <c r="H126" s="121">
        <v>15</v>
      </c>
    </row>
    <row r="127" spans="1:8" ht="15" customHeight="1">
      <c r="A127" s="907"/>
      <c r="B127" s="385" t="s">
        <v>298</v>
      </c>
      <c r="C127" s="386">
        <v>26.657036093080059</v>
      </c>
      <c r="D127" s="386">
        <v>22.017621759388316</v>
      </c>
      <c r="E127" s="386">
        <v>30.001002992801101</v>
      </c>
      <c r="F127" s="386">
        <v>22.393787915554476</v>
      </c>
      <c r="G127" s="386">
        <v>50.148161447859813</v>
      </c>
      <c r="H127" s="386">
        <v>17.395647802355644</v>
      </c>
    </row>
    <row r="128" spans="1:8" ht="15" customHeight="1">
      <c r="A128" s="907">
        <v>21</v>
      </c>
      <c r="B128" s="381" t="s">
        <v>35</v>
      </c>
      <c r="C128" s="382"/>
      <c r="D128" s="382"/>
      <c r="E128" s="382"/>
      <c r="F128" s="382"/>
      <c r="G128" s="382"/>
      <c r="H128" s="383"/>
    </row>
    <row r="129" spans="1:8" ht="15" customHeight="1">
      <c r="A129" s="907"/>
      <c r="B129" s="384" t="s">
        <v>997</v>
      </c>
      <c r="C129" s="120">
        <v>22.996734834163945</v>
      </c>
      <c r="D129" s="120">
        <v>22.105172710087643</v>
      </c>
      <c r="E129" s="120">
        <v>23.673913043478262</v>
      </c>
      <c r="F129" s="120">
        <v>23</v>
      </c>
      <c r="G129" s="120">
        <v>18.243273542600896</v>
      </c>
      <c r="H129" s="120">
        <v>12.42713004484305</v>
      </c>
    </row>
    <row r="130" spans="1:8" ht="15" customHeight="1">
      <c r="A130" s="907"/>
      <c r="B130" s="384" t="s">
        <v>301</v>
      </c>
      <c r="C130" s="120">
        <v>22.668001456133965</v>
      </c>
      <c r="D130" s="120">
        <v>21.585729887149618</v>
      </c>
      <c r="E130" s="120">
        <v>28</v>
      </c>
      <c r="F130" s="120">
        <v>26</v>
      </c>
      <c r="G130" s="120">
        <v>19</v>
      </c>
      <c r="H130" s="120">
        <v>12</v>
      </c>
    </row>
    <row r="131" spans="1:8" ht="15" customHeight="1">
      <c r="A131" s="907"/>
      <c r="B131" s="384" t="s">
        <v>300</v>
      </c>
      <c r="C131" s="121">
        <v>21.921946375372393</v>
      </c>
      <c r="D131" s="121">
        <v>20.725719960278052</v>
      </c>
      <c r="E131" s="121">
        <v>26</v>
      </c>
      <c r="F131" s="121">
        <v>25</v>
      </c>
      <c r="G131" s="121">
        <v>20</v>
      </c>
      <c r="H131" s="121">
        <v>12</v>
      </c>
    </row>
    <row r="132" spans="1:8" ht="15" customHeight="1">
      <c r="A132" s="907"/>
      <c r="B132" s="385" t="s">
        <v>299</v>
      </c>
      <c r="C132" s="121">
        <v>30.788226800366761</v>
      </c>
      <c r="D132" s="121">
        <v>28.852050329778525</v>
      </c>
      <c r="E132" s="121">
        <v>38</v>
      </c>
      <c r="F132" s="121">
        <v>35</v>
      </c>
      <c r="G132" s="121">
        <v>24</v>
      </c>
      <c r="H132" s="121">
        <v>12</v>
      </c>
    </row>
    <row r="133" spans="1:8" ht="15" customHeight="1">
      <c r="A133" s="907"/>
      <c r="B133" s="385" t="s">
        <v>298</v>
      </c>
      <c r="C133" s="386">
        <v>22.614007607965988</v>
      </c>
      <c r="D133" s="386">
        <v>21.155292011635712</v>
      </c>
      <c r="E133" s="386">
        <v>23.142824074074074</v>
      </c>
      <c r="F133" s="386">
        <v>20.174305555555556</v>
      </c>
      <c r="G133" s="386">
        <v>12.072222222222223</v>
      </c>
      <c r="H133" s="386">
        <v>11.675925925925926</v>
      </c>
    </row>
    <row r="134" spans="1:8" ht="15" customHeight="1">
      <c r="A134" s="907">
        <v>22</v>
      </c>
      <c r="B134" s="381" t="s">
        <v>36</v>
      </c>
      <c r="C134" s="382"/>
      <c r="D134" s="382"/>
      <c r="E134" s="382"/>
      <c r="F134" s="382"/>
      <c r="G134" s="382"/>
      <c r="H134" s="383"/>
    </row>
    <row r="135" spans="1:8" ht="15" customHeight="1">
      <c r="A135" s="907"/>
      <c r="B135" s="384" t="s">
        <v>997</v>
      </c>
      <c r="C135" s="120">
        <v>26.865448504983387</v>
      </c>
      <c r="D135" s="120">
        <v>25.312015503875969</v>
      </c>
      <c r="E135" s="120">
        <v>25.033333333333335</v>
      </c>
      <c r="F135" s="120">
        <v>27</v>
      </c>
      <c r="G135" s="120">
        <v>24.502380952380953</v>
      </c>
      <c r="H135" s="120">
        <v>17.822619047619046</v>
      </c>
    </row>
    <row r="136" spans="1:8" ht="15" customHeight="1">
      <c r="A136" s="907"/>
      <c r="B136" s="384" t="s">
        <v>301</v>
      </c>
      <c r="C136" s="120">
        <v>24.155905077262695</v>
      </c>
      <c r="D136" s="120">
        <v>22.227649006622517</v>
      </c>
      <c r="E136" s="120">
        <v>37</v>
      </c>
      <c r="F136" s="120">
        <v>34</v>
      </c>
      <c r="G136" s="120">
        <v>20</v>
      </c>
      <c r="H136" s="120">
        <v>14</v>
      </c>
    </row>
    <row r="137" spans="1:8" ht="15" customHeight="1">
      <c r="A137" s="907"/>
      <c r="B137" s="384" t="s">
        <v>300</v>
      </c>
      <c r="C137" s="121">
        <v>26.247282608695652</v>
      </c>
      <c r="D137" s="121">
        <v>23.905797101449274</v>
      </c>
      <c r="E137" s="121">
        <v>41</v>
      </c>
      <c r="F137" s="121">
        <v>37</v>
      </c>
      <c r="G137" s="121">
        <v>21</v>
      </c>
      <c r="H137" s="121">
        <v>13</v>
      </c>
    </row>
    <row r="138" spans="1:8" ht="15" customHeight="1">
      <c r="A138" s="907"/>
      <c r="B138" s="385" t="s">
        <v>299</v>
      </c>
      <c r="C138" s="121">
        <v>29.893653123389921</v>
      </c>
      <c r="D138" s="121">
        <v>26.821613180451262</v>
      </c>
      <c r="E138" s="121">
        <v>46</v>
      </c>
      <c r="F138" s="121">
        <v>41</v>
      </c>
      <c r="G138" s="121">
        <v>26</v>
      </c>
      <c r="H138" s="121">
        <v>14</v>
      </c>
    </row>
    <row r="139" spans="1:8" ht="15" customHeight="1">
      <c r="A139" s="907"/>
      <c r="B139" s="385" t="s">
        <v>298</v>
      </c>
      <c r="C139" s="386">
        <v>26.666223845898372</v>
      </c>
      <c r="D139" s="386">
        <v>23.756559282630356</v>
      </c>
      <c r="E139" s="386">
        <v>28.617614678899084</v>
      </c>
      <c r="F139" s="386">
        <v>21.685504587155965</v>
      </c>
      <c r="G139" s="386">
        <v>11.712566844919786</v>
      </c>
      <c r="H139" s="386">
        <v>13.541443850267379</v>
      </c>
    </row>
    <row r="140" spans="1:8" ht="15" customHeight="1">
      <c r="A140" s="907">
        <v>23</v>
      </c>
      <c r="B140" s="381" t="s">
        <v>37</v>
      </c>
      <c r="C140" s="382"/>
      <c r="D140" s="382"/>
      <c r="E140" s="382"/>
      <c r="F140" s="382"/>
      <c r="G140" s="382"/>
      <c r="H140" s="383"/>
    </row>
    <row r="141" spans="1:8" ht="15" customHeight="1">
      <c r="A141" s="907"/>
      <c r="B141" s="384" t="s">
        <v>997</v>
      </c>
      <c r="C141" s="120">
        <v>19.040826364977864</v>
      </c>
      <c r="D141" s="120">
        <v>15.88047220855878</v>
      </c>
      <c r="E141" s="120">
        <v>20.312255176273084</v>
      </c>
      <c r="F141" s="120">
        <v>17</v>
      </c>
      <c r="G141" s="120">
        <v>36.072607260726073</v>
      </c>
      <c r="H141" s="120">
        <v>14.867986798679867</v>
      </c>
    </row>
    <row r="142" spans="1:8" ht="15" customHeight="1">
      <c r="A142" s="907"/>
      <c r="B142" s="384" t="s">
        <v>301</v>
      </c>
      <c r="C142" s="120">
        <v>17.247535028541776</v>
      </c>
      <c r="D142" s="120">
        <v>13.503892060197197</v>
      </c>
      <c r="E142" s="120">
        <v>22</v>
      </c>
      <c r="F142" s="120">
        <v>17</v>
      </c>
      <c r="G142" s="120">
        <v>38</v>
      </c>
      <c r="H142" s="120">
        <v>14</v>
      </c>
    </row>
    <row r="143" spans="1:8" ht="15" customHeight="1">
      <c r="A143" s="907"/>
      <c r="B143" s="384" t="s">
        <v>300</v>
      </c>
      <c r="C143" s="121">
        <v>17.579229122055676</v>
      </c>
      <c r="D143" s="121">
        <v>13.702355460385439</v>
      </c>
      <c r="E143" s="121">
        <v>23</v>
      </c>
      <c r="F143" s="121">
        <v>18</v>
      </c>
      <c r="G143" s="121">
        <v>39</v>
      </c>
      <c r="H143" s="121">
        <v>15</v>
      </c>
    </row>
    <row r="144" spans="1:8" ht="15" customHeight="1">
      <c r="A144" s="907"/>
      <c r="B144" s="385" t="s">
        <v>299</v>
      </c>
      <c r="C144" s="121">
        <v>17.019619157530293</v>
      </c>
      <c r="D144" s="121">
        <v>14.109059434506635</v>
      </c>
      <c r="E144" s="121">
        <v>23</v>
      </c>
      <c r="F144" s="121">
        <v>19</v>
      </c>
      <c r="G144" s="121">
        <v>31</v>
      </c>
      <c r="H144" s="121">
        <v>14</v>
      </c>
    </row>
    <row r="145" spans="1:8" ht="15" customHeight="1">
      <c r="A145" s="907"/>
      <c r="B145" s="385" t="s">
        <v>298</v>
      </c>
      <c r="C145" s="386">
        <v>18.970693779904305</v>
      </c>
      <c r="D145" s="386">
        <v>15.232655502392344</v>
      </c>
      <c r="E145" s="386">
        <v>20.287868403015764</v>
      </c>
      <c r="F145" s="386">
        <v>13.527073337902673</v>
      </c>
      <c r="G145" s="386">
        <v>20.982456140350877</v>
      </c>
      <c r="H145" s="386">
        <v>13.628070175438596</v>
      </c>
    </row>
    <row r="146" spans="1:8" ht="15" customHeight="1">
      <c r="A146" s="907">
        <v>24</v>
      </c>
      <c r="B146" s="381" t="s">
        <v>38</v>
      </c>
      <c r="C146" s="382"/>
      <c r="D146" s="382"/>
      <c r="E146" s="382"/>
      <c r="F146" s="382"/>
      <c r="G146" s="382"/>
      <c r="H146" s="383"/>
    </row>
    <row r="147" spans="1:8" ht="15" customHeight="1">
      <c r="A147" s="907"/>
      <c r="B147" s="384" t="s">
        <v>997</v>
      </c>
      <c r="C147" s="120">
        <v>19.269625976161119</v>
      </c>
      <c r="D147" s="120">
        <v>17.912042745581587</v>
      </c>
      <c r="E147" s="120">
        <v>20.903988868274581</v>
      </c>
      <c r="F147" s="120">
        <v>19</v>
      </c>
      <c r="G147" s="120">
        <v>28.997536945812808</v>
      </c>
      <c r="H147" s="120">
        <v>20.862068965517242</v>
      </c>
    </row>
    <row r="148" spans="1:8" ht="15" customHeight="1">
      <c r="A148" s="907"/>
      <c r="B148" s="384" t="s">
        <v>301</v>
      </c>
      <c r="C148" s="120">
        <v>18.406030565881867</v>
      </c>
      <c r="D148" s="120">
        <v>17.06030565881867</v>
      </c>
      <c r="E148" s="120">
        <v>24</v>
      </c>
      <c r="F148" s="120">
        <v>22</v>
      </c>
      <c r="G148" s="120">
        <v>22</v>
      </c>
      <c r="H148" s="120">
        <v>15</v>
      </c>
    </row>
    <row r="149" spans="1:8" ht="15" customHeight="1">
      <c r="A149" s="907"/>
      <c r="B149" s="384" t="s">
        <v>300</v>
      </c>
      <c r="C149" s="121">
        <v>19.109709962168978</v>
      </c>
      <c r="D149" s="121">
        <v>16.721731820092476</v>
      </c>
      <c r="E149" s="121">
        <v>25</v>
      </c>
      <c r="F149" s="121">
        <v>22</v>
      </c>
      <c r="G149" s="121">
        <v>25</v>
      </c>
      <c r="H149" s="121">
        <v>12</v>
      </c>
    </row>
    <row r="150" spans="1:8" ht="15" customHeight="1">
      <c r="A150" s="907"/>
      <c r="B150" s="385" t="s">
        <v>299</v>
      </c>
      <c r="C150" s="121">
        <v>19.213498014997793</v>
      </c>
      <c r="D150" s="121">
        <v>16.325540361711514</v>
      </c>
      <c r="E150" s="121">
        <v>25</v>
      </c>
      <c r="F150" s="121">
        <v>21</v>
      </c>
      <c r="G150" s="121">
        <v>28</v>
      </c>
      <c r="H150" s="121">
        <v>9</v>
      </c>
    </row>
    <row r="151" spans="1:8" ht="15" customHeight="1">
      <c r="A151" s="907"/>
      <c r="B151" s="385" t="s">
        <v>298</v>
      </c>
      <c r="C151" s="386">
        <v>18.545040946314831</v>
      </c>
      <c r="D151" s="386">
        <v>15.978161965423112</v>
      </c>
      <c r="E151" s="386">
        <v>19.99174406604747</v>
      </c>
      <c r="F151" s="386">
        <v>15.540247678018575</v>
      </c>
      <c r="G151" s="386">
        <v>15.340298507462686</v>
      </c>
      <c r="H151" s="386">
        <v>10.411940298507462</v>
      </c>
    </row>
    <row r="152" spans="1:8" ht="15" customHeight="1">
      <c r="A152" s="907">
        <v>25</v>
      </c>
      <c r="B152" s="381" t="s">
        <v>39</v>
      </c>
      <c r="C152" s="382"/>
      <c r="D152" s="382"/>
      <c r="E152" s="382"/>
      <c r="F152" s="382"/>
      <c r="G152" s="382"/>
      <c r="H152" s="383"/>
    </row>
    <row r="153" spans="1:8" ht="15" customHeight="1">
      <c r="A153" s="907"/>
      <c r="B153" s="384" t="s">
        <v>997</v>
      </c>
      <c r="C153" s="120">
        <v>23.830891287256094</v>
      </c>
      <c r="D153" s="120">
        <v>22.220594191504063</v>
      </c>
      <c r="E153" s="120">
        <v>26.046785895560266</v>
      </c>
      <c r="F153" s="120">
        <v>24</v>
      </c>
      <c r="G153" s="120">
        <v>28.894938527862045</v>
      </c>
      <c r="H153" s="120">
        <v>18.103145457448505</v>
      </c>
    </row>
    <row r="154" spans="1:8" ht="15" customHeight="1">
      <c r="A154" s="907"/>
      <c r="B154" s="384" t="s">
        <v>301</v>
      </c>
      <c r="C154" s="120">
        <v>24.838451168364291</v>
      </c>
      <c r="D154" s="120">
        <v>23.329763331336128</v>
      </c>
      <c r="E154" s="120">
        <v>33</v>
      </c>
      <c r="F154" s="120">
        <v>30</v>
      </c>
      <c r="G154" s="120">
        <v>28</v>
      </c>
      <c r="H154" s="120">
        <v>18</v>
      </c>
    </row>
    <row r="155" spans="1:8" ht="15" customHeight="1">
      <c r="A155" s="907"/>
      <c r="B155" s="384" t="s">
        <v>300</v>
      </c>
      <c r="C155" s="121">
        <v>26.752552694437881</v>
      </c>
      <c r="D155" s="121">
        <v>25.278788356038532</v>
      </c>
      <c r="E155" s="121">
        <v>34</v>
      </c>
      <c r="F155" s="121">
        <v>32</v>
      </c>
      <c r="G155" s="121">
        <v>29</v>
      </c>
      <c r="H155" s="121">
        <v>18</v>
      </c>
    </row>
    <row r="156" spans="1:8" ht="15" customHeight="1">
      <c r="A156" s="907"/>
      <c r="B156" s="385" t="s">
        <v>299</v>
      </c>
      <c r="C156" s="121">
        <v>27.843990114357936</v>
      </c>
      <c r="D156" s="121">
        <v>26.304805333238999</v>
      </c>
      <c r="E156" s="121">
        <v>35</v>
      </c>
      <c r="F156" s="121">
        <v>33</v>
      </c>
      <c r="G156" s="121">
        <v>30</v>
      </c>
      <c r="H156" s="121">
        <v>17</v>
      </c>
    </row>
    <row r="157" spans="1:8" ht="15" customHeight="1">
      <c r="A157" s="907"/>
      <c r="B157" s="385" t="s">
        <v>298</v>
      </c>
      <c r="C157" s="386">
        <v>26.432280339277948</v>
      </c>
      <c r="D157" s="386">
        <v>25.239234449760765</v>
      </c>
      <c r="E157" s="386">
        <v>28.945770874313233</v>
      </c>
      <c r="F157" s="386">
        <v>24.678966289086347</v>
      </c>
      <c r="G157" s="386">
        <v>10.916188575704664</v>
      </c>
      <c r="H157" s="386">
        <v>20.465951608880019</v>
      </c>
    </row>
    <row r="158" spans="1:8" ht="15" customHeight="1">
      <c r="A158" s="907">
        <v>26</v>
      </c>
      <c r="B158" s="381" t="s">
        <v>40</v>
      </c>
      <c r="C158" s="382"/>
      <c r="D158" s="382"/>
      <c r="E158" s="382"/>
      <c r="F158" s="382"/>
      <c r="G158" s="382"/>
      <c r="H158" s="383"/>
    </row>
    <row r="159" spans="1:8" ht="15" customHeight="1">
      <c r="A159" s="907"/>
      <c r="B159" s="384" t="s">
        <v>997</v>
      </c>
      <c r="C159" s="120">
        <v>13.694607180411596</v>
      </c>
      <c r="D159" s="120">
        <v>11.537028691602824</v>
      </c>
      <c r="E159" s="120">
        <v>12.855784469096672</v>
      </c>
      <c r="F159" s="120">
        <v>12</v>
      </c>
      <c r="G159" s="120">
        <v>14.635691169671752</v>
      </c>
      <c r="H159" s="120">
        <v>7.9953767914932961</v>
      </c>
    </row>
    <row r="160" spans="1:8" ht="15" customHeight="1">
      <c r="A160" s="907"/>
      <c r="B160" s="384" t="s">
        <v>301</v>
      </c>
      <c r="C160" s="120">
        <v>12.576361638675246</v>
      </c>
      <c r="D160" s="120">
        <v>10.433526918851044</v>
      </c>
      <c r="E160" s="120">
        <v>19</v>
      </c>
      <c r="F160" s="120">
        <v>16</v>
      </c>
      <c r="G160" s="120">
        <v>15</v>
      </c>
      <c r="H160" s="120">
        <v>8</v>
      </c>
    </row>
    <row r="161" spans="1:8" ht="15" customHeight="1">
      <c r="A161" s="907"/>
      <c r="B161" s="384" t="s">
        <v>300</v>
      </c>
      <c r="C161" s="121">
        <v>13.155638714067019</v>
      </c>
      <c r="D161" s="121">
        <v>11.29817996257867</v>
      </c>
      <c r="E161" s="121">
        <v>18</v>
      </c>
      <c r="F161" s="121">
        <v>15</v>
      </c>
      <c r="G161" s="121">
        <v>17</v>
      </c>
      <c r="H161" s="121">
        <v>9</v>
      </c>
    </row>
    <row r="162" spans="1:8" ht="15" customHeight="1">
      <c r="A162" s="907"/>
      <c r="B162" s="385" t="s">
        <v>299</v>
      </c>
      <c r="C162" s="121">
        <v>13.497251897359586</v>
      </c>
      <c r="D162" s="121">
        <v>11.129433681952232</v>
      </c>
      <c r="E162" s="121">
        <v>15</v>
      </c>
      <c r="F162" s="121">
        <v>12</v>
      </c>
      <c r="G162" s="121">
        <v>19</v>
      </c>
      <c r="H162" s="121">
        <v>9</v>
      </c>
    </row>
    <row r="163" spans="1:8" ht="15" customHeight="1">
      <c r="A163" s="907"/>
      <c r="B163" s="385" t="s">
        <v>298</v>
      </c>
      <c r="C163" s="386">
        <v>11.63791304347826</v>
      </c>
      <c r="D163" s="386">
        <v>10.013739130434782</v>
      </c>
      <c r="E163" s="386">
        <v>11.628343239227341</v>
      </c>
      <c r="F163" s="386">
        <v>7.7434992570579491</v>
      </c>
      <c r="G163" s="386">
        <v>6.682437275985663</v>
      </c>
      <c r="H163" s="386">
        <v>8.3111111111111118</v>
      </c>
    </row>
    <row r="164" spans="1:8" ht="15.75" customHeight="1">
      <c r="A164" s="907">
        <v>27</v>
      </c>
      <c r="B164" s="381" t="s">
        <v>41</v>
      </c>
      <c r="C164" s="382"/>
      <c r="D164" s="382"/>
      <c r="E164" s="382"/>
      <c r="F164" s="382"/>
      <c r="G164" s="382"/>
      <c r="H164" s="383"/>
    </row>
    <row r="165" spans="1:8" ht="15" customHeight="1">
      <c r="A165" s="907"/>
      <c r="B165" s="384" t="s">
        <v>997</v>
      </c>
      <c r="C165" s="120">
        <v>16.363821862989816</v>
      </c>
      <c r="D165" s="120">
        <v>14.705594516422996</v>
      </c>
      <c r="E165" s="120">
        <v>17.541939022717923</v>
      </c>
      <c r="F165" s="120">
        <v>16</v>
      </c>
      <c r="G165" s="120">
        <v>21.880579710144929</v>
      </c>
      <c r="H165" s="120">
        <v>14.948571428571428</v>
      </c>
    </row>
    <row r="166" spans="1:8" ht="15.75" customHeight="1">
      <c r="A166" s="907"/>
      <c r="B166" s="384" t="s">
        <v>301</v>
      </c>
      <c r="C166" s="120">
        <v>16.697322937471192</v>
      </c>
      <c r="D166" s="120">
        <v>15.467660162851436</v>
      </c>
      <c r="E166" s="120">
        <v>24</v>
      </c>
      <c r="F166" s="120">
        <v>22</v>
      </c>
      <c r="G166" s="120">
        <v>23</v>
      </c>
      <c r="H166" s="120">
        <v>17</v>
      </c>
    </row>
    <row r="167" spans="1:8" ht="15" customHeight="1">
      <c r="A167" s="907"/>
      <c r="B167" s="384" t="s">
        <v>300</v>
      </c>
      <c r="C167" s="121">
        <v>17.829878817256422</v>
      </c>
      <c r="D167" s="121">
        <v>17.045254483761511</v>
      </c>
      <c r="E167" s="121">
        <v>25</v>
      </c>
      <c r="F167" s="121">
        <v>24</v>
      </c>
      <c r="G167" s="121">
        <v>22</v>
      </c>
      <c r="H167" s="121">
        <v>17</v>
      </c>
    </row>
    <row r="168" spans="1:8" ht="15" customHeight="1">
      <c r="A168" s="907"/>
      <c r="B168" s="385" t="s">
        <v>299</v>
      </c>
      <c r="C168" s="121">
        <v>20.73148419746936</v>
      </c>
      <c r="D168" s="121">
        <v>20.17988969396923</v>
      </c>
      <c r="E168" s="121">
        <v>27</v>
      </c>
      <c r="F168" s="121">
        <v>26</v>
      </c>
      <c r="G168" s="121">
        <v>31</v>
      </c>
      <c r="H168" s="121">
        <v>27</v>
      </c>
    </row>
    <row r="169" spans="1:8" ht="15" customHeight="1">
      <c r="A169" s="907"/>
      <c r="B169" s="385" t="s">
        <v>298</v>
      </c>
      <c r="C169" s="386">
        <v>17.933858452397239</v>
      </c>
      <c r="D169" s="386">
        <v>16.888063639739656</v>
      </c>
      <c r="E169" s="386">
        <v>19.420013875266143</v>
      </c>
      <c r="F169" s="386">
        <v>14.8176837874692</v>
      </c>
      <c r="G169" s="386">
        <v>6.921862871927555</v>
      </c>
      <c r="H169" s="386">
        <v>17.965847347994824</v>
      </c>
    </row>
    <row r="170" spans="1:8" ht="15" customHeight="1">
      <c r="A170" s="907">
        <v>28</v>
      </c>
      <c r="B170" s="381" t="s">
        <v>42</v>
      </c>
      <c r="C170" s="382"/>
      <c r="D170" s="382"/>
      <c r="E170" s="382"/>
      <c r="F170" s="382"/>
      <c r="G170" s="382"/>
      <c r="H170" s="383"/>
    </row>
    <row r="171" spans="1:8" ht="15" customHeight="1">
      <c r="A171" s="907"/>
      <c r="B171" s="384" t="s">
        <v>997</v>
      </c>
      <c r="C171" s="120">
        <v>29.266314349664263</v>
      </c>
      <c r="D171" s="120">
        <v>26.392626212384979</v>
      </c>
      <c r="E171" s="120">
        <v>30.23584229390681</v>
      </c>
      <c r="F171" s="120">
        <v>28</v>
      </c>
      <c r="G171" s="120">
        <v>34.944155844155844</v>
      </c>
      <c r="H171" s="120">
        <v>19.147710184552288</v>
      </c>
    </row>
    <row r="172" spans="1:8" ht="15" customHeight="1">
      <c r="A172" s="907"/>
      <c r="B172" s="384" t="s">
        <v>301</v>
      </c>
      <c r="C172" s="120">
        <v>28.516445455367876</v>
      </c>
      <c r="D172" s="120">
        <v>26.234798454321052</v>
      </c>
      <c r="E172" s="120">
        <v>37</v>
      </c>
      <c r="F172" s="120">
        <v>34</v>
      </c>
      <c r="G172" s="120">
        <v>32</v>
      </c>
      <c r="H172" s="120">
        <v>19</v>
      </c>
    </row>
    <row r="173" spans="1:8" ht="15" customHeight="1">
      <c r="A173" s="907"/>
      <c r="B173" s="384" t="s">
        <v>300</v>
      </c>
      <c r="C173" s="121">
        <v>29.321587328381725</v>
      </c>
      <c r="D173" s="121">
        <v>27.346092167454422</v>
      </c>
      <c r="E173" s="121">
        <v>38</v>
      </c>
      <c r="F173" s="121">
        <v>36</v>
      </c>
      <c r="G173" s="121">
        <v>29</v>
      </c>
      <c r="H173" s="121">
        <v>18</v>
      </c>
    </row>
    <row r="174" spans="1:8" ht="15" customHeight="1">
      <c r="A174" s="907"/>
      <c r="B174" s="385" t="s">
        <v>299</v>
      </c>
      <c r="C174" s="121">
        <v>32.245882244738198</v>
      </c>
      <c r="D174" s="121">
        <v>29.613389947294618</v>
      </c>
      <c r="E174" s="121">
        <v>41</v>
      </c>
      <c r="F174" s="121">
        <v>38</v>
      </c>
      <c r="G174" s="121">
        <v>40</v>
      </c>
      <c r="H174" s="121">
        <v>24</v>
      </c>
    </row>
    <row r="175" spans="1:8" ht="15" customHeight="1">
      <c r="A175" s="907"/>
      <c r="B175" s="385" t="s">
        <v>298</v>
      </c>
      <c r="C175" s="386">
        <v>27.178403967538323</v>
      </c>
      <c r="D175" s="386">
        <v>24.930132251277428</v>
      </c>
      <c r="E175" s="386">
        <v>28.912355154750262</v>
      </c>
      <c r="F175" s="386">
        <v>23.530742834408102</v>
      </c>
      <c r="G175" s="386">
        <v>16.164666450427074</v>
      </c>
      <c r="H175" s="386">
        <v>18.934803762568926</v>
      </c>
    </row>
    <row r="176" spans="1:8" ht="15" customHeight="1">
      <c r="A176" s="907">
        <v>29</v>
      </c>
      <c r="B176" s="381" t="s">
        <v>43</v>
      </c>
      <c r="C176" s="382"/>
      <c r="D176" s="382"/>
      <c r="E176" s="382"/>
      <c r="F176" s="382"/>
      <c r="G176" s="382"/>
      <c r="H176" s="383"/>
    </row>
    <row r="177" spans="1:8" ht="15" customHeight="1">
      <c r="A177" s="907"/>
      <c r="B177" s="384" t="s">
        <v>997</v>
      </c>
      <c r="C177" s="120">
        <v>19.873549883990719</v>
      </c>
      <c r="D177" s="120">
        <v>15.712296983758701</v>
      </c>
      <c r="E177" s="120">
        <v>20.356608478802993</v>
      </c>
      <c r="F177" s="120">
        <v>16</v>
      </c>
      <c r="G177" s="120">
        <v>19.675813008130081</v>
      </c>
      <c r="H177" s="120">
        <v>12.385162601626016</v>
      </c>
    </row>
    <row r="178" spans="1:8" ht="15" customHeight="1">
      <c r="A178" s="907"/>
      <c r="B178" s="384" t="s">
        <v>301</v>
      </c>
      <c r="C178" s="120">
        <v>33.939801285797778</v>
      </c>
      <c r="D178" s="120">
        <v>13.866160140268848</v>
      </c>
      <c r="E178" s="120">
        <v>97</v>
      </c>
      <c r="F178" s="120">
        <v>38</v>
      </c>
      <c r="G178" s="120">
        <v>44</v>
      </c>
      <c r="H178" s="120">
        <v>10</v>
      </c>
    </row>
    <row r="179" spans="1:8" ht="15" customHeight="1">
      <c r="A179" s="907"/>
      <c r="B179" s="384" t="s">
        <v>300</v>
      </c>
      <c r="C179" s="121">
        <v>26.580562659846546</v>
      </c>
      <c r="D179" s="121">
        <v>14.51918158567775</v>
      </c>
      <c r="E179" s="121">
        <v>82</v>
      </c>
      <c r="F179" s="121">
        <v>44</v>
      </c>
      <c r="G179" s="121">
        <v>30</v>
      </c>
      <c r="H179" s="121">
        <v>10</v>
      </c>
    </row>
    <row r="180" spans="1:8" ht="15" customHeight="1">
      <c r="A180" s="907"/>
      <c r="B180" s="385" t="s">
        <v>299</v>
      </c>
      <c r="C180" s="121">
        <v>19.55520913398512</v>
      </c>
      <c r="D180" s="121">
        <v>13.975977846055249</v>
      </c>
      <c r="E180" s="121">
        <v>30</v>
      </c>
      <c r="F180" s="121">
        <v>21</v>
      </c>
      <c r="G180" s="121">
        <v>19</v>
      </c>
      <c r="H180" s="121">
        <v>10</v>
      </c>
    </row>
    <row r="181" spans="1:8" ht="15" customHeight="1">
      <c r="A181" s="907"/>
      <c r="B181" s="385" t="s">
        <v>298</v>
      </c>
      <c r="C181" s="386">
        <v>22.357910906298002</v>
      </c>
      <c r="D181" s="386">
        <v>14.194316436251921</v>
      </c>
      <c r="E181" s="386">
        <v>23.524050632911393</v>
      </c>
      <c r="F181" s="386">
        <v>8.4109704641350209</v>
      </c>
      <c r="G181" s="386">
        <v>14.040951122853368</v>
      </c>
      <c r="H181" s="386">
        <v>9.6169088507265528</v>
      </c>
    </row>
    <row r="182" spans="1:8" ht="15" customHeight="1">
      <c r="A182" s="907">
        <v>30</v>
      </c>
      <c r="B182" s="381" t="s">
        <v>44</v>
      </c>
      <c r="C182" s="382"/>
      <c r="D182" s="382"/>
      <c r="E182" s="382"/>
      <c r="F182" s="382"/>
      <c r="G182" s="382"/>
      <c r="H182" s="383"/>
    </row>
    <row r="183" spans="1:8" ht="15" customHeight="1">
      <c r="A183" s="907"/>
      <c r="B183" s="384" t="s">
        <v>997</v>
      </c>
      <c r="C183" s="120">
        <v>16.251109789250652</v>
      </c>
      <c r="D183" s="120">
        <v>14.213728449441296</v>
      </c>
      <c r="E183" s="120">
        <v>16.923960850248861</v>
      </c>
      <c r="F183" s="120">
        <v>15</v>
      </c>
      <c r="G183" s="120">
        <v>29.358151757363409</v>
      </c>
      <c r="H183" s="120">
        <v>14.232125260045986</v>
      </c>
    </row>
    <row r="184" spans="1:8" ht="15" customHeight="1">
      <c r="A184" s="907"/>
      <c r="B184" s="384" t="s">
        <v>301</v>
      </c>
      <c r="C184" s="120">
        <v>17.419952000395874</v>
      </c>
      <c r="D184" s="120">
        <v>14.758586733305293</v>
      </c>
      <c r="E184" s="120">
        <v>21</v>
      </c>
      <c r="F184" s="120">
        <v>18</v>
      </c>
      <c r="G184" s="120">
        <v>34</v>
      </c>
      <c r="H184" s="120">
        <v>14</v>
      </c>
    </row>
    <row r="185" spans="1:8" ht="15" customHeight="1">
      <c r="A185" s="907"/>
      <c r="B185" s="384" t="s">
        <v>300</v>
      </c>
      <c r="C185" s="121">
        <v>17.419989489420541</v>
      </c>
      <c r="D185" s="121">
        <v>15.345262330797528</v>
      </c>
      <c r="E185" s="121">
        <v>21</v>
      </c>
      <c r="F185" s="121">
        <v>18</v>
      </c>
      <c r="G185" s="121">
        <v>31</v>
      </c>
      <c r="H185" s="121">
        <v>15</v>
      </c>
    </row>
    <row r="186" spans="1:8" ht="15" customHeight="1">
      <c r="A186" s="907"/>
      <c r="B186" s="385" t="s">
        <v>299</v>
      </c>
      <c r="C186" s="121">
        <v>17.893629462331123</v>
      </c>
      <c r="D186" s="121">
        <v>15.471299769143396</v>
      </c>
      <c r="E186" s="121">
        <v>21</v>
      </c>
      <c r="F186" s="121">
        <v>18</v>
      </c>
      <c r="G186" s="121">
        <v>35</v>
      </c>
      <c r="H186" s="121">
        <v>14</v>
      </c>
    </row>
    <row r="187" spans="1:8" ht="15" customHeight="1">
      <c r="A187" s="907"/>
      <c r="B187" s="385" t="s">
        <v>298</v>
      </c>
      <c r="C187" s="386">
        <v>17.716724822903746</v>
      </c>
      <c r="D187" s="386">
        <v>15.086146553717445</v>
      </c>
      <c r="E187" s="386">
        <v>18.099125487685562</v>
      </c>
      <c r="F187" s="386">
        <v>13.19003128434937</v>
      </c>
      <c r="G187" s="386">
        <v>23.279335844844425</v>
      </c>
      <c r="H187" s="386">
        <v>14.525324403516116</v>
      </c>
    </row>
    <row r="188" spans="1:8" ht="15" customHeight="1">
      <c r="A188" s="907">
        <v>31</v>
      </c>
      <c r="B188" s="381" t="s">
        <v>142</v>
      </c>
      <c r="C188" s="382"/>
      <c r="D188" s="382"/>
      <c r="E188" s="382"/>
      <c r="F188" s="382"/>
      <c r="G188" s="382"/>
      <c r="H188" s="383"/>
    </row>
    <row r="189" spans="1:8" ht="15" customHeight="1">
      <c r="A189" s="907"/>
      <c r="B189" s="384" t="s">
        <v>997</v>
      </c>
      <c r="C189" s="120">
        <v>18.393652092306951</v>
      </c>
      <c r="D189" s="120">
        <v>16.650034891835311</v>
      </c>
      <c r="E189" s="120">
        <v>18.189460178044683</v>
      </c>
      <c r="F189" s="120">
        <v>17</v>
      </c>
      <c r="G189" s="120">
        <v>41.477223427331886</v>
      </c>
      <c r="H189" s="120">
        <v>15.280730296456978</v>
      </c>
    </row>
    <row r="190" spans="1:8" ht="15" customHeight="1">
      <c r="A190" s="907"/>
      <c r="B190" s="384" t="s">
        <v>301</v>
      </c>
      <c r="C190" s="120">
        <v>16.802389272456864</v>
      </c>
      <c r="D190" s="120">
        <v>16.128084833681971</v>
      </c>
      <c r="E190" s="120">
        <v>18</v>
      </c>
      <c r="F190" s="120">
        <v>17</v>
      </c>
      <c r="G190" s="120">
        <v>28</v>
      </c>
      <c r="H190" s="120">
        <v>15</v>
      </c>
    </row>
    <row r="191" spans="1:8" ht="15" customHeight="1">
      <c r="A191" s="907"/>
      <c r="B191" s="384" t="s">
        <v>300</v>
      </c>
      <c r="C191" s="121">
        <v>17.760165840782889</v>
      </c>
      <c r="D191" s="121">
        <v>17.107696904803408</v>
      </c>
      <c r="E191" s="121">
        <v>19</v>
      </c>
      <c r="F191" s="121">
        <v>18</v>
      </c>
      <c r="G191" s="121">
        <v>30</v>
      </c>
      <c r="H191" s="121">
        <v>18</v>
      </c>
    </row>
    <row r="192" spans="1:8" ht="15" customHeight="1">
      <c r="A192" s="907"/>
      <c r="B192" s="385" t="s">
        <v>299</v>
      </c>
      <c r="C192" s="121">
        <v>19.09159021606353</v>
      </c>
      <c r="D192" s="121">
        <v>18.460883482319481</v>
      </c>
      <c r="E192" s="121">
        <v>20</v>
      </c>
      <c r="F192" s="121">
        <v>19</v>
      </c>
      <c r="G192" s="121">
        <v>42</v>
      </c>
      <c r="H192" s="121">
        <v>25</v>
      </c>
    </row>
    <row r="193" spans="1:8" ht="15" customHeight="1">
      <c r="A193" s="907"/>
      <c r="B193" s="385" t="s">
        <v>298</v>
      </c>
      <c r="C193" s="386">
        <v>17.080443531632497</v>
      </c>
      <c r="D193" s="386">
        <v>16.521185283677418</v>
      </c>
      <c r="E193" s="386">
        <v>16.260973195446613</v>
      </c>
      <c r="F193" s="386">
        <v>14.919234676600068</v>
      </c>
      <c r="G193" s="386">
        <v>15.734134936539746</v>
      </c>
      <c r="H193" s="386">
        <v>18.673346693386772</v>
      </c>
    </row>
    <row r="194" spans="1:8" ht="15" customHeight="1">
      <c r="A194" s="907">
        <v>32</v>
      </c>
      <c r="B194" s="363" t="s">
        <v>998</v>
      </c>
      <c r="C194" s="389"/>
      <c r="D194" s="389"/>
      <c r="E194" s="389"/>
      <c r="F194" s="389"/>
      <c r="G194" s="389"/>
      <c r="H194" s="390"/>
    </row>
    <row r="195" spans="1:8" ht="15" customHeight="1">
      <c r="A195" s="907"/>
      <c r="B195" s="353" t="s">
        <v>997</v>
      </c>
      <c r="C195" s="386">
        <v>19.871750433275562</v>
      </c>
      <c r="D195" s="386">
        <v>19.871750433275562</v>
      </c>
      <c r="E195" s="386">
        <v>19.695121951219512</v>
      </c>
      <c r="F195" s="386">
        <v>20</v>
      </c>
      <c r="G195" s="386">
        <v>19</v>
      </c>
      <c r="H195" s="386">
        <v>19</v>
      </c>
    </row>
    <row r="196" spans="1:8" ht="15" customHeight="1">
      <c r="A196" s="907"/>
      <c r="B196" s="353" t="s">
        <v>301</v>
      </c>
      <c r="C196" s="386">
        <v>41.660137672090109</v>
      </c>
      <c r="D196" s="386">
        <v>41.660137672090109</v>
      </c>
      <c r="E196" s="386">
        <v>42</v>
      </c>
      <c r="F196" s="386">
        <v>42</v>
      </c>
      <c r="G196" s="386">
        <v>20</v>
      </c>
      <c r="H196" s="386">
        <v>20</v>
      </c>
    </row>
    <row r="197" spans="1:8" ht="15" customHeight="1">
      <c r="A197" s="907"/>
      <c r="B197" s="369" t="s">
        <v>300</v>
      </c>
      <c r="C197" s="386">
        <v>42.403814609956129</v>
      </c>
      <c r="D197" s="386">
        <v>42.403814609956129</v>
      </c>
      <c r="E197" s="386">
        <v>43</v>
      </c>
      <c r="F197" s="386">
        <v>43</v>
      </c>
      <c r="G197" s="386">
        <v>15</v>
      </c>
      <c r="H197" s="386">
        <v>15</v>
      </c>
    </row>
    <row r="198" spans="1:8" ht="15" customHeight="1">
      <c r="A198" s="907"/>
      <c r="B198" s="369" t="s">
        <v>299</v>
      </c>
      <c r="C198" s="386">
        <v>42.032111998250031</v>
      </c>
      <c r="D198" s="386">
        <v>42.032111998250031</v>
      </c>
      <c r="E198" s="386">
        <v>43</v>
      </c>
      <c r="F198" s="386">
        <v>43</v>
      </c>
      <c r="G198" s="386">
        <v>13</v>
      </c>
      <c r="H198" s="386">
        <v>13</v>
      </c>
    </row>
    <row r="199" spans="1:8" ht="15" customHeight="1">
      <c r="A199" s="907"/>
      <c r="B199" s="369" t="s">
        <v>298</v>
      </c>
      <c r="C199" s="386">
        <v>44.617346938775512</v>
      </c>
      <c r="D199" s="386">
        <v>44.520408163265309</v>
      </c>
      <c r="E199" s="386">
        <v>45.342974851944035</v>
      </c>
      <c r="F199" s="386">
        <v>44.683288988069691</v>
      </c>
      <c r="G199" s="386">
        <v>2.375</v>
      </c>
      <c r="H199" s="386">
        <v>13.375</v>
      </c>
    </row>
    <row r="200" spans="1:8" ht="15" customHeight="1">
      <c r="A200" s="907">
        <v>33</v>
      </c>
      <c r="B200" s="381" t="s">
        <v>45</v>
      </c>
      <c r="C200" s="382"/>
      <c r="D200" s="382"/>
      <c r="E200" s="382"/>
      <c r="F200" s="382"/>
      <c r="G200" s="382"/>
      <c r="H200" s="383"/>
    </row>
    <row r="201" spans="1:8" ht="15" customHeight="1">
      <c r="A201" s="907"/>
      <c r="B201" s="384" t="s">
        <v>997</v>
      </c>
      <c r="C201" s="120">
        <v>37.544679122664498</v>
      </c>
      <c r="D201" s="120">
        <v>32.530056864337936</v>
      </c>
      <c r="E201" s="120">
        <v>38.672340425531914</v>
      </c>
      <c r="F201" s="120">
        <v>33</v>
      </c>
      <c r="G201" s="120">
        <v>49.183864915572229</v>
      </c>
      <c r="H201" s="120">
        <v>26.02063789868668</v>
      </c>
    </row>
    <row r="202" spans="1:8" ht="15" customHeight="1">
      <c r="A202" s="907"/>
      <c r="B202" s="384" t="s">
        <v>301</v>
      </c>
      <c r="C202" s="120">
        <v>35.772293654085445</v>
      </c>
      <c r="D202" s="120">
        <v>30.459975114060555</v>
      </c>
      <c r="E202" s="120">
        <v>44</v>
      </c>
      <c r="F202" s="120">
        <v>37</v>
      </c>
      <c r="G202" s="120">
        <v>59</v>
      </c>
      <c r="H202" s="120">
        <v>25</v>
      </c>
    </row>
    <row r="203" spans="1:8" ht="15" customHeight="1">
      <c r="A203" s="907"/>
      <c r="B203" s="384" t="s">
        <v>300</v>
      </c>
      <c r="C203" s="121">
        <v>33.160785886126703</v>
      </c>
      <c r="D203" s="121">
        <v>28.120288692862871</v>
      </c>
      <c r="E203" s="121">
        <v>42</v>
      </c>
      <c r="F203" s="121">
        <v>36</v>
      </c>
      <c r="G203" s="121">
        <v>45</v>
      </c>
      <c r="H203" s="121">
        <v>19</v>
      </c>
    </row>
    <row r="204" spans="1:8" ht="15" customHeight="1">
      <c r="A204" s="907"/>
      <c r="B204" s="385" t="s">
        <v>299</v>
      </c>
      <c r="C204" s="121">
        <v>37.42097620150583</v>
      </c>
      <c r="D204" s="121">
        <v>28.205465997424195</v>
      </c>
      <c r="E204" s="121">
        <v>48</v>
      </c>
      <c r="F204" s="121">
        <v>36</v>
      </c>
      <c r="G204" s="121">
        <v>51</v>
      </c>
      <c r="H204" s="121">
        <v>6</v>
      </c>
    </row>
    <row r="205" spans="1:8" ht="15" customHeight="1">
      <c r="A205" s="907"/>
      <c r="B205" s="385" t="s">
        <v>298</v>
      </c>
      <c r="C205" s="386">
        <v>34.728410513141426</v>
      </c>
      <c r="D205" s="386">
        <v>29.76595744680851</v>
      </c>
      <c r="E205" s="386">
        <v>37.031588447653426</v>
      </c>
      <c r="F205" s="386">
        <v>28.317238267148014</v>
      </c>
      <c r="G205" s="386">
        <v>27.697183098591548</v>
      </c>
      <c r="H205" s="386">
        <v>17.633802816901408</v>
      </c>
    </row>
    <row r="206" spans="1:8" ht="15" customHeight="1">
      <c r="A206" s="907">
        <v>34</v>
      </c>
      <c r="B206" s="381" t="s">
        <v>47</v>
      </c>
      <c r="C206" s="382"/>
      <c r="D206" s="382"/>
      <c r="E206" s="382"/>
      <c r="F206" s="382"/>
      <c r="G206" s="382"/>
      <c r="H206" s="383"/>
    </row>
    <row r="207" spans="1:8" ht="15" customHeight="1">
      <c r="A207" s="907"/>
      <c r="B207" s="384" t="s">
        <v>997</v>
      </c>
      <c r="C207" s="120">
        <v>37.743172519902558</v>
      </c>
      <c r="D207" s="120">
        <v>36.842667816721644</v>
      </c>
      <c r="E207" s="120">
        <v>35.99258877692283</v>
      </c>
      <c r="F207" s="120">
        <v>39</v>
      </c>
      <c r="G207" s="120">
        <v>27.136503409242835</v>
      </c>
      <c r="H207" s="120">
        <v>20.25054592450644</v>
      </c>
    </row>
    <row r="208" spans="1:8" ht="15" customHeight="1">
      <c r="A208" s="907"/>
      <c r="B208" s="384" t="s">
        <v>301</v>
      </c>
      <c r="C208" s="120">
        <v>39.570450758490821</v>
      </c>
      <c r="D208" s="120">
        <v>38.787139414887356</v>
      </c>
      <c r="E208" s="120">
        <v>49</v>
      </c>
      <c r="F208" s="120">
        <v>48</v>
      </c>
      <c r="G208" s="120">
        <v>26</v>
      </c>
      <c r="H208" s="120">
        <v>20</v>
      </c>
    </row>
    <row r="209" spans="1:8" ht="15" customHeight="1">
      <c r="A209" s="907"/>
      <c r="B209" s="384" t="s">
        <v>300</v>
      </c>
      <c r="C209" s="121">
        <v>45.6106360027919</v>
      </c>
      <c r="D209" s="121">
        <v>44.164700822763841</v>
      </c>
      <c r="E209" s="121">
        <v>57</v>
      </c>
      <c r="F209" s="121">
        <v>55</v>
      </c>
      <c r="G209" s="121">
        <v>32</v>
      </c>
      <c r="H209" s="121">
        <v>21</v>
      </c>
    </row>
    <row r="210" spans="1:8" ht="15" customHeight="1">
      <c r="A210" s="907"/>
      <c r="B210" s="385" t="s">
        <v>299</v>
      </c>
      <c r="C210" s="121">
        <v>60.09192825364557</v>
      </c>
      <c r="D210" s="121">
        <v>58.353143054669545</v>
      </c>
      <c r="E210" s="121">
        <v>74</v>
      </c>
      <c r="F210" s="121">
        <v>72</v>
      </c>
      <c r="G210" s="121">
        <v>37</v>
      </c>
      <c r="H210" s="121">
        <v>23</v>
      </c>
    </row>
    <row r="211" spans="1:8" ht="15" customHeight="1">
      <c r="A211" s="907"/>
      <c r="B211" s="385" t="s">
        <v>298</v>
      </c>
      <c r="C211" s="386">
        <v>41.546714973889813</v>
      </c>
      <c r="D211" s="386">
        <v>40.769481439501277</v>
      </c>
      <c r="E211" s="386">
        <v>44.453036188305163</v>
      </c>
      <c r="F211" s="386">
        <v>41.131375695496331</v>
      </c>
      <c r="G211" s="386">
        <v>6.7905575087895533</v>
      </c>
      <c r="H211" s="386">
        <v>21.02021597187343</v>
      </c>
    </row>
    <row r="212" spans="1:8" ht="15" customHeight="1">
      <c r="A212" s="907">
        <v>35</v>
      </c>
      <c r="B212" s="381" t="s">
        <v>58</v>
      </c>
      <c r="C212" s="382"/>
      <c r="D212" s="382"/>
      <c r="E212" s="382"/>
      <c r="F212" s="382"/>
      <c r="G212" s="382"/>
      <c r="H212" s="383"/>
    </row>
    <row r="213" spans="1:8" ht="15" customHeight="1">
      <c r="A213" s="907"/>
      <c r="B213" s="384" t="s">
        <v>997</v>
      </c>
      <c r="C213" s="120">
        <v>32.448419388830345</v>
      </c>
      <c r="D213" s="120">
        <v>27.030769230769231</v>
      </c>
      <c r="E213" s="120">
        <v>32.278897573015222</v>
      </c>
      <c r="F213" s="120">
        <v>29</v>
      </c>
      <c r="G213" s="120">
        <v>43.448369156771385</v>
      </c>
      <c r="H213" s="120">
        <v>27.992634901548175</v>
      </c>
    </row>
    <row r="214" spans="1:8" ht="15" customHeight="1">
      <c r="A214" s="907"/>
      <c r="B214" s="384" t="s">
        <v>301</v>
      </c>
      <c r="C214" s="120">
        <v>26.934530959921371</v>
      </c>
      <c r="D214" s="120">
        <v>22.484274325652507</v>
      </c>
      <c r="E214" s="120">
        <v>46</v>
      </c>
      <c r="F214" s="120">
        <v>38</v>
      </c>
      <c r="G214" s="120">
        <v>36</v>
      </c>
      <c r="H214" s="120">
        <v>22</v>
      </c>
    </row>
    <row r="215" spans="1:8" ht="15" customHeight="1">
      <c r="A215" s="907"/>
      <c r="B215" s="384" t="s">
        <v>300</v>
      </c>
      <c r="C215" s="121">
        <v>26.739093193238922</v>
      </c>
      <c r="D215" s="121">
        <v>23.306190041114665</v>
      </c>
      <c r="E215" s="121">
        <v>46</v>
      </c>
      <c r="F215" s="121">
        <v>40</v>
      </c>
      <c r="G215" s="121">
        <v>33</v>
      </c>
      <c r="H215" s="121">
        <v>23</v>
      </c>
    </row>
    <row r="216" spans="1:8" ht="15" customHeight="1">
      <c r="A216" s="907"/>
      <c r="B216" s="385" t="s">
        <v>299</v>
      </c>
      <c r="C216" s="121">
        <v>27.720380157093551</v>
      </c>
      <c r="D216" s="121">
        <v>24.341940080999702</v>
      </c>
      <c r="E216" s="121">
        <v>46</v>
      </c>
      <c r="F216" s="121">
        <v>40</v>
      </c>
      <c r="G216" s="121">
        <v>33</v>
      </c>
      <c r="H216" s="121">
        <v>22</v>
      </c>
    </row>
    <row r="217" spans="1:8" ht="15" customHeight="1">
      <c r="A217" s="907"/>
      <c r="B217" s="385" t="s">
        <v>298</v>
      </c>
      <c r="C217" s="386">
        <v>26.467364290385873</v>
      </c>
      <c r="D217" s="386">
        <v>23.843557880967953</v>
      </c>
      <c r="E217" s="386">
        <v>28.40658929239985</v>
      </c>
      <c r="F217" s="386">
        <v>17.788169225009359</v>
      </c>
      <c r="G217" s="386">
        <v>9.1990804597701157</v>
      </c>
      <c r="H217" s="386">
        <v>23.400689655172414</v>
      </c>
    </row>
    <row r="218" spans="1:8" ht="15" customHeight="1">
      <c r="A218" s="907">
        <v>36</v>
      </c>
      <c r="B218" s="381" t="s">
        <v>48</v>
      </c>
      <c r="C218" s="382"/>
      <c r="D218" s="382"/>
      <c r="E218" s="382"/>
      <c r="F218" s="382"/>
      <c r="G218" s="382"/>
      <c r="H218" s="383"/>
    </row>
    <row r="219" spans="1:8" ht="15" customHeight="1">
      <c r="A219" s="907"/>
      <c r="B219" s="384" t="s">
        <v>997</v>
      </c>
      <c r="C219" s="120">
        <v>31.219371083417027</v>
      </c>
      <c r="D219" s="120">
        <v>28.455320894572306</v>
      </c>
      <c r="E219" s="120">
        <v>32.855801582978181</v>
      </c>
      <c r="F219" s="120">
        <v>30</v>
      </c>
      <c r="G219" s="120">
        <v>43.883979206049148</v>
      </c>
      <c r="H219" s="120">
        <v>20.798086011342154</v>
      </c>
    </row>
    <row r="220" spans="1:8" ht="15" customHeight="1">
      <c r="A220" s="907"/>
      <c r="B220" s="384" t="s">
        <v>301</v>
      </c>
      <c r="C220" s="120">
        <v>32.967580020138527</v>
      </c>
      <c r="D220" s="120">
        <v>30.109190492173436</v>
      </c>
      <c r="E220" s="120">
        <v>40</v>
      </c>
      <c r="F220" s="120">
        <v>36</v>
      </c>
      <c r="G220" s="120">
        <v>43</v>
      </c>
      <c r="H220" s="120">
        <v>19</v>
      </c>
    </row>
    <row r="221" spans="1:8" ht="15" customHeight="1">
      <c r="A221" s="907"/>
      <c r="B221" s="384" t="s">
        <v>300</v>
      </c>
      <c r="C221" s="121">
        <v>34.912610693122048</v>
      </c>
      <c r="D221" s="121">
        <v>31.547556428523869</v>
      </c>
      <c r="E221" s="121">
        <v>42</v>
      </c>
      <c r="F221" s="121">
        <v>38</v>
      </c>
      <c r="G221" s="121">
        <v>50</v>
      </c>
      <c r="H221" s="121">
        <v>21</v>
      </c>
    </row>
    <row r="222" spans="1:8" ht="15" customHeight="1">
      <c r="A222" s="907"/>
      <c r="B222" s="385" t="s">
        <v>299</v>
      </c>
      <c r="C222" s="121">
        <v>36.915814476356253</v>
      </c>
      <c r="D222" s="121">
        <v>33.071946620249491</v>
      </c>
      <c r="E222" s="121">
        <v>44</v>
      </c>
      <c r="F222" s="121">
        <v>39</v>
      </c>
      <c r="G222" s="121">
        <v>58</v>
      </c>
      <c r="H222" s="121">
        <v>20</v>
      </c>
    </row>
    <row r="223" spans="1:8" ht="15" customHeight="1">
      <c r="A223" s="907"/>
      <c r="B223" s="385" t="s">
        <v>298</v>
      </c>
      <c r="C223" s="386">
        <v>41.521553765987683</v>
      </c>
      <c r="D223" s="386">
        <v>37.587131588161391</v>
      </c>
      <c r="E223" s="386">
        <v>45.367948257276318</v>
      </c>
      <c r="F223" s="386">
        <v>38.284848484848482</v>
      </c>
      <c r="G223" s="386">
        <v>37.157303370786515</v>
      </c>
      <c r="H223" s="386">
        <v>21.128523556081213</v>
      </c>
    </row>
  </sheetData>
  <mergeCells count="43">
    <mergeCell ref="B2:B3"/>
    <mergeCell ref="C2:D2"/>
    <mergeCell ref="E2:F2"/>
    <mergeCell ref="G2:H2"/>
    <mergeCell ref="A2:A3"/>
    <mergeCell ref="A5:A10"/>
    <mergeCell ref="A11:A16"/>
    <mergeCell ref="A17:A22"/>
    <mergeCell ref="A23:A28"/>
    <mergeCell ref="A29:A34"/>
    <mergeCell ref="A35:A40"/>
    <mergeCell ref="A41:A46"/>
    <mergeCell ref="A47:A52"/>
    <mergeCell ref="A53:A58"/>
    <mergeCell ref="A59:A64"/>
    <mergeCell ref="A65:A70"/>
    <mergeCell ref="A71:A76"/>
    <mergeCell ref="A77:A82"/>
    <mergeCell ref="A83:A88"/>
    <mergeCell ref="A89:A94"/>
    <mergeCell ref="A140:A145"/>
    <mergeCell ref="A146:A151"/>
    <mergeCell ref="A95:A100"/>
    <mergeCell ref="A101:A106"/>
    <mergeCell ref="A107:A109"/>
    <mergeCell ref="A110:A115"/>
    <mergeCell ref="A116:A121"/>
    <mergeCell ref="C1:H1"/>
    <mergeCell ref="A212:A217"/>
    <mergeCell ref="A218:A223"/>
    <mergeCell ref="A182:A187"/>
    <mergeCell ref="A188:A193"/>
    <mergeCell ref="A194:A199"/>
    <mergeCell ref="A200:A205"/>
    <mergeCell ref="A206:A211"/>
    <mergeCell ref="A152:A157"/>
    <mergeCell ref="A158:A163"/>
    <mergeCell ref="A164:A169"/>
    <mergeCell ref="A170:A175"/>
    <mergeCell ref="A176:A181"/>
    <mergeCell ref="A122:A127"/>
    <mergeCell ref="A128:A133"/>
    <mergeCell ref="A134:A139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60" firstPageNumber="2" pageOrder="overThenDown" orientation="portrait" useFirstPageNumber="1" r:id="rId1"/>
  <headerFooter alignWithMargins="0">
    <oddFooter>&amp;LAISHE 2020-21&amp;CT-49</oddFooter>
  </headerFooter>
  <rowBreaks count="2" manualBreakCount="2">
    <brk id="82" max="7" man="1"/>
    <brk id="163" max="7" man="1"/>
  </rowBreaks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00B050"/>
  </sheetPr>
  <dimension ref="A1:AC76"/>
  <sheetViews>
    <sheetView showZeros="0" view="pageBreakPreview" zoomScale="85" zoomScaleSheetLayoutView="85" workbookViewId="0">
      <pane xSplit="2" ySplit="3" topLeftCell="U46" activePane="bottomRight" state="frozen"/>
      <selection activeCell="H31" sqref="H31"/>
      <selection pane="topRight" activeCell="H31" sqref="H31"/>
      <selection pane="bottomLeft" activeCell="H31" sqref="H31"/>
      <selection pane="bottomRight" activeCell="AC78" sqref="AC78"/>
    </sheetView>
  </sheetViews>
  <sheetFormatPr defaultColWidth="9.1796875" defaultRowHeight="14"/>
  <cols>
    <col min="1" max="1" width="4.26953125" style="427" bestFit="1" customWidth="1"/>
    <col min="2" max="2" width="31.1796875" style="391" customWidth="1"/>
    <col min="3" max="29" width="9.54296875" style="391" customWidth="1"/>
    <col min="30" max="16384" width="9.1796875" style="391"/>
  </cols>
  <sheetData>
    <row r="1" spans="1:29" s="375" customFormat="1" ht="24.75" customHeight="1">
      <c r="A1" s="427"/>
      <c r="B1" s="373" t="s">
        <v>331</v>
      </c>
      <c r="C1" s="374" t="s">
        <v>332</v>
      </c>
      <c r="L1" s="374" t="str">
        <f>C1</f>
        <v>Enrolment by University Type at various levels during last 5 years</v>
      </c>
      <c r="U1" s="374" t="str">
        <f>C1</f>
        <v>Enrolment by University Type at various levels during last 5 years</v>
      </c>
      <c r="V1" s="374"/>
      <c r="W1" s="374"/>
      <c r="X1" s="374"/>
      <c r="Y1" s="374"/>
      <c r="Z1" s="374"/>
      <c r="AA1" s="374"/>
      <c r="AB1" s="374"/>
    </row>
    <row r="2" spans="1:29" ht="21.75" customHeight="1">
      <c r="A2" s="1159" t="s">
        <v>1050</v>
      </c>
      <c r="B2" s="1190" t="s">
        <v>236</v>
      </c>
      <c r="C2" s="1191" t="s">
        <v>89</v>
      </c>
      <c r="D2" s="1192"/>
      <c r="E2" s="1192"/>
      <c r="F2" s="1191" t="s">
        <v>90</v>
      </c>
      <c r="G2" s="1192"/>
      <c r="H2" s="1192"/>
      <c r="I2" s="1191" t="s">
        <v>85</v>
      </c>
      <c r="J2" s="1192"/>
      <c r="K2" s="1192"/>
      <c r="L2" s="1191" t="s">
        <v>86</v>
      </c>
      <c r="M2" s="1192"/>
      <c r="N2" s="1192"/>
      <c r="O2" s="1191" t="s">
        <v>91</v>
      </c>
      <c r="P2" s="1192"/>
      <c r="Q2" s="1192"/>
      <c r="R2" s="1191" t="s">
        <v>92</v>
      </c>
      <c r="S2" s="1192"/>
      <c r="T2" s="1192"/>
      <c r="U2" s="1191" t="s">
        <v>93</v>
      </c>
      <c r="V2" s="1192"/>
      <c r="W2" s="1192"/>
      <c r="X2" s="1191" t="s">
        <v>94</v>
      </c>
      <c r="Y2" s="1192"/>
      <c r="Z2" s="1192"/>
      <c r="AA2" s="1191" t="s">
        <v>60</v>
      </c>
      <c r="AB2" s="1192"/>
      <c r="AC2" s="1192"/>
    </row>
    <row r="3" spans="1:29">
      <c r="A3" s="1160"/>
      <c r="B3" s="1194"/>
      <c r="C3" s="392" t="s">
        <v>87</v>
      </c>
      <c r="D3" s="392" t="s">
        <v>88</v>
      </c>
      <c r="E3" s="392" t="s">
        <v>309</v>
      </c>
      <c r="F3" s="392" t="s">
        <v>87</v>
      </c>
      <c r="G3" s="392" t="s">
        <v>88</v>
      </c>
      <c r="H3" s="392" t="s">
        <v>309</v>
      </c>
      <c r="I3" s="392" t="s">
        <v>87</v>
      </c>
      <c r="J3" s="392" t="s">
        <v>88</v>
      </c>
      <c r="K3" s="392" t="s">
        <v>309</v>
      </c>
      <c r="L3" s="392" t="s">
        <v>87</v>
      </c>
      <c r="M3" s="392" t="s">
        <v>88</v>
      </c>
      <c r="N3" s="392" t="s">
        <v>309</v>
      </c>
      <c r="O3" s="392" t="s">
        <v>87</v>
      </c>
      <c r="P3" s="392" t="s">
        <v>88</v>
      </c>
      <c r="Q3" s="392" t="s">
        <v>309</v>
      </c>
      <c r="R3" s="392" t="s">
        <v>87</v>
      </c>
      <c r="S3" s="392" t="s">
        <v>88</v>
      </c>
      <c r="T3" s="392" t="s">
        <v>309</v>
      </c>
      <c r="U3" s="392" t="s">
        <v>87</v>
      </c>
      <c r="V3" s="392" t="s">
        <v>88</v>
      </c>
      <c r="W3" s="392" t="s">
        <v>309</v>
      </c>
      <c r="X3" s="392" t="s">
        <v>87</v>
      </c>
      <c r="Y3" s="392" t="s">
        <v>88</v>
      </c>
      <c r="Z3" s="392" t="s">
        <v>309</v>
      </c>
      <c r="AA3" s="392" t="s">
        <v>87</v>
      </c>
      <c r="AB3" s="392" t="s">
        <v>88</v>
      </c>
      <c r="AC3" s="393" t="s">
        <v>309</v>
      </c>
    </row>
    <row r="4" spans="1:29">
      <c r="A4" s="367">
        <v>1</v>
      </c>
      <c r="B4" s="482">
        <v>1</v>
      </c>
      <c r="C4" s="503">
        <v>2</v>
      </c>
      <c r="D4" s="482">
        <v>3</v>
      </c>
      <c r="E4" s="483">
        <v>4</v>
      </c>
      <c r="F4" s="482">
        <v>5</v>
      </c>
      <c r="G4" s="483">
        <v>6</v>
      </c>
      <c r="H4" s="482">
        <v>7</v>
      </c>
      <c r="I4" s="483">
        <v>8</v>
      </c>
      <c r="J4" s="482">
        <v>9</v>
      </c>
      <c r="K4" s="504">
        <v>10</v>
      </c>
      <c r="L4" s="482">
        <v>11</v>
      </c>
      <c r="M4" s="483">
        <v>12</v>
      </c>
      <c r="N4" s="482">
        <v>13</v>
      </c>
      <c r="O4" s="483">
        <v>14</v>
      </c>
      <c r="P4" s="482">
        <v>15</v>
      </c>
      <c r="Q4" s="483">
        <v>16</v>
      </c>
      <c r="R4" s="482">
        <v>17</v>
      </c>
      <c r="S4" s="483">
        <v>18</v>
      </c>
      <c r="T4" s="506">
        <v>19</v>
      </c>
      <c r="U4" s="503">
        <v>20</v>
      </c>
      <c r="V4" s="482">
        <v>21</v>
      </c>
      <c r="W4" s="483">
        <v>22</v>
      </c>
      <c r="X4" s="482">
        <v>23</v>
      </c>
      <c r="Y4" s="483">
        <v>24</v>
      </c>
      <c r="Z4" s="482">
        <v>25</v>
      </c>
      <c r="AA4" s="483">
        <v>26</v>
      </c>
      <c r="AB4" s="482">
        <v>27</v>
      </c>
      <c r="AC4" s="504">
        <v>28</v>
      </c>
    </row>
    <row r="5" spans="1:29" ht="16.899999999999999" customHeight="1">
      <c r="A5" s="909"/>
      <c r="B5" s="394" t="s">
        <v>333</v>
      </c>
      <c r="C5" s="505"/>
      <c r="D5" s="395"/>
      <c r="E5" s="395"/>
      <c r="F5" s="395"/>
      <c r="G5" s="395"/>
      <c r="H5" s="395"/>
      <c r="I5" s="395"/>
      <c r="J5" s="395"/>
      <c r="K5" s="502"/>
      <c r="L5" s="505"/>
      <c r="M5" s="395"/>
      <c r="N5" s="395"/>
      <c r="O5" s="395"/>
      <c r="P5" s="395"/>
      <c r="Q5" s="395"/>
      <c r="R5" s="395"/>
      <c r="S5" s="395"/>
      <c r="T5" s="502"/>
      <c r="U5" s="505"/>
      <c r="V5" s="395"/>
      <c r="W5" s="395"/>
      <c r="X5" s="395"/>
      <c r="Y5" s="395"/>
      <c r="Z5" s="395"/>
      <c r="AA5" s="395"/>
      <c r="AB5" s="395"/>
      <c r="AC5" s="502"/>
    </row>
    <row r="6" spans="1:29" ht="16.899999999999999" customHeight="1">
      <c r="A6" s="909"/>
      <c r="B6" s="500" t="s">
        <v>997</v>
      </c>
      <c r="C6" s="122">
        <v>101450</v>
      </c>
      <c r="D6" s="122">
        <v>78880</v>
      </c>
      <c r="E6" s="122">
        <v>180330</v>
      </c>
      <c r="F6" s="122">
        <v>4654</v>
      </c>
      <c r="G6" s="122">
        <v>7423</v>
      </c>
      <c r="H6" s="122">
        <v>12077</v>
      </c>
      <c r="I6" s="122">
        <v>1087884</v>
      </c>
      <c r="J6" s="122">
        <v>1236301</v>
      </c>
      <c r="K6" s="122">
        <v>2324185</v>
      </c>
      <c r="L6" s="122">
        <v>3448134</v>
      </c>
      <c r="M6" s="122">
        <v>2320019</v>
      </c>
      <c r="N6" s="122">
        <v>5768153</v>
      </c>
      <c r="O6" s="122">
        <v>95077</v>
      </c>
      <c r="P6" s="122">
        <v>73561</v>
      </c>
      <c r="Q6" s="122">
        <v>168638</v>
      </c>
      <c r="R6" s="122">
        <v>188412</v>
      </c>
      <c r="S6" s="122">
        <v>124219</v>
      </c>
      <c r="T6" s="122">
        <v>312631</v>
      </c>
      <c r="U6" s="122">
        <v>50842</v>
      </c>
      <c r="V6" s="122">
        <v>33396</v>
      </c>
      <c r="W6" s="122">
        <v>84238</v>
      </c>
      <c r="X6" s="122">
        <v>102031</v>
      </c>
      <c r="Y6" s="122">
        <v>75909</v>
      </c>
      <c r="Z6" s="122">
        <v>177940</v>
      </c>
      <c r="AA6" s="122">
        <v>5078484</v>
      </c>
      <c r="AB6" s="122">
        <v>3949708</v>
      </c>
      <c r="AC6" s="122">
        <v>9028192</v>
      </c>
    </row>
    <row r="7" spans="1:29" ht="16.899999999999999" customHeight="1">
      <c r="A7" s="909"/>
      <c r="B7" s="500" t="s">
        <v>301</v>
      </c>
      <c r="C7" s="122">
        <v>99659</v>
      </c>
      <c r="D7" s="122">
        <v>78217</v>
      </c>
      <c r="E7" s="122">
        <v>177876</v>
      </c>
      <c r="F7" s="122">
        <v>6461</v>
      </c>
      <c r="G7" s="122">
        <v>9413</v>
      </c>
      <c r="H7" s="122">
        <v>15874</v>
      </c>
      <c r="I7" s="122">
        <v>983466</v>
      </c>
      <c r="J7" s="122">
        <v>1113085</v>
      </c>
      <c r="K7" s="122">
        <v>2096551</v>
      </c>
      <c r="L7" s="122">
        <v>3160539</v>
      </c>
      <c r="M7" s="122">
        <v>2061807</v>
      </c>
      <c r="N7" s="122">
        <v>5222346</v>
      </c>
      <c r="O7" s="122">
        <v>74632</v>
      </c>
      <c r="P7" s="122">
        <v>63053</v>
      </c>
      <c r="Q7" s="122">
        <v>137685</v>
      </c>
      <c r="R7" s="122">
        <v>171993</v>
      </c>
      <c r="S7" s="122">
        <v>104165</v>
      </c>
      <c r="T7" s="122">
        <v>276158</v>
      </c>
      <c r="U7" s="122">
        <v>32798</v>
      </c>
      <c r="V7" s="122">
        <v>28051</v>
      </c>
      <c r="W7" s="122">
        <v>60849</v>
      </c>
      <c r="X7" s="122">
        <v>87722</v>
      </c>
      <c r="Y7" s="122">
        <v>63307</v>
      </c>
      <c r="Z7" s="122">
        <v>151029</v>
      </c>
      <c r="AA7" s="122">
        <v>4617270</v>
      </c>
      <c r="AB7" s="122">
        <v>3521098</v>
      </c>
      <c r="AC7" s="122">
        <v>8138368</v>
      </c>
    </row>
    <row r="8" spans="1:29" ht="16.899999999999999" customHeight="1">
      <c r="A8" s="909"/>
      <c r="B8" s="501" t="s">
        <v>300</v>
      </c>
      <c r="C8" s="397">
        <v>83960</v>
      </c>
      <c r="D8" s="397">
        <v>62513</v>
      </c>
      <c r="E8" s="397">
        <v>146473</v>
      </c>
      <c r="F8" s="397">
        <v>7850</v>
      </c>
      <c r="G8" s="397">
        <v>10799</v>
      </c>
      <c r="H8" s="397">
        <v>18649</v>
      </c>
      <c r="I8" s="397">
        <v>891697</v>
      </c>
      <c r="J8" s="397">
        <v>997794</v>
      </c>
      <c r="K8" s="397">
        <v>1889491</v>
      </c>
      <c r="L8" s="397">
        <v>2928657</v>
      </c>
      <c r="M8" s="397">
        <v>1898976</v>
      </c>
      <c r="N8" s="397">
        <v>4827633</v>
      </c>
      <c r="O8" s="397">
        <v>82634</v>
      </c>
      <c r="P8" s="397">
        <v>67497</v>
      </c>
      <c r="Q8" s="397">
        <v>150131</v>
      </c>
      <c r="R8" s="397">
        <v>169584</v>
      </c>
      <c r="S8" s="397">
        <v>93413</v>
      </c>
      <c r="T8" s="397">
        <v>262997</v>
      </c>
      <c r="U8" s="397">
        <v>30118</v>
      </c>
      <c r="V8" s="397">
        <v>29173</v>
      </c>
      <c r="W8" s="397">
        <v>59291</v>
      </c>
      <c r="X8" s="397">
        <v>77518</v>
      </c>
      <c r="Y8" s="397">
        <v>54612</v>
      </c>
      <c r="Z8" s="397">
        <v>132130</v>
      </c>
      <c r="AA8" s="397">
        <v>4272018</v>
      </c>
      <c r="AB8" s="397">
        <v>3214777</v>
      </c>
      <c r="AC8" s="397">
        <v>7486795</v>
      </c>
    </row>
    <row r="9" spans="1:29" ht="16.899999999999999" customHeight="1">
      <c r="A9" s="909"/>
      <c r="B9" s="501" t="s">
        <v>299</v>
      </c>
      <c r="C9" s="123">
        <v>81705</v>
      </c>
      <c r="D9" s="123">
        <v>57513</v>
      </c>
      <c r="E9" s="123">
        <v>139218</v>
      </c>
      <c r="F9" s="123">
        <v>7424</v>
      </c>
      <c r="G9" s="123">
        <v>10488</v>
      </c>
      <c r="H9" s="123">
        <v>17912</v>
      </c>
      <c r="I9" s="123">
        <v>1006848</v>
      </c>
      <c r="J9" s="123">
        <v>968276</v>
      </c>
      <c r="K9" s="123">
        <v>1975124</v>
      </c>
      <c r="L9" s="123">
        <v>2796525</v>
      </c>
      <c r="M9" s="123">
        <v>1737629</v>
      </c>
      <c r="N9" s="123">
        <v>4534154</v>
      </c>
      <c r="O9" s="123">
        <v>81900</v>
      </c>
      <c r="P9" s="123">
        <v>71557</v>
      </c>
      <c r="Q9" s="123">
        <v>153457</v>
      </c>
      <c r="R9" s="123">
        <v>175091</v>
      </c>
      <c r="S9" s="123">
        <v>88806</v>
      </c>
      <c r="T9" s="123">
        <v>263897</v>
      </c>
      <c r="U9" s="123">
        <v>29307</v>
      </c>
      <c r="V9" s="123">
        <v>38717</v>
      </c>
      <c r="W9" s="123">
        <v>68024</v>
      </c>
      <c r="X9" s="123">
        <v>67630</v>
      </c>
      <c r="Y9" s="123">
        <v>45981</v>
      </c>
      <c r="Z9" s="123">
        <v>113611</v>
      </c>
      <c r="AA9" s="123">
        <v>4246430</v>
      </c>
      <c r="AB9" s="123">
        <v>3018967</v>
      </c>
      <c r="AC9" s="123">
        <v>7265397</v>
      </c>
    </row>
    <row r="10" spans="1:29" ht="16.899999999999999" customHeight="1">
      <c r="A10" s="909"/>
      <c r="B10" s="501" t="s">
        <v>298</v>
      </c>
      <c r="C10" s="397">
        <v>72797</v>
      </c>
      <c r="D10" s="397">
        <v>50915</v>
      </c>
      <c r="E10" s="397">
        <v>123712</v>
      </c>
      <c r="F10" s="397">
        <v>10661</v>
      </c>
      <c r="G10" s="397">
        <v>14374</v>
      </c>
      <c r="H10" s="397">
        <v>25035</v>
      </c>
      <c r="I10" s="397">
        <v>941467</v>
      </c>
      <c r="J10" s="397">
        <v>1016658</v>
      </c>
      <c r="K10" s="397">
        <v>1958125</v>
      </c>
      <c r="L10" s="397">
        <v>2663542</v>
      </c>
      <c r="M10" s="397">
        <v>1749997</v>
      </c>
      <c r="N10" s="397">
        <v>4413539</v>
      </c>
      <c r="O10" s="397">
        <v>78041</v>
      </c>
      <c r="P10" s="397">
        <v>58972</v>
      </c>
      <c r="Q10" s="397">
        <v>137013</v>
      </c>
      <c r="R10" s="397">
        <v>170392</v>
      </c>
      <c r="S10" s="397">
        <v>76837</v>
      </c>
      <c r="T10" s="397">
        <v>247229</v>
      </c>
      <c r="U10" s="397">
        <v>40433</v>
      </c>
      <c r="V10" s="397">
        <v>25260</v>
      </c>
      <c r="W10" s="397">
        <v>65693</v>
      </c>
      <c r="X10" s="397">
        <v>60963</v>
      </c>
      <c r="Y10" s="397">
        <v>40975</v>
      </c>
      <c r="Z10" s="397">
        <v>101938</v>
      </c>
      <c r="AA10" s="397">
        <v>4038296</v>
      </c>
      <c r="AB10" s="397">
        <v>3033988</v>
      </c>
      <c r="AC10" s="397">
        <v>7072284</v>
      </c>
    </row>
    <row r="11" spans="1:29" ht="16.899999999999999" customHeight="1">
      <c r="A11" s="907">
        <v>1</v>
      </c>
      <c r="B11" s="394" t="s">
        <v>125</v>
      </c>
      <c r="C11" s="505"/>
      <c r="D11" s="395"/>
      <c r="E11" s="395"/>
      <c r="F11" s="395"/>
      <c r="G11" s="395"/>
      <c r="H11" s="395"/>
      <c r="I11" s="395"/>
      <c r="J11" s="395"/>
      <c r="K11" s="502"/>
      <c r="L11" s="505"/>
      <c r="M11" s="395"/>
      <c r="N11" s="395"/>
      <c r="O11" s="395"/>
      <c r="P11" s="395"/>
      <c r="Q11" s="395"/>
      <c r="R11" s="395"/>
      <c r="S11" s="395"/>
      <c r="T11" s="502"/>
      <c r="U11" s="505"/>
      <c r="V11" s="395"/>
      <c r="W11" s="395"/>
      <c r="X11" s="395"/>
      <c r="Y11" s="395"/>
      <c r="Z11" s="395"/>
      <c r="AA11" s="395"/>
      <c r="AB11" s="395"/>
      <c r="AC11" s="502"/>
    </row>
    <row r="12" spans="1:29" ht="16.899999999999999" customHeight="1">
      <c r="A12" s="907"/>
      <c r="B12" s="500" t="s">
        <v>997</v>
      </c>
      <c r="C12" s="123">
        <v>12485</v>
      </c>
      <c r="D12" s="123">
        <v>10637</v>
      </c>
      <c r="E12" s="95">
        <v>23122</v>
      </c>
      <c r="F12" s="123">
        <v>1294</v>
      </c>
      <c r="G12" s="123">
        <v>1127</v>
      </c>
      <c r="H12" s="95">
        <v>2421</v>
      </c>
      <c r="I12" s="123">
        <v>67880</v>
      </c>
      <c r="J12" s="123">
        <v>65510</v>
      </c>
      <c r="K12" s="95">
        <v>133390</v>
      </c>
      <c r="L12" s="123">
        <v>266929</v>
      </c>
      <c r="M12" s="123">
        <v>249701</v>
      </c>
      <c r="N12" s="95">
        <v>516630</v>
      </c>
      <c r="O12" s="123">
        <v>2492</v>
      </c>
      <c r="P12" s="123">
        <v>1885</v>
      </c>
      <c r="Q12" s="95">
        <v>4377</v>
      </c>
      <c r="R12" s="123">
        <v>6165</v>
      </c>
      <c r="S12" s="123">
        <v>2597</v>
      </c>
      <c r="T12" s="95">
        <v>8762</v>
      </c>
      <c r="U12" s="123">
        <v>2529</v>
      </c>
      <c r="V12" s="123">
        <v>1296</v>
      </c>
      <c r="W12" s="95">
        <v>3825</v>
      </c>
      <c r="X12" s="123">
        <v>6316</v>
      </c>
      <c r="Y12" s="123">
        <v>4933</v>
      </c>
      <c r="Z12" s="95">
        <v>11249</v>
      </c>
      <c r="AA12" s="95">
        <v>366090</v>
      </c>
      <c r="AB12" s="95">
        <v>337686</v>
      </c>
      <c r="AC12" s="95">
        <v>703776</v>
      </c>
    </row>
    <row r="13" spans="1:29" ht="16.899999999999999" customHeight="1">
      <c r="A13" s="907"/>
      <c r="B13" s="500" t="s">
        <v>301</v>
      </c>
      <c r="C13" s="124">
        <v>13253</v>
      </c>
      <c r="D13" s="124">
        <v>10941</v>
      </c>
      <c r="E13" s="125">
        <v>24194</v>
      </c>
      <c r="F13" s="124">
        <v>1193</v>
      </c>
      <c r="G13" s="124">
        <v>1083</v>
      </c>
      <c r="H13" s="125">
        <v>2276</v>
      </c>
      <c r="I13" s="124">
        <v>63195</v>
      </c>
      <c r="J13" s="124">
        <v>60610</v>
      </c>
      <c r="K13" s="125">
        <v>123805</v>
      </c>
      <c r="L13" s="124">
        <v>277315</v>
      </c>
      <c r="M13" s="124">
        <v>262955</v>
      </c>
      <c r="N13" s="125">
        <v>540270</v>
      </c>
      <c r="O13" s="124">
        <v>2713</v>
      </c>
      <c r="P13" s="124">
        <v>2235</v>
      </c>
      <c r="Q13" s="125">
        <v>4948</v>
      </c>
      <c r="R13" s="124">
        <v>6127</v>
      </c>
      <c r="S13" s="124">
        <v>2266</v>
      </c>
      <c r="T13" s="125">
        <v>8393</v>
      </c>
      <c r="U13" s="124">
        <v>3275</v>
      </c>
      <c r="V13" s="124">
        <v>1497</v>
      </c>
      <c r="W13" s="125">
        <v>4772</v>
      </c>
      <c r="X13" s="124">
        <v>6295</v>
      </c>
      <c r="Y13" s="124">
        <v>5072</v>
      </c>
      <c r="Z13" s="125">
        <v>11367</v>
      </c>
      <c r="AA13" s="125">
        <v>373366</v>
      </c>
      <c r="AB13" s="125">
        <v>346659</v>
      </c>
      <c r="AC13" s="125">
        <v>720025</v>
      </c>
    </row>
    <row r="14" spans="1:29" ht="16.899999999999999" customHeight="1">
      <c r="A14" s="907"/>
      <c r="B14" s="501" t="s">
        <v>300</v>
      </c>
      <c r="C14" s="397">
        <v>8618</v>
      </c>
      <c r="D14" s="397">
        <v>6854</v>
      </c>
      <c r="E14" s="397">
        <v>15472</v>
      </c>
      <c r="F14" s="397">
        <v>2757</v>
      </c>
      <c r="G14" s="397">
        <v>3050</v>
      </c>
      <c r="H14" s="397">
        <v>5807</v>
      </c>
      <c r="I14" s="397">
        <v>57351</v>
      </c>
      <c r="J14" s="397">
        <v>51131</v>
      </c>
      <c r="K14" s="397">
        <v>108482</v>
      </c>
      <c r="L14" s="397">
        <v>282489</v>
      </c>
      <c r="M14" s="397">
        <v>261661</v>
      </c>
      <c r="N14" s="397">
        <v>544150</v>
      </c>
      <c r="O14" s="397">
        <v>2675</v>
      </c>
      <c r="P14" s="397">
        <v>1738</v>
      </c>
      <c r="Q14" s="397">
        <v>4413</v>
      </c>
      <c r="R14" s="397">
        <v>6708</v>
      </c>
      <c r="S14" s="397">
        <v>2004</v>
      </c>
      <c r="T14" s="397">
        <v>8712</v>
      </c>
      <c r="U14" s="397">
        <v>3207</v>
      </c>
      <c r="V14" s="397">
        <v>1261</v>
      </c>
      <c r="W14" s="397">
        <v>4468</v>
      </c>
      <c r="X14" s="397">
        <v>6982</v>
      </c>
      <c r="Y14" s="397">
        <v>6096</v>
      </c>
      <c r="Z14" s="397">
        <v>13078</v>
      </c>
      <c r="AA14" s="397">
        <v>370787</v>
      </c>
      <c r="AB14" s="397">
        <v>333795</v>
      </c>
      <c r="AC14" s="397">
        <v>704582</v>
      </c>
    </row>
    <row r="15" spans="1:29" ht="16.899999999999999" customHeight="1">
      <c r="A15" s="907"/>
      <c r="B15" s="501" t="s">
        <v>299</v>
      </c>
      <c r="C15" s="123">
        <v>12394</v>
      </c>
      <c r="D15" s="123">
        <v>9658</v>
      </c>
      <c r="E15" s="95">
        <v>22052</v>
      </c>
      <c r="F15" s="123">
        <v>1804</v>
      </c>
      <c r="G15" s="123">
        <v>1722</v>
      </c>
      <c r="H15" s="95">
        <v>3526</v>
      </c>
      <c r="I15" s="123">
        <v>57914</v>
      </c>
      <c r="J15" s="123">
        <v>51820</v>
      </c>
      <c r="K15" s="95">
        <v>109734</v>
      </c>
      <c r="L15" s="123">
        <v>286779</v>
      </c>
      <c r="M15" s="123">
        <v>273957</v>
      </c>
      <c r="N15" s="95">
        <v>560736</v>
      </c>
      <c r="O15" s="123">
        <v>2132</v>
      </c>
      <c r="P15" s="123">
        <v>1678</v>
      </c>
      <c r="Q15" s="95">
        <v>3810</v>
      </c>
      <c r="R15" s="123">
        <v>6276</v>
      </c>
      <c r="S15" s="123">
        <v>2089</v>
      </c>
      <c r="T15" s="95">
        <v>8365</v>
      </c>
      <c r="U15" s="123">
        <v>2347</v>
      </c>
      <c r="V15" s="123">
        <v>1244</v>
      </c>
      <c r="W15" s="95">
        <v>3591</v>
      </c>
      <c r="X15" s="123">
        <v>6282</v>
      </c>
      <c r="Y15" s="123">
        <v>5583</v>
      </c>
      <c r="Z15" s="95">
        <v>11865</v>
      </c>
      <c r="AA15" s="95">
        <v>375928</v>
      </c>
      <c r="AB15" s="95">
        <v>347751</v>
      </c>
      <c r="AC15" s="95">
        <v>723679</v>
      </c>
    </row>
    <row r="16" spans="1:29" ht="16.899999999999999" customHeight="1">
      <c r="A16" s="907"/>
      <c r="B16" s="500" t="s">
        <v>298</v>
      </c>
      <c r="C16" s="122">
        <v>10603</v>
      </c>
      <c r="D16" s="122">
        <v>7112</v>
      </c>
      <c r="E16" s="122">
        <v>17715</v>
      </c>
      <c r="F16" s="122">
        <v>3987</v>
      </c>
      <c r="G16" s="122">
        <v>3987</v>
      </c>
      <c r="H16" s="122">
        <v>7974</v>
      </c>
      <c r="I16" s="122">
        <v>59464</v>
      </c>
      <c r="J16" s="122">
        <v>48563</v>
      </c>
      <c r="K16" s="122">
        <v>108027</v>
      </c>
      <c r="L16" s="122">
        <v>292003</v>
      </c>
      <c r="M16" s="122">
        <v>266055</v>
      </c>
      <c r="N16" s="122">
        <v>558058</v>
      </c>
      <c r="O16" s="122">
        <v>2461</v>
      </c>
      <c r="P16" s="122">
        <v>1555</v>
      </c>
      <c r="Q16" s="122">
        <v>4016</v>
      </c>
      <c r="R16" s="122">
        <v>6710</v>
      </c>
      <c r="S16" s="122">
        <v>1837</v>
      </c>
      <c r="T16" s="122">
        <v>8547</v>
      </c>
      <c r="U16" s="122">
        <v>2641</v>
      </c>
      <c r="V16" s="122">
        <v>1144</v>
      </c>
      <c r="W16" s="122">
        <v>3785</v>
      </c>
      <c r="X16" s="122">
        <v>6082</v>
      </c>
      <c r="Y16" s="122">
        <v>5214</v>
      </c>
      <c r="Z16" s="122">
        <v>11296</v>
      </c>
      <c r="AA16" s="126">
        <v>383951</v>
      </c>
      <c r="AB16" s="126">
        <v>335467</v>
      </c>
      <c r="AC16" s="126">
        <v>719418</v>
      </c>
    </row>
    <row r="17" spans="1:29" ht="16.899999999999999" customHeight="1">
      <c r="A17" s="907">
        <v>2</v>
      </c>
      <c r="B17" s="394" t="s">
        <v>126</v>
      </c>
      <c r="C17" s="505"/>
      <c r="D17" s="395"/>
      <c r="E17" s="395"/>
      <c r="F17" s="395"/>
      <c r="G17" s="395"/>
      <c r="H17" s="395"/>
      <c r="I17" s="395"/>
      <c r="J17" s="395"/>
      <c r="K17" s="502"/>
      <c r="L17" s="505"/>
      <c r="M17" s="395"/>
      <c r="N17" s="395"/>
      <c r="O17" s="395"/>
      <c r="P17" s="395"/>
      <c r="Q17" s="395"/>
      <c r="R17" s="395"/>
      <c r="S17" s="395"/>
      <c r="T17" s="502"/>
      <c r="U17" s="505"/>
      <c r="V17" s="395"/>
      <c r="W17" s="395"/>
      <c r="X17" s="395"/>
      <c r="Y17" s="395"/>
      <c r="Z17" s="395"/>
      <c r="AA17" s="395"/>
      <c r="AB17" s="395"/>
      <c r="AC17" s="502"/>
    </row>
    <row r="18" spans="1:29" ht="16.899999999999999" customHeight="1">
      <c r="A18" s="907"/>
      <c r="B18" s="500" t="s">
        <v>997</v>
      </c>
      <c r="C18" s="123">
        <v>66</v>
      </c>
      <c r="D18" s="123">
        <v>99</v>
      </c>
      <c r="E18" s="95">
        <v>165</v>
      </c>
      <c r="F18" s="123">
        <v>0</v>
      </c>
      <c r="G18" s="123">
        <v>0</v>
      </c>
      <c r="H18" s="95">
        <v>0</v>
      </c>
      <c r="I18" s="123">
        <v>183991</v>
      </c>
      <c r="J18" s="123">
        <v>225191</v>
      </c>
      <c r="K18" s="95">
        <v>409182</v>
      </c>
      <c r="L18" s="123">
        <v>469328</v>
      </c>
      <c r="M18" s="123">
        <v>271482</v>
      </c>
      <c r="N18" s="95">
        <v>740810</v>
      </c>
      <c r="O18" s="123">
        <v>25544</v>
      </c>
      <c r="P18" s="123">
        <v>14798</v>
      </c>
      <c r="Q18" s="95">
        <v>40342</v>
      </c>
      <c r="R18" s="123">
        <v>19080</v>
      </c>
      <c r="S18" s="123">
        <v>42707</v>
      </c>
      <c r="T18" s="95">
        <v>61787</v>
      </c>
      <c r="U18" s="123">
        <v>0</v>
      </c>
      <c r="V18" s="123">
        <v>0</v>
      </c>
      <c r="W18" s="95">
        <v>0</v>
      </c>
      <c r="X18" s="123">
        <v>0</v>
      </c>
      <c r="Y18" s="123">
        <v>0</v>
      </c>
      <c r="Z18" s="95">
        <v>0</v>
      </c>
      <c r="AA18" s="95">
        <v>698009</v>
      </c>
      <c r="AB18" s="95">
        <v>554277</v>
      </c>
      <c r="AC18" s="95">
        <v>1252286</v>
      </c>
    </row>
    <row r="19" spans="1:29" ht="16.899999999999999" customHeight="1">
      <c r="A19" s="907"/>
      <c r="B19" s="500" t="s">
        <v>301</v>
      </c>
      <c r="C19" s="124">
        <v>21</v>
      </c>
      <c r="D19" s="124">
        <v>52</v>
      </c>
      <c r="E19" s="125">
        <v>73</v>
      </c>
      <c r="F19" s="124">
        <v>1</v>
      </c>
      <c r="G19" s="124">
        <v>0</v>
      </c>
      <c r="H19" s="125">
        <v>1</v>
      </c>
      <c r="I19" s="124">
        <v>169982</v>
      </c>
      <c r="J19" s="124">
        <v>226624</v>
      </c>
      <c r="K19" s="125">
        <v>396606</v>
      </c>
      <c r="L19" s="124">
        <v>447586</v>
      </c>
      <c r="M19" s="124">
        <v>260436</v>
      </c>
      <c r="N19" s="125">
        <v>708022</v>
      </c>
      <c r="O19" s="124">
        <v>18123</v>
      </c>
      <c r="P19" s="124">
        <v>10989</v>
      </c>
      <c r="Q19" s="125">
        <v>29112</v>
      </c>
      <c r="R19" s="124">
        <v>9732</v>
      </c>
      <c r="S19" s="124">
        <v>23299</v>
      </c>
      <c r="T19" s="125">
        <v>33031</v>
      </c>
      <c r="U19" s="124">
        <v>223</v>
      </c>
      <c r="V19" s="124">
        <v>268</v>
      </c>
      <c r="W19" s="125">
        <v>491</v>
      </c>
      <c r="X19" s="124">
        <v>0</v>
      </c>
      <c r="Y19" s="124">
        <v>0</v>
      </c>
      <c r="Z19" s="125">
        <v>0</v>
      </c>
      <c r="AA19" s="125">
        <v>645668</v>
      </c>
      <c r="AB19" s="125">
        <v>521668</v>
      </c>
      <c r="AC19" s="125">
        <v>1167336</v>
      </c>
    </row>
    <row r="20" spans="1:29" ht="16.899999999999999" customHeight="1">
      <c r="A20" s="907"/>
      <c r="B20" s="501" t="s">
        <v>300</v>
      </c>
      <c r="C20" s="397">
        <v>67</v>
      </c>
      <c r="D20" s="397">
        <v>63</v>
      </c>
      <c r="E20" s="397">
        <v>130</v>
      </c>
      <c r="F20" s="397">
        <v>11</v>
      </c>
      <c r="G20" s="397">
        <v>13</v>
      </c>
      <c r="H20" s="397">
        <v>24</v>
      </c>
      <c r="I20" s="397">
        <v>153742</v>
      </c>
      <c r="J20" s="397">
        <v>202662</v>
      </c>
      <c r="K20" s="397">
        <v>356404</v>
      </c>
      <c r="L20" s="397">
        <v>395161</v>
      </c>
      <c r="M20" s="397">
        <v>231907</v>
      </c>
      <c r="N20" s="397">
        <v>627068</v>
      </c>
      <c r="O20" s="397">
        <v>17723</v>
      </c>
      <c r="P20" s="397">
        <v>10389</v>
      </c>
      <c r="Q20" s="397">
        <v>28112</v>
      </c>
      <c r="R20" s="397">
        <v>9074</v>
      </c>
      <c r="S20" s="397">
        <v>13581</v>
      </c>
      <c r="T20" s="397">
        <v>22655</v>
      </c>
      <c r="U20" s="397">
        <v>383</v>
      </c>
      <c r="V20" s="397">
        <v>305</v>
      </c>
      <c r="W20" s="397">
        <v>688</v>
      </c>
      <c r="X20" s="397">
        <v>0</v>
      </c>
      <c r="Y20" s="397">
        <v>0</v>
      </c>
      <c r="Z20" s="397">
        <v>0</v>
      </c>
      <c r="AA20" s="397">
        <v>576161</v>
      </c>
      <c r="AB20" s="397">
        <v>458920</v>
      </c>
      <c r="AC20" s="397">
        <v>1035081</v>
      </c>
    </row>
    <row r="21" spans="1:29" ht="16.899999999999999" customHeight="1">
      <c r="A21" s="907"/>
      <c r="B21" s="501" t="s">
        <v>299</v>
      </c>
      <c r="C21" s="123">
        <v>181</v>
      </c>
      <c r="D21" s="123">
        <v>184</v>
      </c>
      <c r="E21" s="95">
        <v>365</v>
      </c>
      <c r="F21" s="123">
        <v>32</v>
      </c>
      <c r="G21" s="123">
        <v>24</v>
      </c>
      <c r="H21" s="95">
        <v>56</v>
      </c>
      <c r="I21" s="123">
        <v>194363</v>
      </c>
      <c r="J21" s="123">
        <v>146381</v>
      </c>
      <c r="K21" s="95">
        <v>340744</v>
      </c>
      <c r="L21" s="123">
        <v>338319</v>
      </c>
      <c r="M21" s="123">
        <v>142411</v>
      </c>
      <c r="N21" s="95">
        <v>480730</v>
      </c>
      <c r="O21" s="123">
        <v>13071</v>
      </c>
      <c r="P21" s="123">
        <v>7938</v>
      </c>
      <c r="Q21" s="95">
        <v>21009</v>
      </c>
      <c r="R21" s="123">
        <v>8143</v>
      </c>
      <c r="S21" s="123">
        <v>10078</v>
      </c>
      <c r="T21" s="95">
        <v>18221</v>
      </c>
      <c r="U21" s="123">
        <v>55</v>
      </c>
      <c r="V21" s="123">
        <v>95</v>
      </c>
      <c r="W21" s="95">
        <v>150</v>
      </c>
      <c r="X21" s="123">
        <v>0</v>
      </c>
      <c r="Y21" s="123">
        <v>0</v>
      </c>
      <c r="Z21" s="95">
        <v>0</v>
      </c>
      <c r="AA21" s="95">
        <v>554164</v>
      </c>
      <c r="AB21" s="95">
        <v>307111</v>
      </c>
      <c r="AC21" s="95">
        <v>861275</v>
      </c>
    </row>
    <row r="22" spans="1:29" ht="16.899999999999999" customHeight="1">
      <c r="A22" s="907"/>
      <c r="B22" s="500" t="s">
        <v>298</v>
      </c>
      <c r="C22" s="122">
        <v>416</v>
      </c>
      <c r="D22" s="122">
        <v>330</v>
      </c>
      <c r="E22" s="122">
        <v>746</v>
      </c>
      <c r="F22" s="122">
        <v>38</v>
      </c>
      <c r="G22" s="122">
        <v>45</v>
      </c>
      <c r="H22" s="122">
        <v>83</v>
      </c>
      <c r="I22" s="122">
        <v>137091</v>
      </c>
      <c r="J22" s="122">
        <v>181202</v>
      </c>
      <c r="K22" s="122">
        <v>318293</v>
      </c>
      <c r="L22" s="122">
        <v>296523</v>
      </c>
      <c r="M22" s="122">
        <v>159590</v>
      </c>
      <c r="N22" s="122">
        <v>456113</v>
      </c>
      <c r="O22" s="122">
        <v>19162</v>
      </c>
      <c r="P22" s="122">
        <v>8768</v>
      </c>
      <c r="Q22" s="122">
        <v>27930</v>
      </c>
      <c r="R22" s="122">
        <v>4236</v>
      </c>
      <c r="S22" s="122">
        <v>8292</v>
      </c>
      <c r="T22" s="122">
        <v>12528</v>
      </c>
      <c r="U22" s="122">
        <v>159</v>
      </c>
      <c r="V22" s="122">
        <v>94</v>
      </c>
      <c r="W22" s="122">
        <v>253</v>
      </c>
      <c r="X22" s="122">
        <v>0</v>
      </c>
      <c r="Y22" s="122">
        <v>0</v>
      </c>
      <c r="Z22" s="122">
        <v>0</v>
      </c>
      <c r="AA22" s="126">
        <v>457625</v>
      </c>
      <c r="AB22" s="126">
        <v>358321</v>
      </c>
      <c r="AC22" s="126">
        <v>815946</v>
      </c>
    </row>
    <row r="23" spans="1:29" ht="16.899999999999999" customHeight="1">
      <c r="A23" s="907">
        <v>3</v>
      </c>
      <c r="B23" s="394" t="s">
        <v>127</v>
      </c>
      <c r="C23" s="505"/>
      <c r="D23" s="395"/>
      <c r="E23" s="395"/>
      <c r="F23" s="395"/>
      <c r="G23" s="395"/>
      <c r="H23" s="395"/>
      <c r="I23" s="395"/>
      <c r="J23" s="395"/>
      <c r="K23" s="502"/>
      <c r="L23" s="505"/>
      <c r="M23" s="395"/>
      <c r="N23" s="395"/>
      <c r="O23" s="395"/>
      <c r="P23" s="395"/>
      <c r="Q23" s="395"/>
      <c r="R23" s="395"/>
      <c r="S23" s="395"/>
      <c r="T23" s="502"/>
      <c r="U23" s="505"/>
      <c r="V23" s="395"/>
      <c r="W23" s="395"/>
      <c r="X23" s="395"/>
      <c r="Y23" s="395"/>
      <c r="Z23" s="395"/>
      <c r="AA23" s="395"/>
      <c r="AB23" s="395"/>
      <c r="AC23" s="502"/>
    </row>
    <row r="24" spans="1:29" ht="16.899999999999999" customHeight="1">
      <c r="A24" s="907"/>
      <c r="B24" s="500" t="s">
        <v>997</v>
      </c>
      <c r="C24" s="123">
        <v>28930</v>
      </c>
      <c r="D24" s="123">
        <v>13277</v>
      </c>
      <c r="E24" s="95">
        <v>42207</v>
      </c>
      <c r="F24" s="123">
        <v>56</v>
      </c>
      <c r="G24" s="123">
        <v>189</v>
      </c>
      <c r="H24" s="95">
        <v>245</v>
      </c>
      <c r="I24" s="123">
        <v>49411</v>
      </c>
      <c r="J24" s="123">
        <v>19698</v>
      </c>
      <c r="K24" s="95">
        <v>69109</v>
      </c>
      <c r="L24" s="123">
        <v>127616</v>
      </c>
      <c r="M24" s="123">
        <v>39382</v>
      </c>
      <c r="N24" s="95">
        <v>166998</v>
      </c>
      <c r="O24" s="123">
        <v>1230</v>
      </c>
      <c r="P24" s="123">
        <v>510</v>
      </c>
      <c r="Q24" s="95">
        <v>1740</v>
      </c>
      <c r="R24" s="123">
        <v>355</v>
      </c>
      <c r="S24" s="123">
        <v>153</v>
      </c>
      <c r="T24" s="95">
        <v>508</v>
      </c>
      <c r="U24" s="123">
        <v>2036</v>
      </c>
      <c r="V24" s="123">
        <v>740</v>
      </c>
      <c r="W24" s="95">
        <v>2776</v>
      </c>
      <c r="X24" s="123">
        <v>17467</v>
      </c>
      <c r="Y24" s="123">
        <v>5463</v>
      </c>
      <c r="Z24" s="95">
        <v>22930</v>
      </c>
      <c r="AA24" s="95">
        <v>227101</v>
      </c>
      <c r="AB24" s="95">
        <v>79412</v>
      </c>
      <c r="AC24" s="95">
        <v>306513</v>
      </c>
    </row>
    <row r="25" spans="1:29" ht="16.899999999999999" customHeight="1">
      <c r="A25" s="907"/>
      <c r="B25" s="500" t="s">
        <v>301</v>
      </c>
      <c r="C25" s="122">
        <v>27993</v>
      </c>
      <c r="D25" s="122">
        <v>13305</v>
      </c>
      <c r="E25" s="122">
        <v>41298</v>
      </c>
      <c r="F25" s="122">
        <v>78</v>
      </c>
      <c r="G25" s="122">
        <v>172</v>
      </c>
      <c r="H25" s="122">
        <v>250</v>
      </c>
      <c r="I25" s="122">
        <v>62418</v>
      </c>
      <c r="J25" s="122">
        <v>51405</v>
      </c>
      <c r="K25" s="122">
        <v>83823</v>
      </c>
      <c r="L25" s="122">
        <v>112467</v>
      </c>
      <c r="M25" s="122">
        <v>32401</v>
      </c>
      <c r="N25" s="122">
        <v>144868</v>
      </c>
      <c r="O25" s="122">
        <v>992</v>
      </c>
      <c r="P25" s="122">
        <v>517</v>
      </c>
      <c r="Q25" s="122">
        <v>1509</v>
      </c>
      <c r="R25" s="122">
        <v>242</v>
      </c>
      <c r="S25" s="122">
        <v>90</v>
      </c>
      <c r="T25" s="122">
        <v>332</v>
      </c>
      <c r="U25" s="122">
        <v>1775</v>
      </c>
      <c r="V25" s="122">
        <v>567</v>
      </c>
      <c r="W25" s="122">
        <v>2342</v>
      </c>
      <c r="X25" s="122">
        <v>14819</v>
      </c>
      <c r="Y25" s="122">
        <v>4095</v>
      </c>
      <c r="Z25" s="122">
        <v>18914</v>
      </c>
      <c r="AA25" s="122">
        <v>220784</v>
      </c>
      <c r="AB25" s="122">
        <v>72552</v>
      </c>
      <c r="AC25" s="122">
        <v>293336</v>
      </c>
    </row>
    <row r="26" spans="1:29" ht="16.899999999999999" customHeight="1">
      <c r="A26" s="907"/>
      <c r="B26" s="501" t="s">
        <v>300</v>
      </c>
      <c r="C26" s="397">
        <v>21670</v>
      </c>
      <c r="D26" s="397">
        <v>10036</v>
      </c>
      <c r="E26" s="397">
        <v>31706</v>
      </c>
      <c r="F26" s="397">
        <v>32</v>
      </c>
      <c r="G26" s="397">
        <v>64</v>
      </c>
      <c r="H26" s="397">
        <v>96</v>
      </c>
      <c r="I26" s="397">
        <v>37382</v>
      </c>
      <c r="J26" s="397">
        <v>12819</v>
      </c>
      <c r="K26" s="397">
        <v>50201</v>
      </c>
      <c r="L26" s="397">
        <v>96724</v>
      </c>
      <c r="M26" s="397">
        <v>26736</v>
      </c>
      <c r="N26" s="397">
        <v>123460</v>
      </c>
      <c r="O26" s="397">
        <v>1882</v>
      </c>
      <c r="P26" s="397">
        <v>575</v>
      </c>
      <c r="Q26" s="397">
        <v>2457</v>
      </c>
      <c r="R26" s="397">
        <v>14</v>
      </c>
      <c r="S26" s="397">
        <v>58</v>
      </c>
      <c r="T26" s="397">
        <v>72</v>
      </c>
      <c r="U26" s="397">
        <v>1793</v>
      </c>
      <c r="V26" s="397">
        <v>544</v>
      </c>
      <c r="W26" s="397">
        <v>2337</v>
      </c>
      <c r="X26" s="397">
        <v>14255</v>
      </c>
      <c r="Y26" s="397">
        <v>3847</v>
      </c>
      <c r="Z26" s="397">
        <v>18102</v>
      </c>
      <c r="AA26" s="397">
        <v>173752</v>
      </c>
      <c r="AB26" s="397">
        <v>54679</v>
      </c>
      <c r="AC26" s="397">
        <v>228431</v>
      </c>
    </row>
    <row r="27" spans="1:29" ht="16.899999999999999" customHeight="1">
      <c r="A27" s="907"/>
      <c r="B27" s="501" t="s">
        <v>299</v>
      </c>
      <c r="C27" s="123">
        <v>19512</v>
      </c>
      <c r="D27" s="123">
        <v>8871</v>
      </c>
      <c r="E27" s="95">
        <v>28383</v>
      </c>
      <c r="F27" s="123">
        <v>39</v>
      </c>
      <c r="G27" s="123">
        <v>46</v>
      </c>
      <c r="H27" s="95">
        <v>85</v>
      </c>
      <c r="I27" s="123">
        <v>29894</v>
      </c>
      <c r="J27" s="123">
        <v>10626</v>
      </c>
      <c r="K27" s="95">
        <v>40520</v>
      </c>
      <c r="L27" s="123">
        <v>91439</v>
      </c>
      <c r="M27" s="123">
        <v>25883</v>
      </c>
      <c r="N27" s="95">
        <v>117322</v>
      </c>
      <c r="O27" s="123">
        <v>56</v>
      </c>
      <c r="P27" s="123">
        <v>47</v>
      </c>
      <c r="Q27" s="95">
        <v>103</v>
      </c>
      <c r="R27" s="123">
        <v>16</v>
      </c>
      <c r="S27" s="123">
        <v>55</v>
      </c>
      <c r="T27" s="95">
        <v>71</v>
      </c>
      <c r="U27" s="123">
        <v>9</v>
      </c>
      <c r="V27" s="123">
        <v>6</v>
      </c>
      <c r="W27" s="95">
        <v>15</v>
      </c>
      <c r="X27" s="123">
        <v>13337</v>
      </c>
      <c r="Y27" s="123">
        <v>3361</v>
      </c>
      <c r="Z27" s="95">
        <v>16698</v>
      </c>
      <c r="AA27" s="95">
        <v>154302</v>
      </c>
      <c r="AB27" s="95">
        <v>48895</v>
      </c>
      <c r="AC27" s="95">
        <v>203197</v>
      </c>
    </row>
    <row r="28" spans="1:29" ht="16.899999999999999" customHeight="1">
      <c r="A28" s="907"/>
      <c r="B28" s="500" t="s">
        <v>298</v>
      </c>
      <c r="C28" s="122">
        <v>18048</v>
      </c>
      <c r="D28" s="122">
        <v>7964</v>
      </c>
      <c r="E28" s="122">
        <v>26012</v>
      </c>
      <c r="F28" s="122">
        <v>78</v>
      </c>
      <c r="G28" s="122">
        <v>98</v>
      </c>
      <c r="H28" s="122">
        <v>176</v>
      </c>
      <c r="I28" s="122">
        <v>29414</v>
      </c>
      <c r="J28" s="122">
        <v>11916</v>
      </c>
      <c r="K28" s="122">
        <v>41330</v>
      </c>
      <c r="L28" s="122">
        <v>88227</v>
      </c>
      <c r="M28" s="122">
        <v>25458</v>
      </c>
      <c r="N28" s="122">
        <v>113685</v>
      </c>
      <c r="O28" s="122">
        <v>134</v>
      </c>
      <c r="P28" s="122">
        <v>81</v>
      </c>
      <c r="Q28" s="122">
        <v>215</v>
      </c>
      <c r="R28" s="122">
        <v>14</v>
      </c>
      <c r="S28" s="122">
        <v>79</v>
      </c>
      <c r="T28" s="122">
        <v>93</v>
      </c>
      <c r="U28" s="122">
        <v>11</v>
      </c>
      <c r="V28" s="122">
        <v>6</v>
      </c>
      <c r="W28" s="122">
        <v>17</v>
      </c>
      <c r="X28" s="122">
        <v>12205</v>
      </c>
      <c r="Y28" s="122">
        <v>2931</v>
      </c>
      <c r="Z28" s="122">
        <v>15136</v>
      </c>
      <c r="AA28" s="126">
        <v>148131</v>
      </c>
      <c r="AB28" s="126">
        <v>48533</v>
      </c>
      <c r="AC28" s="126">
        <v>196664</v>
      </c>
    </row>
    <row r="29" spans="1:29" ht="16.899999999999999" customHeight="1">
      <c r="A29" s="907">
        <v>4</v>
      </c>
      <c r="B29" s="394" t="s">
        <v>132</v>
      </c>
      <c r="C29" s="505"/>
      <c r="D29" s="395"/>
      <c r="E29" s="395"/>
      <c r="F29" s="395"/>
      <c r="G29" s="395"/>
      <c r="H29" s="395"/>
      <c r="I29" s="395"/>
      <c r="J29" s="395"/>
      <c r="K29" s="502"/>
      <c r="L29" s="505"/>
      <c r="M29" s="395"/>
      <c r="N29" s="395"/>
      <c r="O29" s="395"/>
      <c r="P29" s="395"/>
      <c r="Q29" s="395"/>
      <c r="R29" s="395"/>
      <c r="S29" s="395"/>
      <c r="T29" s="502"/>
      <c r="U29" s="505"/>
      <c r="V29" s="395"/>
      <c r="W29" s="395"/>
      <c r="X29" s="395"/>
      <c r="Y29" s="395"/>
      <c r="Z29" s="395"/>
      <c r="AA29" s="395"/>
      <c r="AB29" s="395"/>
      <c r="AC29" s="502"/>
    </row>
    <row r="30" spans="1:29" ht="16.899999999999999" customHeight="1">
      <c r="A30" s="907"/>
      <c r="B30" s="500" t="s">
        <v>997</v>
      </c>
      <c r="C30" s="122">
        <v>3813</v>
      </c>
      <c r="D30" s="122">
        <v>2016</v>
      </c>
      <c r="E30" s="122">
        <v>5829</v>
      </c>
      <c r="F30" s="122">
        <v>57</v>
      </c>
      <c r="G30" s="122">
        <v>54</v>
      </c>
      <c r="H30" s="122">
        <v>111</v>
      </c>
      <c r="I30" s="122">
        <v>8290</v>
      </c>
      <c r="J30" s="122">
        <v>4613</v>
      </c>
      <c r="K30" s="122">
        <v>12903</v>
      </c>
      <c r="L30" s="122">
        <v>11192</v>
      </c>
      <c r="M30" s="122">
        <v>5074</v>
      </c>
      <c r="N30" s="122">
        <v>16266</v>
      </c>
      <c r="O30" s="122">
        <v>597</v>
      </c>
      <c r="P30" s="122">
        <v>218</v>
      </c>
      <c r="Q30" s="122">
        <v>815</v>
      </c>
      <c r="R30" s="122">
        <v>1576</v>
      </c>
      <c r="S30" s="122">
        <v>460</v>
      </c>
      <c r="T30" s="122">
        <v>2036</v>
      </c>
      <c r="U30" s="122">
        <v>494</v>
      </c>
      <c r="V30" s="122">
        <v>251</v>
      </c>
      <c r="W30" s="122">
        <v>745</v>
      </c>
      <c r="X30" s="122">
        <v>973</v>
      </c>
      <c r="Y30" s="122">
        <v>224</v>
      </c>
      <c r="Z30" s="122">
        <v>1197</v>
      </c>
      <c r="AA30" s="122">
        <v>26992</v>
      </c>
      <c r="AB30" s="122">
        <v>12910</v>
      </c>
      <c r="AC30" s="122">
        <v>39902</v>
      </c>
    </row>
    <row r="31" spans="1:29" ht="16.899999999999999" customHeight="1">
      <c r="A31" s="907"/>
      <c r="B31" s="500" t="s">
        <v>301</v>
      </c>
      <c r="C31" s="124">
        <v>5341</v>
      </c>
      <c r="D31" s="124">
        <v>2627</v>
      </c>
      <c r="E31" s="125">
        <v>7968</v>
      </c>
      <c r="F31" s="124">
        <v>138</v>
      </c>
      <c r="G31" s="124">
        <v>144</v>
      </c>
      <c r="H31" s="125">
        <v>282</v>
      </c>
      <c r="I31" s="124">
        <v>7663</v>
      </c>
      <c r="J31" s="124">
        <v>4793</v>
      </c>
      <c r="K31" s="125">
        <v>12456</v>
      </c>
      <c r="L31" s="124">
        <v>10000</v>
      </c>
      <c r="M31" s="124">
        <v>4539</v>
      </c>
      <c r="N31" s="125">
        <v>14539</v>
      </c>
      <c r="O31" s="124">
        <v>488</v>
      </c>
      <c r="P31" s="124">
        <v>239</v>
      </c>
      <c r="Q31" s="125">
        <v>727</v>
      </c>
      <c r="R31" s="124">
        <v>1609</v>
      </c>
      <c r="S31" s="124">
        <v>515</v>
      </c>
      <c r="T31" s="125">
        <v>2124</v>
      </c>
      <c r="U31" s="124">
        <v>374</v>
      </c>
      <c r="V31" s="124">
        <v>187</v>
      </c>
      <c r="W31" s="125">
        <v>561</v>
      </c>
      <c r="X31" s="124">
        <v>839</v>
      </c>
      <c r="Y31" s="124">
        <v>231</v>
      </c>
      <c r="Z31" s="125">
        <v>1070</v>
      </c>
      <c r="AA31" s="125">
        <v>26452</v>
      </c>
      <c r="AB31" s="125">
        <v>13275</v>
      </c>
      <c r="AC31" s="125">
        <v>39727</v>
      </c>
    </row>
    <row r="32" spans="1:29" ht="16.899999999999999" customHeight="1">
      <c r="A32" s="907"/>
      <c r="B32" s="501" t="s">
        <v>300</v>
      </c>
      <c r="C32" s="397">
        <v>5214</v>
      </c>
      <c r="D32" s="507">
        <v>2458</v>
      </c>
      <c r="E32" s="397">
        <v>7672</v>
      </c>
      <c r="F32" s="397">
        <v>202</v>
      </c>
      <c r="G32" s="397">
        <v>158</v>
      </c>
      <c r="H32" s="397">
        <v>360</v>
      </c>
      <c r="I32" s="397">
        <v>6306</v>
      </c>
      <c r="J32" s="397">
        <v>4171</v>
      </c>
      <c r="K32" s="397">
        <v>10477</v>
      </c>
      <c r="L32" s="397">
        <v>9881</v>
      </c>
      <c r="M32" s="397">
        <v>4607</v>
      </c>
      <c r="N32" s="397">
        <v>14488</v>
      </c>
      <c r="O32" s="397">
        <v>502</v>
      </c>
      <c r="P32" s="397">
        <v>261</v>
      </c>
      <c r="Q32" s="397">
        <v>763</v>
      </c>
      <c r="R32" s="397">
        <v>1828</v>
      </c>
      <c r="S32" s="397">
        <v>576</v>
      </c>
      <c r="T32" s="397">
        <v>2404</v>
      </c>
      <c r="U32" s="397">
        <v>354</v>
      </c>
      <c r="V32" s="397">
        <v>118</v>
      </c>
      <c r="W32" s="397">
        <v>472</v>
      </c>
      <c r="X32" s="397">
        <v>625</v>
      </c>
      <c r="Y32" s="397">
        <v>235</v>
      </c>
      <c r="Z32" s="397">
        <v>860</v>
      </c>
      <c r="AA32" s="397">
        <v>24912</v>
      </c>
      <c r="AB32" s="397">
        <v>12584</v>
      </c>
      <c r="AC32" s="397">
        <v>37496</v>
      </c>
    </row>
    <row r="33" spans="1:29" ht="16.899999999999999" customHeight="1">
      <c r="A33" s="907"/>
      <c r="B33" s="501" t="s">
        <v>299</v>
      </c>
      <c r="C33" s="123">
        <v>6820</v>
      </c>
      <c r="D33" s="123">
        <v>2681</v>
      </c>
      <c r="E33" s="95">
        <v>9501</v>
      </c>
      <c r="F33" s="123">
        <v>164</v>
      </c>
      <c r="G33" s="123">
        <v>166</v>
      </c>
      <c r="H33" s="95">
        <v>330</v>
      </c>
      <c r="I33" s="123">
        <v>7631</v>
      </c>
      <c r="J33" s="123">
        <v>4099</v>
      </c>
      <c r="K33" s="95">
        <v>11730</v>
      </c>
      <c r="L33" s="123">
        <v>11888</v>
      </c>
      <c r="M33" s="123">
        <v>4138</v>
      </c>
      <c r="N33" s="95">
        <v>16026</v>
      </c>
      <c r="O33" s="123">
        <v>906</v>
      </c>
      <c r="P33" s="123">
        <v>394</v>
      </c>
      <c r="Q33" s="95">
        <v>1300</v>
      </c>
      <c r="R33" s="123">
        <v>1818</v>
      </c>
      <c r="S33" s="123">
        <v>554</v>
      </c>
      <c r="T33" s="95">
        <v>2372</v>
      </c>
      <c r="U33" s="123">
        <v>353</v>
      </c>
      <c r="V33" s="123">
        <v>101</v>
      </c>
      <c r="W33" s="95">
        <v>454</v>
      </c>
      <c r="X33" s="123">
        <v>935</v>
      </c>
      <c r="Y33" s="123">
        <v>273</v>
      </c>
      <c r="Z33" s="95">
        <v>1208</v>
      </c>
      <c r="AA33" s="95">
        <v>30515</v>
      </c>
      <c r="AB33" s="95">
        <v>12406</v>
      </c>
      <c r="AC33" s="95">
        <v>42921</v>
      </c>
    </row>
    <row r="34" spans="1:29" ht="16.899999999999999" customHeight="1">
      <c r="A34" s="907"/>
      <c r="B34" s="500" t="s">
        <v>298</v>
      </c>
      <c r="C34" s="122">
        <v>5417</v>
      </c>
      <c r="D34" s="122">
        <v>2710</v>
      </c>
      <c r="E34" s="122">
        <v>8127</v>
      </c>
      <c r="F34" s="122">
        <v>170</v>
      </c>
      <c r="G34" s="122">
        <v>174</v>
      </c>
      <c r="H34" s="122">
        <v>344</v>
      </c>
      <c r="I34" s="122">
        <v>8383</v>
      </c>
      <c r="J34" s="122">
        <v>4031</v>
      </c>
      <c r="K34" s="122">
        <v>12414</v>
      </c>
      <c r="L34" s="122">
        <v>12768</v>
      </c>
      <c r="M34" s="122">
        <v>4272</v>
      </c>
      <c r="N34" s="122">
        <v>17040</v>
      </c>
      <c r="O34" s="122">
        <v>813</v>
      </c>
      <c r="P34" s="122">
        <v>352</v>
      </c>
      <c r="Q34" s="122">
        <v>1165</v>
      </c>
      <c r="R34" s="122">
        <v>1832</v>
      </c>
      <c r="S34" s="122">
        <v>486</v>
      </c>
      <c r="T34" s="122">
        <v>2318</v>
      </c>
      <c r="U34" s="122">
        <v>334</v>
      </c>
      <c r="V34" s="122">
        <v>98</v>
      </c>
      <c r="W34" s="122">
        <v>432</v>
      </c>
      <c r="X34" s="122">
        <v>1649</v>
      </c>
      <c r="Y34" s="122">
        <v>670</v>
      </c>
      <c r="Z34" s="122">
        <v>2319</v>
      </c>
      <c r="AA34" s="126">
        <v>31366</v>
      </c>
      <c r="AB34" s="126">
        <v>12793</v>
      </c>
      <c r="AC34" s="126">
        <v>44159</v>
      </c>
    </row>
    <row r="35" spans="1:29" ht="16.899999999999999" customHeight="1">
      <c r="A35" s="907">
        <v>5</v>
      </c>
      <c r="B35" s="394" t="s">
        <v>128</v>
      </c>
      <c r="C35" s="505"/>
      <c r="D35" s="395"/>
      <c r="E35" s="395"/>
      <c r="F35" s="395"/>
      <c r="G35" s="395"/>
      <c r="H35" s="395"/>
      <c r="I35" s="395"/>
      <c r="J35" s="395"/>
      <c r="K35" s="502"/>
      <c r="L35" s="505"/>
      <c r="M35" s="395"/>
      <c r="N35" s="395"/>
      <c r="O35" s="395"/>
      <c r="P35" s="395"/>
      <c r="Q35" s="395"/>
      <c r="R35" s="395"/>
      <c r="S35" s="395"/>
      <c r="T35" s="502"/>
      <c r="U35" s="505"/>
      <c r="V35" s="395"/>
      <c r="W35" s="395"/>
      <c r="X35" s="395"/>
      <c r="Y35" s="395"/>
      <c r="Z35" s="395"/>
      <c r="AA35" s="395"/>
      <c r="AB35" s="395"/>
      <c r="AC35" s="502"/>
    </row>
    <row r="36" spans="1:29" ht="16.899999999999999" customHeight="1">
      <c r="A36" s="907"/>
      <c r="B36" s="500" t="s">
        <v>997</v>
      </c>
      <c r="C36" s="123">
        <v>25191</v>
      </c>
      <c r="D36" s="123">
        <v>22216</v>
      </c>
      <c r="E36" s="95">
        <v>47407</v>
      </c>
      <c r="F36" s="123">
        <v>2906</v>
      </c>
      <c r="G36" s="123">
        <v>5220</v>
      </c>
      <c r="H36" s="95">
        <v>8126</v>
      </c>
      <c r="I36" s="123">
        <v>399891</v>
      </c>
      <c r="J36" s="123">
        <v>587200</v>
      </c>
      <c r="K36" s="95">
        <v>987091</v>
      </c>
      <c r="L36" s="123">
        <v>810646</v>
      </c>
      <c r="M36" s="123">
        <v>737761</v>
      </c>
      <c r="N36" s="95">
        <v>1548407</v>
      </c>
      <c r="O36" s="123">
        <v>26444</v>
      </c>
      <c r="P36" s="123">
        <v>23192</v>
      </c>
      <c r="Q36" s="95">
        <v>49636</v>
      </c>
      <c r="R36" s="123">
        <v>39121</v>
      </c>
      <c r="S36" s="123">
        <v>23816</v>
      </c>
      <c r="T36" s="95">
        <v>62937</v>
      </c>
      <c r="U36" s="123">
        <v>9205</v>
      </c>
      <c r="V36" s="123">
        <v>15599</v>
      </c>
      <c r="W36" s="95">
        <v>24804</v>
      </c>
      <c r="X36" s="123">
        <v>25096</v>
      </c>
      <c r="Y36" s="123">
        <v>24576</v>
      </c>
      <c r="Z36" s="95">
        <v>49672</v>
      </c>
      <c r="AA36" s="95">
        <v>1338500</v>
      </c>
      <c r="AB36" s="95">
        <v>1439580</v>
      </c>
      <c r="AC36" s="95">
        <v>2778080</v>
      </c>
    </row>
    <row r="37" spans="1:29" ht="16.899999999999999" customHeight="1">
      <c r="A37" s="907"/>
      <c r="B37" s="500" t="s">
        <v>301</v>
      </c>
      <c r="C37" s="124">
        <v>27086</v>
      </c>
      <c r="D37" s="124">
        <v>25922</v>
      </c>
      <c r="E37" s="125">
        <v>53008</v>
      </c>
      <c r="F37" s="124">
        <v>3925</v>
      </c>
      <c r="G37" s="124">
        <v>6442</v>
      </c>
      <c r="H37" s="125">
        <v>10367</v>
      </c>
      <c r="I37" s="124">
        <v>387245</v>
      </c>
      <c r="J37" s="124">
        <v>540175</v>
      </c>
      <c r="K37" s="125">
        <v>927420</v>
      </c>
      <c r="L37" s="124">
        <v>768433</v>
      </c>
      <c r="M37" s="124">
        <v>629094</v>
      </c>
      <c r="N37" s="125">
        <v>1397527</v>
      </c>
      <c r="O37" s="124">
        <v>29517</v>
      </c>
      <c r="P37" s="124">
        <v>27798</v>
      </c>
      <c r="Q37" s="125">
        <v>57315</v>
      </c>
      <c r="R37" s="124">
        <v>39233</v>
      </c>
      <c r="S37" s="124">
        <v>27092</v>
      </c>
      <c r="T37" s="125">
        <v>66325</v>
      </c>
      <c r="U37" s="124">
        <v>10200</v>
      </c>
      <c r="V37" s="124">
        <v>14557</v>
      </c>
      <c r="W37" s="125">
        <v>24757</v>
      </c>
      <c r="X37" s="124">
        <v>22021</v>
      </c>
      <c r="Y37" s="124">
        <v>19733</v>
      </c>
      <c r="Z37" s="125">
        <v>41754</v>
      </c>
      <c r="AA37" s="125">
        <v>1287660</v>
      </c>
      <c r="AB37" s="125">
        <v>1290813</v>
      </c>
      <c r="AC37" s="125">
        <v>2578473</v>
      </c>
    </row>
    <row r="38" spans="1:29" ht="16.899999999999999" customHeight="1">
      <c r="A38" s="907"/>
      <c r="B38" s="501" t="s">
        <v>300</v>
      </c>
      <c r="C38" s="397">
        <v>27002</v>
      </c>
      <c r="D38" s="397">
        <v>23308</v>
      </c>
      <c r="E38" s="397">
        <v>50310</v>
      </c>
      <c r="F38" s="397">
        <v>3969</v>
      </c>
      <c r="G38" s="397">
        <v>5933</v>
      </c>
      <c r="H38" s="397">
        <v>9902</v>
      </c>
      <c r="I38" s="397">
        <v>368065</v>
      </c>
      <c r="J38" s="397">
        <v>495889</v>
      </c>
      <c r="K38" s="397">
        <v>863954</v>
      </c>
      <c r="L38" s="397">
        <v>681006</v>
      </c>
      <c r="M38" s="397">
        <v>577931</v>
      </c>
      <c r="N38" s="397">
        <v>1258937</v>
      </c>
      <c r="O38" s="397">
        <v>28839</v>
      </c>
      <c r="P38" s="397">
        <v>27724</v>
      </c>
      <c r="Q38" s="397">
        <v>56563</v>
      </c>
      <c r="R38" s="397">
        <v>48627</v>
      </c>
      <c r="S38" s="397">
        <v>30894</v>
      </c>
      <c r="T38" s="397">
        <v>79521</v>
      </c>
      <c r="U38" s="397">
        <v>13639</v>
      </c>
      <c r="V38" s="397">
        <v>16851</v>
      </c>
      <c r="W38" s="397">
        <v>30490</v>
      </c>
      <c r="X38" s="397">
        <v>20421</v>
      </c>
      <c r="Y38" s="397">
        <v>17506</v>
      </c>
      <c r="Z38" s="397">
        <v>37927</v>
      </c>
      <c r="AA38" s="397">
        <v>1191568</v>
      </c>
      <c r="AB38" s="397">
        <v>1196036</v>
      </c>
      <c r="AC38" s="397">
        <v>2387604</v>
      </c>
    </row>
    <row r="39" spans="1:29" ht="16.899999999999999" customHeight="1">
      <c r="A39" s="907"/>
      <c r="B39" s="501" t="s">
        <v>299</v>
      </c>
      <c r="C39" s="123">
        <v>24042</v>
      </c>
      <c r="D39" s="123">
        <v>19917</v>
      </c>
      <c r="E39" s="95">
        <v>43959</v>
      </c>
      <c r="F39" s="123">
        <v>4535</v>
      </c>
      <c r="G39" s="123">
        <v>6954</v>
      </c>
      <c r="H39" s="95">
        <v>11489</v>
      </c>
      <c r="I39" s="123">
        <v>440113</v>
      </c>
      <c r="J39" s="123">
        <v>534821</v>
      </c>
      <c r="K39" s="95">
        <v>974934</v>
      </c>
      <c r="L39" s="123">
        <v>716369</v>
      </c>
      <c r="M39" s="123">
        <v>584153</v>
      </c>
      <c r="N39" s="95">
        <v>1300522</v>
      </c>
      <c r="O39" s="123">
        <v>39379</v>
      </c>
      <c r="P39" s="123">
        <v>40377</v>
      </c>
      <c r="Q39" s="95">
        <v>79756</v>
      </c>
      <c r="R39" s="123">
        <v>70633</v>
      </c>
      <c r="S39" s="123">
        <v>39897</v>
      </c>
      <c r="T39" s="95">
        <v>110530</v>
      </c>
      <c r="U39" s="123">
        <v>14790</v>
      </c>
      <c r="V39" s="123">
        <v>25917</v>
      </c>
      <c r="W39" s="95">
        <v>40707</v>
      </c>
      <c r="X39" s="123">
        <v>19453</v>
      </c>
      <c r="Y39" s="123">
        <v>15283</v>
      </c>
      <c r="Z39" s="95">
        <v>34736</v>
      </c>
      <c r="AA39" s="95">
        <v>1329314</v>
      </c>
      <c r="AB39" s="95">
        <v>1267319</v>
      </c>
      <c r="AC39" s="95">
        <v>2596633</v>
      </c>
    </row>
    <row r="40" spans="1:29" ht="16.899999999999999" customHeight="1">
      <c r="A40" s="907"/>
      <c r="B40" s="500" t="s">
        <v>298</v>
      </c>
      <c r="C40" s="122">
        <v>22465</v>
      </c>
      <c r="D40" s="122">
        <v>19100</v>
      </c>
      <c r="E40" s="122">
        <v>41565</v>
      </c>
      <c r="F40" s="122">
        <v>5146</v>
      </c>
      <c r="G40" s="122">
        <v>8289</v>
      </c>
      <c r="H40" s="122">
        <v>13435</v>
      </c>
      <c r="I40" s="122">
        <v>451032</v>
      </c>
      <c r="J40" s="122">
        <v>568594</v>
      </c>
      <c r="K40" s="122">
        <v>1019626</v>
      </c>
      <c r="L40" s="122">
        <v>772422</v>
      </c>
      <c r="M40" s="122">
        <v>678820</v>
      </c>
      <c r="N40" s="122">
        <v>1451242</v>
      </c>
      <c r="O40" s="122">
        <v>36591</v>
      </c>
      <c r="P40" s="122">
        <v>33788</v>
      </c>
      <c r="Q40" s="122">
        <v>70379</v>
      </c>
      <c r="R40" s="122">
        <v>66830</v>
      </c>
      <c r="S40" s="122">
        <v>36636</v>
      </c>
      <c r="T40" s="122">
        <v>103466</v>
      </c>
      <c r="U40" s="122">
        <v>10921</v>
      </c>
      <c r="V40" s="122">
        <v>17697</v>
      </c>
      <c r="W40" s="122">
        <v>28618</v>
      </c>
      <c r="X40" s="122">
        <v>18292</v>
      </c>
      <c r="Y40" s="122">
        <v>14712</v>
      </c>
      <c r="Z40" s="122">
        <v>33004</v>
      </c>
      <c r="AA40" s="126">
        <v>1383699</v>
      </c>
      <c r="AB40" s="126">
        <v>1377636</v>
      </c>
      <c r="AC40" s="126">
        <v>2761335</v>
      </c>
    </row>
    <row r="41" spans="1:29" ht="16.899999999999999" customHeight="1">
      <c r="A41" s="907">
        <v>6</v>
      </c>
      <c r="B41" s="394" t="s">
        <v>129</v>
      </c>
      <c r="C41" s="505"/>
      <c r="D41" s="395"/>
      <c r="E41" s="395"/>
      <c r="F41" s="395"/>
      <c r="G41" s="395"/>
      <c r="H41" s="395"/>
      <c r="I41" s="395"/>
      <c r="J41" s="395"/>
      <c r="K41" s="502"/>
      <c r="L41" s="505"/>
      <c r="M41" s="395"/>
      <c r="N41" s="395"/>
      <c r="O41" s="395"/>
      <c r="P41" s="395"/>
      <c r="Q41" s="395"/>
      <c r="R41" s="395"/>
      <c r="S41" s="395"/>
      <c r="T41" s="502"/>
      <c r="U41" s="505"/>
      <c r="V41" s="395"/>
      <c r="W41" s="395"/>
      <c r="X41" s="395"/>
      <c r="Y41" s="395"/>
      <c r="Z41" s="395"/>
      <c r="AA41" s="395"/>
      <c r="AB41" s="395"/>
      <c r="AC41" s="502"/>
    </row>
    <row r="42" spans="1:29" ht="16.899999999999999" customHeight="1">
      <c r="A42" s="907"/>
      <c r="B42" s="500" t="s">
        <v>997</v>
      </c>
      <c r="C42" s="123">
        <v>141</v>
      </c>
      <c r="D42" s="123">
        <v>139</v>
      </c>
      <c r="E42" s="95">
        <v>280</v>
      </c>
      <c r="F42" s="123">
        <v>7</v>
      </c>
      <c r="G42" s="123">
        <v>15</v>
      </c>
      <c r="H42" s="95">
        <v>22</v>
      </c>
      <c r="I42" s="123">
        <v>165176</v>
      </c>
      <c r="J42" s="123">
        <v>150134</v>
      </c>
      <c r="K42" s="95">
        <v>315310</v>
      </c>
      <c r="L42" s="123">
        <v>667510</v>
      </c>
      <c r="M42" s="123">
        <v>398571</v>
      </c>
      <c r="N42" s="95">
        <v>1066081</v>
      </c>
      <c r="O42" s="123">
        <v>21874</v>
      </c>
      <c r="P42" s="123">
        <v>17285</v>
      </c>
      <c r="Q42" s="95">
        <v>39159</v>
      </c>
      <c r="R42" s="123">
        <v>32122</v>
      </c>
      <c r="S42" s="123">
        <v>23184</v>
      </c>
      <c r="T42" s="95">
        <v>55306</v>
      </c>
      <c r="U42" s="123">
        <v>24465</v>
      </c>
      <c r="V42" s="123">
        <v>14114</v>
      </c>
      <c r="W42" s="95">
        <v>38579</v>
      </c>
      <c r="X42" s="123">
        <v>0</v>
      </c>
      <c r="Y42" s="123">
        <v>0</v>
      </c>
      <c r="Z42" s="95">
        <v>0</v>
      </c>
      <c r="AA42" s="95">
        <v>911295</v>
      </c>
      <c r="AB42" s="95">
        <v>603442</v>
      </c>
      <c r="AC42" s="95">
        <v>1514737</v>
      </c>
    </row>
    <row r="43" spans="1:29" ht="16.899999999999999" customHeight="1">
      <c r="A43" s="907"/>
      <c r="B43" s="500" t="s">
        <v>301</v>
      </c>
      <c r="C43" s="124">
        <v>112</v>
      </c>
      <c r="D43" s="124">
        <v>71</v>
      </c>
      <c r="E43" s="125">
        <v>183</v>
      </c>
      <c r="F43" s="124">
        <v>14</v>
      </c>
      <c r="G43" s="124">
        <v>11</v>
      </c>
      <c r="H43" s="125">
        <v>25</v>
      </c>
      <c r="I43" s="124">
        <v>97882</v>
      </c>
      <c r="J43" s="124">
        <v>97968</v>
      </c>
      <c r="K43" s="125">
        <v>195850</v>
      </c>
      <c r="L43" s="124">
        <v>584872</v>
      </c>
      <c r="M43" s="124">
        <v>338072</v>
      </c>
      <c r="N43" s="125">
        <v>922944</v>
      </c>
      <c r="O43" s="124">
        <v>8266</v>
      </c>
      <c r="P43" s="124">
        <v>7616</v>
      </c>
      <c r="Q43" s="125">
        <v>15882</v>
      </c>
      <c r="R43" s="124">
        <v>28729</v>
      </c>
      <c r="S43" s="124">
        <v>22808</v>
      </c>
      <c r="T43" s="125">
        <v>51537</v>
      </c>
      <c r="U43" s="124">
        <v>12800</v>
      </c>
      <c r="V43" s="124">
        <v>8839</v>
      </c>
      <c r="W43" s="125">
        <v>21639</v>
      </c>
      <c r="X43" s="124">
        <v>0</v>
      </c>
      <c r="Y43" s="124">
        <v>0</v>
      </c>
      <c r="Z43" s="125">
        <v>0</v>
      </c>
      <c r="AA43" s="125">
        <v>732675</v>
      </c>
      <c r="AB43" s="125">
        <v>475385</v>
      </c>
      <c r="AC43" s="125">
        <v>1208060</v>
      </c>
    </row>
    <row r="44" spans="1:29" ht="16.899999999999999" customHeight="1">
      <c r="A44" s="907"/>
      <c r="B44" s="501" t="s">
        <v>300</v>
      </c>
      <c r="C44" s="397">
        <v>124</v>
      </c>
      <c r="D44" s="397">
        <v>74</v>
      </c>
      <c r="E44" s="397">
        <v>198</v>
      </c>
      <c r="F44" s="397">
        <v>0</v>
      </c>
      <c r="G44" s="397">
        <v>0</v>
      </c>
      <c r="H44" s="397">
        <v>0</v>
      </c>
      <c r="I44" s="397">
        <v>89507</v>
      </c>
      <c r="J44" s="397">
        <v>88333</v>
      </c>
      <c r="K44" s="397">
        <v>177840</v>
      </c>
      <c r="L44" s="397">
        <v>584970</v>
      </c>
      <c r="M44" s="397">
        <v>324191</v>
      </c>
      <c r="N44" s="397">
        <v>909161</v>
      </c>
      <c r="O44" s="397">
        <v>13861</v>
      </c>
      <c r="P44" s="397">
        <v>13120</v>
      </c>
      <c r="Q44" s="397">
        <v>26981</v>
      </c>
      <c r="R44" s="397">
        <v>26192</v>
      </c>
      <c r="S44" s="397">
        <v>17391</v>
      </c>
      <c r="T44" s="397">
        <v>43583</v>
      </c>
      <c r="U44" s="397">
        <v>8656</v>
      </c>
      <c r="V44" s="397">
        <v>8328</v>
      </c>
      <c r="W44" s="397">
        <v>16984</v>
      </c>
      <c r="X44" s="397">
        <v>0</v>
      </c>
      <c r="Y44" s="397">
        <v>0</v>
      </c>
      <c r="Z44" s="397">
        <v>0</v>
      </c>
      <c r="AA44" s="397">
        <v>723310</v>
      </c>
      <c r="AB44" s="397">
        <v>451437</v>
      </c>
      <c r="AC44" s="397">
        <v>1174747</v>
      </c>
    </row>
    <row r="45" spans="1:29" ht="16.899999999999999" customHeight="1">
      <c r="A45" s="907"/>
      <c r="B45" s="501" t="s">
        <v>299</v>
      </c>
      <c r="C45" s="123">
        <v>95</v>
      </c>
      <c r="D45" s="123">
        <v>55</v>
      </c>
      <c r="E45" s="95">
        <v>150</v>
      </c>
      <c r="F45" s="123">
        <v>0</v>
      </c>
      <c r="G45" s="123">
        <v>0</v>
      </c>
      <c r="H45" s="95">
        <v>0</v>
      </c>
      <c r="I45" s="123">
        <v>98422</v>
      </c>
      <c r="J45" s="123">
        <v>86079</v>
      </c>
      <c r="K45" s="95">
        <v>184501</v>
      </c>
      <c r="L45" s="123">
        <v>558849</v>
      </c>
      <c r="M45" s="123">
        <v>296255</v>
      </c>
      <c r="N45" s="95">
        <v>855104</v>
      </c>
      <c r="O45" s="123">
        <v>5863</v>
      </c>
      <c r="P45" s="123">
        <v>3819</v>
      </c>
      <c r="Q45" s="95">
        <v>9682</v>
      </c>
      <c r="R45" s="123">
        <v>13351</v>
      </c>
      <c r="S45" s="123">
        <v>8532</v>
      </c>
      <c r="T45" s="95">
        <v>21883</v>
      </c>
      <c r="U45" s="123">
        <v>9168</v>
      </c>
      <c r="V45" s="123">
        <v>9595</v>
      </c>
      <c r="W45" s="95">
        <v>18763</v>
      </c>
      <c r="X45" s="123">
        <v>0</v>
      </c>
      <c r="Y45" s="123">
        <v>0</v>
      </c>
      <c r="Z45" s="95">
        <v>0</v>
      </c>
      <c r="AA45" s="95">
        <v>685748</v>
      </c>
      <c r="AB45" s="95">
        <v>404335</v>
      </c>
      <c r="AC45" s="95">
        <v>1090083</v>
      </c>
    </row>
    <row r="46" spans="1:29" ht="16.899999999999999" customHeight="1">
      <c r="A46" s="907"/>
      <c r="B46" s="500" t="s">
        <v>298</v>
      </c>
      <c r="C46" s="122">
        <v>82</v>
      </c>
      <c r="D46" s="122">
        <v>35</v>
      </c>
      <c r="E46" s="122">
        <v>117</v>
      </c>
      <c r="F46" s="122">
        <v>0</v>
      </c>
      <c r="G46" s="122">
        <v>0</v>
      </c>
      <c r="H46" s="122">
        <v>0</v>
      </c>
      <c r="I46" s="122">
        <v>109541</v>
      </c>
      <c r="J46" s="122">
        <v>80947</v>
      </c>
      <c r="K46" s="122">
        <v>190488</v>
      </c>
      <c r="L46" s="122">
        <v>531799</v>
      </c>
      <c r="M46" s="122">
        <v>283596</v>
      </c>
      <c r="N46" s="122">
        <v>815395</v>
      </c>
      <c r="O46" s="122">
        <v>4767</v>
      </c>
      <c r="P46" s="122">
        <v>2622</v>
      </c>
      <c r="Q46" s="122">
        <v>7389</v>
      </c>
      <c r="R46" s="122">
        <v>27472</v>
      </c>
      <c r="S46" s="122">
        <v>11206</v>
      </c>
      <c r="T46" s="122">
        <v>38678</v>
      </c>
      <c r="U46" s="122">
        <v>24153</v>
      </c>
      <c r="V46" s="122">
        <v>4592</v>
      </c>
      <c r="W46" s="122">
        <v>28745</v>
      </c>
      <c r="X46" s="122">
        <v>0</v>
      </c>
      <c r="Y46" s="122">
        <v>0</v>
      </c>
      <c r="Z46" s="122">
        <v>0</v>
      </c>
      <c r="AA46" s="126">
        <v>697814</v>
      </c>
      <c r="AB46" s="126">
        <v>382998</v>
      </c>
      <c r="AC46" s="126">
        <v>1080812</v>
      </c>
    </row>
    <row r="47" spans="1:29" ht="28">
      <c r="A47" s="907">
        <v>7</v>
      </c>
      <c r="B47" s="398" t="s">
        <v>131</v>
      </c>
      <c r="C47" s="505"/>
      <c r="D47" s="395"/>
      <c r="E47" s="395"/>
      <c r="F47" s="395"/>
      <c r="G47" s="395"/>
      <c r="H47" s="395"/>
      <c r="I47" s="395"/>
      <c r="J47" s="395"/>
      <c r="K47" s="502"/>
      <c r="L47" s="505"/>
      <c r="M47" s="395"/>
      <c r="N47" s="395"/>
      <c r="O47" s="395"/>
      <c r="P47" s="395"/>
      <c r="Q47" s="395"/>
      <c r="R47" s="395"/>
      <c r="S47" s="395"/>
      <c r="T47" s="502"/>
      <c r="U47" s="505"/>
      <c r="V47" s="395"/>
      <c r="W47" s="395"/>
      <c r="X47" s="395"/>
      <c r="Y47" s="395"/>
      <c r="Z47" s="395"/>
      <c r="AA47" s="395"/>
      <c r="AB47" s="395"/>
      <c r="AC47" s="502"/>
    </row>
    <row r="48" spans="1:29" ht="16.899999999999999" customHeight="1">
      <c r="A48" s="907"/>
      <c r="B48" s="500" t="s">
        <v>997</v>
      </c>
      <c r="C48" s="123">
        <v>117</v>
      </c>
      <c r="D48" s="123">
        <v>66</v>
      </c>
      <c r="E48" s="95">
        <v>183</v>
      </c>
      <c r="F48" s="123">
        <v>0</v>
      </c>
      <c r="G48" s="123">
        <v>0</v>
      </c>
      <c r="H48" s="95">
        <v>0</v>
      </c>
      <c r="I48" s="123">
        <v>574</v>
      </c>
      <c r="J48" s="123">
        <v>789</v>
      </c>
      <c r="K48" s="95">
        <v>1363</v>
      </c>
      <c r="L48" s="123">
        <v>1035</v>
      </c>
      <c r="M48" s="123">
        <v>4283</v>
      </c>
      <c r="N48" s="95">
        <v>5318</v>
      </c>
      <c r="O48" s="123">
        <v>5</v>
      </c>
      <c r="P48" s="123">
        <v>54</v>
      </c>
      <c r="Q48" s="95">
        <v>59</v>
      </c>
      <c r="R48" s="123">
        <v>61</v>
      </c>
      <c r="S48" s="123">
        <v>237</v>
      </c>
      <c r="T48" s="95">
        <v>298</v>
      </c>
      <c r="U48" s="123">
        <v>43</v>
      </c>
      <c r="V48" s="123">
        <v>43</v>
      </c>
      <c r="W48" s="95">
        <v>86</v>
      </c>
      <c r="X48" s="123">
        <v>0</v>
      </c>
      <c r="Y48" s="123">
        <v>0</v>
      </c>
      <c r="Z48" s="95">
        <v>0</v>
      </c>
      <c r="AA48" s="95">
        <v>1835</v>
      </c>
      <c r="AB48" s="95">
        <v>5472</v>
      </c>
      <c r="AC48" s="95">
        <v>7307</v>
      </c>
    </row>
    <row r="49" spans="1:29" ht="16.899999999999999" customHeight="1">
      <c r="A49" s="907"/>
      <c r="B49" s="500" t="s">
        <v>301</v>
      </c>
      <c r="C49" s="124">
        <v>223</v>
      </c>
      <c r="D49" s="124">
        <v>58</v>
      </c>
      <c r="E49" s="125">
        <v>281</v>
      </c>
      <c r="F49" s="124">
        <v>0</v>
      </c>
      <c r="G49" s="124">
        <v>0</v>
      </c>
      <c r="H49" s="125">
        <v>0</v>
      </c>
      <c r="I49" s="124">
        <v>628</v>
      </c>
      <c r="J49" s="124">
        <v>595</v>
      </c>
      <c r="K49" s="125">
        <v>1223</v>
      </c>
      <c r="L49" s="124">
        <v>1389</v>
      </c>
      <c r="M49" s="124">
        <v>2755</v>
      </c>
      <c r="N49" s="125">
        <v>4144</v>
      </c>
      <c r="O49" s="124">
        <v>26</v>
      </c>
      <c r="P49" s="124">
        <v>56</v>
      </c>
      <c r="Q49" s="125">
        <v>82</v>
      </c>
      <c r="R49" s="124">
        <v>46</v>
      </c>
      <c r="S49" s="124">
        <v>193</v>
      </c>
      <c r="T49" s="125">
        <v>239</v>
      </c>
      <c r="U49" s="124">
        <v>38</v>
      </c>
      <c r="V49" s="124">
        <v>45</v>
      </c>
      <c r="W49" s="125">
        <v>83</v>
      </c>
      <c r="X49" s="124">
        <v>0</v>
      </c>
      <c r="Y49" s="124">
        <v>0</v>
      </c>
      <c r="Z49" s="125">
        <v>0</v>
      </c>
      <c r="AA49" s="125">
        <v>2350</v>
      </c>
      <c r="AB49" s="125">
        <v>3702</v>
      </c>
      <c r="AC49" s="125">
        <v>6052</v>
      </c>
    </row>
    <row r="50" spans="1:29" ht="16.899999999999999" customHeight="1">
      <c r="A50" s="907"/>
      <c r="B50" s="501" t="s">
        <v>300</v>
      </c>
      <c r="C50" s="397">
        <v>59</v>
      </c>
      <c r="D50" s="397">
        <v>14</v>
      </c>
      <c r="E50" s="397">
        <v>73</v>
      </c>
      <c r="F50" s="397">
        <v>0</v>
      </c>
      <c r="G50" s="397">
        <v>0</v>
      </c>
      <c r="H50" s="397">
        <v>0</v>
      </c>
      <c r="I50" s="397">
        <v>556</v>
      </c>
      <c r="J50" s="397">
        <v>479</v>
      </c>
      <c r="K50" s="397">
        <v>1035</v>
      </c>
      <c r="L50" s="397">
        <v>1283</v>
      </c>
      <c r="M50" s="397">
        <v>2597</v>
      </c>
      <c r="N50" s="397">
        <v>3880</v>
      </c>
      <c r="O50" s="397">
        <v>48</v>
      </c>
      <c r="P50" s="397">
        <v>31</v>
      </c>
      <c r="Q50" s="397">
        <v>79</v>
      </c>
      <c r="R50" s="397">
        <v>29</v>
      </c>
      <c r="S50" s="397">
        <v>14</v>
      </c>
      <c r="T50" s="397">
        <v>43</v>
      </c>
      <c r="U50" s="397">
        <v>4</v>
      </c>
      <c r="V50" s="397">
        <v>1</v>
      </c>
      <c r="W50" s="397">
        <v>5</v>
      </c>
      <c r="X50" s="397">
        <v>0</v>
      </c>
      <c r="Y50" s="397">
        <v>0</v>
      </c>
      <c r="Z50" s="397">
        <v>0</v>
      </c>
      <c r="AA50" s="397">
        <v>1979</v>
      </c>
      <c r="AB50" s="397">
        <v>3136</v>
      </c>
      <c r="AC50" s="397">
        <v>5115</v>
      </c>
    </row>
    <row r="51" spans="1:29" ht="16.899999999999999" customHeight="1">
      <c r="A51" s="907"/>
      <c r="B51" s="501" t="s">
        <v>299</v>
      </c>
      <c r="C51" s="123">
        <v>177</v>
      </c>
      <c r="D51" s="123">
        <v>23</v>
      </c>
      <c r="E51" s="95">
        <v>200</v>
      </c>
      <c r="F51" s="123">
        <v>0</v>
      </c>
      <c r="G51" s="123">
        <v>0</v>
      </c>
      <c r="H51" s="95">
        <v>0</v>
      </c>
      <c r="I51" s="123">
        <v>432</v>
      </c>
      <c r="J51" s="123">
        <v>245</v>
      </c>
      <c r="K51" s="95">
        <v>677</v>
      </c>
      <c r="L51" s="123">
        <v>823</v>
      </c>
      <c r="M51" s="123">
        <v>1727</v>
      </c>
      <c r="N51" s="95">
        <v>2550</v>
      </c>
      <c r="O51" s="123">
        <v>26</v>
      </c>
      <c r="P51" s="123">
        <v>16</v>
      </c>
      <c r="Q51" s="95">
        <v>42</v>
      </c>
      <c r="R51" s="123">
        <v>40</v>
      </c>
      <c r="S51" s="123">
        <v>162</v>
      </c>
      <c r="T51" s="95">
        <v>202</v>
      </c>
      <c r="U51" s="123">
        <v>25</v>
      </c>
      <c r="V51" s="123">
        <v>13</v>
      </c>
      <c r="W51" s="95">
        <v>38</v>
      </c>
      <c r="X51" s="123">
        <v>0</v>
      </c>
      <c r="Y51" s="123">
        <v>0</v>
      </c>
      <c r="Z51" s="95">
        <v>0</v>
      </c>
      <c r="AA51" s="95">
        <v>1523</v>
      </c>
      <c r="AB51" s="95">
        <v>2186</v>
      </c>
      <c r="AC51" s="95">
        <v>3709</v>
      </c>
    </row>
    <row r="52" spans="1:29" ht="16.899999999999999" customHeight="1">
      <c r="A52" s="907"/>
      <c r="B52" s="500" t="s">
        <v>298</v>
      </c>
      <c r="C52" s="122">
        <v>220</v>
      </c>
      <c r="D52" s="122">
        <v>36</v>
      </c>
      <c r="E52" s="122">
        <v>256</v>
      </c>
      <c r="F52" s="122">
        <v>0</v>
      </c>
      <c r="G52" s="122">
        <v>0</v>
      </c>
      <c r="H52" s="122">
        <v>0</v>
      </c>
      <c r="I52" s="122">
        <v>343</v>
      </c>
      <c r="J52" s="122">
        <v>333</v>
      </c>
      <c r="K52" s="122">
        <v>676</v>
      </c>
      <c r="L52" s="122">
        <v>784</v>
      </c>
      <c r="M52" s="122">
        <v>1861</v>
      </c>
      <c r="N52" s="122">
        <v>2645</v>
      </c>
      <c r="O52" s="122">
        <v>20</v>
      </c>
      <c r="P52" s="122">
        <v>12</v>
      </c>
      <c r="Q52" s="122">
        <v>32</v>
      </c>
      <c r="R52" s="122">
        <v>13</v>
      </c>
      <c r="S52" s="122">
        <v>9</v>
      </c>
      <c r="T52" s="122">
        <v>22</v>
      </c>
      <c r="U52" s="122">
        <v>25</v>
      </c>
      <c r="V52" s="122">
        <v>13</v>
      </c>
      <c r="W52" s="122">
        <v>38</v>
      </c>
      <c r="X52" s="122">
        <v>0</v>
      </c>
      <c r="Y52" s="122">
        <v>0</v>
      </c>
      <c r="Z52" s="122">
        <v>0</v>
      </c>
      <c r="AA52" s="126">
        <v>1405</v>
      </c>
      <c r="AB52" s="126">
        <v>2264</v>
      </c>
      <c r="AC52" s="126">
        <v>3669</v>
      </c>
    </row>
    <row r="53" spans="1:29" ht="16.899999999999999" customHeight="1">
      <c r="A53" s="907">
        <v>8</v>
      </c>
      <c r="B53" s="394" t="s">
        <v>130</v>
      </c>
      <c r="C53" s="505"/>
      <c r="D53" s="395"/>
      <c r="E53" s="395"/>
      <c r="F53" s="395"/>
      <c r="G53" s="395"/>
      <c r="H53" s="395"/>
      <c r="I53" s="395"/>
      <c r="J53" s="395"/>
      <c r="K53" s="502"/>
      <c r="L53" s="505"/>
      <c r="M53" s="395"/>
      <c r="N53" s="395"/>
      <c r="O53" s="395"/>
      <c r="P53" s="395"/>
      <c r="Q53" s="395"/>
      <c r="R53" s="395"/>
      <c r="S53" s="395"/>
      <c r="T53" s="502"/>
      <c r="U53" s="505"/>
      <c r="V53" s="395"/>
      <c r="W53" s="395"/>
      <c r="X53" s="395"/>
      <c r="Y53" s="395"/>
      <c r="Z53" s="395"/>
      <c r="AA53" s="395"/>
      <c r="AB53" s="395"/>
      <c r="AC53" s="502"/>
    </row>
    <row r="54" spans="1:29" ht="16.899999999999999" customHeight="1">
      <c r="A54" s="907"/>
      <c r="B54" s="500" t="s">
        <v>997</v>
      </c>
      <c r="C54" s="123">
        <v>15153</v>
      </c>
      <c r="D54" s="123">
        <v>13366</v>
      </c>
      <c r="E54" s="95">
        <v>28519</v>
      </c>
      <c r="F54" s="123">
        <v>123</v>
      </c>
      <c r="G54" s="123">
        <v>267</v>
      </c>
      <c r="H54" s="95">
        <v>390</v>
      </c>
      <c r="I54" s="123">
        <v>137724</v>
      </c>
      <c r="J54" s="123">
        <v>107377</v>
      </c>
      <c r="K54" s="95">
        <v>245101</v>
      </c>
      <c r="L54" s="123">
        <v>658725</v>
      </c>
      <c r="M54" s="123">
        <v>334585</v>
      </c>
      <c r="N54" s="95">
        <v>993310</v>
      </c>
      <c r="O54" s="123">
        <v>12092</v>
      </c>
      <c r="P54" s="123">
        <v>11166</v>
      </c>
      <c r="Q54" s="95">
        <v>23258</v>
      </c>
      <c r="R54" s="123">
        <v>85036</v>
      </c>
      <c r="S54" s="123">
        <v>28264</v>
      </c>
      <c r="T54" s="95">
        <v>113300</v>
      </c>
      <c r="U54" s="123">
        <v>11254</v>
      </c>
      <c r="V54" s="123">
        <v>421</v>
      </c>
      <c r="W54" s="95">
        <v>11675</v>
      </c>
      <c r="X54" s="123">
        <v>34237</v>
      </c>
      <c r="Y54" s="123">
        <v>25879</v>
      </c>
      <c r="Z54" s="95">
        <v>60116</v>
      </c>
      <c r="AA54" s="95">
        <v>954344</v>
      </c>
      <c r="AB54" s="95">
        <v>521325</v>
      </c>
      <c r="AC54" s="95">
        <v>1475669</v>
      </c>
    </row>
    <row r="55" spans="1:29" ht="16.899999999999999" customHeight="1">
      <c r="A55" s="907"/>
      <c r="B55" s="500" t="s">
        <v>301</v>
      </c>
      <c r="C55" s="124">
        <v>12063</v>
      </c>
      <c r="D55" s="124">
        <v>11343</v>
      </c>
      <c r="E55" s="125">
        <v>23406</v>
      </c>
      <c r="F55" s="124">
        <v>644</v>
      </c>
      <c r="G55" s="124">
        <v>549</v>
      </c>
      <c r="H55" s="125">
        <v>1193</v>
      </c>
      <c r="I55" s="124">
        <v>129672</v>
      </c>
      <c r="J55" s="124">
        <v>93921</v>
      </c>
      <c r="K55" s="125">
        <v>223593</v>
      </c>
      <c r="L55" s="124">
        <v>568894</v>
      </c>
      <c r="M55" s="124">
        <v>278146</v>
      </c>
      <c r="N55" s="125">
        <v>847040</v>
      </c>
      <c r="O55" s="124">
        <v>10593</v>
      </c>
      <c r="P55" s="124">
        <v>10023</v>
      </c>
      <c r="Q55" s="125">
        <v>20616</v>
      </c>
      <c r="R55" s="124">
        <v>79832</v>
      </c>
      <c r="S55" s="124">
        <v>24946</v>
      </c>
      <c r="T55" s="125">
        <v>104778</v>
      </c>
      <c r="U55" s="124">
        <v>3164</v>
      </c>
      <c r="V55" s="124">
        <v>1197</v>
      </c>
      <c r="W55" s="125">
        <v>4361</v>
      </c>
      <c r="X55" s="124">
        <v>28845</v>
      </c>
      <c r="Y55" s="124">
        <v>22369</v>
      </c>
      <c r="Z55" s="125">
        <v>51214</v>
      </c>
      <c r="AA55" s="125">
        <v>833707</v>
      </c>
      <c r="AB55" s="125">
        <v>442494</v>
      </c>
      <c r="AC55" s="125">
        <v>1276201</v>
      </c>
    </row>
    <row r="56" spans="1:29" ht="16.899999999999999" customHeight="1">
      <c r="A56" s="907"/>
      <c r="B56" s="501" t="s">
        <v>300</v>
      </c>
      <c r="C56" s="397">
        <v>10426</v>
      </c>
      <c r="D56" s="397">
        <v>9160</v>
      </c>
      <c r="E56" s="397">
        <v>19586</v>
      </c>
      <c r="F56" s="397">
        <v>412</v>
      </c>
      <c r="G56" s="397">
        <v>442</v>
      </c>
      <c r="H56" s="397">
        <v>854</v>
      </c>
      <c r="I56" s="397">
        <v>120127</v>
      </c>
      <c r="J56" s="397">
        <v>84335</v>
      </c>
      <c r="K56" s="397">
        <v>204462</v>
      </c>
      <c r="L56" s="397">
        <v>520804</v>
      </c>
      <c r="M56" s="397">
        <v>249851</v>
      </c>
      <c r="N56" s="397">
        <v>770655</v>
      </c>
      <c r="O56" s="397">
        <v>13958</v>
      </c>
      <c r="P56" s="397">
        <v>11021</v>
      </c>
      <c r="Q56" s="397">
        <v>24979</v>
      </c>
      <c r="R56" s="397">
        <v>70940</v>
      </c>
      <c r="S56" s="397">
        <v>25827</v>
      </c>
      <c r="T56" s="397">
        <v>96767</v>
      </c>
      <c r="U56" s="397">
        <v>358</v>
      </c>
      <c r="V56" s="397">
        <v>272</v>
      </c>
      <c r="W56" s="397">
        <v>630</v>
      </c>
      <c r="X56" s="397">
        <v>22477</v>
      </c>
      <c r="Y56" s="397">
        <v>16683</v>
      </c>
      <c r="Z56" s="397">
        <v>39160</v>
      </c>
      <c r="AA56" s="397">
        <v>759502</v>
      </c>
      <c r="AB56" s="397">
        <v>397591</v>
      </c>
      <c r="AC56" s="397">
        <v>1157093</v>
      </c>
    </row>
    <row r="57" spans="1:29" ht="16.899999999999999" customHeight="1">
      <c r="A57" s="907"/>
      <c r="B57" s="501" t="s">
        <v>299</v>
      </c>
      <c r="C57" s="123">
        <v>7083</v>
      </c>
      <c r="D57" s="123">
        <v>6284</v>
      </c>
      <c r="E57" s="95">
        <v>13367</v>
      </c>
      <c r="F57" s="123">
        <v>333</v>
      </c>
      <c r="G57" s="123">
        <v>442</v>
      </c>
      <c r="H57" s="95">
        <v>775</v>
      </c>
      <c r="I57" s="123">
        <v>117798</v>
      </c>
      <c r="J57" s="123">
        <v>78796</v>
      </c>
      <c r="K57" s="95">
        <v>196594</v>
      </c>
      <c r="L57" s="123">
        <v>459409</v>
      </c>
      <c r="M57" s="123">
        <v>210774</v>
      </c>
      <c r="N57" s="95">
        <v>670183</v>
      </c>
      <c r="O57" s="123">
        <v>17331</v>
      </c>
      <c r="P57" s="123">
        <v>14746</v>
      </c>
      <c r="Q57" s="95">
        <v>32077</v>
      </c>
      <c r="R57" s="123">
        <v>66921</v>
      </c>
      <c r="S57" s="123">
        <v>24850</v>
      </c>
      <c r="T57" s="95">
        <v>91771</v>
      </c>
      <c r="U57" s="123">
        <v>712</v>
      </c>
      <c r="V57" s="123">
        <v>285</v>
      </c>
      <c r="W57" s="95">
        <v>997</v>
      </c>
      <c r="X57" s="123">
        <v>16837</v>
      </c>
      <c r="Y57" s="123">
        <v>13128</v>
      </c>
      <c r="Z57" s="95">
        <v>29965</v>
      </c>
      <c r="AA57" s="95">
        <v>686424</v>
      </c>
      <c r="AB57" s="95">
        <v>349305</v>
      </c>
      <c r="AC57" s="95">
        <v>1035729</v>
      </c>
    </row>
    <row r="58" spans="1:29" ht="16.899999999999999" customHeight="1">
      <c r="A58" s="907"/>
      <c r="B58" s="500" t="s">
        <v>298</v>
      </c>
      <c r="C58" s="122">
        <v>5565</v>
      </c>
      <c r="D58" s="122">
        <v>4590</v>
      </c>
      <c r="E58" s="122">
        <v>10155</v>
      </c>
      <c r="F58" s="122">
        <v>373</v>
      </c>
      <c r="G58" s="122">
        <v>478</v>
      </c>
      <c r="H58" s="122">
        <v>851</v>
      </c>
      <c r="I58" s="122">
        <v>81204</v>
      </c>
      <c r="J58" s="122">
        <v>60270</v>
      </c>
      <c r="K58" s="122">
        <v>141474</v>
      </c>
      <c r="L58" s="122">
        <v>355481</v>
      </c>
      <c r="M58" s="122">
        <v>147775</v>
      </c>
      <c r="N58" s="122">
        <v>503256</v>
      </c>
      <c r="O58" s="122">
        <v>9067</v>
      </c>
      <c r="P58" s="122">
        <v>8070</v>
      </c>
      <c r="Q58" s="122">
        <v>17137</v>
      </c>
      <c r="R58" s="122">
        <v>55293</v>
      </c>
      <c r="S58" s="122">
        <v>15598</v>
      </c>
      <c r="T58" s="122">
        <v>70891</v>
      </c>
      <c r="U58" s="122">
        <v>418</v>
      </c>
      <c r="V58" s="122">
        <v>84</v>
      </c>
      <c r="W58" s="122">
        <v>502</v>
      </c>
      <c r="X58" s="122">
        <v>13664</v>
      </c>
      <c r="Y58" s="122">
        <v>10459</v>
      </c>
      <c r="Z58" s="122">
        <v>24123</v>
      </c>
      <c r="AA58" s="126">
        <v>521065</v>
      </c>
      <c r="AB58" s="126">
        <v>247324</v>
      </c>
      <c r="AC58" s="126">
        <v>768389</v>
      </c>
    </row>
    <row r="59" spans="1:29" ht="28">
      <c r="A59" s="907">
        <v>9</v>
      </c>
      <c r="B59" s="398" t="s">
        <v>133</v>
      </c>
      <c r="C59" s="505"/>
      <c r="D59" s="395"/>
      <c r="E59" s="395"/>
      <c r="F59" s="395"/>
      <c r="G59" s="395"/>
      <c r="H59" s="395"/>
      <c r="I59" s="395"/>
      <c r="J59" s="395"/>
      <c r="K59" s="502"/>
      <c r="L59" s="505"/>
      <c r="M59" s="395"/>
      <c r="N59" s="395"/>
      <c r="O59" s="395"/>
      <c r="P59" s="395"/>
      <c r="Q59" s="395"/>
      <c r="R59" s="395"/>
      <c r="S59" s="395"/>
      <c r="T59" s="502"/>
      <c r="U59" s="505"/>
      <c r="V59" s="395"/>
      <c r="W59" s="395"/>
      <c r="X59" s="395"/>
      <c r="Y59" s="395"/>
      <c r="Z59" s="395"/>
      <c r="AA59" s="395"/>
      <c r="AB59" s="395"/>
      <c r="AC59" s="502"/>
    </row>
    <row r="60" spans="1:29" ht="16.899999999999999" customHeight="1">
      <c r="A60" s="907"/>
      <c r="B60" s="500" t="s">
        <v>997</v>
      </c>
      <c r="C60" s="123">
        <v>1148</v>
      </c>
      <c r="D60" s="123">
        <v>1671</v>
      </c>
      <c r="E60" s="95">
        <v>2819</v>
      </c>
      <c r="F60" s="123">
        <v>34</v>
      </c>
      <c r="G60" s="123">
        <v>152</v>
      </c>
      <c r="H60" s="95">
        <v>186</v>
      </c>
      <c r="I60" s="123">
        <v>5885</v>
      </c>
      <c r="J60" s="123">
        <v>7993</v>
      </c>
      <c r="K60" s="95">
        <v>13878</v>
      </c>
      <c r="L60" s="123">
        <v>15514</v>
      </c>
      <c r="M60" s="123">
        <v>17241</v>
      </c>
      <c r="N60" s="95">
        <v>32755</v>
      </c>
      <c r="O60" s="123">
        <v>391</v>
      </c>
      <c r="P60" s="123">
        <v>413</v>
      </c>
      <c r="Q60" s="95">
        <v>804</v>
      </c>
      <c r="R60" s="123">
        <v>2080</v>
      </c>
      <c r="S60" s="123">
        <v>1044</v>
      </c>
      <c r="T60" s="95">
        <v>3124</v>
      </c>
      <c r="U60" s="123">
        <v>213</v>
      </c>
      <c r="V60" s="123">
        <v>121</v>
      </c>
      <c r="W60" s="95">
        <v>334</v>
      </c>
      <c r="X60" s="123">
        <v>703</v>
      </c>
      <c r="Y60" s="123">
        <v>729</v>
      </c>
      <c r="Z60" s="95">
        <v>1432</v>
      </c>
      <c r="AA60" s="95">
        <v>25968</v>
      </c>
      <c r="AB60" s="95">
        <v>29364</v>
      </c>
      <c r="AC60" s="95">
        <v>55332</v>
      </c>
    </row>
    <row r="61" spans="1:29" ht="16.899999999999999" customHeight="1">
      <c r="A61" s="907"/>
      <c r="B61" s="500" t="s">
        <v>301</v>
      </c>
      <c r="C61" s="124">
        <v>997</v>
      </c>
      <c r="D61" s="124">
        <v>1654</v>
      </c>
      <c r="E61" s="125">
        <v>2651</v>
      </c>
      <c r="F61" s="124">
        <v>145</v>
      </c>
      <c r="G61" s="124">
        <v>290</v>
      </c>
      <c r="H61" s="125">
        <v>435</v>
      </c>
      <c r="I61" s="124">
        <v>5542</v>
      </c>
      <c r="J61" s="124">
        <v>6900</v>
      </c>
      <c r="K61" s="125">
        <v>12442</v>
      </c>
      <c r="L61" s="124">
        <v>16704</v>
      </c>
      <c r="M61" s="124">
        <v>17252</v>
      </c>
      <c r="N61" s="125">
        <v>33956</v>
      </c>
      <c r="O61" s="124">
        <v>317</v>
      </c>
      <c r="P61" s="124">
        <v>276</v>
      </c>
      <c r="Q61" s="125">
        <v>593</v>
      </c>
      <c r="R61" s="124">
        <v>2756</v>
      </c>
      <c r="S61" s="124">
        <v>917</v>
      </c>
      <c r="T61" s="125">
        <v>3673</v>
      </c>
      <c r="U61" s="124">
        <v>803</v>
      </c>
      <c r="V61" s="124">
        <v>702</v>
      </c>
      <c r="W61" s="125">
        <v>1505</v>
      </c>
      <c r="X61" s="124">
        <v>384</v>
      </c>
      <c r="Y61" s="124">
        <v>530</v>
      </c>
      <c r="Z61" s="125">
        <v>914</v>
      </c>
      <c r="AA61" s="125">
        <v>27648</v>
      </c>
      <c r="AB61" s="125">
        <v>28521</v>
      </c>
      <c r="AC61" s="125">
        <v>56169</v>
      </c>
    </row>
    <row r="62" spans="1:29" ht="16.899999999999999" customHeight="1">
      <c r="A62" s="907"/>
      <c r="B62" s="501" t="s">
        <v>300</v>
      </c>
      <c r="C62" s="397">
        <v>1705</v>
      </c>
      <c r="D62" s="397">
        <v>1889</v>
      </c>
      <c r="E62" s="397">
        <v>3594</v>
      </c>
      <c r="F62" s="397">
        <v>197</v>
      </c>
      <c r="G62" s="397">
        <v>392</v>
      </c>
      <c r="H62" s="397">
        <v>589</v>
      </c>
      <c r="I62" s="397">
        <v>6334</v>
      </c>
      <c r="J62" s="397">
        <v>7555</v>
      </c>
      <c r="K62" s="397">
        <v>13889</v>
      </c>
      <c r="L62" s="397">
        <v>16337</v>
      </c>
      <c r="M62" s="397">
        <v>17902</v>
      </c>
      <c r="N62" s="397">
        <v>34239</v>
      </c>
      <c r="O62" s="397">
        <v>230</v>
      </c>
      <c r="P62" s="397">
        <v>214</v>
      </c>
      <c r="Q62" s="397">
        <v>444</v>
      </c>
      <c r="R62" s="397">
        <v>2345</v>
      </c>
      <c r="S62" s="397">
        <v>1157</v>
      </c>
      <c r="T62" s="397">
        <v>3502</v>
      </c>
      <c r="U62" s="397">
        <v>1565</v>
      </c>
      <c r="V62" s="397">
        <v>1260</v>
      </c>
      <c r="W62" s="397">
        <v>2825</v>
      </c>
      <c r="X62" s="397">
        <v>250</v>
      </c>
      <c r="Y62" s="397">
        <v>388</v>
      </c>
      <c r="Z62" s="397">
        <v>638</v>
      </c>
      <c r="AA62" s="397">
        <v>28963</v>
      </c>
      <c r="AB62" s="397">
        <v>30757</v>
      </c>
      <c r="AC62" s="397">
        <v>59720</v>
      </c>
    </row>
    <row r="63" spans="1:29" ht="16.899999999999999" customHeight="1">
      <c r="A63" s="907"/>
      <c r="B63" s="501" t="s">
        <v>299</v>
      </c>
      <c r="C63" s="123">
        <v>1683</v>
      </c>
      <c r="D63" s="123">
        <v>1366</v>
      </c>
      <c r="E63" s="95">
        <v>3049</v>
      </c>
      <c r="F63" s="123">
        <v>255</v>
      </c>
      <c r="G63" s="123">
        <v>431</v>
      </c>
      <c r="H63" s="95">
        <v>686</v>
      </c>
      <c r="I63" s="123">
        <v>8379</v>
      </c>
      <c r="J63" s="123">
        <v>7188</v>
      </c>
      <c r="K63" s="95">
        <v>15567</v>
      </c>
      <c r="L63" s="123">
        <v>14924</v>
      </c>
      <c r="M63" s="123">
        <v>14832</v>
      </c>
      <c r="N63" s="95">
        <v>29756</v>
      </c>
      <c r="O63" s="123">
        <v>294</v>
      </c>
      <c r="P63" s="123">
        <v>247</v>
      </c>
      <c r="Q63" s="95">
        <v>541</v>
      </c>
      <c r="R63" s="123">
        <v>2181</v>
      </c>
      <c r="S63" s="123">
        <v>1061</v>
      </c>
      <c r="T63" s="95">
        <v>3242</v>
      </c>
      <c r="U63" s="123">
        <v>1723</v>
      </c>
      <c r="V63" s="123">
        <v>1298</v>
      </c>
      <c r="W63" s="95">
        <v>3021</v>
      </c>
      <c r="X63" s="123">
        <v>29</v>
      </c>
      <c r="Y63" s="123">
        <v>103</v>
      </c>
      <c r="Z63" s="95">
        <v>132</v>
      </c>
      <c r="AA63" s="95">
        <v>29468</v>
      </c>
      <c r="AB63" s="95">
        <v>26526</v>
      </c>
      <c r="AC63" s="95">
        <v>55994</v>
      </c>
    </row>
    <row r="64" spans="1:29" ht="16.899999999999999" customHeight="1">
      <c r="A64" s="907"/>
      <c r="B64" s="500" t="s">
        <v>298</v>
      </c>
      <c r="C64" s="122">
        <v>1155</v>
      </c>
      <c r="D64" s="122">
        <v>1269</v>
      </c>
      <c r="E64" s="122">
        <v>2424</v>
      </c>
      <c r="F64" s="122">
        <v>248</v>
      </c>
      <c r="G64" s="122">
        <v>385</v>
      </c>
      <c r="H64" s="122">
        <v>633</v>
      </c>
      <c r="I64" s="122">
        <v>14982</v>
      </c>
      <c r="J64" s="122">
        <v>14991</v>
      </c>
      <c r="K64" s="122">
        <v>29973</v>
      </c>
      <c r="L64" s="122">
        <v>15185</v>
      </c>
      <c r="M64" s="122">
        <v>14551</v>
      </c>
      <c r="N64" s="122">
        <v>29736</v>
      </c>
      <c r="O64" s="122">
        <v>675</v>
      </c>
      <c r="P64" s="122">
        <v>452</v>
      </c>
      <c r="Q64" s="122">
        <v>1127</v>
      </c>
      <c r="R64" s="122">
        <v>2135</v>
      </c>
      <c r="S64" s="122">
        <v>1083</v>
      </c>
      <c r="T64" s="122">
        <v>3218</v>
      </c>
      <c r="U64" s="122">
        <v>1485</v>
      </c>
      <c r="V64" s="122">
        <v>1242</v>
      </c>
      <c r="W64" s="122">
        <v>2727</v>
      </c>
      <c r="X64" s="122">
        <v>9</v>
      </c>
      <c r="Y64" s="122">
        <v>54</v>
      </c>
      <c r="Z64" s="122">
        <v>63</v>
      </c>
      <c r="AA64" s="126">
        <v>35874</v>
      </c>
      <c r="AB64" s="126">
        <v>34027</v>
      </c>
      <c r="AC64" s="126">
        <v>69901</v>
      </c>
    </row>
    <row r="65" spans="1:29" ht="16.899999999999999" customHeight="1">
      <c r="A65" s="907">
        <v>10</v>
      </c>
      <c r="B65" s="394" t="s">
        <v>134</v>
      </c>
      <c r="C65" s="505"/>
      <c r="D65" s="395"/>
      <c r="E65" s="395"/>
      <c r="F65" s="395"/>
      <c r="G65" s="395"/>
      <c r="H65" s="395"/>
      <c r="I65" s="395"/>
      <c r="J65" s="395"/>
      <c r="K65" s="502"/>
      <c r="L65" s="505"/>
      <c r="M65" s="395"/>
      <c r="N65" s="395"/>
      <c r="O65" s="395"/>
      <c r="P65" s="395"/>
      <c r="Q65" s="395"/>
      <c r="R65" s="395"/>
      <c r="S65" s="395"/>
      <c r="T65" s="502"/>
      <c r="U65" s="505"/>
      <c r="V65" s="395"/>
      <c r="W65" s="395"/>
      <c r="X65" s="395"/>
      <c r="Y65" s="395"/>
      <c r="Z65" s="395"/>
      <c r="AA65" s="395"/>
      <c r="AB65" s="395"/>
      <c r="AC65" s="502"/>
    </row>
    <row r="66" spans="1:29" ht="16.899999999999999" customHeight="1">
      <c r="A66" s="907"/>
      <c r="B66" s="500" t="s">
        <v>997</v>
      </c>
      <c r="C66" s="123">
        <v>14374</v>
      </c>
      <c r="D66" s="123">
        <v>15377</v>
      </c>
      <c r="E66" s="95">
        <v>29751</v>
      </c>
      <c r="F66" s="123">
        <v>177</v>
      </c>
      <c r="G66" s="123">
        <v>399</v>
      </c>
      <c r="H66" s="95">
        <v>576</v>
      </c>
      <c r="I66" s="123">
        <v>67998</v>
      </c>
      <c r="J66" s="123">
        <v>66886</v>
      </c>
      <c r="K66" s="95">
        <v>134884</v>
      </c>
      <c r="L66" s="123">
        <v>418217</v>
      </c>
      <c r="M66" s="123">
        <v>260587</v>
      </c>
      <c r="N66" s="95">
        <v>678804</v>
      </c>
      <c r="O66" s="123">
        <v>4408</v>
      </c>
      <c r="P66" s="123">
        <v>4040</v>
      </c>
      <c r="Q66" s="95">
        <v>8448</v>
      </c>
      <c r="R66" s="123">
        <v>2816</v>
      </c>
      <c r="S66" s="123">
        <v>1757</v>
      </c>
      <c r="T66" s="95">
        <v>4573</v>
      </c>
      <c r="U66" s="123">
        <v>603</v>
      </c>
      <c r="V66" s="123">
        <v>811</v>
      </c>
      <c r="W66" s="95">
        <v>1414</v>
      </c>
      <c r="X66" s="123">
        <v>17239</v>
      </c>
      <c r="Y66" s="123">
        <v>14105</v>
      </c>
      <c r="Z66" s="95">
        <v>31344</v>
      </c>
      <c r="AA66" s="95">
        <v>525832</v>
      </c>
      <c r="AB66" s="95">
        <v>363962</v>
      </c>
      <c r="AC66" s="95">
        <v>889794</v>
      </c>
    </row>
    <row r="67" spans="1:29" ht="16.899999999999999" customHeight="1">
      <c r="A67" s="907"/>
      <c r="B67" s="500" t="s">
        <v>301</v>
      </c>
      <c r="C67" s="124">
        <v>12538</v>
      </c>
      <c r="D67" s="124">
        <v>12196</v>
      </c>
      <c r="E67" s="125">
        <v>24734</v>
      </c>
      <c r="F67" s="124">
        <v>303</v>
      </c>
      <c r="G67" s="124">
        <v>697</v>
      </c>
      <c r="H67" s="125">
        <v>1000</v>
      </c>
      <c r="I67" s="124">
        <v>58752</v>
      </c>
      <c r="J67" s="124">
        <v>59178</v>
      </c>
      <c r="K67" s="125">
        <v>117930</v>
      </c>
      <c r="L67" s="124">
        <v>371741</v>
      </c>
      <c r="M67" s="124">
        <v>234714</v>
      </c>
      <c r="N67" s="125">
        <v>606455</v>
      </c>
      <c r="O67" s="124">
        <v>3546</v>
      </c>
      <c r="P67" s="124">
        <v>3237</v>
      </c>
      <c r="Q67" s="125">
        <v>6783</v>
      </c>
      <c r="R67" s="124">
        <v>3687</v>
      </c>
      <c r="S67" s="124">
        <v>2039</v>
      </c>
      <c r="T67" s="125">
        <v>5726</v>
      </c>
      <c r="U67" s="124">
        <v>146</v>
      </c>
      <c r="V67" s="124">
        <v>192</v>
      </c>
      <c r="W67" s="125">
        <v>338</v>
      </c>
      <c r="X67" s="124">
        <v>14519</v>
      </c>
      <c r="Y67" s="124">
        <v>11277</v>
      </c>
      <c r="Z67" s="125">
        <v>25796</v>
      </c>
      <c r="AA67" s="125">
        <v>465232</v>
      </c>
      <c r="AB67" s="125">
        <v>323530</v>
      </c>
      <c r="AC67" s="125">
        <v>788762</v>
      </c>
    </row>
    <row r="68" spans="1:29" ht="16.899999999999999" customHeight="1">
      <c r="A68" s="907"/>
      <c r="B68" s="501" t="s">
        <v>300</v>
      </c>
      <c r="C68" s="397">
        <v>9075</v>
      </c>
      <c r="D68" s="397">
        <v>8657</v>
      </c>
      <c r="E68" s="397">
        <v>17732</v>
      </c>
      <c r="F68" s="397">
        <v>270</v>
      </c>
      <c r="G68" s="397">
        <v>747</v>
      </c>
      <c r="H68" s="397">
        <v>1017</v>
      </c>
      <c r="I68" s="397">
        <v>52327</v>
      </c>
      <c r="J68" s="397">
        <v>50420</v>
      </c>
      <c r="K68" s="397">
        <v>102747</v>
      </c>
      <c r="L68" s="397">
        <v>340002</v>
      </c>
      <c r="M68" s="397">
        <v>201593</v>
      </c>
      <c r="N68" s="397">
        <v>541595</v>
      </c>
      <c r="O68" s="397">
        <v>2916</v>
      </c>
      <c r="P68" s="397">
        <v>2424</v>
      </c>
      <c r="Q68" s="397">
        <v>5340</v>
      </c>
      <c r="R68" s="397">
        <v>3827</v>
      </c>
      <c r="S68" s="397">
        <v>1911</v>
      </c>
      <c r="T68" s="397">
        <v>5738</v>
      </c>
      <c r="U68" s="397">
        <v>159</v>
      </c>
      <c r="V68" s="397">
        <v>233</v>
      </c>
      <c r="W68" s="397">
        <v>392</v>
      </c>
      <c r="X68" s="397">
        <v>12508</v>
      </c>
      <c r="Y68" s="397">
        <v>9857</v>
      </c>
      <c r="Z68" s="397">
        <v>22365</v>
      </c>
      <c r="AA68" s="397">
        <v>421084</v>
      </c>
      <c r="AB68" s="397">
        <v>275842</v>
      </c>
      <c r="AC68" s="397">
        <v>696926</v>
      </c>
    </row>
    <row r="69" spans="1:29" ht="16.899999999999999" customHeight="1">
      <c r="A69" s="907"/>
      <c r="B69" s="501" t="s">
        <v>299</v>
      </c>
      <c r="C69" s="123">
        <v>9718</v>
      </c>
      <c r="D69" s="123">
        <v>8474</v>
      </c>
      <c r="E69" s="95">
        <v>18192</v>
      </c>
      <c r="F69" s="123">
        <v>262</v>
      </c>
      <c r="G69" s="123">
        <v>703</v>
      </c>
      <c r="H69" s="95">
        <v>965</v>
      </c>
      <c r="I69" s="123">
        <v>51892</v>
      </c>
      <c r="J69" s="123">
        <v>48220</v>
      </c>
      <c r="K69" s="95">
        <v>100112</v>
      </c>
      <c r="L69" s="123">
        <v>317717</v>
      </c>
      <c r="M69" s="123">
        <v>183493</v>
      </c>
      <c r="N69" s="95">
        <v>501210</v>
      </c>
      <c r="O69" s="123">
        <v>2842</v>
      </c>
      <c r="P69" s="123">
        <v>2295</v>
      </c>
      <c r="Q69" s="95">
        <v>5137</v>
      </c>
      <c r="R69" s="123">
        <v>5712</v>
      </c>
      <c r="S69" s="123">
        <v>1528</v>
      </c>
      <c r="T69" s="95">
        <v>7240</v>
      </c>
      <c r="U69" s="123">
        <v>125</v>
      </c>
      <c r="V69" s="123">
        <v>163</v>
      </c>
      <c r="W69" s="95">
        <v>288</v>
      </c>
      <c r="X69" s="123">
        <v>10757</v>
      </c>
      <c r="Y69" s="123">
        <v>8250</v>
      </c>
      <c r="Z69" s="95">
        <v>19007</v>
      </c>
      <c r="AA69" s="95">
        <v>399025</v>
      </c>
      <c r="AB69" s="95">
        <v>253126</v>
      </c>
      <c r="AC69" s="95">
        <v>652151</v>
      </c>
    </row>
    <row r="70" spans="1:29" ht="16.899999999999999" customHeight="1">
      <c r="A70" s="907"/>
      <c r="B70" s="500" t="s">
        <v>298</v>
      </c>
      <c r="C70" s="122">
        <v>8826</v>
      </c>
      <c r="D70" s="122">
        <v>7769</v>
      </c>
      <c r="E70" s="122">
        <v>16595</v>
      </c>
      <c r="F70" s="122">
        <v>621</v>
      </c>
      <c r="G70" s="122">
        <v>918</v>
      </c>
      <c r="H70" s="122">
        <v>1539</v>
      </c>
      <c r="I70" s="122">
        <v>50003</v>
      </c>
      <c r="J70" s="122">
        <v>45810</v>
      </c>
      <c r="K70" s="122">
        <v>95813</v>
      </c>
      <c r="L70" s="122">
        <v>298341</v>
      </c>
      <c r="M70" s="122">
        <v>168013</v>
      </c>
      <c r="N70" s="122">
        <v>466354</v>
      </c>
      <c r="O70" s="122">
        <v>4351</v>
      </c>
      <c r="P70" s="122">
        <v>3272</v>
      </c>
      <c r="Q70" s="122">
        <v>7623</v>
      </c>
      <c r="R70" s="122">
        <v>5857</v>
      </c>
      <c r="S70" s="122">
        <v>1611</v>
      </c>
      <c r="T70" s="122">
        <v>7468</v>
      </c>
      <c r="U70" s="122">
        <v>286</v>
      </c>
      <c r="V70" s="122">
        <v>290</v>
      </c>
      <c r="W70" s="122">
        <v>576</v>
      </c>
      <c r="X70" s="122">
        <v>9062</v>
      </c>
      <c r="Y70" s="122">
        <v>6935</v>
      </c>
      <c r="Z70" s="122">
        <v>15997</v>
      </c>
      <c r="AA70" s="126">
        <v>377347</v>
      </c>
      <c r="AB70" s="126">
        <v>234618</v>
      </c>
      <c r="AC70" s="126">
        <v>611965</v>
      </c>
    </row>
    <row r="71" spans="1:29" ht="16.899999999999999" customHeight="1">
      <c r="A71" s="907">
        <v>11</v>
      </c>
      <c r="B71" s="394" t="s">
        <v>145</v>
      </c>
      <c r="C71" s="505"/>
      <c r="D71" s="395"/>
      <c r="E71" s="395"/>
      <c r="F71" s="395"/>
      <c r="G71" s="395"/>
      <c r="H71" s="395"/>
      <c r="I71" s="395"/>
      <c r="J71" s="395"/>
      <c r="K71" s="502"/>
      <c r="L71" s="505"/>
      <c r="M71" s="395"/>
      <c r="N71" s="395"/>
      <c r="O71" s="395"/>
      <c r="P71" s="395"/>
      <c r="Q71" s="395"/>
      <c r="R71" s="395"/>
      <c r="S71" s="395"/>
      <c r="T71" s="502"/>
      <c r="U71" s="505"/>
      <c r="V71" s="395"/>
      <c r="W71" s="395"/>
      <c r="X71" s="395"/>
      <c r="Y71" s="395"/>
      <c r="Z71" s="395"/>
      <c r="AA71" s="395"/>
      <c r="AB71" s="395"/>
      <c r="AC71" s="502"/>
    </row>
    <row r="72" spans="1:29" ht="16.899999999999999" customHeight="1">
      <c r="A72" s="907"/>
      <c r="B72" s="500" t="s">
        <v>997</v>
      </c>
      <c r="C72" s="123">
        <v>32</v>
      </c>
      <c r="D72" s="123">
        <v>16</v>
      </c>
      <c r="E72" s="95">
        <v>48</v>
      </c>
      <c r="F72" s="123">
        <v>0</v>
      </c>
      <c r="G72" s="123">
        <v>0</v>
      </c>
      <c r="H72" s="95">
        <v>0</v>
      </c>
      <c r="I72" s="123">
        <v>1064</v>
      </c>
      <c r="J72" s="123">
        <v>910</v>
      </c>
      <c r="K72" s="95">
        <v>1974</v>
      </c>
      <c r="L72" s="123">
        <v>1422</v>
      </c>
      <c r="M72" s="123">
        <v>1352</v>
      </c>
      <c r="N72" s="95">
        <v>2774</v>
      </c>
      <c r="O72" s="123">
        <v>0</v>
      </c>
      <c r="P72" s="123">
        <v>0</v>
      </c>
      <c r="Q72" s="95">
        <v>0</v>
      </c>
      <c r="R72" s="123">
        <v>0</v>
      </c>
      <c r="S72" s="123">
        <v>0</v>
      </c>
      <c r="T72" s="95">
        <v>0</v>
      </c>
      <c r="U72" s="123">
        <v>0</v>
      </c>
      <c r="V72" s="123">
        <v>0</v>
      </c>
      <c r="W72" s="95">
        <v>0</v>
      </c>
      <c r="X72" s="123">
        <v>0</v>
      </c>
      <c r="Y72" s="123">
        <v>0</v>
      </c>
      <c r="Z72" s="95">
        <v>0</v>
      </c>
      <c r="AA72" s="95">
        <v>2518</v>
      </c>
      <c r="AB72" s="95">
        <v>2278</v>
      </c>
      <c r="AC72" s="95">
        <v>4796</v>
      </c>
    </row>
    <row r="73" spans="1:29" ht="16.899999999999999" customHeight="1">
      <c r="A73" s="907"/>
      <c r="B73" s="500" t="s">
        <v>301</v>
      </c>
      <c r="C73" s="124">
        <v>32</v>
      </c>
      <c r="D73" s="124">
        <v>48</v>
      </c>
      <c r="E73" s="125">
        <v>80</v>
      </c>
      <c r="F73" s="124">
        <v>20</v>
      </c>
      <c r="G73" s="124">
        <v>25</v>
      </c>
      <c r="H73" s="125">
        <v>45</v>
      </c>
      <c r="I73" s="124">
        <v>487</v>
      </c>
      <c r="J73" s="124">
        <v>916</v>
      </c>
      <c r="K73" s="125">
        <v>1403</v>
      </c>
      <c r="L73" s="124">
        <v>1138</v>
      </c>
      <c r="M73" s="124">
        <v>1443</v>
      </c>
      <c r="N73" s="125">
        <v>2581</v>
      </c>
      <c r="O73" s="124">
        <v>51</v>
      </c>
      <c r="P73" s="124">
        <v>67</v>
      </c>
      <c r="Q73" s="125">
        <v>118</v>
      </c>
      <c r="R73" s="124">
        <v>0</v>
      </c>
      <c r="S73" s="124">
        <v>0</v>
      </c>
      <c r="T73" s="125">
        <v>0</v>
      </c>
      <c r="U73" s="124">
        <v>0</v>
      </c>
      <c r="V73" s="124">
        <v>0</v>
      </c>
      <c r="W73" s="125">
        <v>0</v>
      </c>
      <c r="X73" s="124">
        <v>0</v>
      </c>
      <c r="Y73" s="124">
        <v>0</v>
      </c>
      <c r="Z73" s="125">
        <v>0</v>
      </c>
      <c r="AA73" s="125">
        <v>1728</v>
      </c>
      <c r="AB73" s="125">
        <v>2499</v>
      </c>
      <c r="AC73" s="125">
        <v>4227</v>
      </c>
    </row>
    <row r="74" spans="1:29" ht="16.899999999999999" customHeight="1">
      <c r="A74" s="907"/>
      <c r="B74" s="501" t="s">
        <v>300</v>
      </c>
      <c r="C74" s="399"/>
      <c r="D74" s="399"/>
      <c r="E74" s="399"/>
      <c r="F74" s="399"/>
      <c r="G74" s="399"/>
      <c r="H74" s="399"/>
      <c r="I74" s="399"/>
      <c r="J74" s="399"/>
      <c r="K74" s="399"/>
      <c r="L74" s="399"/>
      <c r="M74" s="399"/>
      <c r="N74" s="399"/>
      <c r="O74" s="399"/>
      <c r="P74" s="399"/>
      <c r="Q74" s="399"/>
      <c r="R74" s="399"/>
      <c r="S74" s="399"/>
      <c r="T74" s="399"/>
      <c r="U74" s="399"/>
      <c r="V74" s="399"/>
      <c r="W74" s="399"/>
      <c r="X74" s="399"/>
      <c r="Y74" s="399"/>
      <c r="Z74" s="399"/>
      <c r="AA74" s="399"/>
      <c r="AB74" s="399"/>
      <c r="AC74" s="399"/>
    </row>
    <row r="75" spans="1:29" ht="16.899999999999999" customHeight="1">
      <c r="A75" s="907"/>
      <c r="B75" s="501" t="s">
        <v>299</v>
      </c>
      <c r="C75" s="123">
        <v>0</v>
      </c>
      <c r="D75" s="123">
        <v>0</v>
      </c>
      <c r="E75" s="95">
        <v>0</v>
      </c>
      <c r="F75" s="123">
        <v>0</v>
      </c>
      <c r="G75" s="123">
        <v>0</v>
      </c>
      <c r="H75" s="95">
        <v>0</v>
      </c>
      <c r="I75" s="123">
        <v>10</v>
      </c>
      <c r="J75" s="123">
        <v>1</v>
      </c>
      <c r="K75" s="95">
        <v>11</v>
      </c>
      <c r="L75" s="123">
        <v>9</v>
      </c>
      <c r="M75" s="123">
        <v>6</v>
      </c>
      <c r="N75" s="95">
        <v>15</v>
      </c>
      <c r="O75" s="123">
        <v>0</v>
      </c>
      <c r="P75" s="123">
        <v>0</v>
      </c>
      <c r="Q75" s="95">
        <v>0</v>
      </c>
      <c r="R75" s="123">
        <v>0</v>
      </c>
      <c r="S75" s="123">
        <v>0</v>
      </c>
      <c r="T75" s="95">
        <v>0</v>
      </c>
      <c r="U75" s="123">
        <v>0</v>
      </c>
      <c r="V75" s="123">
        <v>0</v>
      </c>
      <c r="W75" s="95">
        <v>0</v>
      </c>
      <c r="X75" s="123">
        <v>0</v>
      </c>
      <c r="Y75" s="123">
        <v>0</v>
      </c>
      <c r="Z75" s="95">
        <v>0</v>
      </c>
      <c r="AA75" s="95">
        <v>19</v>
      </c>
      <c r="AB75" s="95">
        <v>7</v>
      </c>
      <c r="AC75" s="95">
        <v>26</v>
      </c>
    </row>
    <row r="76" spans="1:29" ht="16.899999999999999" customHeight="1">
      <c r="A76" s="907"/>
      <c r="B76" s="500" t="s">
        <v>298</v>
      </c>
      <c r="C76" s="122">
        <v>0</v>
      </c>
      <c r="D76" s="122">
        <v>0</v>
      </c>
      <c r="E76" s="122">
        <v>0</v>
      </c>
      <c r="F76" s="122">
        <v>0</v>
      </c>
      <c r="G76" s="122">
        <v>0</v>
      </c>
      <c r="H76" s="122">
        <v>0</v>
      </c>
      <c r="I76" s="122">
        <v>10</v>
      </c>
      <c r="J76" s="122">
        <v>1</v>
      </c>
      <c r="K76" s="122">
        <v>11</v>
      </c>
      <c r="L76" s="122">
        <v>9</v>
      </c>
      <c r="M76" s="122">
        <v>6</v>
      </c>
      <c r="N76" s="122">
        <v>15</v>
      </c>
      <c r="O76" s="122">
        <v>0</v>
      </c>
      <c r="P76" s="122">
        <v>0</v>
      </c>
      <c r="Q76" s="122">
        <v>0</v>
      </c>
      <c r="R76" s="122">
        <v>0</v>
      </c>
      <c r="S76" s="122">
        <v>0</v>
      </c>
      <c r="T76" s="122">
        <v>0</v>
      </c>
      <c r="U76" s="122">
        <v>0</v>
      </c>
      <c r="V76" s="122">
        <v>0</v>
      </c>
      <c r="W76" s="122">
        <v>0</v>
      </c>
      <c r="X76" s="122">
        <v>0</v>
      </c>
      <c r="Y76" s="122">
        <v>0</v>
      </c>
      <c r="Z76" s="122">
        <v>0</v>
      </c>
      <c r="AA76" s="126">
        <v>19</v>
      </c>
      <c r="AB76" s="126">
        <v>7</v>
      </c>
      <c r="AC76" s="126">
        <v>26</v>
      </c>
    </row>
  </sheetData>
  <mergeCells count="23">
    <mergeCell ref="R2:T2"/>
    <mergeCell ref="U2:W2"/>
    <mergeCell ref="X2:Z2"/>
    <mergeCell ref="AA2:AC2"/>
    <mergeCell ref="B2:B3"/>
    <mergeCell ref="C2:E2"/>
    <mergeCell ref="F2:H2"/>
    <mergeCell ref="I2:K2"/>
    <mergeCell ref="L2:N2"/>
    <mergeCell ref="O2:Q2"/>
    <mergeCell ref="A2:A3"/>
    <mergeCell ref="A5:A10"/>
    <mergeCell ref="A11:A16"/>
    <mergeCell ref="A17:A22"/>
    <mergeCell ref="A23:A28"/>
    <mergeCell ref="A59:A64"/>
    <mergeCell ref="A65:A70"/>
    <mergeCell ref="A71:A76"/>
    <mergeCell ref="A29:A34"/>
    <mergeCell ref="A35:A40"/>
    <mergeCell ref="A41:A46"/>
    <mergeCell ref="A47:A52"/>
    <mergeCell ref="A53:A58"/>
  </mergeCells>
  <printOptions horizontalCentered="1"/>
  <pageMargins left="0.31496062992125984" right="0.51181102362204722" top="0.43307086614173229" bottom="0.51181102362204722" header="0.27559055118110237" footer="0.23622047244094491"/>
  <pageSetup paperSize="9" scale="79" firstPageNumber="2" pageOrder="overThenDown" orientation="portrait" useFirstPageNumber="1" r:id="rId1"/>
  <headerFooter alignWithMargins="0">
    <oddFooter>&amp;LAISHE 2020-21&amp;CT-50</oddFooter>
  </headerFooter>
  <rowBreaks count="1" manualBreakCount="1">
    <brk id="52" max="28" man="1"/>
  </rowBreaks>
  <colBreaks count="2" manualBreakCount="2">
    <brk id="11" max="1048575" man="1"/>
    <brk id="20" max="1048575" man="1"/>
  </colBreaks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00B050"/>
  </sheetPr>
  <dimension ref="A1:X223"/>
  <sheetViews>
    <sheetView showZeros="0" view="pageBreakPreview" zoomScaleSheetLayoutView="100" workbookViewId="0">
      <pane xSplit="2" ySplit="3" topLeftCell="R222" activePane="bottomRight" state="frozen"/>
      <selection activeCell="H31" sqref="H31"/>
      <selection pane="topRight" activeCell="H31" sqref="H31"/>
      <selection pane="bottomLeft" activeCell="H31" sqref="H31"/>
      <selection pane="bottomRight" activeCell="W168" sqref="W168"/>
    </sheetView>
  </sheetViews>
  <sheetFormatPr defaultColWidth="9.1796875" defaultRowHeight="14"/>
  <cols>
    <col min="1" max="1" width="4.26953125" style="427" bestFit="1" customWidth="1"/>
    <col min="2" max="2" width="30.54296875" style="391" customWidth="1"/>
    <col min="3" max="8" width="15.1796875" style="391" customWidth="1"/>
    <col min="9" max="17" width="9.81640625" style="391" customWidth="1"/>
    <col min="18" max="23" width="15.1796875" style="391" customWidth="1"/>
    <col min="24" max="24" width="9" style="391" customWidth="1"/>
    <col min="25" max="25" width="10.7265625" style="391" customWidth="1"/>
    <col min="26" max="26" width="25.453125" style="391" customWidth="1"/>
    <col min="27" max="27" width="16.26953125" style="391" customWidth="1"/>
    <col min="28" max="28" width="7" style="391" customWidth="1"/>
    <col min="29" max="29" width="5" style="391" customWidth="1"/>
    <col min="30" max="30" width="19.1796875" style="391" customWidth="1"/>
    <col min="31" max="31" width="9" style="391" customWidth="1"/>
    <col min="32" max="32" width="11.7265625" style="391" customWidth="1"/>
    <col min="33" max="33" width="10.7265625" style="391" customWidth="1"/>
    <col min="34" max="16384" width="9.1796875" style="391"/>
  </cols>
  <sheetData>
    <row r="1" spans="1:23" s="375" customFormat="1" ht="27.75" customHeight="1">
      <c r="A1" s="427"/>
      <c r="B1" s="373" t="s">
        <v>334</v>
      </c>
      <c r="C1" s="906" t="s">
        <v>335</v>
      </c>
      <c r="D1" s="906"/>
      <c r="E1" s="906"/>
      <c r="F1" s="906"/>
      <c r="G1" s="906"/>
      <c r="H1" s="906"/>
      <c r="I1" s="906" t="str">
        <f>C1</f>
        <v>Post-wise Number of Teachers during last 5 years</v>
      </c>
      <c r="J1" s="906"/>
      <c r="K1" s="906"/>
      <c r="L1" s="906"/>
      <c r="M1" s="906"/>
      <c r="N1" s="906"/>
      <c r="O1" s="906"/>
      <c r="P1" s="906"/>
      <c r="Q1" s="906"/>
      <c r="R1" s="906" t="s">
        <v>335</v>
      </c>
      <c r="S1" s="906"/>
      <c r="T1" s="906"/>
      <c r="U1" s="906"/>
      <c r="V1" s="906"/>
      <c r="W1" s="906"/>
    </row>
    <row r="2" spans="1:23" s="400" customFormat="1" ht="34.5" customHeight="1">
      <c r="A2" s="1193" t="s">
        <v>1050</v>
      </c>
      <c r="B2" s="1195" t="s">
        <v>236</v>
      </c>
      <c r="C2" s="1195" t="s">
        <v>336</v>
      </c>
      <c r="D2" s="1195"/>
      <c r="E2" s="1195"/>
      <c r="F2" s="1195" t="s">
        <v>1067</v>
      </c>
      <c r="G2" s="1195"/>
      <c r="H2" s="1195"/>
      <c r="I2" s="1196" t="s">
        <v>1068</v>
      </c>
      <c r="J2" s="1196"/>
      <c r="K2" s="1196"/>
      <c r="L2" s="1195" t="s">
        <v>1069</v>
      </c>
      <c r="M2" s="1195"/>
      <c r="N2" s="1195"/>
      <c r="O2" s="1195" t="s">
        <v>340</v>
      </c>
      <c r="P2" s="1195"/>
      <c r="Q2" s="1195"/>
      <c r="R2" s="1195" t="s">
        <v>341</v>
      </c>
      <c r="S2" s="1195"/>
      <c r="T2" s="1195"/>
      <c r="U2" s="1195" t="s">
        <v>342</v>
      </c>
      <c r="V2" s="1195"/>
      <c r="W2" s="1195"/>
    </row>
    <row r="3" spans="1:23" s="402" customFormat="1" ht="21" customHeight="1">
      <c r="A3" s="1193"/>
      <c r="B3" s="1195"/>
      <c r="C3" s="401" t="s">
        <v>87</v>
      </c>
      <c r="D3" s="401" t="s">
        <v>88</v>
      </c>
      <c r="E3" s="401" t="s">
        <v>309</v>
      </c>
      <c r="F3" s="401" t="s">
        <v>87</v>
      </c>
      <c r="G3" s="401" t="s">
        <v>88</v>
      </c>
      <c r="H3" s="401" t="s">
        <v>309</v>
      </c>
      <c r="I3" s="401" t="s">
        <v>87</v>
      </c>
      <c r="J3" s="401" t="s">
        <v>88</v>
      </c>
      <c r="K3" s="401" t="s">
        <v>309</v>
      </c>
      <c r="L3" s="401" t="s">
        <v>87</v>
      </c>
      <c r="M3" s="401" t="s">
        <v>88</v>
      </c>
      <c r="N3" s="401" t="s">
        <v>309</v>
      </c>
      <c r="O3" s="401" t="s">
        <v>87</v>
      </c>
      <c r="P3" s="401" t="s">
        <v>88</v>
      </c>
      <c r="Q3" s="401" t="s">
        <v>309</v>
      </c>
      <c r="R3" s="401" t="s">
        <v>87</v>
      </c>
      <c r="S3" s="401" t="s">
        <v>88</v>
      </c>
      <c r="T3" s="401" t="s">
        <v>309</v>
      </c>
      <c r="U3" s="401" t="s">
        <v>87</v>
      </c>
      <c r="V3" s="401" t="s">
        <v>88</v>
      </c>
      <c r="W3" s="401" t="s">
        <v>309</v>
      </c>
    </row>
    <row r="4" spans="1:23">
      <c r="A4" s="379">
        <v>1</v>
      </c>
      <c r="B4" s="379">
        <v>2</v>
      </c>
      <c r="C4" s="379">
        <v>3</v>
      </c>
      <c r="D4" s="379">
        <v>4</v>
      </c>
      <c r="E4" s="379">
        <v>5</v>
      </c>
      <c r="F4" s="379">
        <v>6</v>
      </c>
      <c r="G4" s="379">
        <v>7</v>
      </c>
      <c r="H4" s="379">
        <v>8</v>
      </c>
      <c r="I4" s="379">
        <v>9</v>
      </c>
      <c r="J4" s="379">
        <v>10</v>
      </c>
      <c r="K4" s="379">
        <v>11</v>
      </c>
      <c r="L4" s="379">
        <v>12</v>
      </c>
      <c r="M4" s="379">
        <v>13</v>
      </c>
      <c r="N4" s="379">
        <v>14</v>
      </c>
      <c r="O4" s="379">
        <v>15</v>
      </c>
      <c r="P4" s="379">
        <v>16</v>
      </c>
      <c r="Q4" s="379">
        <v>17</v>
      </c>
      <c r="R4" s="379">
        <v>18</v>
      </c>
      <c r="S4" s="379">
        <v>19</v>
      </c>
      <c r="T4" s="379">
        <v>20</v>
      </c>
      <c r="U4" s="379">
        <v>21</v>
      </c>
      <c r="V4" s="379">
        <v>22</v>
      </c>
      <c r="W4" s="379">
        <v>23</v>
      </c>
    </row>
    <row r="5" spans="1:23">
      <c r="A5" s="909"/>
      <c r="B5" s="403" t="s">
        <v>302</v>
      </c>
      <c r="C5" s="404"/>
      <c r="D5" s="405"/>
      <c r="E5" s="405"/>
      <c r="F5" s="405"/>
      <c r="G5" s="405"/>
      <c r="H5" s="406"/>
      <c r="I5" s="407"/>
      <c r="J5" s="408"/>
      <c r="K5" s="409"/>
      <c r="L5" s="407"/>
      <c r="M5" s="408"/>
      <c r="N5" s="408"/>
      <c r="O5" s="408"/>
      <c r="P5" s="408"/>
      <c r="Q5" s="409"/>
      <c r="R5" s="407"/>
      <c r="S5" s="408"/>
      <c r="T5" s="408"/>
      <c r="U5" s="408"/>
      <c r="V5" s="408"/>
      <c r="W5" s="409"/>
    </row>
    <row r="6" spans="1:23" s="410" customFormat="1">
      <c r="A6" s="909"/>
      <c r="B6" s="396" t="s">
        <v>997</v>
      </c>
      <c r="C6" s="105">
        <v>104469</v>
      </c>
      <c r="D6" s="105">
        <v>42280</v>
      </c>
      <c r="E6" s="105">
        <v>146749</v>
      </c>
      <c r="F6" s="105">
        <v>100272</v>
      </c>
      <c r="G6" s="105">
        <v>60387</v>
      </c>
      <c r="H6" s="105">
        <v>160659</v>
      </c>
      <c r="I6" s="105">
        <v>601019</v>
      </c>
      <c r="J6" s="105">
        <v>458277</v>
      </c>
      <c r="K6" s="105">
        <v>1059296</v>
      </c>
      <c r="L6" s="105">
        <v>29329</v>
      </c>
      <c r="M6" s="105">
        <v>58252</v>
      </c>
      <c r="N6" s="105">
        <v>87581</v>
      </c>
      <c r="O6" s="105">
        <v>43816</v>
      </c>
      <c r="P6" s="105">
        <v>39925</v>
      </c>
      <c r="Q6" s="105">
        <v>83741</v>
      </c>
      <c r="R6" s="105">
        <v>886140</v>
      </c>
      <c r="S6" s="105">
        <v>664930</v>
      </c>
      <c r="T6" s="105">
        <v>1551070</v>
      </c>
      <c r="U6" s="105">
        <v>7259</v>
      </c>
      <c r="V6" s="105">
        <v>5819</v>
      </c>
      <c r="W6" s="105">
        <v>13078</v>
      </c>
    </row>
    <row r="7" spans="1:23" s="410" customFormat="1">
      <c r="A7" s="909"/>
      <c r="B7" s="396" t="s">
        <v>301</v>
      </c>
      <c r="C7" s="105">
        <v>101319</v>
      </c>
      <c r="D7" s="105">
        <v>38478</v>
      </c>
      <c r="E7" s="105">
        <v>139797</v>
      </c>
      <c r="F7" s="105">
        <v>100652</v>
      </c>
      <c r="G7" s="105">
        <v>59485</v>
      </c>
      <c r="H7" s="105">
        <v>160137</v>
      </c>
      <c r="I7" s="105">
        <v>583231</v>
      </c>
      <c r="J7" s="105">
        <v>440288</v>
      </c>
      <c r="K7" s="105">
        <v>1023519</v>
      </c>
      <c r="L7" s="105">
        <v>27650</v>
      </c>
      <c r="M7" s="105">
        <v>52522</v>
      </c>
      <c r="N7" s="105">
        <v>80172</v>
      </c>
      <c r="O7" s="105">
        <v>43387</v>
      </c>
      <c r="P7" s="105">
        <v>41569</v>
      </c>
      <c r="Q7" s="105">
        <v>84956</v>
      </c>
      <c r="R7" s="105">
        <v>864337</v>
      </c>
      <c r="S7" s="105">
        <v>638819</v>
      </c>
      <c r="T7" s="105">
        <v>1503156</v>
      </c>
      <c r="U7" s="105">
        <v>8098</v>
      </c>
      <c r="V7" s="105">
        <v>6477</v>
      </c>
      <c r="W7" s="105">
        <v>14575</v>
      </c>
    </row>
    <row r="8" spans="1:23">
      <c r="A8" s="909"/>
      <c r="B8" s="411" t="s">
        <v>300</v>
      </c>
      <c r="C8" s="105">
        <v>93799</v>
      </c>
      <c r="D8" s="105">
        <v>35150</v>
      </c>
      <c r="E8" s="105">
        <v>128949</v>
      </c>
      <c r="F8" s="105">
        <v>96376</v>
      </c>
      <c r="G8" s="105">
        <v>56181</v>
      </c>
      <c r="H8" s="105">
        <v>152557</v>
      </c>
      <c r="I8" s="105">
        <v>557447</v>
      </c>
      <c r="J8" s="105">
        <v>413754</v>
      </c>
      <c r="K8" s="105">
        <v>971201</v>
      </c>
      <c r="L8" s="105">
        <v>25274</v>
      </c>
      <c r="M8" s="105">
        <v>47900</v>
      </c>
      <c r="N8" s="105">
        <v>73174</v>
      </c>
      <c r="O8" s="105">
        <v>39229</v>
      </c>
      <c r="P8" s="105">
        <v>38281</v>
      </c>
      <c r="Q8" s="105">
        <v>77510</v>
      </c>
      <c r="R8" s="105">
        <v>819283</v>
      </c>
      <c r="S8" s="105">
        <v>597016</v>
      </c>
      <c r="T8" s="105">
        <v>1416299</v>
      </c>
      <c r="U8" s="105">
        <v>7158</v>
      </c>
      <c r="V8" s="105">
        <v>5750</v>
      </c>
      <c r="W8" s="105">
        <v>12908</v>
      </c>
    </row>
    <row r="9" spans="1:23">
      <c r="A9" s="909"/>
      <c r="B9" s="411" t="s">
        <v>299</v>
      </c>
      <c r="C9" s="105">
        <v>83507</v>
      </c>
      <c r="D9" s="105">
        <v>30663</v>
      </c>
      <c r="E9" s="105">
        <v>114170</v>
      </c>
      <c r="F9" s="105">
        <v>88415</v>
      </c>
      <c r="G9" s="105">
        <v>51028</v>
      </c>
      <c r="H9" s="105">
        <v>139443</v>
      </c>
      <c r="I9" s="105">
        <v>511034</v>
      </c>
      <c r="J9" s="105">
        <v>377393</v>
      </c>
      <c r="K9" s="105">
        <v>888427</v>
      </c>
      <c r="L9" s="105">
        <v>22268</v>
      </c>
      <c r="M9" s="105">
        <v>41998</v>
      </c>
      <c r="N9" s="105">
        <v>64266</v>
      </c>
      <c r="O9" s="105">
        <v>33335</v>
      </c>
      <c r="P9" s="105">
        <v>33523</v>
      </c>
      <c r="Q9" s="105">
        <v>66858</v>
      </c>
      <c r="R9" s="105">
        <v>745047</v>
      </c>
      <c r="S9" s="105">
        <v>539708</v>
      </c>
      <c r="T9" s="105">
        <v>1284755</v>
      </c>
      <c r="U9" s="105">
        <v>6488</v>
      </c>
      <c r="V9" s="105">
        <v>5103</v>
      </c>
      <c r="W9" s="105">
        <v>11591</v>
      </c>
    </row>
    <row r="10" spans="1:23">
      <c r="A10" s="909"/>
      <c r="B10" s="412" t="s">
        <v>298</v>
      </c>
      <c r="C10" s="413">
        <v>92393</v>
      </c>
      <c r="D10" s="413">
        <v>32761</v>
      </c>
      <c r="E10" s="413">
        <v>125154</v>
      </c>
      <c r="F10" s="413">
        <v>94916</v>
      </c>
      <c r="G10" s="413">
        <v>52713</v>
      </c>
      <c r="H10" s="413">
        <v>147629</v>
      </c>
      <c r="I10" s="413">
        <v>558471</v>
      </c>
      <c r="J10" s="413">
        <v>387087</v>
      </c>
      <c r="K10" s="413">
        <v>945558</v>
      </c>
      <c r="L10" s="413">
        <v>24537</v>
      </c>
      <c r="M10" s="413">
        <v>43940</v>
      </c>
      <c r="N10" s="413">
        <v>68477</v>
      </c>
      <c r="O10" s="413">
        <v>34317</v>
      </c>
      <c r="P10" s="413">
        <v>32578</v>
      </c>
      <c r="Q10" s="413">
        <v>66895</v>
      </c>
      <c r="R10" s="413">
        <v>811435</v>
      </c>
      <c r="S10" s="413">
        <v>554351</v>
      </c>
      <c r="T10" s="413">
        <v>1365786</v>
      </c>
      <c r="U10" s="413">
        <v>6705</v>
      </c>
      <c r="V10" s="413">
        <v>5246</v>
      </c>
      <c r="W10" s="413">
        <v>11951</v>
      </c>
    </row>
    <row r="11" spans="1:23">
      <c r="A11" s="907">
        <v>1</v>
      </c>
      <c r="B11" s="403" t="s">
        <v>171</v>
      </c>
      <c r="C11" s="407"/>
      <c r="D11" s="408"/>
      <c r="E11" s="408"/>
      <c r="F11" s="408"/>
      <c r="G11" s="408"/>
      <c r="H11" s="409"/>
      <c r="I11" s="407"/>
      <c r="J11" s="408"/>
      <c r="K11" s="409"/>
      <c r="L11" s="407"/>
      <c r="M11" s="408"/>
      <c r="N11" s="408"/>
      <c r="O11" s="408"/>
      <c r="P11" s="408"/>
      <c r="Q11" s="409"/>
      <c r="R11" s="407"/>
      <c r="S11" s="408"/>
      <c r="T11" s="408"/>
      <c r="U11" s="408"/>
      <c r="V11" s="408"/>
      <c r="W11" s="409"/>
    </row>
    <row r="12" spans="1:23" s="410" customFormat="1">
      <c r="A12" s="907"/>
      <c r="B12" s="396" t="s">
        <v>997</v>
      </c>
      <c r="C12" s="128">
        <v>25</v>
      </c>
      <c r="D12" s="128">
        <v>2</v>
      </c>
      <c r="E12" s="128">
        <v>27</v>
      </c>
      <c r="F12" s="128">
        <v>52</v>
      </c>
      <c r="G12" s="128">
        <v>12</v>
      </c>
      <c r="H12" s="128">
        <v>64</v>
      </c>
      <c r="I12" s="128">
        <v>99</v>
      </c>
      <c r="J12" s="128">
        <v>47</v>
      </c>
      <c r="K12" s="128">
        <v>146</v>
      </c>
      <c r="L12" s="128">
        <v>12</v>
      </c>
      <c r="M12" s="128">
        <v>8</v>
      </c>
      <c r="N12" s="128">
        <v>20</v>
      </c>
      <c r="O12" s="128">
        <v>50</v>
      </c>
      <c r="P12" s="128">
        <v>112</v>
      </c>
      <c r="Q12" s="128">
        <v>162</v>
      </c>
      <c r="R12" s="128">
        <v>249</v>
      </c>
      <c r="S12" s="128">
        <v>204</v>
      </c>
      <c r="T12" s="128">
        <v>453</v>
      </c>
      <c r="U12" s="128">
        <v>11</v>
      </c>
      <c r="V12" s="128">
        <v>23</v>
      </c>
      <c r="W12" s="128">
        <v>34</v>
      </c>
    </row>
    <row r="13" spans="1:23">
      <c r="A13" s="907"/>
      <c r="B13" s="396" t="s">
        <v>301</v>
      </c>
      <c r="C13" s="339">
        <v>24</v>
      </c>
      <c r="D13" s="339">
        <v>2</v>
      </c>
      <c r="E13" s="339">
        <v>26</v>
      </c>
      <c r="F13" s="339">
        <v>51</v>
      </c>
      <c r="G13" s="339">
        <v>12</v>
      </c>
      <c r="H13" s="339">
        <v>63</v>
      </c>
      <c r="I13" s="339">
        <v>107</v>
      </c>
      <c r="J13" s="339">
        <v>53</v>
      </c>
      <c r="K13" s="339">
        <v>160</v>
      </c>
      <c r="L13" s="339">
        <v>12</v>
      </c>
      <c r="M13" s="339">
        <v>8</v>
      </c>
      <c r="N13" s="339">
        <v>20</v>
      </c>
      <c r="O13" s="339">
        <v>49</v>
      </c>
      <c r="P13" s="339">
        <v>111</v>
      </c>
      <c r="Q13" s="339">
        <v>160</v>
      </c>
      <c r="R13" s="339">
        <v>254</v>
      </c>
      <c r="S13" s="339">
        <v>209</v>
      </c>
      <c r="T13" s="339">
        <v>463</v>
      </c>
      <c r="U13" s="339">
        <v>11</v>
      </c>
      <c r="V13" s="339">
        <v>23</v>
      </c>
      <c r="W13" s="339">
        <v>34</v>
      </c>
    </row>
    <row r="14" spans="1:23">
      <c r="A14" s="907"/>
      <c r="B14" s="411" t="s">
        <v>300</v>
      </c>
      <c r="C14" s="339">
        <v>26</v>
      </c>
      <c r="D14" s="339">
        <v>2</v>
      </c>
      <c r="E14" s="339">
        <v>28</v>
      </c>
      <c r="F14" s="339">
        <v>51</v>
      </c>
      <c r="G14" s="339">
        <v>13</v>
      </c>
      <c r="H14" s="339">
        <v>64</v>
      </c>
      <c r="I14" s="339">
        <v>110</v>
      </c>
      <c r="J14" s="339">
        <v>46</v>
      </c>
      <c r="K14" s="339">
        <v>156</v>
      </c>
      <c r="L14" s="339">
        <v>12</v>
      </c>
      <c r="M14" s="339">
        <v>8</v>
      </c>
      <c r="N14" s="339">
        <v>20</v>
      </c>
      <c r="O14" s="339">
        <v>55</v>
      </c>
      <c r="P14" s="339">
        <v>104</v>
      </c>
      <c r="Q14" s="339">
        <v>159</v>
      </c>
      <c r="R14" s="339">
        <v>265</v>
      </c>
      <c r="S14" s="339">
        <v>192</v>
      </c>
      <c r="T14" s="339">
        <v>457</v>
      </c>
      <c r="U14" s="339">
        <v>11</v>
      </c>
      <c r="V14" s="339">
        <v>19</v>
      </c>
      <c r="W14" s="339">
        <v>30</v>
      </c>
    </row>
    <row r="15" spans="1:23">
      <c r="A15" s="907"/>
      <c r="B15" s="411" t="s">
        <v>299</v>
      </c>
      <c r="C15" s="339">
        <v>11</v>
      </c>
      <c r="D15" s="339">
        <v>0</v>
      </c>
      <c r="E15" s="339">
        <v>11</v>
      </c>
      <c r="F15" s="339">
        <v>36</v>
      </c>
      <c r="G15" s="339">
        <v>11</v>
      </c>
      <c r="H15" s="339">
        <v>47</v>
      </c>
      <c r="I15" s="339">
        <v>81</v>
      </c>
      <c r="J15" s="339">
        <v>39</v>
      </c>
      <c r="K15" s="339">
        <v>120</v>
      </c>
      <c r="L15" s="339">
        <v>2</v>
      </c>
      <c r="M15" s="339">
        <v>1</v>
      </c>
      <c r="N15" s="339">
        <v>3</v>
      </c>
      <c r="O15" s="339">
        <v>56</v>
      </c>
      <c r="P15" s="339">
        <v>101</v>
      </c>
      <c r="Q15" s="339">
        <v>157</v>
      </c>
      <c r="R15" s="339">
        <v>194</v>
      </c>
      <c r="S15" s="339">
        <v>172</v>
      </c>
      <c r="T15" s="339">
        <v>366</v>
      </c>
      <c r="U15" s="339">
        <v>8</v>
      </c>
      <c r="V15" s="339">
        <v>20</v>
      </c>
      <c r="W15" s="339">
        <v>28</v>
      </c>
    </row>
    <row r="16" spans="1:23">
      <c r="A16" s="907"/>
      <c r="B16" s="412" t="s">
        <v>298</v>
      </c>
      <c r="C16" s="340">
        <v>9</v>
      </c>
      <c r="D16" s="340">
        <v>0</v>
      </c>
      <c r="E16" s="340">
        <v>9</v>
      </c>
      <c r="F16" s="340">
        <v>39</v>
      </c>
      <c r="G16" s="340">
        <v>12</v>
      </c>
      <c r="H16" s="340">
        <v>51</v>
      </c>
      <c r="I16" s="340">
        <v>83</v>
      </c>
      <c r="J16" s="340">
        <v>40</v>
      </c>
      <c r="K16" s="340">
        <v>123</v>
      </c>
      <c r="L16" s="340">
        <v>1</v>
      </c>
      <c r="M16" s="340">
        <v>1</v>
      </c>
      <c r="N16" s="340">
        <v>2</v>
      </c>
      <c r="O16" s="340">
        <v>47</v>
      </c>
      <c r="P16" s="340">
        <v>80</v>
      </c>
      <c r="Q16" s="340">
        <v>127</v>
      </c>
      <c r="R16" s="340">
        <v>187</v>
      </c>
      <c r="S16" s="340">
        <v>153</v>
      </c>
      <c r="T16" s="340">
        <v>340</v>
      </c>
      <c r="U16" s="340">
        <v>8</v>
      </c>
      <c r="V16" s="340">
        <v>20</v>
      </c>
      <c r="W16" s="340">
        <v>28</v>
      </c>
    </row>
    <row r="17" spans="1:23">
      <c r="A17" s="907">
        <v>2</v>
      </c>
      <c r="B17" s="403" t="s">
        <v>15</v>
      </c>
      <c r="C17" s="407"/>
      <c r="D17" s="408"/>
      <c r="E17" s="408"/>
      <c r="F17" s="408"/>
      <c r="G17" s="408"/>
      <c r="H17" s="409"/>
      <c r="I17" s="407"/>
      <c r="J17" s="408"/>
      <c r="K17" s="409"/>
      <c r="L17" s="407"/>
      <c r="M17" s="408"/>
      <c r="N17" s="408"/>
      <c r="O17" s="408"/>
      <c r="P17" s="408"/>
      <c r="Q17" s="409"/>
      <c r="R17" s="407"/>
      <c r="S17" s="408"/>
      <c r="T17" s="408"/>
      <c r="U17" s="408"/>
      <c r="V17" s="408"/>
      <c r="W17" s="409"/>
    </row>
    <row r="18" spans="1:23" s="410" customFormat="1">
      <c r="A18" s="907"/>
      <c r="B18" s="396" t="s">
        <v>997</v>
      </c>
      <c r="C18" s="128">
        <v>7261</v>
      </c>
      <c r="D18" s="128">
        <v>2150</v>
      </c>
      <c r="E18" s="128">
        <v>9411</v>
      </c>
      <c r="F18" s="128">
        <v>6633</v>
      </c>
      <c r="G18" s="128">
        <v>2687</v>
      </c>
      <c r="H18" s="128">
        <v>9320</v>
      </c>
      <c r="I18" s="128">
        <v>47557</v>
      </c>
      <c r="J18" s="128">
        <v>27520</v>
      </c>
      <c r="K18" s="128">
        <v>75077</v>
      </c>
      <c r="L18" s="128">
        <v>885</v>
      </c>
      <c r="M18" s="128">
        <v>4019</v>
      </c>
      <c r="N18" s="128">
        <v>4904</v>
      </c>
      <c r="O18" s="128">
        <v>2212</v>
      </c>
      <c r="P18" s="128">
        <v>1564</v>
      </c>
      <c r="Q18" s="128">
        <v>3776</v>
      </c>
      <c r="R18" s="128">
        <v>64608</v>
      </c>
      <c r="S18" s="128">
        <v>38004</v>
      </c>
      <c r="T18" s="128">
        <v>102612</v>
      </c>
      <c r="U18" s="128">
        <v>60</v>
      </c>
      <c r="V18" s="128">
        <v>64</v>
      </c>
      <c r="W18" s="128">
        <v>124</v>
      </c>
    </row>
    <row r="19" spans="1:23">
      <c r="A19" s="907"/>
      <c r="B19" s="396" t="s">
        <v>301</v>
      </c>
      <c r="C19" s="339">
        <v>7282</v>
      </c>
      <c r="D19" s="339">
        <v>1947</v>
      </c>
      <c r="E19" s="339">
        <v>9229</v>
      </c>
      <c r="F19" s="339">
        <v>6845</v>
      </c>
      <c r="G19" s="339">
        <v>2482</v>
      </c>
      <c r="H19" s="339">
        <v>9327</v>
      </c>
      <c r="I19" s="339">
        <v>46694</v>
      </c>
      <c r="J19" s="339">
        <v>26059</v>
      </c>
      <c r="K19" s="339">
        <v>72753</v>
      </c>
      <c r="L19" s="339">
        <v>828</v>
      </c>
      <c r="M19" s="339">
        <v>3353</v>
      </c>
      <c r="N19" s="339">
        <v>4181</v>
      </c>
      <c r="O19" s="339">
        <v>2384</v>
      </c>
      <c r="P19" s="339">
        <v>1720</v>
      </c>
      <c r="Q19" s="339">
        <v>4104</v>
      </c>
      <c r="R19" s="339">
        <v>64116</v>
      </c>
      <c r="S19" s="339">
        <v>35621</v>
      </c>
      <c r="T19" s="339">
        <v>99737</v>
      </c>
      <c r="U19" s="339">
        <v>83</v>
      </c>
      <c r="V19" s="339">
        <v>60</v>
      </c>
      <c r="W19" s="339">
        <v>143</v>
      </c>
    </row>
    <row r="20" spans="1:23">
      <c r="A20" s="907"/>
      <c r="B20" s="411" t="s">
        <v>300</v>
      </c>
      <c r="C20" s="339">
        <v>7160</v>
      </c>
      <c r="D20" s="339">
        <v>1872</v>
      </c>
      <c r="E20" s="339">
        <v>9032</v>
      </c>
      <c r="F20" s="339">
        <v>6845</v>
      </c>
      <c r="G20" s="339">
        <v>2327</v>
      </c>
      <c r="H20" s="339">
        <v>9172</v>
      </c>
      <c r="I20" s="339">
        <v>47564</v>
      </c>
      <c r="J20" s="339">
        <v>25762</v>
      </c>
      <c r="K20" s="339">
        <v>73326</v>
      </c>
      <c r="L20" s="339">
        <v>805</v>
      </c>
      <c r="M20" s="339">
        <v>3356</v>
      </c>
      <c r="N20" s="339">
        <v>4161</v>
      </c>
      <c r="O20" s="339">
        <v>2135</v>
      </c>
      <c r="P20" s="339">
        <v>1425</v>
      </c>
      <c r="Q20" s="339">
        <v>3560</v>
      </c>
      <c r="R20" s="339">
        <v>64591</v>
      </c>
      <c r="S20" s="339">
        <v>34807</v>
      </c>
      <c r="T20" s="339">
        <v>99398</v>
      </c>
      <c r="U20" s="339">
        <v>82</v>
      </c>
      <c r="V20" s="339">
        <v>65</v>
      </c>
      <c r="W20" s="339">
        <v>147</v>
      </c>
    </row>
    <row r="21" spans="1:23">
      <c r="A21" s="907"/>
      <c r="B21" s="411" t="s">
        <v>299</v>
      </c>
      <c r="C21" s="339">
        <v>6369</v>
      </c>
      <c r="D21" s="339">
        <v>1646</v>
      </c>
      <c r="E21" s="339">
        <v>8015</v>
      </c>
      <c r="F21" s="339">
        <v>6067</v>
      </c>
      <c r="G21" s="339">
        <v>2047</v>
      </c>
      <c r="H21" s="339">
        <v>8114</v>
      </c>
      <c r="I21" s="339">
        <v>43788</v>
      </c>
      <c r="J21" s="339">
        <v>22925</v>
      </c>
      <c r="K21" s="339">
        <v>66713</v>
      </c>
      <c r="L21" s="339">
        <v>824</v>
      </c>
      <c r="M21" s="339">
        <v>3059</v>
      </c>
      <c r="N21" s="339">
        <v>3883</v>
      </c>
      <c r="O21" s="339">
        <v>2010</v>
      </c>
      <c r="P21" s="339">
        <v>1388</v>
      </c>
      <c r="Q21" s="339">
        <v>3398</v>
      </c>
      <c r="R21" s="339">
        <v>59131</v>
      </c>
      <c r="S21" s="339">
        <v>31108</v>
      </c>
      <c r="T21" s="339">
        <v>90239</v>
      </c>
      <c r="U21" s="339">
        <v>73</v>
      </c>
      <c r="V21" s="339">
        <v>43</v>
      </c>
      <c r="W21" s="339">
        <v>116</v>
      </c>
    </row>
    <row r="22" spans="1:23">
      <c r="A22" s="907"/>
      <c r="B22" s="412" t="s">
        <v>298</v>
      </c>
      <c r="C22" s="340">
        <v>7049</v>
      </c>
      <c r="D22" s="340">
        <v>1945</v>
      </c>
      <c r="E22" s="340">
        <v>8994</v>
      </c>
      <c r="F22" s="340">
        <v>6434</v>
      </c>
      <c r="G22" s="340">
        <v>2263</v>
      </c>
      <c r="H22" s="340">
        <v>8697</v>
      </c>
      <c r="I22" s="340">
        <v>49431</v>
      </c>
      <c r="J22" s="340">
        <v>24558</v>
      </c>
      <c r="K22" s="340">
        <v>73989</v>
      </c>
      <c r="L22" s="340">
        <v>1070</v>
      </c>
      <c r="M22" s="340">
        <v>3758</v>
      </c>
      <c r="N22" s="340">
        <v>4828</v>
      </c>
      <c r="O22" s="340">
        <v>1962</v>
      </c>
      <c r="P22" s="340">
        <v>1224</v>
      </c>
      <c r="Q22" s="340">
        <v>3186</v>
      </c>
      <c r="R22" s="340">
        <v>66014</v>
      </c>
      <c r="S22" s="340">
        <v>33787</v>
      </c>
      <c r="T22" s="340">
        <v>99801</v>
      </c>
      <c r="U22" s="340">
        <v>68</v>
      </c>
      <c r="V22" s="340">
        <v>39</v>
      </c>
      <c r="W22" s="340">
        <v>107</v>
      </c>
    </row>
    <row r="23" spans="1:23">
      <c r="A23" s="907">
        <v>3</v>
      </c>
      <c r="B23" s="403" t="s">
        <v>16</v>
      </c>
      <c r="C23" s="404"/>
      <c r="D23" s="405"/>
      <c r="E23" s="405"/>
      <c r="F23" s="405"/>
      <c r="G23" s="405"/>
      <c r="H23" s="406"/>
      <c r="I23" s="404"/>
      <c r="J23" s="405"/>
      <c r="K23" s="405"/>
      <c r="L23" s="405"/>
      <c r="M23" s="405"/>
      <c r="N23" s="405"/>
      <c r="O23" s="405"/>
      <c r="P23" s="405"/>
      <c r="Q23" s="406"/>
      <c r="R23" s="404"/>
      <c r="S23" s="405"/>
      <c r="T23" s="405"/>
      <c r="U23" s="405"/>
      <c r="V23" s="405"/>
      <c r="W23" s="406"/>
    </row>
    <row r="24" spans="1:23" s="410" customFormat="1">
      <c r="A24" s="907"/>
      <c r="B24" s="396" t="s">
        <v>997</v>
      </c>
      <c r="C24" s="128">
        <v>167</v>
      </c>
      <c r="D24" s="128">
        <v>40</v>
      </c>
      <c r="E24" s="128">
        <v>207</v>
      </c>
      <c r="F24" s="128">
        <v>192</v>
      </c>
      <c r="G24" s="128">
        <v>58</v>
      </c>
      <c r="H24" s="128">
        <v>250</v>
      </c>
      <c r="I24" s="128">
        <v>839</v>
      </c>
      <c r="J24" s="128">
        <v>768</v>
      </c>
      <c r="K24" s="128">
        <v>1607</v>
      </c>
      <c r="L24" s="128">
        <v>17</v>
      </c>
      <c r="M24" s="128">
        <v>37</v>
      </c>
      <c r="N24" s="128">
        <v>54</v>
      </c>
      <c r="O24" s="128">
        <v>17</v>
      </c>
      <c r="P24" s="128">
        <v>20</v>
      </c>
      <c r="Q24" s="128">
        <v>37</v>
      </c>
      <c r="R24" s="128">
        <v>1233</v>
      </c>
      <c r="S24" s="128">
        <v>926</v>
      </c>
      <c r="T24" s="128">
        <v>2159</v>
      </c>
      <c r="U24" s="128">
        <v>1</v>
      </c>
      <c r="V24" s="128">
        <v>3</v>
      </c>
      <c r="W24" s="128">
        <v>4</v>
      </c>
    </row>
    <row r="25" spans="1:23">
      <c r="A25" s="907"/>
      <c r="B25" s="396" t="s">
        <v>301</v>
      </c>
      <c r="C25" s="339">
        <v>171</v>
      </c>
      <c r="D25" s="339">
        <v>33</v>
      </c>
      <c r="E25" s="339">
        <v>204</v>
      </c>
      <c r="F25" s="339">
        <v>180</v>
      </c>
      <c r="G25" s="339">
        <v>55</v>
      </c>
      <c r="H25" s="339">
        <v>235</v>
      </c>
      <c r="I25" s="339">
        <v>826</v>
      </c>
      <c r="J25" s="339">
        <v>674</v>
      </c>
      <c r="K25" s="339">
        <v>1500</v>
      </c>
      <c r="L25" s="339">
        <v>18</v>
      </c>
      <c r="M25" s="339">
        <v>14</v>
      </c>
      <c r="N25" s="339">
        <v>32</v>
      </c>
      <c r="O25" s="339">
        <v>13</v>
      </c>
      <c r="P25" s="339">
        <v>13</v>
      </c>
      <c r="Q25" s="339">
        <v>26</v>
      </c>
      <c r="R25" s="339">
        <v>1213</v>
      </c>
      <c r="S25" s="339">
        <v>791</v>
      </c>
      <c r="T25" s="339">
        <v>2004</v>
      </c>
      <c r="U25" s="339">
        <v>5</v>
      </c>
      <c r="V25" s="339">
        <v>2</v>
      </c>
      <c r="W25" s="339">
        <v>7</v>
      </c>
    </row>
    <row r="26" spans="1:23">
      <c r="A26" s="907"/>
      <c r="B26" s="411" t="s">
        <v>300</v>
      </c>
      <c r="C26" s="339">
        <v>146</v>
      </c>
      <c r="D26" s="339">
        <v>20</v>
      </c>
      <c r="E26" s="339">
        <v>166</v>
      </c>
      <c r="F26" s="339">
        <v>139</v>
      </c>
      <c r="G26" s="339">
        <v>36</v>
      </c>
      <c r="H26" s="339">
        <v>175</v>
      </c>
      <c r="I26" s="339">
        <v>636</v>
      </c>
      <c r="J26" s="339">
        <v>462</v>
      </c>
      <c r="K26" s="339">
        <v>1098</v>
      </c>
      <c r="L26" s="339">
        <v>12</v>
      </c>
      <c r="M26" s="339">
        <v>6</v>
      </c>
      <c r="N26" s="339">
        <v>18</v>
      </c>
      <c r="O26" s="339">
        <v>18</v>
      </c>
      <c r="P26" s="339">
        <v>10</v>
      </c>
      <c r="Q26" s="339">
        <v>28</v>
      </c>
      <c r="R26" s="339">
        <v>959</v>
      </c>
      <c r="S26" s="339">
        <v>545</v>
      </c>
      <c r="T26" s="339">
        <v>1504</v>
      </c>
      <c r="U26" s="339">
        <v>8</v>
      </c>
      <c r="V26" s="339">
        <v>11</v>
      </c>
      <c r="W26" s="339">
        <v>19</v>
      </c>
    </row>
    <row r="27" spans="1:23">
      <c r="A27" s="907"/>
      <c r="B27" s="411" t="s">
        <v>299</v>
      </c>
      <c r="C27" s="339">
        <v>112</v>
      </c>
      <c r="D27" s="339">
        <v>17</v>
      </c>
      <c r="E27" s="339">
        <v>129</v>
      </c>
      <c r="F27" s="339">
        <v>119</v>
      </c>
      <c r="G27" s="339">
        <v>38</v>
      </c>
      <c r="H27" s="339">
        <v>157</v>
      </c>
      <c r="I27" s="339">
        <v>478</v>
      </c>
      <c r="J27" s="339">
        <v>308</v>
      </c>
      <c r="K27" s="339">
        <v>786</v>
      </c>
      <c r="L27" s="339">
        <v>6</v>
      </c>
      <c r="M27" s="339">
        <v>3</v>
      </c>
      <c r="N27" s="339">
        <v>9</v>
      </c>
      <c r="O27" s="339">
        <v>18</v>
      </c>
      <c r="P27" s="339">
        <v>12</v>
      </c>
      <c r="Q27" s="339">
        <v>30</v>
      </c>
      <c r="R27" s="339">
        <v>735</v>
      </c>
      <c r="S27" s="339">
        <v>378</v>
      </c>
      <c r="T27" s="339">
        <v>1113</v>
      </c>
      <c r="U27" s="339">
        <v>2</v>
      </c>
      <c r="V27" s="339">
        <v>0</v>
      </c>
      <c r="W27" s="339">
        <v>2</v>
      </c>
    </row>
    <row r="28" spans="1:23">
      <c r="A28" s="907"/>
      <c r="B28" s="412" t="s">
        <v>298</v>
      </c>
      <c r="C28" s="340">
        <v>110</v>
      </c>
      <c r="D28" s="340">
        <v>16</v>
      </c>
      <c r="E28" s="340">
        <v>126</v>
      </c>
      <c r="F28" s="340">
        <v>127</v>
      </c>
      <c r="G28" s="340">
        <v>22</v>
      </c>
      <c r="H28" s="340">
        <v>149</v>
      </c>
      <c r="I28" s="340">
        <v>505</v>
      </c>
      <c r="J28" s="340">
        <v>311</v>
      </c>
      <c r="K28" s="340">
        <v>816</v>
      </c>
      <c r="L28" s="340">
        <v>7</v>
      </c>
      <c r="M28" s="340">
        <v>1</v>
      </c>
      <c r="N28" s="340">
        <v>8</v>
      </c>
      <c r="O28" s="340">
        <v>9</v>
      </c>
      <c r="P28" s="340">
        <v>7</v>
      </c>
      <c r="Q28" s="340">
        <v>16</v>
      </c>
      <c r="R28" s="340">
        <v>766</v>
      </c>
      <c r="S28" s="340">
        <v>367</v>
      </c>
      <c r="T28" s="340">
        <v>1133</v>
      </c>
      <c r="U28" s="340">
        <v>8</v>
      </c>
      <c r="V28" s="340">
        <v>10</v>
      </c>
      <c r="W28" s="340">
        <v>18</v>
      </c>
    </row>
    <row r="29" spans="1:23">
      <c r="A29" s="907">
        <v>4</v>
      </c>
      <c r="B29" s="403" t="s">
        <v>17</v>
      </c>
      <c r="C29" s="407"/>
      <c r="D29" s="408"/>
      <c r="E29" s="408"/>
      <c r="F29" s="408"/>
      <c r="G29" s="408"/>
      <c r="H29" s="409"/>
      <c r="I29" s="407"/>
      <c r="J29" s="408"/>
      <c r="K29" s="409"/>
      <c r="L29" s="407"/>
      <c r="M29" s="408"/>
      <c r="N29" s="408"/>
      <c r="O29" s="408"/>
      <c r="P29" s="408"/>
      <c r="Q29" s="409"/>
      <c r="R29" s="407"/>
      <c r="S29" s="408"/>
      <c r="T29" s="408"/>
      <c r="U29" s="408"/>
      <c r="V29" s="408"/>
      <c r="W29" s="409"/>
    </row>
    <row r="30" spans="1:23" s="410" customFormat="1">
      <c r="A30" s="907"/>
      <c r="B30" s="396" t="s">
        <v>997</v>
      </c>
      <c r="C30" s="128">
        <v>1220</v>
      </c>
      <c r="D30" s="128">
        <v>379</v>
      </c>
      <c r="E30" s="128">
        <v>1599</v>
      </c>
      <c r="F30" s="128">
        <v>2205</v>
      </c>
      <c r="G30" s="128">
        <v>1276</v>
      </c>
      <c r="H30" s="128">
        <v>3481</v>
      </c>
      <c r="I30" s="128">
        <v>8963</v>
      </c>
      <c r="J30" s="128">
        <v>6880</v>
      </c>
      <c r="K30" s="128">
        <v>15843</v>
      </c>
      <c r="L30" s="128">
        <v>442</v>
      </c>
      <c r="M30" s="128">
        <v>381</v>
      </c>
      <c r="N30" s="128">
        <v>823</v>
      </c>
      <c r="O30" s="128">
        <v>662</v>
      </c>
      <c r="P30" s="128">
        <v>858</v>
      </c>
      <c r="Q30" s="128">
        <v>1520</v>
      </c>
      <c r="R30" s="128">
        <v>13510</v>
      </c>
      <c r="S30" s="128">
        <v>9792</v>
      </c>
      <c r="T30" s="128">
        <v>23302</v>
      </c>
      <c r="U30" s="128">
        <v>18</v>
      </c>
      <c r="V30" s="128">
        <v>18</v>
      </c>
      <c r="W30" s="128">
        <v>36</v>
      </c>
    </row>
    <row r="31" spans="1:23">
      <c r="A31" s="907"/>
      <c r="B31" s="396" t="s">
        <v>301</v>
      </c>
      <c r="C31" s="339">
        <v>1257</v>
      </c>
      <c r="D31" s="339">
        <v>365</v>
      </c>
      <c r="E31" s="339">
        <v>1622</v>
      </c>
      <c r="F31" s="339">
        <v>2489</v>
      </c>
      <c r="G31" s="339">
        <v>1416</v>
      </c>
      <c r="H31" s="339">
        <v>3905</v>
      </c>
      <c r="I31" s="339">
        <v>8618</v>
      </c>
      <c r="J31" s="339">
        <v>6371</v>
      </c>
      <c r="K31" s="339">
        <v>14989</v>
      </c>
      <c r="L31" s="339">
        <v>415</v>
      </c>
      <c r="M31" s="339">
        <v>375</v>
      </c>
      <c r="N31" s="339">
        <v>790</v>
      </c>
      <c r="O31" s="339">
        <v>781</v>
      </c>
      <c r="P31" s="339">
        <v>958</v>
      </c>
      <c r="Q31" s="339">
        <v>1739</v>
      </c>
      <c r="R31" s="339">
        <v>13579</v>
      </c>
      <c r="S31" s="339">
        <v>9501</v>
      </c>
      <c r="T31" s="339">
        <v>23080</v>
      </c>
      <c r="U31" s="339">
        <v>19</v>
      </c>
      <c r="V31" s="339">
        <v>16</v>
      </c>
      <c r="W31" s="339">
        <v>35</v>
      </c>
    </row>
    <row r="32" spans="1:23">
      <c r="A32" s="907"/>
      <c r="B32" s="411" t="s">
        <v>300</v>
      </c>
      <c r="C32" s="339">
        <v>1271</v>
      </c>
      <c r="D32" s="615">
        <v>375</v>
      </c>
      <c r="E32" s="339">
        <v>1646</v>
      </c>
      <c r="F32" s="339">
        <v>2654</v>
      </c>
      <c r="G32" s="339">
        <v>1526</v>
      </c>
      <c r="H32" s="339">
        <v>4180</v>
      </c>
      <c r="I32" s="339">
        <v>8370</v>
      </c>
      <c r="J32" s="339">
        <v>6020</v>
      </c>
      <c r="K32" s="339">
        <v>14390</v>
      </c>
      <c r="L32" s="339">
        <v>478</v>
      </c>
      <c r="M32" s="339">
        <v>373</v>
      </c>
      <c r="N32" s="339">
        <v>851</v>
      </c>
      <c r="O32" s="339">
        <v>788</v>
      </c>
      <c r="P32" s="339">
        <v>960</v>
      </c>
      <c r="Q32" s="339">
        <v>1748</v>
      </c>
      <c r="R32" s="339">
        <v>13582</v>
      </c>
      <c r="S32" s="339">
        <v>9267</v>
      </c>
      <c r="T32" s="339">
        <v>22849</v>
      </c>
      <c r="U32" s="339">
        <v>21</v>
      </c>
      <c r="V32" s="339">
        <v>13</v>
      </c>
      <c r="W32" s="339">
        <v>34</v>
      </c>
    </row>
    <row r="33" spans="1:23">
      <c r="A33" s="907"/>
      <c r="B33" s="411" t="s">
        <v>299</v>
      </c>
      <c r="C33" s="339">
        <v>1150</v>
      </c>
      <c r="D33" s="339">
        <v>316</v>
      </c>
      <c r="E33" s="339">
        <v>1466</v>
      </c>
      <c r="F33" s="339">
        <v>2497</v>
      </c>
      <c r="G33" s="339">
        <v>1361</v>
      </c>
      <c r="H33" s="339">
        <v>3858</v>
      </c>
      <c r="I33" s="339">
        <v>7255</v>
      </c>
      <c r="J33" s="339">
        <v>5058</v>
      </c>
      <c r="K33" s="339">
        <v>12313</v>
      </c>
      <c r="L33" s="339">
        <v>318</v>
      </c>
      <c r="M33" s="339">
        <v>207</v>
      </c>
      <c r="N33" s="339">
        <v>525</v>
      </c>
      <c r="O33" s="339">
        <v>702</v>
      </c>
      <c r="P33" s="339">
        <v>815</v>
      </c>
      <c r="Q33" s="339">
        <v>1517</v>
      </c>
      <c r="R33" s="339">
        <v>11958</v>
      </c>
      <c r="S33" s="339">
        <v>7770</v>
      </c>
      <c r="T33" s="339">
        <v>19728</v>
      </c>
      <c r="U33" s="339">
        <v>36</v>
      </c>
      <c r="V33" s="339">
        <v>13</v>
      </c>
      <c r="W33" s="339">
        <v>49</v>
      </c>
    </row>
    <row r="34" spans="1:23">
      <c r="A34" s="907"/>
      <c r="B34" s="412" t="s">
        <v>298</v>
      </c>
      <c r="C34" s="801">
        <v>1206</v>
      </c>
      <c r="D34" s="801">
        <v>350</v>
      </c>
      <c r="E34" s="801">
        <v>1556</v>
      </c>
      <c r="F34" s="801">
        <v>2871</v>
      </c>
      <c r="G34" s="801">
        <v>1618</v>
      </c>
      <c r="H34" s="801">
        <v>4489</v>
      </c>
      <c r="I34" s="801">
        <v>7646</v>
      </c>
      <c r="J34" s="801">
        <v>5156</v>
      </c>
      <c r="K34" s="801">
        <v>12802</v>
      </c>
      <c r="L34" s="801">
        <v>475</v>
      </c>
      <c r="M34" s="801">
        <v>319</v>
      </c>
      <c r="N34" s="801">
        <v>794</v>
      </c>
      <c r="O34" s="801">
        <v>716</v>
      </c>
      <c r="P34" s="801">
        <v>782</v>
      </c>
      <c r="Q34" s="801">
        <v>1498</v>
      </c>
      <c r="R34" s="801">
        <v>12952</v>
      </c>
      <c r="S34" s="801">
        <v>8237</v>
      </c>
      <c r="T34" s="801">
        <v>21189</v>
      </c>
      <c r="U34" s="801">
        <v>38</v>
      </c>
      <c r="V34" s="801">
        <v>10</v>
      </c>
      <c r="W34" s="801">
        <v>48</v>
      </c>
    </row>
    <row r="35" spans="1:23">
      <c r="A35" s="907">
        <v>5</v>
      </c>
      <c r="B35" s="403" t="s">
        <v>18</v>
      </c>
      <c r="C35" s="407"/>
      <c r="D35" s="408"/>
      <c r="E35" s="408"/>
      <c r="F35" s="408"/>
      <c r="G35" s="408"/>
      <c r="H35" s="409"/>
      <c r="I35" s="407"/>
      <c r="J35" s="408"/>
      <c r="K35" s="409"/>
      <c r="L35" s="407"/>
      <c r="M35" s="408"/>
      <c r="N35" s="408"/>
      <c r="O35" s="408"/>
      <c r="P35" s="408"/>
      <c r="Q35" s="409"/>
      <c r="R35" s="407"/>
      <c r="S35" s="408"/>
      <c r="T35" s="408"/>
      <c r="U35" s="408"/>
      <c r="V35" s="408"/>
      <c r="W35" s="409"/>
    </row>
    <row r="36" spans="1:23" s="410" customFormat="1">
      <c r="A36" s="907"/>
      <c r="B36" s="396" t="s">
        <v>997</v>
      </c>
      <c r="C36" s="777">
        <v>2149</v>
      </c>
      <c r="D36" s="777">
        <v>500</v>
      </c>
      <c r="E36" s="777">
        <v>2649</v>
      </c>
      <c r="F36" s="777">
        <v>3050</v>
      </c>
      <c r="G36" s="777">
        <v>711</v>
      </c>
      <c r="H36" s="777">
        <v>3761</v>
      </c>
      <c r="I36" s="777">
        <v>20124</v>
      </c>
      <c r="J36" s="777">
        <v>5669</v>
      </c>
      <c r="K36" s="777">
        <v>25793</v>
      </c>
      <c r="L36" s="777">
        <v>1051</v>
      </c>
      <c r="M36" s="777">
        <v>1123</v>
      </c>
      <c r="N36" s="777">
        <v>2174</v>
      </c>
      <c r="O36" s="777">
        <v>880</v>
      </c>
      <c r="P36" s="777">
        <v>348</v>
      </c>
      <c r="Q36" s="777">
        <v>1228</v>
      </c>
      <c r="R36" s="777">
        <v>27445</v>
      </c>
      <c r="S36" s="777">
        <v>8420</v>
      </c>
      <c r="T36" s="777">
        <v>35865</v>
      </c>
      <c r="U36" s="777">
        <v>191</v>
      </c>
      <c r="V36" s="777">
        <v>69</v>
      </c>
      <c r="W36" s="777">
        <v>260</v>
      </c>
    </row>
    <row r="37" spans="1:23">
      <c r="A37" s="907"/>
      <c r="B37" s="396" t="s">
        <v>301</v>
      </c>
      <c r="C37" s="772">
        <v>1933</v>
      </c>
      <c r="D37" s="772">
        <v>423</v>
      </c>
      <c r="E37" s="772">
        <v>2356</v>
      </c>
      <c r="F37" s="772">
        <v>3336</v>
      </c>
      <c r="G37" s="772">
        <v>757</v>
      </c>
      <c r="H37" s="772">
        <v>4093</v>
      </c>
      <c r="I37" s="772">
        <v>16407</v>
      </c>
      <c r="J37" s="772">
        <v>4362</v>
      </c>
      <c r="K37" s="772">
        <v>20769</v>
      </c>
      <c r="L37" s="772">
        <v>683</v>
      </c>
      <c r="M37" s="772">
        <v>509</v>
      </c>
      <c r="N37" s="772">
        <v>1192</v>
      </c>
      <c r="O37" s="772">
        <v>649</v>
      </c>
      <c r="P37" s="772">
        <v>270</v>
      </c>
      <c r="Q37" s="772">
        <v>919</v>
      </c>
      <c r="R37" s="772">
        <v>23213</v>
      </c>
      <c r="S37" s="772">
        <v>6384</v>
      </c>
      <c r="T37" s="772">
        <v>29597</v>
      </c>
      <c r="U37" s="772">
        <v>205</v>
      </c>
      <c r="V37" s="772">
        <v>63</v>
      </c>
      <c r="W37" s="772">
        <v>268</v>
      </c>
    </row>
    <row r="38" spans="1:23">
      <c r="A38" s="907"/>
      <c r="B38" s="411" t="s">
        <v>300</v>
      </c>
      <c r="C38" s="772">
        <v>1847</v>
      </c>
      <c r="D38" s="772">
        <v>412</v>
      </c>
      <c r="E38" s="772">
        <v>2259</v>
      </c>
      <c r="F38" s="772">
        <v>3343</v>
      </c>
      <c r="G38" s="772">
        <v>791</v>
      </c>
      <c r="H38" s="772">
        <v>4134</v>
      </c>
      <c r="I38" s="772">
        <v>14582</v>
      </c>
      <c r="J38" s="772">
        <v>3727</v>
      </c>
      <c r="K38" s="772">
        <v>18309</v>
      </c>
      <c r="L38" s="772">
        <v>448</v>
      </c>
      <c r="M38" s="772">
        <v>400</v>
      </c>
      <c r="N38" s="772">
        <v>848</v>
      </c>
      <c r="O38" s="772">
        <v>494</v>
      </c>
      <c r="P38" s="772">
        <v>176</v>
      </c>
      <c r="Q38" s="772">
        <v>670</v>
      </c>
      <c r="R38" s="772">
        <v>20888</v>
      </c>
      <c r="S38" s="772">
        <v>5562</v>
      </c>
      <c r="T38" s="772">
        <v>26450</v>
      </c>
      <c r="U38" s="772">
        <v>174</v>
      </c>
      <c r="V38" s="772">
        <v>56</v>
      </c>
      <c r="W38" s="772">
        <v>230</v>
      </c>
    </row>
    <row r="39" spans="1:23">
      <c r="A39" s="907"/>
      <c r="B39" s="411" t="s">
        <v>299</v>
      </c>
      <c r="C39" s="772">
        <v>1729</v>
      </c>
      <c r="D39" s="772">
        <v>375</v>
      </c>
      <c r="E39" s="772">
        <v>2104</v>
      </c>
      <c r="F39" s="772">
        <v>3243</v>
      </c>
      <c r="G39" s="772">
        <v>775</v>
      </c>
      <c r="H39" s="772">
        <v>4018</v>
      </c>
      <c r="I39" s="772">
        <v>12002</v>
      </c>
      <c r="J39" s="772">
        <v>3077</v>
      </c>
      <c r="K39" s="772">
        <v>15079</v>
      </c>
      <c r="L39" s="772">
        <v>360</v>
      </c>
      <c r="M39" s="772">
        <v>340</v>
      </c>
      <c r="N39" s="772">
        <v>700</v>
      </c>
      <c r="O39" s="772">
        <v>417</v>
      </c>
      <c r="P39" s="772">
        <v>133</v>
      </c>
      <c r="Q39" s="772">
        <v>550</v>
      </c>
      <c r="R39" s="772">
        <v>17910</v>
      </c>
      <c r="S39" s="772">
        <v>4741</v>
      </c>
      <c r="T39" s="772">
        <v>22651</v>
      </c>
      <c r="U39" s="772">
        <v>159</v>
      </c>
      <c r="V39" s="772">
        <v>41</v>
      </c>
      <c r="W39" s="772">
        <v>200</v>
      </c>
    </row>
    <row r="40" spans="1:23">
      <c r="A40" s="907"/>
      <c r="B40" s="412" t="s">
        <v>298</v>
      </c>
      <c r="C40" s="801">
        <v>1963</v>
      </c>
      <c r="D40" s="801">
        <v>433</v>
      </c>
      <c r="E40" s="801">
        <v>2396</v>
      </c>
      <c r="F40" s="801">
        <v>3184</v>
      </c>
      <c r="G40" s="801">
        <v>785</v>
      </c>
      <c r="H40" s="801">
        <v>3969</v>
      </c>
      <c r="I40" s="801">
        <v>12351</v>
      </c>
      <c r="J40" s="801">
        <v>2904</v>
      </c>
      <c r="K40" s="801">
        <v>15255</v>
      </c>
      <c r="L40" s="801">
        <v>549</v>
      </c>
      <c r="M40" s="801">
        <v>307</v>
      </c>
      <c r="N40" s="801">
        <v>856</v>
      </c>
      <c r="O40" s="801">
        <v>523</v>
      </c>
      <c r="P40" s="801">
        <v>151</v>
      </c>
      <c r="Q40" s="801">
        <v>674</v>
      </c>
      <c r="R40" s="801">
        <v>18775</v>
      </c>
      <c r="S40" s="801">
        <v>4646</v>
      </c>
      <c r="T40" s="801">
        <v>23421</v>
      </c>
      <c r="U40" s="801">
        <v>205</v>
      </c>
      <c r="V40" s="801">
        <v>66</v>
      </c>
      <c r="W40" s="801">
        <v>271</v>
      </c>
    </row>
    <row r="41" spans="1:23">
      <c r="A41" s="907">
        <v>6</v>
      </c>
      <c r="B41" s="403" t="s">
        <v>19</v>
      </c>
      <c r="C41" s="407"/>
      <c r="D41" s="408"/>
      <c r="E41" s="408"/>
      <c r="F41" s="408"/>
      <c r="G41" s="408"/>
      <c r="H41" s="409"/>
      <c r="I41" s="407"/>
      <c r="J41" s="408"/>
      <c r="K41" s="409"/>
      <c r="L41" s="407"/>
      <c r="M41" s="408"/>
      <c r="N41" s="408"/>
      <c r="O41" s="408"/>
      <c r="P41" s="408"/>
      <c r="Q41" s="409"/>
      <c r="R41" s="407"/>
      <c r="S41" s="408"/>
      <c r="T41" s="408"/>
      <c r="U41" s="408"/>
      <c r="V41" s="408"/>
      <c r="W41" s="409"/>
    </row>
    <row r="42" spans="1:23" s="410" customFormat="1">
      <c r="A42" s="907"/>
      <c r="B42" s="396" t="s">
        <v>997</v>
      </c>
      <c r="C42" s="777">
        <v>439</v>
      </c>
      <c r="D42" s="777">
        <v>318</v>
      </c>
      <c r="E42" s="777">
        <v>757</v>
      </c>
      <c r="F42" s="777">
        <v>271</v>
      </c>
      <c r="G42" s="777">
        <v>323</v>
      </c>
      <c r="H42" s="777">
        <v>594</v>
      </c>
      <c r="I42" s="777">
        <v>735</v>
      </c>
      <c r="J42" s="777">
        <v>1240</v>
      </c>
      <c r="K42" s="777">
        <v>1975</v>
      </c>
      <c r="L42" s="777">
        <v>17</v>
      </c>
      <c r="M42" s="777">
        <v>8</v>
      </c>
      <c r="N42" s="777">
        <v>25</v>
      </c>
      <c r="O42" s="777">
        <v>79</v>
      </c>
      <c r="P42" s="777">
        <v>211</v>
      </c>
      <c r="Q42" s="777">
        <v>290</v>
      </c>
      <c r="R42" s="777">
        <v>1551</v>
      </c>
      <c r="S42" s="777">
        <v>2112</v>
      </c>
      <c r="T42" s="777">
        <v>3663</v>
      </c>
      <c r="U42" s="777">
        <v>10</v>
      </c>
      <c r="V42" s="777">
        <v>12</v>
      </c>
      <c r="W42" s="777">
        <v>22</v>
      </c>
    </row>
    <row r="43" spans="1:23">
      <c r="A43" s="907"/>
      <c r="B43" s="396" t="s">
        <v>301</v>
      </c>
      <c r="C43" s="772">
        <v>443</v>
      </c>
      <c r="D43" s="772">
        <v>301</v>
      </c>
      <c r="E43" s="772">
        <v>744</v>
      </c>
      <c r="F43" s="772">
        <v>224</v>
      </c>
      <c r="G43" s="772">
        <v>322</v>
      </c>
      <c r="H43" s="772">
        <v>546</v>
      </c>
      <c r="I43" s="772">
        <v>864</v>
      </c>
      <c r="J43" s="772">
        <v>1368</v>
      </c>
      <c r="K43" s="772">
        <v>2232</v>
      </c>
      <c r="L43" s="772">
        <v>12</v>
      </c>
      <c r="M43" s="772">
        <v>9</v>
      </c>
      <c r="N43" s="772">
        <v>21</v>
      </c>
      <c r="O43" s="772">
        <v>44</v>
      </c>
      <c r="P43" s="772">
        <v>156</v>
      </c>
      <c r="Q43" s="772">
        <v>200</v>
      </c>
      <c r="R43" s="772">
        <v>1595</v>
      </c>
      <c r="S43" s="772">
        <v>2169</v>
      </c>
      <c r="T43" s="772">
        <v>3764</v>
      </c>
      <c r="U43" s="772">
        <v>8</v>
      </c>
      <c r="V43" s="772">
        <v>13</v>
      </c>
      <c r="W43" s="772">
        <v>21</v>
      </c>
    </row>
    <row r="44" spans="1:23">
      <c r="A44" s="907"/>
      <c r="B44" s="411" t="s">
        <v>300</v>
      </c>
      <c r="C44" s="772">
        <v>395</v>
      </c>
      <c r="D44" s="772">
        <v>282</v>
      </c>
      <c r="E44" s="772">
        <v>677</v>
      </c>
      <c r="F44" s="772">
        <v>224</v>
      </c>
      <c r="G44" s="772">
        <v>334</v>
      </c>
      <c r="H44" s="772">
        <v>558</v>
      </c>
      <c r="I44" s="772">
        <v>783</v>
      </c>
      <c r="J44" s="772">
        <v>1317</v>
      </c>
      <c r="K44" s="772">
        <v>2100</v>
      </c>
      <c r="L44" s="772">
        <v>13</v>
      </c>
      <c r="M44" s="772">
        <v>10</v>
      </c>
      <c r="N44" s="772">
        <v>23</v>
      </c>
      <c r="O44" s="772">
        <v>20</v>
      </c>
      <c r="P44" s="772">
        <v>85</v>
      </c>
      <c r="Q44" s="772">
        <v>105</v>
      </c>
      <c r="R44" s="772">
        <v>1453</v>
      </c>
      <c r="S44" s="772">
        <v>2079</v>
      </c>
      <c r="T44" s="772">
        <v>3532</v>
      </c>
      <c r="U44" s="772">
        <v>18</v>
      </c>
      <c r="V44" s="772">
        <v>51</v>
      </c>
      <c r="W44" s="772">
        <v>69</v>
      </c>
    </row>
    <row r="45" spans="1:23">
      <c r="A45" s="907"/>
      <c r="B45" s="411" t="s">
        <v>299</v>
      </c>
      <c r="C45" s="772">
        <v>403</v>
      </c>
      <c r="D45" s="772">
        <v>279</v>
      </c>
      <c r="E45" s="772">
        <v>682</v>
      </c>
      <c r="F45" s="772">
        <v>219</v>
      </c>
      <c r="G45" s="772">
        <v>314</v>
      </c>
      <c r="H45" s="772">
        <v>533</v>
      </c>
      <c r="I45" s="772">
        <v>746</v>
      </c>
      <c r="J45" s="772">
        <v>1177</v>
      </c>
      <c r="K45" s="772">
        <v>1923</v>
      </c>
      <c r="L45" s="772">
        <v>9</v>
      </c>
      <c r="M45" s="772">
        <v>10</v>
      </c>
      <c r="N45" s="772">
        <v>19</v>
      </c>
      <c r="O45" s="772">
        <v>20</v>
      </c>
      <c r="P45" s="772">
        <v>175</v>
      </c>
      <c r="Q45" s="772">
        <v>195</v>
      </c>
      <c r="R45" s="772">
        <v>1408</v>
      </c>
      <c r="S45" s="772">
        <v>1994</v>
      </c>
      <c r="T45" s="772">
        <v>3402</v>
      </c>
      <c r="U45" s="772">
        <v>11</v>
      </c>
      <c r="V45" s="772">
        <v>39</v>
      </c>
      <c r="W45" s="772">
        <v>50</v>
      </c>
    </row>
    <row r="46" spans="1:23">
      <c r="A46" s="907"/>
      <c r="B46" s="412" t="s">
        <v>298</v>
      </c>
      <c r="C46" s="801">
        <v>386</v>
      </c>
      <c r="D46" s="801">
        <v>269</v>
      </c>
      <c r="E46" s="801">
        <v>655</v>
      </c>
      <c r="F46" s="801">
        <v>281</v>
      </c>
      <c r="G46" s="801">
        <v>356</v>
      </c>
      <c r="H46" s="801">
        <v>637</v>
      </c>
      <c r="I46" s="801">
        <v>663</v>
      </c>
      <c r="J46" s="801">
        <v>1032</v>
      </c>
      <c r="K46" s="801">
        <v>1695</v>
      </c>
      <c r="L46" s="801">
        <v>10</v>
      </c>
      <c r="M46" s="801">
        <v>8</v>
      </c>
      <c r="N46" s="801">
        <v>18</v>
      </c>
      <c r="O46" s="801">
        <v>20</v>
      </c>
      <c r="P46" s="801">
        <v>166</v>
      </c>
      <c r="Q46" s="801">
        <v>186</v>
      </c>
      <c r="R46" s="801">
        <v>1386</v>
      </c>
      <c r="S46" s="801">
        <v>1893</v>
      </c>
      <c r="T46" s="801">
        <v>3279</v>
      </c>
      <c r="U46" s="801">
        <v>25</v>
      </c>
      <c r="V46" s="801">
        <v>62</v>
      </c>
      <c r="W46" s="801">
        <v>87</v>
      </c>
    </row>
    <row r="47" spans="1:23">
      <c r="A47" s="1156">
        <v>7</v>
      </c>
      <c r="B47" s="403" t="s">
        <v>20</v>
      </c>
      <c r="C47" s="407"/>
      <c r="D47" s="408"/>
      <c r="E47" s="408"/>
      <c r="F47" s="408"/>
      <c r="G47" s="408"/>
      <c r="H47" s="409"/>
      <c r="I47" s="407"/>
      <c r="J47" s="408"/>
      <c r="K47" s="409"/>
      <c r="L47" s="407"/>
      <c r="M47" s="408"/>
      <c r="N47" s="408"/>
      <c r="O47" s="408"/>
      <c r="P47" s="408"/>
      <c r="Q47" s="409"/>
      <c r="R47" s="407"/>
      <c r="S47" s="408"/>
      <c r="T47" s="408"/>
      <c r="U47" s="408"/>
      <c r="V47" s="408"/>
      <c r="W47" s="409"/>
    </row>
    <row r="48" spans="1:23" s="410" customFormat="1">
      <c r="A48" s="1157"/>
      <c r="B48" s="396" t="s">
        <v>997</v>
      </c>
      <c r="C48" s="777">
        <v>1233</v>
      </c>
      <c r="D48" s="777">
        <v>686</v>
      </c>
      <c r="E48" s="777">
        <v>1919</v>
      </c>
      <c r="F48" s="777">
        <v>947</v>
      </c>
      <c r="G48" s="777">
        <v>651</v>
      </c>
      <c r="H48" s="777">
        <v>1598</v>
      </c>
      <c r="I48" s="777">
        <v>7327</v>
      </c>
      <c r="J48" s="777">
        <v>6529</v>
      </c>
      <c r="K48" s="777">
        <v>13856</v>
      </c>
      <c r="L48" s="777">
        <v>525</v>
      </c>
      <c r="M48" s="777">
        <v>1835</v>
      </c>
      <c r="N48" s="777">
        <v>2360</v>
      </c>
      <c r="O48" s="777">
        <v>1186</v>
      </c>
      <c r="P48" s="777">
        <v>1074</v>
      </c>
      <c r="Q48" s="777">
        <v>2260</v>
      </c>
      <c r="R48" s="777">
        <v>11299</v>
      </c>
      <c r="S48" s="777">
        <v>10864</v>
      </c>
      <c r="T48" s="777">
        <v>22163</v>
      </c>
      <c r="U48" s="777">
        <v>81</v>
      </c>
      <c r="V48" s="777">
        <v>89</v>
      </c>
      <c r="W48" s="777">
        <v>170</v>
      </c>
    </row>
    <row r="49" spans="1:24">
      <c r="A49" s="1157"/>
      <c r="B49" s="396" t="s">
        <v>301</v>
      </c>
      <c r="C49" s="772">
        <v>1184</v>
      </c>
      <c r="D49" s="772">
        <v>652</v>
      </c>
      <c r="E49" s="772">
        <v>1836</v>
      </c>
      <c r="F49" s="772">
        <v>986</v>
      </c>
      <c r="G49" s="772">
        <v>631</v>
      </c>
      <c r="H49" s="772">
        <v>1617</v>
      </c>
      <c r="I49" s="772">
        <v>7553</v>
      </c>
      <c r="J49" s="772">
        <v>6554</v>
      </c>
      <c r="K49" s="772">
        <v>14107</v>
      </c>
      <c r="L49" s="772">
        <v>531</v>
      </c>
      <c r="M49" s="772">
        <v>1775</v>
      </c>
      <c r="N49" s="772">
        <v>2306</v>
      </c>
      <c r="O49" s="772">
        <v>1090</v>
      </c>
      <c r="P49" s="772">
        <v>1069</v>
      </c>
      <c r="Q49" s="772">
        <v>2159</v>
      </c>
      <c r="R49" s="772">
        <v>11452</v>
      </c>
      <c r="S49" s="772">
        <v>10783</v>
      </c>
      <c r="T49" s="772">
        <v>22235</v>
      </c>
      <c r="U49" s="772">
        <v>108</v>
      </c>
      <c r="V49" s="772">
        <v>102</v>
      </c>
      <c r="W49" s="772">
        <v>210</v>
      </c>
    </row>
    <row r="50" spans="1:24">
      <c r="A50" s="1157"/>
      <c r="B50" s="411" t="s">
        <v>300</v>
      </c>
      <c r="C50" s="772">
        <v>1077</v>
      </c>
      <c r="D50" s="772">
        <v>579</v>
      </c>
      <c r="E50" s="772">
        <v>1656</v>
      </c>
      <c r="F50" s="772">
        <v>894</v>
      </c>
      <c r="G50" s="772">
        <v>513</v>
      </c>
      <c r="H50" s="772">
        <v>1407</v>
      </c>
      <c r="I50" s="772">
        <v>7388</v>
      </c>
      <c r="J50" s="772">
        <v>6029</v>
      </c>
      <c r="K50" s="772">
        <v>13417</v>
      </c>
      <c r="L50" s="772">
        <v>473</v>
      </c>
      <c r="M50" s="772">
        <v>1509</v>
      </c>
      <c r="N50" s="772">
        <v>1982</v>
      </c>
      <c r="O50" s="772">
        <v>948</v>
      </c>
      <c r="P50" s="772">
        <v>1023</v>
      </c>
      <c r="Q50" s="772">
        <v>1971</v>
      </c>
      <c r="R50" s="772">
        <v>10881</v>
      </c>
      <c r="S50" s="772">
        <v>9749</v>
      </c>
      <c r="T50" s="772">
        <v>20630</v>
      </c>
      <c r="U50" s="772">
        <v>101</v>
      </c>
      <c r="V50" s="772">
        <v>96</v>
      </c>
      <c r="W50" s="772">
        <v>197</v>
      </c>
    </row>
    <row r="51" spans="1:24">
      <c r="A51" s="1157"/>
      <c r="B51" s="411" t="s">
        <v>299</v>
      </c>
      <c r="C51" s="772">
        <v>1065</v>
      </c>
      <c r="D51" s="772">
        <v>571</v>
      </c>
      <c r="E51" s="772">
        <v>1636</v>
      </c>
      <c r="F51" s="772">
        <v>789</v>
      </c>
      <c r="G51" s="772">
        <v>443</v>
      </c>
      <c r="H51" s="772">
        <v>1232</v>
      </c>
      <c r="I51" s="772">
        <v>7109</v>
      </c>
      <c r="J51" s="772">
        <v>5671</v>
      </c>
      <c r="K51" s="772">
        <v>12780</v>
      </c>
      <c r="L51" s="772">
        <v>522</v>
      </c>
      <c r="M51" s="772">
        <v>1514</v>
      </c>
      <c r="N51" s="772">
        <v>2036</v>
      </c>
      <c r="O51" s="772">
        <v>854</v>
      </c>
      <c r="P51" s="772">
        <v>950</v>
      </c>
      <c r="Q51" s="772">
        <v>1804</v>
      </c>
      <c r="R51" s="772">
        <v>10421</v>
      </c>
      <c r="S51" s="772">
        <v>9219</v>
      </c>
      <c r="T51" s="772">
        <v>19640</v>
      </c>
      <c r="U51" s="772">
        <v>82</v>
      </c>
      <c r="V51" s="772">
        <v>70</v>
      </c>
      <c r="W51" s="772">
        <v>152</v>
      </c>
      <c r="X51" s="341"/>
    </row>
    <row r="52" spans="1:24">
      <c r="A52" s="1158"/>
      <c r="B52" s="412" t="s">
        <v>298</v>
      </c>
      <c r="C52" s="801">
        <v>1085</v>
      </c>
      <c r="D52" s="801">
        <v>564</v>
      </c>
      <c r="E52" s="801">
        <v>1649</v>
      </c>
      <c r="F52" s="801">
        <v>800</v>
      </c>
      <c r="G52" s="801">
        <v>395</v>
      </c>
      <c r="H52" s="801">
        <v>1195</v>
      </c>
      <c r="I52" s="801">
        <v>6635</v>
      </c>
      <c r="J52" s="801">
        <v>5188</v>
      </c>
      <c r="K52" s="801">
        <v>11823</v>
      </c>
      <c r="L52" s="801">
        <v>535</v>
      </c>
      <c r="M52" s="801">
        <v>1465</v>
      </c>
      <c r="N52" s="801">
        <v>2000</v>
      </c>
      <c r="O52" s="801">
        <v>855</v>
      </c>
      <c r="P52" s="801">
        <v>980</v>
      </c>
      <c r="Q52" s="801">
        <v>1835</v>
      </c>
      <c r="R52" s="801">
        <v>9966</v>
      </c>
      <c r="S52" s="801">
        <v>8667</v>
      </c>
      <c r="T52" s="801">
        <v>18633</v>
      </c>
      <c r="U52" s="801">
        <v>56</v>
      </c>
      <c r="V52" s="801">
        <v>75</v>
      </c>
      <c r="W52" s="801">
        <v>131</v>
      </c>
    </row>
    <row r="53" spans="1:24">
      <c r="A53" s="907">
        <v>8</v>
      </c>
      <c r="B53" s="403" t="s">
        <v>23</v>
      </c>
      <c r="C53" s="407"/>
      <c r="D53" s="408"/>
      <c r="E53" s="408"/>
      <c r="F53" s="408"/>
      <c r="G53" s="408"/>
      <c r="H53" s="409"/>
      <c r="I53" s="407"/>
      <c r="J53" s="408"/>
      <c r="K53" s="409"/>
      <c r="L53" s="407"/>
      <c r="M53" s="408"/>
      <c r="N53" s="408"/>
      <c r="O53" s="408"/>
      <c r="P53" s="408"/>
      <c r="Q53" s="409"/>
      <c r="R53" s="407"/>
      <c r="S53" s="408"/>
      <c r="T53" s="408"/>
      <c r="U53" s="408"/>
      <c r="V53" s="408"/>
      <c r="W53" s="409"/>
    </row>
    <row r="54" spans="1:24" s="410" customFormat="1">
      <c r="A54" s="907"/>
      <c r="B54" s="396" t="s">
        <v>997</v>
      </c>
      <c r="C54" s="105">
        <v>2404</v>
      </c>
      <c r="D54" s="105">
        <v>1415</v>
      </c>
      <c r="E54" s="105">
        <v>3819</v>
      </c>
      <c r="F54" s="105">
        <v>1838</v>
      </c>
      <c r="G54" s="105">
        <v>2519</v>
      </c>
      <c r="H54" s="105">
        <v>4357</v>
      </c>
      <c r="I54" s="105">
        <v>5291</v>
      </c>
      <c r="J54" s="105">
        <v>6879</v>
      </c>
      <c r="K54" s="105">
        <v>12170</v>
      </c>
      <c r="L54" s="105">
        <v>136</v>
      </c>
      <c r="M54" s="105">
        <v>401</v>
      </c>
      <c r="N54" s="105">
        <v>537</v>
      </c>
      <c r="O54" s="105">
        <v>464</v>
      </c>
      <c r="P54" s="105">
        <v>620</v>
      </c>
      <c r="Q54" s="105">
        <v>1084</v>
      </c>
      <c r="R54" s="105">
        <v>10196</v>
      </c>
      <c r="S54" s="105">
        <v>11875</v>
      </c>
      <c r="T54" s="105">
        <v>22071</v>
      </c>
      <c r="U54" s="105">
        <v>63</v>
      </c>
      <c r="V54" s="105">
        <v>41</v>
      </c>
      <c r="W54" s="105">
        <v>104</v>
      </c>
    </row>
    <row r="55" spans="1:24">
      <c r="A55" s="907"/>
      <c r="B55" s="396" t="s">
        <v>301</v>
      </c>
      <c r="C55" s="339">
        <v>2333</v>
      </c>
      <c r="D55" s="339">
        <v>1234</v>
      </c>
      <c r="E55" s="339">
        <v>3567</v>
      </c>
      <c r="F55" s="339">
        <v>1749</v>
      </c>
      <c r="G55" s="339">
        <v>2326</v>
      </c>
      <c r="H55" s="339">
        <v>4075</v>
      </c>
      <c r="I55" s="339">
        <v>5213</v>
      </c>
      <c r="J55" s="339">
        <v>6958</v>
      </c>
      <c r="K55" s="339">
        <v>12171</v>
      </c>
      <c r="L55" s="339">
        <v>165</v>
      </c>
      <c r="M55" s="339">
        <v>427</v>
      </c>
      <c r="N55" s="339">
        <v>592</v>
      </c>
      <c r="O55" s="339">
        <v>474</v>
      </c>
      <c r="P55" s="339">
        <v>759</v>
      </c>
      <c r="Q55" s="339">
        <v>1233</v>
      </c>
      <c r="R55" s="339">
        <v>10008</v>
      </c>
      <c r="S55" s="339">
        <v>11754</v>
      </c>
      <c r="T55" s="339">
        <v>21762</v>
      </c>
      <c r="U55" s="339">
        <v>74</v>
      </c>
      <c r="V55" s="339">
        <v>50</v>
      </c>
      <c r="W55" s="339">
        <v>124</v>
      </c>
    </row>
    <row r="56" spans="1:24">
      <c r="A56" s="907"/>
      <c r="B56" s="411" t="s">
        <v>300</v>
      </c>
      <c r="C56" s="339">
        <v>2046</v>
      </c>
      <c r="D56" s="339">
        <v>1051</v>
      </c>
      <c r="E56" s="339">
        <v>3097</v>
      </c>
      <c r="F56" s="339">
        <v>1671</v>
      </c>
      <c r="G56" s="339">
        <v>2283</v>
      </c>
      <c r="H56" s="339">
        <v>3954</v>
      </c>
      <c r="I56" s="339">
        <v>5016</v>
      </c>
      <c r="J56" s="339">
        <v>6781</v>
      </c>
      <c r="K56" s="339">
        <v>11797</v>
      </c>
      <c r="L56" s="339">
        <v>142</v>
      </c>
      <c r="M56" s="339">
        <v>438</v>
      </c>
      <c r="N56" s="339">
        <v>580</v>
      </c>
      <c r="O56" s="339">
        <v>397</v>
      </c>
      <c r="P56" s="339">
        <v>696</v>
      </c>
      <c r="Q56" s="339">
        <v>1093</v>
      </c>
      <c r="R56" s="339">
        <v>9349</v>
      </c>
      <c r="S56" s="339">
        <v>11298</v>
      </c>
      <c r="T56" s="339">
        <v>20647</v>
      </c>
      <c r="U56" s="339">
        <v>77</v>
      </c>
      <c r="V56" s="339">
        <v>49</v>
      </c>
      <c r="W56" s="339">
        <v>126</v>
      </c>
    </row>
    <row r="57" spans="1:24">
      <c r="A57" s="907"/>
      <c r="B57" s="411" t="s">
        <v>299</v>
      </c>
      <c r="C57" s="339">
        <v>1488</v>
      </c>
      <c r="D57" s="339">
        <v>760</v>
      </c>
      <c r="E57" s="339">
        <v>2248</v>
      </c>
      <c r="F57" s="339">
        <v>1456</v>
      </c>
      <c r="G57" s="339">
        <v>2122</v>
      </c>
      <c r="H57" s="339">
        <v>3578</v>
      </c>
      <c r="I57" s="339">
        <v>4255</v>
      </c>
      <c r="J57" s="339">
        <v>5965</v>
      </c>
      <c r="K57" s="339">
        <v>10220</v>
      </c>
      <c r="L57" s="339">
        <v>124</v>
      </c>
      <c r="M57" s="339">
        <v>383</v>
      </c>
      <c r="N57" s="339">
        <v>507</v>
      </c>
      <c r="O57" s="339">
        <v>321</v>
      </c>
      <c r="P57" s="339">
        <v>576</v>
      </c>
      <c r="Q57" s="339">
        <v>897</v>
      </c>
      <c r="R57" s="339">
        <v>7675</v>
      </c>
      <c r="S57" s="339">
        <v>9837</v>
      </c>
      <c r="T57" s="339">
        <v>17512</v>
      </c>
      <c r="U57" s="339">
        <v>31</v>
      </c>
      <c r="V57" s="339">
        <v>31</v>
      </c>
      <c r="W57" s="339">
        <v>62</v>
      </c>
    </row>
    <row r="58" spans="1:24">
      <c r="A58" s="907"/>
      <c r="B58" s="412" t="s">
        <v>298</v>
      </c>
      <c r="C58" s="340">
        <v>1701</v>
      </c>
      <c r="D58" s="340">
        <v>824</v>
      </c>
      <c r="E58" s="340">
        <v>2525</v>
      </c>
      <c r="F58" s="340">
        <v>1771</v>
      </c>
      <c r="G58" s="340">
        <v>2320</v>
      </c>
      <c r="H58" s="340">
        <v>4091</v>
      </c>
      <c r="I58" s="340">
        <v>4302</v>
      </c>
      <c r="J58" s="340">
        <v>5766</v>
      </c>
      <c r="K58" s="340">
        <v>10068</v>
      </c>
      <c r="L58" s="340">
        <v>117</v>
      </c>
      <c r="M58" s="340">
        <v>426</v>
      </c>
      <c r="N58" s="340">
        <v>543</v>
      </c>
      <c r="O58" s="340">
        <v>258</v>
      </c>
      <c r="P58" s="340">
        <v>481</v>
      </c>
      <c r="Q58" s="340">
        <v>739</v>
      </c>
      <c r="R58" s="340">
        <v>8218</v>
      </c>
      <c r="S58" s="340">
        <v>9854</v>
      </c>
      <c r="T58" s="340">
        <v>18072</v>
      </c>
      <c r="U58" s="340">
        <v>56</v>
      </c>
      <c r="V58" s="340">
        <v>37</v>
      </c>
      <c r="W58" s="340">
        <v>93</v>
      </c>
    </row>
    <row r="59" spans="1:24">
      <c r="A59" s="907">
        <v>9</v>
      </c>
      <c r="B59" s="403" t="s">
        <v>24</v>
      </c>
      <c r="C59" s="407"/>
      <c r="D59" s="408"/>
      <c r="E59" s="408"/>
      <c r="F59" s="408"/>
      <c r="G59" s="408"/>
      <c r="H59" s="409"/>
      <c r="I59" s="407"/>
      <c r="J59" s="408"/>
      <c r="K59" s="409"/>
      <c r="L59" s="407"/>
      <c r="M59" s="408"/>
      <c r="N59" s="408"/>
      <c r="O59" s="408"/>
      <c r="P59" s="408"/>
      <c r="Q59" s="409"/>
      <c r="R59" s="407"/>
      <c r="S59" s="408"/>
      <c r="T59" s="408"/>
      <c r="U59" s="408"/>
      <c r="V59" s="408"/>
      <c r="W59" s="409"/>
    </row>
    <row r="60" spans="1:24" s="410" customFormat="1">
      <c r="A60" s="907"/>
      <c r="B60" s="396" t="s">
        <v>997</v>
      </c>
      <c r="C60" s="105">
        <v>202</v>
      </c>
      <c r="D60" s="105">
        <v>65</v>
      </c>
      <c r="E60" s="105">
        <v>267</v>
      </c>
      <c r="F60" s="105">
        <v>245</v>
      </c>
      <c r="G60" s="105">
        <v>278</v>
      </c>
      <c r="H60" s="105">
        <v>523</v>
      </c>
      <c r="I60" s="105">
        <v>895</v>
      </c>
      <c r="J60" s="105">
        <v>1499</v>
      </c>
      <c r="K60" s="105">
        <v>2394</v>
      </c>
      <c r="L60" s="105">
        <v>18</v>
      </c>
      <c r="M60" s="105">
        <v>44</v>
      </c>
      <c r="N60" s="105">
        <v>62</v>
      </c>
      <c r="O60" s="105">
        <v>137</v>
      </c>
      <c r="P60" s="105">
        <v>106</v>
      </c>
      <c r="Q60" s="105">
        <v>243</v>
      </c>
      <c r="R60" s="105">
        <v>1519</v>
      </c>
      <c r="S60" s="105">
        <v>2038</v>
      </c>
      <c r="T60" s="105">
        <v>3557</v>
      </c>
      <c r="U60" s="105">
        <v>22</v>
      </c>
      <c r="V60" s="105">
        <v>46</v>
      </c>
      <c r="W60" s="105">
        <v>68</v>
      </c>
    </row>
    <row r="61" spans="1:24">
      <c r="A61" s="907"/>
      <c r="B61" s="396" t="s">
        <v>301</v>
      </c>
      <c r="C61" s="339">
        <v>171</v>
      </c>
      <c r="D61" s="339">
        <v>56</v>
      </c>
      <c r="E61" s="339">
        <v>227</v>
      </c>
      <c r="F61" s="339">
        <v>272</v>
      </c>
      <c r="G61" s="339">
        <v>286</v>
      </c>
      <c r="H61" s="339">
        <v>558</v>
      </c>
      <c r="I61" s="339">
        <v>1138</v>
      </c>
      <c r="J61" s="339">
        <v>1345</v>
      </c>
      <c r="K61" s="339">
        <v>2483</v>
      </c>
      <c r="L61" s="339">
        <v>14</v>
      </c>
      <c r="M61" s="339">
        <v>45</v>
      </c>
      <c r="N61" s="339">
        <v>59</v>
      </c>
      <c r="O61" s="339">
        <v>51</v>
      </c>
      <c r="P61" s="339">
        <v>162</v>
      </c>
      <c r="Q61" s="339">
        <v>213</v>
      </c>
      <c r="R61" s="339">
        <v>1671</v>
      </c>
      <c r="S61" s="339">
        <v>1968</v>
      </c>
      <c r="T61" s="339">
        <v>3639</v>
      </c>
      <c r="U61" s="339">
        <v>25</v>
      </c>
      <c r="V61" s="339">
        <v>74</v>
      </c>
      <c r="W61" s="339">
        <v>99</v>
      </c>
    </row>
    <row r="62" spans="1:24">
      <c r="A62" s="907"/>
      <c r="B62" s="411" t="s">
        <v>300</v>
      </c>
      <c r="C62" s="339">
        <v>161</v>
      </c>
      <c r="D62" s="339">
        <v>48</v>
      </c>
      <c r="E62" s="339">
        <v>209</v>
      </c>
      <c r="F62" s="339">
        <v>259</v>
      </c>
      <c r="G62" s="339">
        <v>284</v>
      </c>
      <c r="H62" s="339">
        <v>543</v>
      </c>
      <c r="I62" s="339">
        <v>1055</v>
      </c>
      <c r="J62" s="339">
        <v>1251</v>
      </c>
      <c r="K62" s="339">
        <v>2306</v>
      </c>
      <c r="L62" s="339">
        <v>14</v>
      </c>
      <c r="M62" s="339">
        <v>42</v>
      </c>
      <c r="N62" s="339">
        <v>56</v>
      </c>
      <c r="O62" s="339">
        <v>51</v>
      </c>
      <c r="P62" s="339">
        <v>151</v>
      </c>
      <c r="Q62" s="339">
        <v>202</v>
      </c>
      <c r="R62" s="339">
        <v>1559</v>
      </c>
      <c r="S62" s="339">
        <v>1859</v>
      </c>
      <c r="T62" s="339">
        <v>3418</v>
      </c>
      <c r="U62" s="339">
        <v>19</v>
      </c>
      <c r="V62" s="339">
        <v>83</v>
      </c>
      <c r="W62" s="339">
        <v>102</v>
      </c>
    </row>
    <row r="63" spans="1:24">
      <c r="A63" s="907"/>
      <c r="B63" s="411" t="s">
        <v>299</v>
      </c>
      <c r="C63" s="339">
        <v>137</v>
      </c>
      <c r="D63" s="339">
        <v>47</v>
      </c>
      <c r="E63" s="339">
        <v>184</v>
      </c>
      <c r="F63" s="339">
        <v>253</v>
      </c>
      <c r="G63" s="339">
        <v>259</v>
      </c>
      <c r="H63" s="339">
        <v>512</v>
      </c>
      <c r="I63" s="339">
        <v>812</v>
      </c>
      <c r="J63" s="339">
        <v>973</v>
      </c>
      <c r="K63" s="339">
        <v>1785</v>
      </c>
      <c r="L63" s="339">
        <v>13</v>
      </c>
      <c r="M63" s="339">
        <v>43</v>
      </c>
      <c r="N63" s="339">
        <v>56</v>
      </c>
      <c r="O63" s="339">
        <v>61</v>
      </c>
      <c r="P63" s="339">
        <v>153</v>
      </c>
      <c r="Q63" s="339">
        <v>214</v>
      </c>
      <c r="R63" s="339">
        <v>1301</v>
      </c>
      <c r="S63" s="339">
        <v>1588</v>
      </c>
      <c r="T63" s="339">
        <v>2889</v>
      </c>
      <c r="U63" s="339">
        <v>25</v>
      </c>
      <c r="V63" s="339">
        <v>113</v>
      </c>
      <c r="W63" s="339">
        <v>138</v>
      </c>
    </row>
    <row r="64" spans="1:24">
      <c r="A64" s="907"/>
      <c r="B64" s="412" t="s">
        <v>298</v>
      </c>
      <c r="C64" s="340">
        <v>155</v>
      </c>
      <c r="D64" s="340">
        <v>49</v>
      </c>
      <c r="E64" s="340">
        <v>204</v>
      </c>
      <c r="F64" s="340">
        <v>269</v>
      </c>
      <c r="G64" s="340">
        <v>251</v>
      </c>
      <c r="H64" s="340">
        <v>520</v>
      </c>
      <c r="I64" s="340">
        <v>804</v>
      </c>
      <c r="J64" s="340">
        <v>876</v>
      </c>
      <c r="K64" s="340">
        <v>1680</v>
      </c>
      <c r="L64" s="340">
        <v>15</v>
      </c>
      <c r="M64" s="340">
        <v>42</v>
      </c>
      <c r="N64" s="340">
        <v>57</v>
      </c>
      <c r="O64" s="340">
        <v>44</v>
      </c>
      <c r="P64" s="340">
        <v>107</v>
      </c>
      <c r="Q64" s="340">
        <v>151</v>
      </c>
      <c r="R64" s="340">
        <v>1315</v>
      </c>
      <c r="S64" s="340">
        <v>1421</v>
      </c>
      <c r="T64" s="340">
        <v>2736</v>
      </c>
      <c r="U64" s="340">
        <v>28</v>
      </c>
      <c r="V64" s="340">
        <v>96</v>
      </c>
      <c r="W64" s="340">
        <v>124</v>
      </c>
    </row>
    <row r="65" spans="1:23">
      <c r="A65" s="907">
        <v>10</v>
      </c>
      <c r="B65" s="403" t="s">
        <v>25</v>
      </c>
      <c r="C65" s="407"/>
      <c r="D65" s="408"/>
      <c r="E65" s="408"/>
      <c r="F65" s="408"/>
      <c r="G65" s="408"/>
      <c r="H65" s="409"/>
      <c r="I65" s="407"/>
      <c r="J65" s="408"/>
      <c r="K65" s="409"/>
      <c r="L65" s="407"/>
      <c r="M65" s="408"/>
      <c r="N65" s="408"/>
      <c r="O65" s="408"/>
      <c r="P65" s="408"/>
      <c r="Q65" s="409"/>
      <c r="R65" s="407"/>
      <c r="S65" s="408"/>
      <c r="T65" s="408"/>
      <c r="U65" s="408"/>
      <c r="V65" s="408"/>
      <c r="W65" s="409"/>
    </row>
    <row r="66" spans="1:23" s="410" customFormat="1">
      <c r="A66" s="907"/>
      <c r="B66" s="396" t="s">
        <v>997</v>
      </c>
      <c r="C66" s="105">
        <v>4096</v>
      </c>
      <c r="D66" s="105">
        <v>1619</v>
      </c>
      <c r="E66" s="105">
        <v>5715</v>
      </c>
      <c r="F66" s="105">
        <v>5094</v>
      </c>
      <c r="G66" s="105">
        <v>2554</v>
      </c>
      <c r="H66" s="105">
        <v>7648</v>
      </c>
      <c r="I66" s="105">
        <v>22208</v>
      </c>
      <c r="J66" s="105">
        <v>14879</v>
      </c>
      <c r="K66" s="105">
        <v>37087</v>
      </c>
      <c r="L66" s="105">
        <v>1605</v>
      </c>
      <c r="M66" s="105">
        <v>3879</v>
      </c>
      <c r="N66" s="105">
        <v>5484</v>
      </c>
      <c r="O66" s="105">
        <v>1139</v>
      </c>
      <c r="P66" s="105">
        <v>1316</v>
      </c>
      <c r="Q66" s="105">
        <v>2455</v>
      </c>
      <c r="R66" s="105">
        <v>35408</v>
      </c>
      <c r="S66" s="105">
        <v>25197</v>
      </c>
      <c r="T66" s="105">
        <v>60605</v>
      </c>
      <c r="U66" s="105">
        <v>1266</v>
      </c>
      <c r="V66" s="105">
        <v>950</v>
      </c>
      <c r="W66" s="105">
        <v>2216</v>
      </c>
    </row>
    <row r="67" spans="1:23">
      <c r="A67" s="907"/>
      <c r="B67" s="396" t="s">
        <v>301</v>
      </c>
      <c r="C67" s="339">
        <v>4161</v>
      </c>
      <c r="D67" s="339">
        <v>1540</v>
      </c>
      <c r="E67" s="339">
        <v>5701</v>
      </c>
      <c r="F67" s="339">
        <v>5138</v>
      </c>
      <c r="G67" s="339">
        <v>2598</v>
      </c>
      <c r="H67" s="339">
        <v>7736</v>
      </c>
      <c r="I67" s="339">
        <v>22191</v>
      </c>
      <c r="J67" s="339">
        <v>14555</v>
      </c>
      <c r="K67" s="339">
        <v>36746</v>
      </c>
      <c r="L67" s="339">
        <v>1461</v>
      </c>
      <c r="M67" s="339">
        <v>3549</v>
      </c>
      <c r="N67" s="339">
        <v>5010</v>
      </c>
      <c r="O67" s="339">
        <v>1251</v>
      </c>
      <c r="P67" s="339">
        <v>1465</v>
      </c>
      <c r="Q67" s="339">
        <v>2716</v>
      </c>
      <c r="R67" s="339">
        <v>35627</v>
      </c>
      <c r="S67" s="339">
        <v>24761</v>
      </c>
      <c r="T67" s="339">
        <v>60388</v>
      </c>
      <c r="U67" s="339">
        <v>1425</v>
      </c>
      <c r="V67" s="339">
        <v>1054</v>
      </c>
      <c r="W67" s="339">
        <v>2479</v>
      </c>
    </row>
    <row r="68" spans="1:23">
      <c r="A68" s="907"/>
      <c r="B68" s="411" t="s">
        <v>300</v>
      </c>
      <c r="C68" s="339">
        <v>3955</v>
      </c>
      <c r="D68" s="339">
        <v>1387</v>
      </c>
      <c r="E68" s="339">
        <v>5342</v>
      </c>
      <c r="F68" s="339">
        <v>4862</v>
      </c>
      <c r="G68" s="339">
        <v>2446</v>
      </c>
      <c r="H68" s="339">
        <v>7308</v>
      </c>
      <c r="I68" s="339">
        <v>21900</v>
      </c>
      <c r="J68" s="339">
        <v>13756</v>
      </c>
      <c r="K68" s="339">
        <v>35656</v>
      </c>
      <c r="L68" s="339">
        <v>1183</v>
      </c>
      <c r="M68" s="339">
        <v>3192</v>
      </c>
      <c r="N68" s="339">
        <v>4375</v>
      </c>
      <c r="O68" s="339">
        <v>1282</v>
      </c>
      <c r="P68" s="339">
        <v>1389</v>
      </c>
      <c r="Q68" s="339">
        <v>2671</v>
      </c>
      <c r="R68" s="339">
        <v>34459</v>
      </c>
      <c r="S68" s="339">
        <v>23070</v>
      </c>
      <c r="T68" s="339">
        <v>57529</v>
      </c>
      <c r="U68" s="339">
        <v>1277</v>
      </c>
      <c r="V68" s="339">
        <v>900</v>
      </c>
      <c r="W68" s="339">
        <v>2177</v>
      </c>
    </row>
    <row r="69" spans="1:23" ht="13.5" customHeight="1">
      <c r="A69" s="907"/>
      <c r="B69" s="411" t="s">
        <v>299</v>
      </c>
      <c r="C69" s="339">
        <v>3609</v>
      </c>
      <c r="D69" s="339">
        <v>1225</v>
      </c>
      <c r="E69" s="339">
        <v>4834</v>
      </c>
      <c r="F69" s="339">
        <v>4645</v>
      </c>
      <c r="G69" s="339">
        <v>2283</v>
      </c>
      <c r="H69" s="339">
        <v>6928</v>
      </c>
      <c r="I69" s="339">
        <v>21073</v>
      </c>
      <c r="J69" s="339">
        <v>12818</v>
      </c>
      <c r="K69" s="339">
        <v>33891</v>
      </c>
      <c r="L69" s="339">
        <v>1036</v>
      </c>
      <c r="M69" s="339">
        <v>2884</v>
      </c>
      <c r="N69" s="339">
        <v>3920</v>
      </c>
      <c r="O69" s="339">
        <v>1308</v>
      </c>
      <c r="P69" s="339">
        <v>1400</v>
      </c>
      <c r="Q69" s="339">
        <v>2708</v>
      </c>
      <c r="R69" s="339">
        <v>32825</v>
      </c>
      <c r="S69" s="339">
        <v>21438</v>
      </c>
      <c r="T69" s="339">
        <v>54263</v>
      </c>
      <c r="U69" s="339">
        <v>1154</v>
      </c>
      <c r="V69" s="339">
        <v>828</v>
      </c>
      <c r="W69" s="339">
        <v>1982</v>
      </c>
    </row>
    <row r="70" spans="1:23">
      <c r="A70" s="907"/>
      <c r="B70" s="412" t="s">
        <v>298</v>
      </c>
      <c r="C70" s="340">
        <v>3452</v>
      </c>
      <c r="D70" s="340">
        <v>1144</v>
      </c>
      <c r="E70" s="340">
        <v>4596</v>
      </c>
      <c r="F70" s="340">
        <v>4353</v>
      </c>
      <c r="G70" s="340">
        <v>2049</v>
      </c>
      <c r="H70" s="340">
        <v>6402</v>
      </c>
      <c r="I70" s="340">
        <v>20888</v>
      </c>
      <c r="J70" s="340">
        <v>12072</v>
      </c>
      <c r="K70" s="340">
        <v>32960</v>
      </c>
      <c r="L70" s="340">
        <v>875</v>
      </c>
      <c r="M70" s="340">
        <v>2310</v>
      </c>
      <c r="N70" s="340">
        <v>3185</v>
      </c>
      <c r="O70" s="340">
        <v>1326</v>
      </c>
      <c r="P70" s="340">
        <v>1264</v>
      </c>
      <c r="Q70" s="340">
        <v>2590</v>
      </c>
      <c r="R70" s="340">
        <v>31878</v>
      </c>
      <c r="S70" s="340">
        <v>19555</v>
      </c>
      <c r="T70" s="340">
        <v>51433</v>
      </c>
      <c r="U70" s="340">
        <v>984</v>
      </c>
      <c r="V70" s="340">
        <v>716</v>
      </c>
      <c r="W70" s="340">
        <v>1700</v>
      </c>
    </row>
    <row r="71" spans="1:23">
      <c r="A71" s="907">
        <v>11</v>
      </c>
      <c r="B71" s="403" t="s">
        <v>26</v>
      </c>
      <c r="C71" s="407"/>
      <c r="D71" s="408"/>
      <c r="E71" s="408"/>
      <c r="F71" s="408"/>
      <c r="G71" s="408"/>
      <c r="H71" s="409"/>
      <c r="I71" s="407"/>
      <c r="J71" s="408"/>
      <c r="K71" s="409"/>
      <c r="L71" s="407"/>
      <c r="M71" s="408"/>
      <c r="N71" s="408"/>
      <c r="O71" s="408"/>
      <c r="P71" s="408"/>
      <c r="Q71" s="409"/>
      <c r="R71" s="407"/>
      <c r="S71" s="408"/>
      <c r="T71" s="408"/>
      <c r="U71" s="408"/>
      <c r="V71" s="408"/>
      <c r="W71" s="409"/>
    </row>
    <row r="72" spans="1:23" s="410" customFormat="1">
      <c r="A72" s="907"/>
      <c r="B72" s="396" t="s">
        <v>997</v>
      </c>
      <c r="C72" s="105">
        <v>2435</v>
      </c>
      <c r="D72" s="105">
        <v>1157</v>
      </c>
      <c r="E72" s="105">
        <v>3592</v>
      </c>
      <c r="F72" s="105">
        <v>2168</v>
      </c>
      <c r="G72" s="105">
        <v>2016</v>
      </c>
      <c r="H72" s="105">
        <v>4184</v>
      </c>
      <c r="I72" s="105">
        <v>12746</v>
      </c>
      <c r="J72" s="105">
        <v>15123</v>
      </c>
      <c r="K72" s="105">
        <v>27869</v>
      </c>
      <c r="L72" s="105">
        <v>334</v>
      </c>
      <c r="M72" s="105">
        <v>1229</v>
      </c>
      <c r="N72" s="105">
        <v>1563</v>
      </c>
      <c r="O72" s="105">
        <v>538</v>
      </c>
      <c r="P72" s="105">
        <v>1025</v>
      </c>
      <c r="Q72" s="105">
        <v>1563</v>
      </c>
      <c r="R72" s="105">
        <v>18467</v>
      </c>
      <c r="S72" s="105">
        <v>20789</v>
      </c>
      <c r="T72" s="105">
        <v>39256</v>
      </c>
      <c r="U72" s="105">
        <v>246</v>
      </c>
      <c r="V72" s="105">
        <v>239</v>
      </c>
      <c r="W72" s="105">
        <v>485</v>
      </c>
    </row>
    <row r="73" spans="1:23">
      <c r="A73" s="907"/>
      <c r="B73" s="396" t="s">
        <v>301</v>
      </c>
      <c r="C73" s="339">
        <v>2396</v>
      </c>
      <c r="D73" s="339">
        <v>1054</v>
      </c>
      <c r="E73" s="339">
        <v>3450</v>
      </c>
      <c r="F73" s="339">
        <v>2220</v>
      </c>
      <c r="G73" s="339">
        <v>2035</v>
      </c>
      <c r="H73" s="339">
        <v>4255</v>
      </c>
      <c r="I73" s="339">
        <v>12789</v>
      </c>
      <c r="J73" s="339">
        <v>15185</v>
      </c>
      <c r="K73" s="339">
        <v>27974</v>
      </c>
      <c r="L73" s="339">
        <v>426</v>
      </c>
      <c r="M73" s="339">
        <v>1195</v>
      </c>
      <c r="N73" s="339">
        <v>1621</v>
      </c>
      <c r="O73" s="339">
        <v>451</v>
      </c>
      <c r="P73" s="339">
        <v>939</v>
      </c>
      <c r="Q73" s="339">
        <v>1390</v>
      </c>
      <c r="R73" s="339">
        <v>18541</v>
      </c>
      <c r="S73" s="339">
        <v>20690</v>
      </c>
      <c r="T73" s="339">
        <v>39231</v>
      </c>
      <c r="U73" s="339">
        <v>259</v>
      </c>
      <c r="V73" s="339">
        <v>282</v>
      </c>
      <c r="W73" s="339">
        <v>541</v>
      </c>
    </row>
    <row r="74" spans="1:23">
      <c r="A74" s="907"/>
      <c r="B74" s="411" t="s">
        <v>300</v>
      </c>
      <c r="C74" s="339">
        <v>2290</v>
      </c>
      <c r="D74" s="339">
        <v>1021</v>
      </c>
      <c r="E74" s="339">
        <v>3311</v>
      </c>
      <c r="F74" s="339">
        <v>2157</v>
      </c>
      <c r="G74" s="339">
        <v>2066</v>
      </c>
      <c r="H74" s="339">
        <v>4223</v>
      </c>
      <c r="I74" s="339">
        <v>11575</v>
      </c>
      <c r="J74" s="339">
        <v>13363</v>
      </c>
      <c r="K74" s="339">
        <v>24938</v>
      </c>
      <c r="L74" s="339">
        <v>365</v>
      </c>
      <c r="M74" s="339">
        <v>992</v>
      </c>
      <c r="N74" s="339">
        <v>1357</v>
      </c>
      <c r="O74" s="339">
        <v>426</v>
      </c>
      <c r="P74" s="339">
        <v>913</v>
      </c>
      <c r="Q74" s="339">
        <v>1339</v>
      </c>
      <c r="R74" s="339">
        <v>17061</v>
      </c>
      <c r="S74" s="339">
        <v>18616</v>
      </c>
      <c r="T74" s="339">
        <v>35677</v>
      </c>
      <c r="U74" s="339">
        <v>248</v>
      </c>
      <c r="V74" s="339">
        <v>261</v>
      </c>
      <c r="W74" s="339">
        <v>509</v>
      </c>
    </row>
    <row r="75" spans="1:23">
      <c r="A75" s="907"/>
      <c r="B75" s="411" t="s">
        <v>299</v>
      </c>
      <c r="C75" s="339">
        <v>2055</v>
      </c>
      <c r="D75" s="339">
        <v>906</v>
      </c>
      <c r="E75" s="339">
        <v>2961</v>
      </c>
      <c r="F75" s="339">
        <v>1978</v>
      </c>
      <c r="G75" s="339">
        <v>1852</v>
      </c>
      <c r="H75" s="339">
        <v>3830</v>
      </c>
      <c r="I75" s="339">
        <v>9851</v>
      </c>
      <c r="J75" s="339">
        <v>11496</v>
      </c>
      <c r="K75" s="339">
        <v>21347</v>
      </c>
      <c r="L75" s="339">
        <v>326</v>
      </c>
      <c r="M75" s="339">
        <v>835</v>
      </c>
      <c r="N75" s="339">
        <v>1161</v>
      </c>
      <c r="O75" s="339">
        <v>363</v>
      </c>
      <c r="P75" s="339">
        <v>922</v>
      </c>
      <c r="Q75" s="339">
        <v>1285</v>
      </c>
      <c r="R75" s="339">
        <v>14794</v>
      </c>
      <c r="S75" s="339">
        <v>16274</v>
      </c>
      <c r="T75" s="339">
        <v>31068</v>
      </c>
      <c r="U75" s="339">
        <v>221</v>
      </c>
      <c r="V75" s="339">
        <v>263</v>
      </c>
      <c r="W75" s="339">
        <v>484</v>
      </c>
    </row>
    <row r="76" spans="1:23">
      <c r="A76" s="907"/>
      <c r="B76" s="412" t="s">
        <v>298</v>
      </c>
      <c r="C76" s="340">
        <v>2320</v>
      </c>
      <c r="D76" s="340">
        <v>932</v>
      </c>
      <c r="E76" s="340">
        <v>3252</v>
      </c>
      <c r="F76" s="340">
        <v>2179</v>
      </c>
      <c r="G76" s="340">
        <v>2070</v>
      </c>
      <c r="H76" s="340">
        <v>4249</v>
      </c>
      <c r="I76" s="340">
        <v>12493</v>
      </c>
      <c r="J76" s="340">
        <v>12496</v>
      </c>
      <c r="K76" s="340">
        <v>24989</v>
      </c>
      <c r="L76" s="340">
        <v>579</v>
      </c>
      <c r="M76" s="340">
        <v>983</v>
      </c>
      <c r="N76" s="340">
        <v>1562</v>
      </c>
      <c r="O76" s="340">
        <v>301</v>
      </c>
      <c r="P76" s="340">
        <v>957</v>
      </c>
      <c r="Q76" s="340">
        <v>1258</v>
      </c>
      <c r="R76" s="340">
        <v>18168</v>
      </c>
      <c r="S76" s="340">
        <v>17825</v>
      </c>
      <c r="T76" s="340">
        <v>35993</v>
      </c>
      <c r="U76" s="340">
        <v>295</v>
      </c>
      <c r="V76" s="340">
        <v>387</v>
      </c>
      <c r="W76" s="340">
        <v>682</v>
      </c>
    </row>
    <row r="77" spans="1:23">
      <c r="A77" s="907">
        <v>12</v>
      </c>
      <c r="B77" s="403" t="s">
        <v>27</v>
      </c>
      <c r="C77" s="407"/>
      <c r="D77" s="408"/>
      <c r="E77" s="408"/>
      <c r="F77" s="408"/>
      <c r="G77" s="408"/>
      <c r="H77" s="409"/>
      <c r="I77" s="407"/>
      <c r="J77" s="408"/>
      <c r="K77" s="409"/>
      <c r="L77" s="407"/>
      <c r="M77" s="408"/>
      <c r="N77" s="408"/>
      <c r="O77" s="408"/>
      <c r="P77" s="408"/>
      <c r="Q77" s="409"/>
      <c r="R77" s="407"/>
      <c r="S77" s="408"/>
      <c r="T77" s="408"/>
      <c r="U77" s="408"/>
      <c r="V77" s="408"/>
      <c r="W77" s="409"/>
    </row>
    <row r="78" spans="1:23" s="410" customFormat="1">
      <c r="A78" s="907"/>
      <c r="B78" s="396" t="s">
        <v>997</v>
      </c>
      <c r="C78" s="105">
        <v>845</v>
      </c>
      <c r="D78" s="105">
        <v>284</v>
      </c>
      <c r="E78" s="105">
        <v>1129</v>
      </c>
      <c r="F78" s="105">
        <v>810</v>
      </c>
      <c r="G78" s="105">
        <v>400</v>
      </c>
      <c r="H78" s="105">
        <v>1210</v>
      </c>
      <c r="I78" s="105">
        <v>3545</v>
      </c>
      <c r="J78" s="105">
        <v>3560</v>
      </c>
      <c r="K78" s="105">
        <v>7105</v>
      </c>
      <c r="L78" s="105">
        <v>202</v>
      </c>
      <c r="M78" s="105">
        <v>728</v>
      </c>
      <c r="N78" s="105">
        <v>930</v>
      </c>
      <c r="O78" s="105">
        <v>119</v>
      </c>
      <c r="P78" s="105">
        <v>195</v>
      </c>
      <c r="Q78" s="105">
        <v>314</v>
      </c>
      <c r="R78" s="105">
        <v>5557</v>
      </c>
      <c r="S78" s="105">
        <v>5195</v>
      </c>
      <c r="T78" s="105">
        <v>10752</v>
      </c>
      <c r="U78" s="105">
        <v>36</v>
      </c>
      <c r="V78" s="105">
        <v>28</v>
      </c>
      <c r="W78" s="105">
        <v>64</v>
      </c>
    </row>
    <row r="79" spans="1:23">
      <c r="A79" s="907"/>
      <c r="B79" s="396" t="s">
        <v>301</v>
      </c>
      <c r="C79" s="339">
        <v>909</v>
      </c>
      <c r="D79" s="339">
        <v>292</v>
      </c>
      <c r="E79" s="339">
        <v>1201</v>
      </c>
      <c r="F79" s="339">
        <v>837</v>
      </c>
      <c r="G79" s="339">
        <v>400</v>
      </c>
      <c r="H79" s="339">
        <v>1237</v>
      </c>
      <c r="I79" s="339">
        <v>3579</v>
      </c>
      <c r="J79" s="339">
        <v>3547</v>
      </c>
      <c r="K79" s="339">
        <v>7126</v>
      </c>
      <c r="L79" s="339">
        <v>190</v>
      </c>
      <c r="M79" s="339">
        <v>719</v>
      </c>
      <c r="N79" s="339">
        <v>909</v>
      </c>
      <c r="O79" s="339">
        <v>103</v>
      </c>
      <c r="P79" s="339">
        <v>154</v>
      </c>
      <c r="Q79" s="339">
        <v>257</v>
      </c>
      <c r="R79" s="339">
        <v>5648</v>
      </c>
      <c r="S79" s="339">
        <v>5133</v>
      </c>
      <c r="T79" s="339">
        <v>10781</v>
      </c>
      <c r="U79" s="339">
        <v>30</v>
      </c>
      <c r="V79" s="339">
        <v>21</v>
      </c>
      <c r="W79" s="339">
        <v>51</v>
      </c>
    </row>
    <row r="80" spans="1:23">
      <c r="A80" s="907"/>
      <c r="B80" s="411" t="s">
        <v>300</v>
      </c>
      <c r="C80" s="339">
        <v>850</v>
      </c>
      <c r="D80" s="339">
        <v>258</v>
      </c>
      <c r="E80" s="339">
        <v>1108</v>
      </c>
      <c r="F80" s="339">
        <v>803</v>
      </c>
      <c r="G80" s="339">
        <v>415</v>
      </c>
      <c r="H80" s="339">
        <v>1218</v>
      </c>
      <c r="I80" s="339">
        <v>3458</v>
      </c>
      <c r="J80" s="339">
        <v>3356</v>
      </c>
      <c r="K80" s="339">
        <v>6814</v>
      </c>
      <c r="L80" s="339">
        <v>190</v>
      </c>
      <c r="M80" s="339">
        <v>698</v>
      </c>
      <c r="N80" s="339">
        <v>888</v>
      </c>
      <c r="O80" s="339">
        <v>138</v>
      </c>
      <c r="P80" s="339">
        <v>203</v>
      </c>
      <c r="Q80" s="339">
        <v>341</v>
      </c>
      <c r="R80" s="339">
        <v>5462</v>
      </c>
      <c r="S80" s="339">
        <v>4949</v>
      </c>
      <c r="T80" s="339">
        <v>10411</v>
      </c>
      <c r="U80" s="339">
        <v>23</v>
      </c>
      <c r="V80" s="339">
        <v>19</v>
      </c>
      <c r="W80" s="339">
        <v>42</v>
      </c>
    </row>
    <row r="81" spans="1:23">
      <c r="A81" s="907"/>
      <c r="B81" s="411" t="s">
        <v>299</v>
      </c>
      <c r="C81" s="339">
        <v>844</v>
      </c>
      <c r="D81" s="339">
        <v>259</v>
      </c>
      <c r="E81" s="339">
        <v>1103</v>
      </c>
      <c r="F81" s="339">
        <v>853</v>
      </c>
      <c r="G81" s="339">
        <v>428</v>
      </c>
      <c r="H81" s="339">
        <v>1281</v>
      </c>
      <c r="I81" s="339">
        <v>3401</v>
      </c>
      <c r="J81" s="339">
        <v>3160</v>
      </c>
      <c r="K81" s="339">
        <v>6561</v>
      </c>
      <c r="L81" s="339">
        <v>172</v>
      </c>
      <c r="M81" s="339">
        <v>680</v>
      </c>
      <c r="N81" s="339">
        <v>852</v>
      </c>
      <c r="O81" s="339">
        <v>155</v>
      </c>
      <c r="P81" s="339">
        <v>168</v>
      </c>
      <c r="Q81" s="339">
        <v>323</v>
      </c>
      <c r="R81" s="339">
        <v>5447</v>
      </c>
      <c r="S81" s="339">
        <v>4712</v>
      </c>
      <c r="T81" s="339">
        <v>10159</v>
      </c>
      <c r="U81" s="339">
        <v>22</v>
      </c>
      <c r="V81" s="339">
        <v>17</v>
      </c>
      <c r="W81" s="339">
        <v>39</v>
      </c>
    </row>
    <row r="82" spans="1:23">
      <c r="A82" s="907"/>
      <c r="B82" s="412" t="s">
        <v>298</v>
      </c>
      <c r="C82" s="340">
        <v>886</v>
      </c>
      <c r="D82" s="340">
        <v>257</v>
      </c>
      <c r="E82" s="340">
        <v>1143</v>
      </c>
      <c r="F82" s="340">
        <v>918</v>
      </c>
      <c r="G82" s="340">
        <v>439</v>
      </c>
      <c r="H82" s="340">
        <v>1357</v>
      </c>
      <c r="I82" s="340">
        <v>3387</v>
      </c>
      <c r="J82" s="340">
        <v>2933</v>
      </c>
      <c r="K82" s="340">
        <v>6320</v>
      </c>
      <c r="L82" s="340">
        <v>122</v>
      </c>
      <c r="M82" s="340">
        <v>624</v>
      </c>
      <c r="N82" s="340">
        <v>746</v>
      </c>
      <c r="O82" s="340">
        <v>187</v>
      </c>
      <c r="P82" s="340">
        <v>177</v>
      </c>
      <c r="Q82" s="340">
        <v>364</v>
      </c>
      <c r="R82" s="340">
        <v>5529</v>
      </c>
      <c r="S82" s="340">
        <v>4446</v>
      </c>
      <c r="T82" s="340">
        <v>9975</v>
      </c>
      <c r="U82" s="340">
        <v>29</v>
      </c>
      <c r="V82" s="340">
        <v>16</v>
      </c>
      <c r="W82" s="340">
        <v>45</v>
      </c>
    </row>
    <row r="83" spans="1:23">
      <c r="A83" s="907">
        <v>13</v>
      </c>
      <c r="B83" s="403" t="s">
        <v>57</v>
      </c>
      <c r="C83" s="407"/>
      <c r="D83" s="408"/>
      <c r="E83" s="408"/>
      <c r="F83" s="408"/>
      <c r="G83" s="408"/>
      <c r="H83" s="409"/>
      <c r="I83" s="407"/>
      <c r="J83" s="408"/>
      <c r="K83" s="409"/>
      <c r="L83" s="407"/>
      <c r="M83" s="408"/>
      <c r="N83" s="408"/>
      <c r="O83" s="408"/>
      <c r="P83" s="408"/>
      <c r="Q83" s="409"/>
      <c r="R83" s="407"/>
      <c r="S83" s="408"/>
      <c r="T83" s="408"/>
      <c r="U83" s="408"/>
      <c r="V83" s="408"/>
      <c r="W83" s="409"/>
    </row>
    <row r="84" spans="1:23" s="410" customFormat="1">
      <c r="A84" s="907"/>
      <c r="B84" s="396" t="s">
        <v>997</v>
      </c>
      <c r="C84" s="105">
        <v>824</v>
      </c>
      <c r="D84" s="105">
        <v>289</v>
      </c>
      <c r="E84" s="105">
        <v>1113</v>
      </c>
      <c r="F84" s="105">
        <v>664</v>
      </c>
      <c r="G84" s="105">
        <v>400</v>
      </c>
      <c r="H84" s="105">
        <v>1064</v>
      </c>
      <c r="I84" s="105">
        <v>3966</v>
      </c>
      <c r="J84" s="105">
        <v>2995</v>
      </c>
      <c r="K84" s="105">
        <v>6961</v>
      </c>
      <c r="L84" s="105">
        <v>324</v>
      </c>
      <c r="M84" s="105">
        <v>511</v>
      </c>
      <c r="N84" s="105">
        <v>835</v>
      </c>
      <c r="O84" s="105">
        <v>834</v>
      </c>
      <c r="P84" s="105">
        <v>501</v>
      </c>
      <c r="Q84" s="105">
        <v>1335</v>
      </c>
      <c r="R84" s="105">
        <v>6661</v>
      </c>
      <c r="S84" s="105">
        <v>4731</v>
      </c>
      <c r="T84" s="105">
        <v>11392</v>
      </c>
      <c r="U84" s="105">
        <v>49</v>
      </c>
      <c r="V84" s="105">
        <v>35</v>
      </c>
      <c r="W84" s="105">
        <v>84</v>
      </c>
    </row>
    <row r="85" spans="1:23">
      <c r="A85" s="907"/>
      <c r="B85" s="396" t="s">
        <v>301</v>
      </c>
      <c r="C85" s="339">
        <v>863</v>
      </c>
      <c r="D85" s="339">
        <v>272</v>
      </c>
      <c r="E85" s="339">
        <v>1135</v>
      </c>
      <c r="F85" s="339">
        <v>716</v>
      </c>
      <c r="G85" s="339">
        <v>434</v>
      </c>
      <c r="H85" s="339">
        <v>1150</v>
      </c>
      <c r="I85" s="339">
        <v>3822</v>
      </c>
      <c r="J85" s="339">
        <v>2926</v>
      </c>
      <c r="K85" s="339">
        <v>6748</v>
      </c>
      <c r="L85" s="339">
        <v>310</v>
      </c>
      <c r="M85" s="339">
        <v>498</v>
      </c>
      <c r="N85" s="339">
        <v>808</v>
      </c>
      <c r="O85" s="339">
        <v>831</v>
      </c>
      <c r="P85" s="339">
        <v>582</v>
      </c>
      <c r="Q85" s="339">
        <v>1413</v>
      </c>
      <c r="R85" s="339">
        <v>6580</v>
      </c>
      <c r="S85" s="339">
        <v>4741</v>
      </c>
      <c r="T85" s="339">
        <v>11321</v>
      </c>
      <c r="U85" s="339">
        <v>38</v>
      </c>
      <c r="V85" s="339">
        <v>29</v>
      </c>
      <c r="W85" s="339">
        <v>67</v>
      </c>
    </row>
    <row r="86" spans="1:23">
      <c r="A86" s="907"/>
      <c r="B86" s="411" t="s">
        <v>300</v>
      </c>
      <c r="C86" s="339">
        <v>787</v>
      </c>
      <c r="D86" s="339">
        <v>246</v>
      </c>
      <c r="E86" s="339">
        <v>1033</v>
      </c>
      <c r="F86" s="339">
        <v>712</v>
      </c>
      <c r="G86" s="339">
        <v>440</v>
      </c>
      <c r="H86" s="339">
        <v>1152</v>
      </c>
      <c r="I86" s="339">
        <v>3775</v>
      </c>
      <c r="J86" s="339">
        <v>2755</v>
      </c>
      <c r="K86" s="339">
        <v>6530</v>
      </c>
      <c r="L86" s="339">
        <v>238</v>
      </c>
      <c r="M86" s="339">
        <v>392</v>
      </c>
      <c r="N86" s="339">
        <v>630</v>
      </c>
      <c r="O86" s="339">
        <v>1051</v>
      </c>
      <c r="P86" s="339">
        <v>731</v>
      </c>
      <c r="Q86" s="339">
        <v>1782</v>
      </c>
      <c r="R86" s="339">
        <v>6608</v>
      </c>
      <c r="S86" s="339">
        <v>4594</v>
      </c>
      <c r="T86" s="339">
        <v>11202</v>
      </c>
      <c r="U86" s="339">
        <v>45</v>
      </c>
      <c r="V86" s="339">
        <v>30</v>
      </c>
      <c r="W86" s="339">
        <v>75</v>
      </c>
    </row>
    <row r="87" spans="1:23">
      <c r="A87" s="907"/>
      <c r="B87" s="411" t="s">
        <v>299</v>
      </c>
      <c r="C87" s="339">
        <v>732</v>
      </c>
      <c r="D87" s="339">
        <v>244</v>
      </c>
      <c r="E87" s="339">
        <v>976</v>
      </c>
      <c r="F87" s="339">
        <v>622</v>
      </c>
      <c r="G87" s="339">
        <v>414</v>
      </c>
      <c r="H87" s="339">
        <v>1036</v>
      </c>
      <c r="I87" s="339">
        <v>3531</v>
      </c>
      <c r="J87" s="339">
        <v>2530</v>
      </c>
      <c r="K87" s="339">
        <v>6061</v>
      </c>
      <c r="L87" s="339">
        <v>149</v>
      </c>
      <c r="M87" s="339">
        <v>284</v>
      </c>
      <c r="N87" s="339">
        <v>433</v>
      </c>
      <c r="O87" s="339">
        <v>674</v>
      </c>
      <c r="P87" s="339">
        <v>539</v>
      </c>
      <c r="Q87" s="339">
        <v>1213</v>
      </c>
      <c r="R87" s="339">
        <v>5737</v>
      </c>
      <c r="S87" s="339">
        <v>4036</v>
      </c>
      <c r="T87" s="339">
        <v>9773</v>
      </c>
      <c r="U87" s="339">
        <v>29</v>
      </c>
      <c r="V87" s="339">
        <v>25</v>
      </c>
      <c r="W87" s="339">
        <v>54</v>
      </c>
    </row>
    <row r="88" spans="1:23">
      <c r="A88" s="907"/>
      <c r="B88" s="412" t="s">
        <v>298</v>
      </c>
      <c r="C88" s="340">
        <v>741</v>
      </c>
      <c r="D88" s="340">
        <v>232</v>
      </c>
      <c r="E88" s="340">
        <v>973</v>
      </c>
      <c r="F88" s="340">
        <v>678</v>
      </c>
      <c r="G88" s="340">
        <v>415</v>
      </c>
      <c r="H88" s="340">
        <v>1093</v>
      </c>
      <c r="I88" s="340">
        <v>2997</v>
      </c>
      <c r="J88" s="340">
        <v>2224</v>
      </c>
      <c r="K88" s="340">
        <v>5221</v>
      </c>
      <c r="L88" s="340">
        <v>86</v>
      </c>
      <c r="M88" s="340">
        <v>223</v>
      </c>
      <c r="N88" s="340">
        <v>309</v>
      </c>
      <c r="O88" s="340">
        <v>762</v>
      </c>
      <c r="P88" s="340">
        <v>551</v>
      </c>
      <c r="Q88" s="340">
        <v>1313</v>
      </c>
      <c r="R88" s="340">
        <v>5287</v>
      </c>
      <c r="S88" s="340">
        <v>3661</v>
      </c>
      <c r="T88" s="340">
        <v>8948</v>
      </c>
      <c r="U88" s="340">
        <v>23</v>
      </c>
      <c r="V88" s="340">
        <v>16</v>
      </c>
      <c r="W88" s="340">
        <v>39</v>
      </c>
    </row>
    <row r="89" spans="1:23">
      <c r="A89" s="907">
        <v>14</v>
      </c>
      <c r="B89" s="403" t="s">
        <v>29</v>
      </c>
      <c r="C89" s="407"/>
      <c r="D89" s="408"/>
      <c r="E89" s="408"/>
      <c r="F89" s="408"/>
      <c r="G89" s="408"/>
      <c r="H89" s="409"/>
      <c r="I89" s="407"/>
      <c r="J89" s="408"/>
      <c r="K89" s="409"/>
      <c r="L89" s="407"/>
      <c r="M89" s="408"/>
      <c r="N89" s="408"/>
      <c r="O89" s="408"/>
      <c r="P89" s="408"/>
      <c r="Q89" s="409"/>
      <c r="R89" s="407"/>
      <c r="S89" s="408"/>
      <c r="T89" s="408"/>
      <c r="U89" s="408"/>
      <c r="V89" s="408"/>
      <c r="W89" s="409"/>
    </row>
    <row r="90" spans="1:23" s="410" customFormat="1">
      <c r="A90" s="907"/>
      <c r="B90" s="396" t="s">
        <v>997</v>
      </c>
      <c r="C90" s="105">
        <v>829</v>
      </c>
      <c r="D90" s="105">
        <v>207</v>
      </c>
      <c r="E90" s="105">
        <v>1036</v>
      </c>
      <c r="F90" s="105">
        <v>895</v>
      </c>
      <c r="G90" s="105">
        <v>295</v>
      </c>
      <c r="H90" s="105">
        <v>1190</v>
      </c>
      <c r="I90" s="105">
        <v>6995</v>
      </c>
      <c r="J90" s="105">
        <v>3282</v>
      </c>
      <c r="K90" s="105">
        <v>10277</v>
      </c>
      <c r="L90" s="105">
        <v>301</v>
      </c>
      <c r="M90" s="105">
        <v>472</v>
      </c>
      <c r="N90" s="105">
        <v>773</v>
      </c>
      <c r="O90" s="105">
        <v>614</v>
      </c>
      <c r="P90" s="105">
        <v>393</v>
      </c>
      <c r="Q90" s="105">
        <v>1007</v>
      </c>
      <c r="R90" s="105">
        <v>9702</v>
      </c>
      <c r="S90" s="105">
        <v>4684</v>
      </c>
      <c r="T90" s="105">
        <v>14386</v>
      </c>
      <c r="U90" s="105">
        <v>68</v>
      </c>
      <c r="V90" s="105">
        <v>35</v>
      </c>
      <c r="W90" s="105">
        <v>103</v>
      </c>
    </row>
    <row r="91" spans="1:23">
      <c r="A91" s="907"/>
      <c r="B91" s="396" t="s">
        <v>301</v>
      </c>
      <c r="C91" s="339">
        <v>810</v>
      </c>
      <c r="D91" s="339">
        <v>165</v>
      </c>
      <c r="E91" s="339">
        <v>975</v>
      </c>
      <c r="F91" s="339">
        <v>920</v>
      </c>
      <c r="G91" s="339">
        <v>299</v>
      </c>
      <c r="H91" s="339">
        <v>1219</v>
      </c>
      <c r="I91" s="339">
        <v>6828</v>
      </c>
      <c r="J91" s="339">
        <v>2926</v>
      </c>
      <c r="K91" s="339">
        <v>9754</v>
      </c>
      <c r="L91" s="339">
        <v>227</v>
      </c>
      <c r="M91" s="339">
        <v>292</v>
      </c>
      <c r="N91" s="339">
        <v>519</v>
      </c>
      <c r="O91" s="339">
        <v>652</v>
      </c>
      <c r="P91" s="339">
        <v>423</v>
      </c>
      <c r="Q91" s="339">
        <v>1075</v>
      </c>
      <c r="R91" s="339">
        <v>9514</v>
      </c>
      <c r="S91" s="339">
        <v>4174</v>
      </c>
      <c r="T91" s="339">
        <v>13688</v>
      </c>
      <c r="U91" s="339">
        <v>77</v>
      </c>
      <c r="V91" s="339">
        <v>69</v>
      </c>
      <c r="W91" s="339">
        <v>146</v>
      </c>
    </row>
    <row r="92" spans="1:23">
      <c r="A92" s="907"/>
      <c r="B92" s="411" t="s">
        <v>300</v>
      </c>
      <c r="C92" s="339">
        <v>764</v>
      </c>
      <c r="D92" s="339">
        <v>153</v>
      </c>
      <c r="E92" s="339">
        <v>917</v>
      </c>
      <c r="F92" s="339">
        <v>856</v>
      </c>
      <c r="G92" s="339">
        <v>310</v>
      </c>
      <c r="H92" s="339">
        <v>1166</v>
      </c>
      <c r="I92" s="339">
        <v>6186</v>
      </c>
      <c r="J92" s="339">
        <v>2656</v>
      </c>
      <c r="K92" s="339">
        <v>8842</v>
      </c>
      <c r="L92" s="339">
        <v>217</v>
      </c>
      <c r="M92" s="339">
        <v>230</v>
      </c>
      <c r="N92" s="339">
        <v>447</v>
      </c>
      <c r="O92" s="339">
        <v>538</v>
      </c>
      <c r="P92" s="339">
        <v>358</v>
      </c>
      <c r="Q92" s="339">
        <v>896</v>
      </c>
      <c r="R92" s="339">
        <v>8627</v>
      </c>
      <c r="S92" s="339">
        <v>3739</v>
      </c>
      <c r="T92" s="339">
        <v>12366</v>
      </c>
      <c r="U92" s="339">
        <v>66</v>
      </c>
      <c r="V92" s="339">
        <v>32</v>
      </c>
      <c r="W92" s="339">
        <v>98</v>
      </c>
    </row>
    <row r="93" spans="1:23">
      <c r="A93" s="907"/>
      <c r="B93" s="411" t="s">
        <v>299</v>
      </c>
      <c r="C93" s="339">
        <v>687</v>
      </c>
      <c r="D93" s="339">
        <v>135</v>
      </c>
      <c r="E93" s="339">
        <v>822</v>
      </c>
      <c r="F93" s="339">
        <v>882</v>
      </c>
      <c r="G93" s="339">
        <v>334</v>
      </c>
      <c r="H93" s="339">
        <v>1216</v>
      </c>
      <c r="I93" s="339">
        <v>5808</v>
      </c>
      <c r="J93" s="339">
        <v>2483</v>
      </c>
      <c r="K93" s="339">
        <v>8291</v>
      </c>
      <c r="L93" s="339">
        <v>189</v>
      </c>
      <c r="M93" s="339">
        <v>219</v>
      </c>
      <c r="N93" s="339">
        <v>408</v>
      </c>
      <c r="O93" s="339">
        <v>532</v>
      </c>
      <c r="P93" s="339">
        <v>277</v>
      </c>
      <c r="Q93" s="339">
        <v>809</v>
      </c>
      <c r="R93" s="339">
        <v>8158</v>
      </c>
      <c r="S93" s="339">
        <v>3475</v>
      </c>
      <c r="T93" s="339">
        <v>11633</v>
      </c>
      <c r="U93" s="339">
        <v>60</v>
      </c>
      <c r="V93" s="339">
        <v>27</v>
      </c>
      <c r="W93" s="339">
        <v>87</v>
      </c>
    </row>
    <row r="94" spans="1:23">
      <c r="A94" s="907"/>
      <c r="B94" s="412" t="s">
        <v>298</v>
      </c>
      <c r="C94" s="340">
        <v>714</v>
      </c>
      <c r="D94" s="340">
        <v>110</v>
      </c>
      <c r="E94" s="340">
        <v>824</v>
      </c>
      <c r="F94" s="340">
        <v>1048</v>
      </c>
      <c r="G94" s="340">
        <v>367</v>
      </c>
      <c r="H94" s="340">
        <v>1415</v>
      </c>
      <c r="I94" s="340">
        <v>5437</v>
      </c>
      <c r="J94" s="340">
        <v>2259</v>
      </c>
      <c r="K94" s="340">
        <v>7696</v>
      </c>
      <c r="L94" s="340">
        <v>154</v>
      </c>
      <c r="M94" s="340">
        <v>168</v>
      </c>
      <c r="N94" s="340">
        <v>322</v>
      </c>
      <c r="O94" s="340">
        <v>384</v>
      </c>
      <c r="P94" s="340">
        <v>190</v>
      </c>
      <c r="Q94" s="340">
        <v>574</v>
      </c>
      <c r="R94" s="340">
        <v>7799</v>
      </c>
      <c r="S94" s="340">
        <v>3119</v>
      </c>
      <c r="T94" s="340">
        <v>10918</v>
      </c>
      <c r="U94" s="340">
        <v>62</v>
      </c>
      <c r="V94" s="340">
        <v>25</v>
      </c>
      <c r="W94" s="340">
        <v>87</v>
      </c>
    </row>
    <row r="95" spans="1:23">
      <c r="A95" s="907">
        <v>15</v>
      </c>
      <c r="B95" s="403" t="s">
        <v>30</v>
      </c>
      <c r="C95" s="407"/>
      <c r="D95" s="408"/>
      <c r="E95" s="408"/>
      <c r="F95" s="408"/>
      <c r="G95" s="408"/>
      <c r="H95" s="409"/>
      <c r="I95" s="407"/>
      <c r="J95" s="408"/>
      <c r="K95" s="409"/>
      <c r="L95" s="407"/>
      <c r="M95" s="408"/>
      <c r="N95" s="408"/>
      <c r="O95" s="408"/>
      <c r="P95" s="408"/>
      <c r="Q95" s="409"/>
      <c r="R95" s="407"/>
      <c r="S95" s="408"/>
      <c r="T95" s="408"/>
      <c r="U95" s="408"/>
      <c r="V95" s="408"/>
      <c r="W95" s="409"/>
    </row>
    <row r="96" spans="1:23" s="410" customFormat="1">
      <c r="A96" s="907"/>
      <c r="B96" s="396" t="s">
        <v>997</v>
      </c>
      <c r="C96" s="105">
        <v>12912</v>
      </c>
      <c r="D96" s="105">
        <v>5238</v>
      </c>
      <c r="E96" s="105">
        <v>18150</v>
      </c>
      <c r="F96" s="105">
        <v>10306</v>
      </c>
      <c r="G96" s="105">
        <v>6707</v>
      </c>
      <c r="H96" s="105">
        <v>17013</v>
      </c>
      <c r="I96" s="105">
        <v>46297</v>
      </c>
      <c r="J96" s="105">
        <v>42719</v>
      </c>
      <c r="K96" s="105">
        <v>89016</v>
      </c>
      <c r="L96" s="105">
        <v>4734</v>
      </c>
      <c r="M96" s="105">
        <v>9302</v>
      </c>
      <c r="N96" s="105">
        <v>14036</v>
      </c>
      <c r="O96" s="105">
        <v>5873</v>
      </c>
      <c r="P96" s="105">
        <v>5821</v>
      </c>
      <c r="Q96" s="105">
        <v>11694</v>
      </c>
      <c r="R96" s="105">
        <v>81100</v>
      </c>
      <c r="S96" s="105">
        <v>70693</v>
      </c>
      <c r="T96" s="105">
        <v>151793</v>
      </c>
      <c r="U96" s="105">
        <v>978</v>
      </c>
      <c r="V96" s="105">
        <v>906</v>
      </c>
      <c r="W96" s="105">
        <v>1884</v>
      </c>
    </row>
    <row r="97" spans="1:23">
      <c r="A97" s="907"/>
      <c r="B97" s="396" t="s">
        <v>301</v>
      </c>
      <c r="C97" s="339">
        <v>12578</v>
      </c>
      <c r="D97" s="339">
        <v>4748</v>
      </c>
      <c r="E97" s="339">
        <v>17326</v>
      </c>
      <c r="F97" s="339">
        <v>10584</v>
      </c>
      <c r="G97" s="339">
        <v>6523</v>
      </c>
      <c r="H97" s="339">
        <v>17107</v>
      </c>
      <c r="I97" s="339">
        <v>45593</v>
      </c>
      <c r="J97" s="339">
        <v>40559</v>
      </c>
      <c r="K97" s="339">
        <v>86152</v>
      </c>
      <c r="L97" s="339">
        <v>4456</v>
      </c>
      <c r="M97" s="339">
        <v>8445</v>
      </c>
      <c r="N97" s="339">
        <v>12901</v>
      </c>
      <c r="O97" s="339">
        <v>6443</v>
      </c>
      <c r="P97" s="339">
        <v>6388</v>
      </c>
      <c r="Q97" s="339">
        <v>12831</v>
      </c>
      <c r="R97" s="339">
        <v>80677</v>
      </c>
      <c r="S97" s="339">
        <v>67691</v>
      </c>
      <c r="T97" s="339">
        <v>148368</v>
      </c>
      <c r="U97" s="339">
        <v>1023</v>
      </c>
      <c r="V97" s="339">
        <v>1028</v>
      </c>
      <c r="W97" s="339">
        <v>2051</v>
      </c>
    </row>
    <row r="98" spans="1:23">
      <c r="A98" s="907"/>
      <c r="B98" s="411" t="s">
        <v>300</v>
      </c>
      <c r="C98" s="339">
        <v>11150</v>
      </c>
      <c r="D98" s="339">
        <v>4115</v>
      </c>
      <c r="E98" s="339">
        <v>15265</v>
      </c>
      <c r="F98" s="339">
        <v>9668</v>
      </c>
      <c r="G98" s="339">
        <v>5721</v>
      </c>
      <c r="H98" s="339">
        <v>15389</v>
      </c>
      <c r="I98" s="339">
        <v>42345</v>
      </c>
      <c r="J98" s="339">
        <v>36487</v>
      </c>
      <c r="K98" s="339">
        <v>78832</v>
      </c>
      <c r="L98" s="339">
        <v>4026</v>
      </c>
      <c r="M98" s="339">
        <v>7314</v>
      </c>
      <c r="N98" s="339">
        <v>11340</v>
      </c>
      <c r="O98" s="339">
        <v>5496</v>
      </c>
      <c r="P98" s="339">
        <v>5328</v>
      </c>
      <c r="Q98" s="339">
        <v>10824</v>
      </c>
      <c r="R98" s="339">
        <v>73476</v>
      </c>
      <c r="S98" s="339">
        <v>59861</v>
      </c>
      <c r="T98" s="339">
        <v>133337</v>
      </c>
      <c r="U98" s="339">
        <v>791</v>
      </c>
      <c r="V98" s="339">
        <v>896</v>
      </c>
      <c r="W98" s="339">
        <v>1687</v>
      </c>
    </row>
    <row r="99" spans="1:23">
      <c r="A99" s="907"/>
      <c r="B99" s="411" t="s">
        <v>299</v>
      </c>
      <c r="C99" s="339">
        <v>10067</v>
      </c>
      <c r="D99" s="339">
        <v>3571</v>
      </c>
      <c r="E99" s="339">
        <v>13638</v>
      </c>
      <c r="F99" s="339">
        <v>9073</v>
      </c>
      <c r="G99" s="339">
        <v>5248</v>
      </c>
      <c r="H99" s="339">
        <v>14321</v>
      </c>
      <c r="I99" s="339">
        <v>39174</v>
      </c>
      <c r="J99" s="339">
        <v>32738</v>
      </c>
      <c r="K99" s="339">
        <v>71912</v>
      </c>
      <c r="L99" s="339">
        <v>3574</v>
      </c>
      <c r="M99" s="339">
        <v>6358</v>
      </c>
      <c r="N99" s="339">
        <v>9932</v>
      </c>
      <c r="O99" s="339">
        <v>4643</v>
      </c>
      <c r="P99" s="339">
        <v>4339</v>
      </c>
      <c r="Q99" s="339">
        <v>8982</v>
      </c>
      <c r="R99" s="339">
        <v>67210</v>
      </c>
      <c r="S99" s="339">
        <v>52918</v>
      </c>
      <c r="T99" s="339">
        <v>120128</v>
      </c>
      <c r="U99" s="339">
        <v>679</v>
      </c>
      <c r="V99" s="339">
        <v>664</v>
      </c>
      <c r="W99" s="339">
        <v>1343</v>
      </c>
    </row>
    <row r="100" spans="1:23">
      <c r="A100" s="907"/>
      <c r="B100" s="412" t="s">
        <v>298</v>
      </c>
      <c r="C100" s="340">
        <v>11431</v>
      </c>
      <c r="D100" s="340">
        <v>3889</v>
      </c>
      <c r="E100" s="340">
        <v>15320</v>
      </c>
      <c r="F100" s="340">
        <v>9995</v>
      </c>
      <c r="G100" s="340">
        <v>5523</v>
      </c>
      <c r="H100" s="340">
        <v>15518</v>
      </c>
      <c r="I100" s="340">
        <v>40395</v>
      </c>
      <c r="J100" s="340">
        <v>33052</v>
      </c>
      <c r="K100" s="340">
        <v>73447</v>
      </c>
      <c r="L100" s="340">
        <v>4240</v>
      </c>
      <c r="M100" s="340">
        <v>7015</v>
      </c>
      <c r="N100" s="340">
        <v>11255</v>
      </c>
      <c r="O100" s="340">
        <v>5342</v>
      </c>
      <c r="P100" s="340">
        <v>4975</v>
      </c>
      <c r="Q100" s="340">
        <v>10317</v>
      </c>
      <c r="R100" s="340">
        <v>72373</v>
      </c>
      <c r="S100" s="340">
        <v>55532</v>
      </c>
      <c r="T100" s="340">
        <v>127905</v>
      </c>
      <c r="U100" s="340">
        <v>960</v>
      </c>
      <c r="V100" s="340">
        <v>1078</v>
      </c>
      <c r="W100" s="340">
        <v>2038</v>
      </c>
    </row>
    <row r="101" spans="1:23">
      <c r="A101" s="907">
        <v>16</v>
      </c>
      <c r="B101" s="403" t="s">
        <v>31</v>
      </c>
      <c r="C101" s="407"/>
      <c r="D101" s="408"/>
      <c r="E101" s="408"/>
      <c r="F101" s="408"/>
      <c r="G101" s="408"/>
      <c r="H101" s="409"/>
      <c r="I101" s="407"/>
      <c r="J101" s="408"/>
      <c r="K101" s="409"/>
      <c r="L101" s="407"/>
      <c r="M101" s="408"/>
      <c r="N101" s="408"/>
      <c r="O101" s="408"/>
      <c r="P101" s="408"/>
      <c r="Q101" s="409"/>
      <c r="R101" s="407"/>
      <c r="S101" s="408"/>
      <c r="T101" s="408"/>
      <c r="U101" s="408"/>
      <c r="V101" s="408"/>
      <c r="W101" s="409"/>
    </row>
    <row r="102" spans="1:23" s="410" customFormat="1">
      <c r="A102" s="907"/>
      <c r="B102" s="396" t="s">
        <v>997</v>
      </c>
      <c r="C102" s="105">
        <v>3112</v>
      </c>
      <c r="D102" s="105">
        <v>1991</v>
      </c>
      <c r="E102" s="105">
        <v>5103</v>
      </c>
      <c r="F102" s="105">
        <v>2827</v>
      </c>
      <c r="G102" s="105">
        <v>2768</v>
      </c>
      <c r="H102" s="105">
        <v>5595</v>
      </c>
      <c r="I102" s="105">
        <v>15113</v>
      </c>
      <c r="J102" s="105">
        <v>27849</v>
      </c>
      <c r="K102" s="105">
        <v>42962</v>
      </c>
      <c r="L102" s="105">
        <v>932</v>
      </c>
      <c r="M102" s="105">
        <v>2253</v>
      </c>
      <c r="N102" s="105">
        <v>3185</v>
      </c>
      <c r="O102" s="105">
        <v>1118</v>
      </c>
      <c r="P102" s="105">
        <v>3022</v>
      </c>
      <c r="Q102" s="105">
        <v>4140</v>
      </c>
      <c r="R102" s="105">
        <v>23150</v>
      </c>
      <c r="S102" s="105">
        <v>37930</v>
      </c>
      <c r="T102" s="105">
        <v>61080</v>
      </c>
      <c r="U102" s="105">
        <v>48</v>
      </c>
      <c r="V102" s="105">
        <v>47</v>
      </c>
      <c r="W102" s="105">
        <v>95</v>
      </c>
    </row>
    <row r="103" spans="1:23">
      <c r="A103" s="907"/>
      <c r="B103" s="396" t="s">
        <v>301</v>
      </c>
      <c r="C103" s="339">
        <v>3193</v>
      </c>
      <c r="D103" s="339">
        <v>1976</v>
      </c>
      <c r="E103" s="339">
        <v>5169</v>
      </c>
      <c r="F103" s="339">
        <v>2939</v>
      </c>
      <c r="G103" s="339">
        <v>2788</v>
      </c>
      <c r="H103" s="339">
        <v>5727</v>
      </c>
      <c r="I103" s="339">
        <v>15166</v>
      </c>
      <c r="J103" s="339">
        <v>26837</v>
      </c>
      <c r="K103" s="339">
        <v>42003</v>
      </c>
      <c r="L103" s="339">
        <v>997</v>
      </c>
      <c r="M103" s="339">
        <v>2310</v>
      </c>
      <c r="N103" s="339">
        <v>3307</v>
      </c>
      <c r="O103" s="339">
        <v>1361</v>
      </c>
      <c r="P103" s="339">
        <v>3882</v>
      </c>
      <c r="Q103" s="339">
        <v>5243</v>
      </c>
      <c r="R103" s="339">
        <v>23712</v>
      </c>
      <c r="S103" s="339">
        <v>37846</v>
      </c>
      <c r="T103" s="339">
        <v>61558</v>
      </c>
      <c r="U103" s="339">
        <v>56</v>
      </c>
      <c r="V103" s="339">
        <v>53</v>
      </c>
      <c r="W103" s="339">
        <v>109</v>
      </c>
    </row>
    <row r="104" spans="1:23">
      <c r="A104" s="907"/>
      <c r="B104" s="411" t="s">
        <v>300</v>
      </c>
      <c r="C104" s="339">
        <v>3119</v>
      </c>
      <c r="D104" s="339">
        <v>1982</v>
      </c>
      <c r="E104" s="339">
        <v>5101</v>
      </c>
      <c r="F104" s="339">
        <v>2903</v>
      </c>
      <c r="G104" s="339">
        <v>2752</v>
      </c>
      <c r="H104" s="339">
        <v>5655</v>
      </c>
      <c r="I104" s="339">
        <v>14630</v>
      </c>
      <c r="J104" s="339">
        <v>25499</v>
      </c>
      <c r="K104" s="339">
        <v>40129</v>
      </c>
      <c r="L104" s="339">
        <v>979</v>
      </c>
      <c r="M104" s="339">
        <v>2359</v>
      </c>
      <c r="N104" s="339">
        <v>3338</v>
      </c>
      <c r="O104" s="339">
        <v>1253</v>
      </c>
      <c r="P104" s="339">
        <v>3622</v>
      </c>
      <c r="Q104" s="339">
        <v>4875</v>
      </c>
      <c r="R104" s="339">
        <v>22945</v>
      </c>
      <c r="S104" s="339">
        <v>36291</v>
      </c>
      <c r="T104" s="339">
        <v>59236</v>
      </c>
      <c r="U104" s="339">
        <v>61</v>
      </c>
      <c r="V104" s="339">
        <v>77</v>
      </c>
      <c r="W104" s="339">
        <v>138</v>
      </c>
    </row>
    <row r="105" spans="1:23">
      <c r="A105" s="907"/>
      <c r="B105" s="411" t="s">
        <v>299</v>
      </c>
      <c r="C105" s="339">
        <v>2915</v>
      </c>
      <c r="D105" s="339">
        <v>1808</v>
      </c>
      <c r="E105" s="339">
        <v>4723</v>
      </c>
      <c r="F105" s="339">
        <v>2907</v>
      </c>
      <c r="G105" s="339">
        <v>2687</v>
      </c>
      <c r="H105" s="339">
        <v>5594</v>
      </c>
      <c r="I105" s="339">
        <v>13698</v>
      </c>
      <c r="J105" s="339">
        <v>23434</v>
      </c>
      <c r="K105" s="339">
        <v>37132</v>
      </c>
      <c r="L105" s="339">
        <v>873</v>
      </c>
      <c r="M105" s="339">
        <v>2227</v>
      </c>
      <c r="N105" s="339">
        <v>3100</v>
      </c>
      <c r="O105" s="339">
        <v>1162</v>
      </c>
      <c r="P105" s="339">
        <v>3440</v>
      </c>
      <c r="Q105" s="339">
        <v>4602</v>
      </c>
      <c r="R105" s="339">
        <v>21608</v>
      </c>
      <c r="S105" s="339">
        <v>33669</v>
      </c>
      <c r="T105" s="339">
        <v>55277</v>
      </c>
      <c r="U105" s="339">
        <v>53</v>
      </c>
      <c r="V105" s="339">
        <v>73</v>
      </c>
      <c r="W105" s="339">
        <v>126</v>
      </c>
    </row>
    <row r="106" spans="1:23">
      <c r="A106" s="907"/>
      <c r="B106" s="412" t="s">
        <v>298</v>
      </c>
      <c r="C106" s="340">
        <v>3079</v>
      </c>
      <c r="D106" s="340">
        <v>1813</v>
      </c>
      <c r="E106" s="340">
        <v>4892</v>
      </c>
      <c r="F106" s="340">
        <v>3030</v>
      </c>
      <c r="G106" s="340">
        <v>2675</v>
      </c>
      <c r="H106" s="340">
        <v>5705</v>
      </c>
      <c r="I106" s="340">
        <v>13838</v>
      </c>
      <c r="J106" s="340">
        <v>23469</v>
      </c>
      <c r="K106" s="340">
        <v>37307</v>
      </c>
      <c r="L106" s="340">
        <v>833</v>
      </c>
      <c r="M106" s="340">
        <v>2129</v>
      </c>
      <c r="N106" s="340">
        <v>2962</v>
      </c>
      <c r="O106" s="340">
        <v>1008</v>
      </c>
      <c r="P106" s="340">
        <v>2943</v>
      </c>
      <c r="Q106" s="340">
        <v>3951</v>
      </c>
      <c r="R106" s="340">
        <v>21893</v>
      </c>
      <c r="S106" s="340">
        <v>33109</v>
      </c>
      <c r="T106" s="340">
        <v>55002</v>
      </c>
      <c r="U106" s="340">
        <v>105</v>
      </c>
      <c r="V106" s="340">
        <v>80</v>
      </c>
      <c r="W106" s="340">
        <v>185</v>
      </c>
    </row>
    <row r="107" spans="1:23">
      <c r="A107" s="907">
        <v>17</v>
      </c>
      <c r="B107" s="403" t="s">
        <v>172</v>
      </c>
      <c r="C107" s="407"/>
      <c r="D107" s="408"/>
      <c r="E107" s="408"/>
      <c r="F107" s="408"/>
      <c r="G107" s="408"/>
      <c r="H107" s="409"/>
      <c r="I107" s="407"/>
      <c r="J107" s="408"/>
      <c r="K107" s="409"/>
      <c r="L107" s="407"/>
      <c r="M107" s="408"/>
      <c r="N107" s="408"/>
      <c r="O107" s="408"/>
      <c r="P107" s="408"/>
      <c r="Q107" s="409"/>
      <c r="R107" s="407"/>
      <c r="S107" s="408"/>
      <c r="T107" s="408"/>
      <c r="U107" s="408"/>
      <c r="V107" s="408"/>
      <c r="W107" s="409"/>
    </row>
    <row r="108" spans="1:23" s="410" customFormat="1">
      <c r="A108" s="907"/>
      <c r="B108" s="396" t="s">
        <v>997</v>
      </c>
      <c r="C108" s="105">
        <v>3</v>
      </c>
      <c r="D108" s="105">
        <v>2</v>
      </c>
      <c r="E108" s="105">
        <v>5</v>
      </c>
      <c r="F108" s="105">
        <v>4</v>
      </c>
      <c r="G108" s="105">
        <v>0</v>
      </c>
      <c r="H108" s="105">
        <v>4</v>
      </c>
      <c r="I108" s="105">
        <v>73</v>
      </c>
      <c r="J108" s="105">
        <v>41</v>
      </c>
      <c r="K108" s="105">
        <v>114</v>
      </c>
      <c r="L108" s="105">
        <v>5</v>
      </c>
      <c r="M108" s="105">
        <v>0</v>
      </c>
      <c r="N108" s="105">
        <v>5</v>
      </c>
      <c r="O108" s="105">
        <v>19</v>
      </c>
      <c r="P108" s="105">
        <v>18</v>
      </c>
      <c r="Q108" s="105">
        <v>37</v>
      </c>
      <c r="R108" s="105">
        <v>104</v>
      </c>
      <c r="S108" s="105">
        <v>61</v>
      </c>
      <c r="T108" s="105">
        <v>165</v>
      </c>
      <c r="U108" s="105">
        <v>0</v>
      </c>
      <c r="V108" s="105">
        <v>0</v>
      </c>
      <c r="W108" s="105">
        <v>0</v>
      </c>
    </row>
    <row r="109" spans="1:23">
      <c r="A109" s="907"/>
      <c r="B109" s="396" t="s">
        <v>301</v>
      </c>
      <c r="C109" s="339">
        <v>6</v>
      </c>
      <c r="D109" s="339">
        <v>3</v>
      </c>
      <c r="E109" s="339">
        <v>9</v>
      </c>
      <c r="F109" s="339">
        <v>5</v>
      </c>
      <c r="G109" s="339">
        <v>1</v>
      </c>
      <c r="H109" s="339">
        <v>6</v>
      </c>
      <c r="I109" s="339">
        <v>86</v>
      </c>
      <c r="J109" s="339">
        <v>47</v>
      </c>
      <c r="K109" s="339">
        <v>133</v>
      </c>
      <c r="L109" s="339">
        <v>5</v>
      </c>
      <c r="M109" s="339">
        <v>0</v>
      </c>
      <c r="N109" s="339">
        <v>5</v>
      </c>
      <c r="O109" s="339">
        <v>33</v>
      </c>
      <c r="P109" s="339">
        <v>13</v>
      </c>
      <c r="Q109" s="339">
        <v>46</v>
      </c>
      <c r="R109" s="339">
        <v>135</v>
      </c>
      <c r="S109" s="339">
        <v>64</v>
      </c>
      <c r="T109" s="339">
        <v>199</v>
      </c>
      <c r="U109" s="339">
        <v>0</v>
      </c>
      <c r="V109" s="339">
        <v>0</v>
      </c>
      <c r="W109" s="339">
        <v>0</v>
      </c>
    </row>
    <row r="110" spans="1:23">
      <c r="A110" s="907">
        <v>18</v>
      </c>
      <c r="B110" s="403" t="s">
        <v>32</v>
      </c>
      <c r="C110" s="407"/>
      <c r="D110" s="408"/>
      <c r="E110" s="408"/>
      <c r="F110" s="408"/>
      <c r="G110" s="408"/>
      <c r="H110" s="409"/>
      <c r="I110" s="407"/>
      <c r="J110" s="408"/>
      <c r="K110" s="409"/>
      <c r="L110" s="407"/>
      <c r="M110" s="408"/>
      <c r="N110" s="408"/>
      <c r="O110" s="408"/>
      <c r="P110" s="408"/>
      <c r="Q110" s="409"/>
      <c r="R110" s="407"/>
      <c r="S110" s="408"/>
      <c r="T110" s="408"/>
      <c r="U110" s="408"/>
      <c r="V110" s="408"/>
      <c r="W110" s="409"/>
    </row>
    <row r="111" spans="1:23" s="410" customFormat="1">
      <c r="A111" s="907"/>
      <c r="B111" s="396" t="s">
        <v>997</v>
      </c>
      <c r="C111" s="105">
        <v>1</v>
      </c>
      <c r="D111" s="105">
        <v>1</v>
      </c>
      <c r="E111" s="105">
        <v>2</v>
      </c>
      <c r="F111" s="105">
        <v>0</v>
      </c>
      <c r="G111" s="105">
        <v>0</v>
      </c>
      <c r="H111" s="105">
        <v>0</v>
      </c>
      <c r="I111" s="105">
        <v>11</v>
      </c>
      <c r="J111" s="105">
        <v>12</v>
      </c>
      <c r="K111" s="105">
        <v>23</v>
      </c>
      <c r="L111" s="105">
        <v>0</v>
      </c>
      <c r="M111" s="105">
        <v>0</v>
      </c>
      <c r="N111" s="105">
        <v>0</v>
      </c>
      <c r="O111" s="105">
        <v>0</v>
      </c>
      <c r="P111" s="105">
        <v>0</v>
      </c>
      <c r="Q111" s="105">
        <v>0</v>
      </c>
      <c r="R111" s="105">
        <v>12</v>
      </c>
      <c r="S111" s="105">
        <v>13</v>
      </c>
      <c r="T111" s="105">
        <v>25</v>
      </c>
      <c r="U111" s="105">
        <v>0</v>
      </c>
      <c r="V111" s="105">
        <v>0</v>
      </c>
      <c r="W111" s="105">
        <v>0</v>
      </c>
    </row>
    <row r="112" spans="1:23">
      <c r="A112" s="907"/>
      <c r="B112" s="396" t="s">
        <v>301</v>
      </c>
      <c r="C112" s="339">
        <v>2</v>
      </c>
      <c r="D112" s="339">
        <v>1</v>
      </c>
      <c r="E112" s="339">
        <v>3</v>
      </c>
      <c r="F112" s="339">
        <v>0</v>
      </c>
      <c r="G112" s="339">
        <v>0</v>
      </c>
      <c r="H112" s="339">
        <v>0</v>
      </c>
      <c r="I112" s="339">
        <v>23</v>
      </c>
      <c r="J112" s="339">
        <v>19</v>
      </c>
      <c r="K112" s="339">
        <v>42</v>
      </c>
      <c r="L112" s="339">
        <v>0</v>
      </c>
      <c r="M112" s="339">
        <v>0</v>
      </c>
      <c r="N112" s="339">
        <v>0</v>
      </c>
      <c r="O112" s="339">
        <v>0</v>
      </c>
      <c r="P112" s="339">
        <v>0</v>
      </c>
      <c r="Q112" s="339">
        <v>0</v>
      </c>
      <c r="R112" s="339">
        <v>25</v>
      </c>
      <c r="S112" s="339">
        <v>20</v>
      </c>
      <c r="T112" s="339">
        <v>45</v>
      </c>
      <c r="U112" s="339">
        <v>0</v>
      </c>
      <c r="V112" s="339">
        <v>0</v>
      </c>
      <c r="W112" s="339">
        <v>0</v>
      </c>
    </row>
    <row r="113" spans="1:23">
      <c r="A113" s="907"/>
      <c r="B113" s="411" t="s">
        <v>300</v>
      </c>
      <c r="C113" s="339">
        <v>2</v>
      </c>
      <c r="D113" s="339">
        <v>1</v>
      </c>
      <c r="E113" s="339">
        <v>3</v>
      </c>
      <c r="F113" s="339">
        <v>0</v>
      </c>
      <c r="G113" s="339">
        <v>0</v>
      </c>
      <c r="H113" s="339">
        <v>0</v>
      </c>
      <c r="I113" s="339">
        <v>23</v>
      </c>
      <c r="J113" s="339">
        <v>19</v>
      </c>
      <c r="K113" s="339">
        <v>42</v>
      </c>
      <c r="L113" s="339">
        <v>0</v>
      </c>
      <c r="M113" s="339">
        <v>0</v>
      </c>
      <c r="N113" s="339">
        <v>0</v>
      </c>
      <c r="O113" s="339">
        <v>0</v>
      </c>
      <c r="P113" s="339">
        <v>0</v>
      </c>
      <c r="Q113" s="339">
        <v>0</v>
      </c>
      <c r="R113" s="339">
        <v>25</v>
      </c>
      <c r="S113" s="339">
        <v>20</v>
      </c>
      <c r="T113" s="339">
        <v>45</v>
      </c>
      <c r="U113" s="339">
        <v>0</v>
      </c>
      <c r="V113" s="339">
        <v>0</v>
      </c>
      <c r="W113" s="339">
        <v>0</v>
      </c>
    </row>
    <row r="114" spans="1:23">
      <c r="A114" s="907"/>
      <c r="B114" s="411" t="s">
        <v>299</v>
      </c>
      <c r="C114" s="339">
        <v>3</v>
      </c>
      <c r="D114" s="339">
        <v>0</v>
      </c>
      <c r="E114" s="339">
        <v>3</v>
      </c>
      <c r="F114" s="339">
        <v>0</v>
      </c>
      <c r="G114" s="339">
        <v>0</v>
      </c>
      <c r="H114" s="339">
        <v>0</v>
      </c>
      <c r="I114" s="339">
        <v>22</v>
      </c>
      <c r="J114" s="339">
        <v>20</v>
      </c>
      <c r="K114" s="339">
        <v>42</v>
      </c>
      <c r="L114" s="339">
        <v>0</v>
      </c>
      <c r="M114" s="339">
        <v>0</v>
      </c>
      <c r="N114" s="339">
        <v>0</v>
      </c>
      <c r="O114" s="339">
        <v>0</v>
      </c>
      <c r="P114" s="339">
        <v>0</v>
      </c>
      <c r="Q114" s="339">
        <v>0</v>
      </c>
      <c r="R114" s="339">
        <v>25</v>
      </c>
      <c r="S114" s="339">
        <v>20</v>
      </c>
      <c r="T114" s="339">
        <v>45</v>
      </c>
      <c r="U114" s="339">
        <v>0</v>
      </c>
      <c r="V114" s="339">
        <v>0</v>
      </c>
      <c r="W114" s="339">
        <v>0</v>
      </c>
    </row>
    <row r="115" spans="1:23">
      <c r="A115" s="907"/>
      <c r="B115" s="412" t="s">
        <v>298</v>
      </c>
      <c r="C115" s="340">
        <v>3</v>
      </c>
      <c r="D115" s="340">
        <v>0</v>
      </c>
      <c r="E115" s="340">
        <v>3</v>
      </c>
      <c r="F115" s="340">
        <v>4</v>
      </c>
      <c r="G115" s="340">
        <v>0</v>
      </c>
      <c r="H115" s="340">
        <v>4</v>
      </c>
      <c r="I115" s="340">
        <v>19</v>
      </c>
      <c r="J115" s="340">
        <v>11</v>
      </c>
      <c r="K115" s="340">
        <v>30</v>
      </c>
      <c r="L115" s="340">
        <v>0</v>
      </c>
      <c r="M115" s="340">
        <v>0</v>
      </c>
      <c r="N115" s="340">
        <v>0</v>
      </c>
      <c r="O115" s="340">
        <v>0</v>
      </c>
      <c r="P115" s="340">
        <v>0</v>
      </c>
      <c r="Q115" s="340">
        <v>0</v>
      </c>
      <c r="R115" s="340">
        <v>26</v>
      </c>
      <c r="S115" s="340">
        <v>11</v>
      </c>
      <c r="T115" s="340">
        <v>37</v>
      </c>
      <c r="U115" s="340">
        <v>0</v>
      </c>
      <c r="V115" s="340">
        <v>0</v>
      </c>
      <c r="W115" s="340">
        <v>0</v>
      </c>
    </row>
    <row r="116" spans="1:23">
      <c r="A116" s="907">
        <v>19</v>
      </c>
      <c r="B116" s="403" t="s">
        <v>33</v>
      </c>
      <c r="C116" s="407"/>
      <c r="D116" s="408"/>
      <c r="E116" s="408"/>
      <c r="F116" s="408"/>
      <c r="G116" s="408"/>
      <c r="H116" s="409"/>
      <c r="I116" s="407"/>
      <c r="J116" s="408"/>
      <c r="K116" s="409"/>
      <c r="L116" s="407"/>
      <c r="M116" s="408"/>
      <c r="N116" s="408"/>
      <c r="O116" s="408"/>
      <c r="P116" s="408"/>
      <c r="Q116" s="409"/>
      <c r="R116" s="407"/>
      <c r="S116" s="408"/>
      <c r="T116" s="408"/>
      <c r="U116" s="408"/>
      <c r="V116" s="408"/>
      <c r="W116" s="409"/>
    </row>
    <row r="117" spans="1:23" s="410" customFormat="1">
      <c r="A117" s="907"/>
      <c r="B117" s="396" t="s">
        <v>997</v>
      </c>
      <c r="C117" s="105">
        <v>5566</v>
      </c>
      <c r="D117" s="105">
        <v>3066</v>
      </c>
      <c r="E117" s="105">
        <v>8632</v>
      </c>
      <c r="F117" s="105">
        <v>4385</v>
      </c>
      <c r="G117" s="105">
        <v>2647</v>
      </c>
      <c r="H117" s="105">
        <v>7032</v>
      </c>
      <c r="I117" s="105">
        <v>30140</v>
      </c>
      <c r="J117" s="105">
        <v>20792</v>
      </c>
      <c r="K117" s="105">
        <v>50932</v>
      </c>
      <c r="L117" s="105">
        <v>1916</v>
      </c>
      <c r="M117" s="105">
        <v>3485</v>
      </c>
      <c r="N117" s="105">
        <v>5401</v>
      </c>
      <c r="O117" s="105">
        <v>2425</v>
      </c>
      <c r="P117" s="105">
        <v>2168</v>
      </c>
      <c r="Q117" s="105">
        <v>4593</v>
      </c>
      <c r="R117" s="105">
        <v>44736</v>
      </c>
      <c r="S117" s="105">
        <v>32386</v>
      </c>
      <c r="T117" s="105">
        <v>77122</v>
      </c>
      <c r="U117" s="105">
        <v>304</v>
      </c>
      <c r="V117" s="105">
        <v>228</v>
      </c>
      <c r="W117" s="105">
        <v>532</v>
      </c>
    </row>
    <row r="118" spans="1:23">
      <c r="A118" s="907"/>
      <c r="B118" s="396" t="s">
        <v>301</v>
      </c>
      <c r="C118" s="339">
        <v>4775</v>
      </c>
      <c r="D118" s="339">
        <v>2549</v>
      </c>
      <c r="E118" s="339">
        <v>7324</v>
      </c>
      <c r="F118" s="339">
        <v>3985</v>
      </c>
      <c r="G118" s="339">
        <v>2311</v>
      </c>
      <c r="H118" s="339">
        <v>6296</v>
      </c>
      <c r="I118" s="339">
        <v>25048</v>
      </c>
      <c r="J118" s="339">
        <v>17483</v>
      </c>
      <c r="K118" s="339">
        <v>42531</v>
      </c>
      <c r="L118" s="339">
        <v>1426</v>
      </c>
      <c r="M118" s="339">
        <v>2260</v>
      </c>
      <c r="N118" s="339">
        <v>3686</v>
      </c>
      <c r="O118" s="339">
        <v>1947</v>
      </c>
      <c r="P118" s="339">
        <v>1818</v>
      </c>
      <c r="Q118" s="339">
        <v>3765</v>
      </c>
      <c r="R118" s="339">
        <v>37474</v>
      </c>
      <c r="S118" s="339">
        <v>26632</v>
      </c>
      <c r="T118" s="339">
        <v>64106</v>
      </c>
      <c r="U118" s="339">
        <v>293</v>
      </c>
      <c r="V118" s="339">
        <v>211</v>
      </c>
      <c r="W118" s="339">
        <v>504</v>
      </c>
    </row>
    <row r="119" spans="1:23">
      <c r="A119" s="907"/>
      <c r="B119" s="411" t="s">
        <v>300</v>
      </c>
      <c r="C119" s="339">
        <v>4472</v>
      </c>
      <c r="D119" s="339">
        <v>2402</v>
      </c>
      <c r="E119" s="339">
        <v>6874</v>
      </c>
      <c r="F119" s="339">
        <v>3613</v>
      </c>
      <c r="G119" s="339">
        <v>2083</v>
      </c>
      <c r="H119" s="339">
        <v>5696</v>
      </c>
      <c r="I119" s="339">
        <v>22811</v>
      </c>
      <c r="J119" s="339">
        <v>15762</v>
      </c>
      <c r="K119" s="339">
        <v>38573</v>
      </c>
      <c r="L119" s="339">
        <v>1442</v>
      </c>
      <c r="M119" s="339">
        <v>2081</v>
      </c>
      <c r="N119" s="339">
        <v>3523</v>
      </c>
      <c r="O119" s="339">
        <v>2166</v>
      </c>
      <c r="P119" s="339">
        <v>1910</v>
      </c>
      <c r="Q119" s="339">
        <v>4076</v>
      </c>
      <c r="R119" s="339">
        <v>34772</v>
      </c>
      <c r="S119" s="339">
        <v>24412</v>
      </c>
      <c r="T119" s="339">
        <v>59184</v>
      </c>
      <c r="U119" s="339">
        <v>268</v>
      </c>
      <c r="V119" s="339">
        <v>174</v>
      </c>
      <c r="W119" s="339">
        <v>442</v>
      </c>
    </row>
    <row r="120" spans="1:23">
      <c r="A120" s="907"/>
      <c r="B120" s="411" t="s">
        <v>299</v>
      </c>
      <c r="C120" s="339">
        <v>3949</v>
      </c>
      <c r="D120" s="339">
        <v>1995</v>
      </c>
      <c r="E120" s="339">
        <v>5944</v>
      </c>
      <c r="F120" s="339">
        <v>3542</v>
      </c>
      <c r="G120" s="339">
        <v>2117</v>
      </c>
      <c r="H120" s="339">
        <v>5659</v>
      </c>
      <c r="I120" s="339">
        <v>20945</v>
      </c>
      <c r="J120" s="339">
        <v>14606</v>
      </c>
      <c r="K120" s="339">
        <v>35551</v>
      </c>
      <c r="L120" s="339">
        <v>1580</v>
      </c>
      <c r="M120" s="339">
        <v>2116</v>
      </c>
      <c r="N120" s="339">
        <v>3696</v>
      </c>
      <c r="O120" s="339">
        <v>1688</v>
      </c>
      <c r="P120" s="339">
        <v>1563</v>
      </c>
      <c r="Q120" s="339">
        <v>3251</v>
      </c>
      <c r="R120" s="339">
        <v>31931</v>
      </c>
      <c r="S120" s="339">
        <v>22559</v>
      </c>
      <c r="T120" s="339">
        <v>54490</v>
      </c>
      <c r="U120" s="339">
        <v>227</v>
      </c>
      <c r="V120" s="339">
        <v>162</v>
      </c>
      <c r="W120" s="339">
        <v>389</v>
      </c>
    </row>
    <row r="121" spans="1:23">
      <c r="A121" s="907"/>
      <c r="B121" s="412" t="s">
        <v>298</v>
      </c>
      <c r="C121" s="340">
        <v>4924</v>
      </c>
      <c r="D121" s="340">
        <v>2315</v>
      </c>
      <c r="E121" s="340">
        <v>7239</v>
      </c>
      <c r="F121" s="340">
        <v>4150</v>
      </c>
      <c r="G121" s="340">
        <v>1973</v>
      </c>
      <c r="H121" s="340">
        <v>6123</v>
      </c>
      <c r="I121" s="340">
        <v>25702</v>
      </c>
      <c r="J121" s="340">
        <v>16538</v>
      </c>
      <c r="K121" s="340">
        <v>42240</v>
      </c>
      <c r="L121" s="340">
        <v>2049</v>
      </c>
      <c r="M121" s="340">
        <v>2485</v>
      </c>
      <c r="N121" s="340">
        <v>4534</v>
      </c>
      <c r="O121" s="340">
        <v>1913</v>
      </c>
      <c r="P121" s="340">
        <v>1558</v>
      </c>
      <c r="Q121" s="340">
        <v>3471</v>
      </c>
      <c r="R121" s="340">
        <v>39002</v>
      </c>
      <c r="S121" s="340">
        <v>25039</v>
      </c>
      <c r="T121" s="340">
        <v>64041</v>
      </c>
      <c r="U121" s="340">
        <v>257</v>
      </c>
      <c r="V121" s="340">
        <v>170</v>
      </c>
      <c r="W121" s="340">
        <v>427</v>
      </c>
    </row>
    <row r="122" spans="1:23">
      <c r="A122" s="907">
        <v>20</v>
      </c>
      <c r="B122" s="403" t="s">
        <v>34</v>
      </c>
      <c r="C122" s="407"/>
      <c r="D122" s="408"/>
      <c r="E122" s="408"/>
      <c r="F122" s="408"/>
      <c r="G122" s="408"/>
      <c r="H122" s="409"/>
      <c r="I122" s="407"/>
      <c r="J122" s="408"/>
      <c r="K122" s="409"/>
      <c r="L122" s="407"/>
      <c r="M122" s="408"/>
      <c r="N122" s="408"/>
      <c r="O122" s="408"/>
      <c r="P122" s="408"/>
      <c r="Q122" s="409"/>
      <c r="R122" s="407"/>
      <c r="S122" s="408"/>
      <c r="T122" s="408"/>
      <c r="U122" s="408"/>
      <c r="V122" s="408"/>
      <c r="W122" s="409"/>
    </row>
    <row r="123" spans="1:23" s="410" customFormat="1">
      <c r="A123" s="907"/>
      <c r="B123" s="396" t="s">
        <v>997</v>
      </c>
      <c r="C123" s="105">
        <v>10921</v>
      </c>
      <c r="D123" s="105">
        <v>4421</v>
      </c>
      <c r="E123" s="105">
        <v>15342</v>
      </c>
      <c r="F123" s="105">
        <v>12082</v>
      </c>
      <c r="G123" s="105">
        <v>6131</v>
      </c>
      <c r="H123" s="105">
        <v>18213</v>
      </c>
      <c r="I123" s="105">
        <v>62559</v>
      </c>
      <c r="J123" s="105">
        <v>46741</v>
      </c>
      <c r="K123" s="105">
        <v>109300</v>
      </c>
      <c r="L123" s="105">
        <v>2356</v>
      </c>
      <c r="M123" s="105">
        <v>4596</v>
      </c>
      <c r="N123" s="105">
        <v>6952</v>
      </c>
      <c r="O123" s="105">
        <v>4615</v>
      </c>
      <c r="P123" s="105">
        <v>4821</v>
      </c>
      <c r="Q123" s="105">
        <v>9436</v>
      </c>
      <c r="R123" s="105">
        <v>94345</v>
      </c>
      <c r="S123" s="105">
        <v>68328</v>
      </c>
      <c r="T123" s="105">
        <v>162673</v>
      </c>
      <c r="U123" s="105">
        <v>1812</v>
      </c>
      <c r="V123" s="105">
        <v>1618</v>
      </c>
      <c r="W123" s="105">
        <v>3430</v>
      </c>
    </row>
    <row r="124" spans="1:23">
      <c r="A124" s="907"/>
      <c r="B124" s="396" t="s">
        <v>301</v>
      </c>
      <c r="C124" s="339">
        <v>10412</v>
      </c>
      <c r="D124" s="339">
        <v>4103</v>
      </c>
      <c r="E124" s="339">
        <v>14515</v>
      </c>
      <c r="F124" s="339">
        <v>12789</v>
      </c>
      <c r="G124" s="339">
        <v>6465</v>
      </c>
      <c r="H124" s="339">
        <v>19254</v>
      </c>
      <c r="I124" s="339">
        <v>63431</v>
      </c>
      <c r="J124" s="339">
        <v>45524</v>
      </c>
      <c r="K124" s="339">
        <v>108955</v>
      </c>
      <c r="L124" s="339">
        <v>2273</v>
      </c>
      <c r="M124" s="339">
        <v>4536</v>
      </c>
      <c r="N124" s="339">
        <v>6809</v>
      </c>
      <c r="O124" s="339">
        <v>4749</v>
      </c>
      <c r="P124" s="339">
        <v>5565</v>
      </c>
      <c r="Q124" s="339">
        <v>10314</v>
      </c>
      <c r="R124" s="339">
        <v>95447</v>
      </c>
      <c r="S124" s="339">
        <v>67685</v>
      </c>
      <c r="T124" s="339">
        <v>163132</v>
      </c>
      <c r="U124" s="339">
        <v>1793</v>
      </c>
      <c r="V124" s="339">
        <v>1492</v>
      </c>
      <c r="W124" s="339">
        <v>3285</v>
      </c>
    </row>
    <row r="125" spans="1:23">
      <c r="A125" s="907"/>
      <c r="B125" s="411" t="s">
        <v>300</v>
      </c>
      <c r="C125" s="339">
        <v>9752</v>
      </c>
      <c r="D125" s="339">
        <v>3846</v>
      </c>
      <c r="E125" s="339">
        <v>13598</v>
      </c>
      <c r="F125" s="339">
        <v>12731</v>
      </c>
      <c r="G125" s="339">
        <v>6213</v>
      </c>
      <c r="H125" s="339">
        <v>18944</v>
      </c>
      <c r="I125" s="339">
        <v>63627</v>
      </c>
      <c r="J125" s="339">
        <v>44010</v>
      </c>
      <c r="K125" s="339">
        <v>107637</v>
      </c>
      <c r="L125" s="339">
        <v>2169</v>
      </c>
      <c r="M125" s="339">
        <v>3990</v>
      </c>
      <c r="N125" s="339">
        <v>6159</v>
      </c>
      <c r="O125" s="339">
        <v>4465</v>
      </c>
      <c r="P125" s="339">
        <v>5010</v>
      </c>
      <c r="Q125" s="339">
        <v>9475</v>
      </c>
      <c r="R125" s="339">
        <v>94465</v>
      </c>
      <c r="S125" s="339">
        <v>64474</v>
      </c>
      <c r="T125" s="339">
        <v>158939</v>
      </c>
      <c r="U125" s="339">
        <v>1721</v>
      </c>
      <c r="V125" s="339">
        <v>1405</v>
      </c>
      <c r="W125" s="339">
        <v>3126</v>
      </c>
    </row>
    <row r="126" spans="1:23">
      <c r="A126" s="907"/>
      <c r="B126" s="411" t="s">
        <v>299</v>
      </c>
      <c r="C126" s="339">
        <v>9043</v>
      </c>
      <c r="D126" s="339">
        <v>3405</v>
      </c>
      <c r="E126" s="339">
        <v>12448</v>
      </c>
      <c r="F126" s="339">
        <v>12369</v>
      </c>
      <c r="G126" s="339">
        <v>5969</v>
      </c>
      <c r="H126" s="339">
        <v>18338</v>
      </c>
      <c r="I126" s="339">
        <v>63323</v>
      </c>
      <c r="J126" s="339">
        <v>42772</v>
      </c>
      <c r="K126" s="339">
        <v>106095</v>
      </c>
      <c r="L126" s="339">
        <v>1723</v>
      </c>
      <c r="M126" s="339">
        <v>3052</v>
      </c>
      <c r="N126" s="339">
        <v>4775</v>
      </c>
      <c r="O126" s="339">
        <v>3840</v>
      </c>
      <c r="P126" s="339">
        <v>4207</v>
      </c>
      <c r="Q126" s="339">
        <v>8047</v>
      </c>
      <c r="R126" s="339">
        <v>91935</v>
      </c>
      <c r="S126" s="339">
        <v>60667</v>
      </c>
      <c r="T126" s="339">
        <v>152602</v>
      </c>
      <c r="U126" s="339">
        <v>1637</v>
      </c>
      <c r="V126" s="339">
        <v>1262</v>
      </c>
      <c r="W126" s="339">
        <v>2899</v>
      </c>
    </row>
    <row r="127" spans="1:23">
      <c r="A127" s="907"/>
      <c r="B127" s="412" t="s">
        <v>298</v>
      </c>
      <c r="C127" s="340">
        <v>8922</v>
      </c>
      <c r="D127" s="340">
        <v>3278</v>
      </c>
      <c r="E127" s="340">
        <v>12200</v>
      </c>
      <c r="F127" s="340">
        <v>12552</v>
      </c>
      <c r="G127" s="340">
        <v>5944</v>
      </c>
      <c r="H127" s="340">
        <v>18496</v>
      </c>
      <c r="I127" s="340">
        <v>63830</v>
      </c>
      <c r="J127" s="340">
        <v>42204</v>
      </c>
      <c r="K127" s="340">
        <v>106034</v>
      </c>
      <c r="L127" s="340">
        <v>1509</v>
      </c>
      <c r="M127" s="340">
        <v>2449</v>
      </c>
      <c r="N127" s="340">
        <v>3958</v>
      </c>
      <c r="O127" s="340">
        <v>3740</v>
      </c>
      <c r="P127" s="340">
        <v>3779</v>
      </c>
      <c r="Q127" s="340">
        <v>7519</v>
      </c>
      <c r="R127" s="340">
        <v>92019</v>
      </c>
      <c r="S127" s="340">
        <v>58647</v>
      </c>
      <c r="T127" s="340">
        <v>150666</v>
      </c>
      <c r="U127" s="340">
        <v>1415</v>
      </c>
      <c r="V127" s="340">
        <v>973</v>
      </c>
      <c r="W127" s="340">
        <v>2388</v>
      </c>
    </row>
    <row r="128" spans="1:23">
      <c r="A128" s="907">
        <v>21</v>
      </c>
      <c r="B128" s="403" t="s">
        <v>35</v>
      </c>
      <c r="C128" s="407"/>
      <c r="D128" s="408"/>
      <c r="E128" s="408"/>
      <c r="F128" s="408"/>
      <c r="G128" s="408"/>
      <c r="H128" s="409"/>
      <c r="I128" s="407"/>
      <c r="J128" s="408"/>
      <c r="K128" s="409"/>
      <c r="L128" s="407"/>
      <c r="M128" s="408"/>
      <c r="N128" s="408"/>
      <c r="O128" s="408"/>
      <c r="P128" s="408"/>
      <c r="Q128" s="409"/>
      <c r="R128" s="407"/>
      <c r="S128" s="408"/>
      <c r="T128" s="408"/>
      <c r="U128" s="408"/>
      <c r="V128" s="408"/>
      <c r="W128" s="409"/>
    </row>
    <row r="129" spans="1:23" s="410" customFormat="1">
      <c r="A129" s="907"/>
      <c r="B129" s="396" t="s">
        <v>997</v>
      </c>
      <c r="C129" s="105">
        <v>290</v>
      </c>
      <c r="D129" s="105">
        <v>117</v>
      </c>
      <c r="E129" s="105">
        <v>407</v>
      </c>
      <c r="F129" s="105">
        <v>448</v>
      </c>
      <c r="G129" s="105">
        <v>322</v>
      </c>
      <c r="H129" s="105">
        <v>770</v>
      </c>
      <c r="I129" s="105">
        <v>2000</v>
      </c>
      <c r="J129" s="105">
        <v>2136</v>
      </c>
      <c r="K129" s="105">
        <v>4136</v>
      </c>
      <c r="L129" s="105">
        <v>23</v>
      </c>
      <c r="M129" s="105">
        <v>184</v>
      </c>
      <c r="N129" s="105">
        <v>207</v>
      </c>
      <c r="O129" s="105">
        <v>130</v>
      </c>
      <c r="P129" s="105">
        <v>102</v>
      </c>
      <c r="Q129" s="105">
        <v>232</v>
      </c>
      <c r="R129" s="105">
        <v>2946</v>
      </c>
      <c r="S129" s="105">
        <v>2873</v>
      </c>
      <c r="T129" s="105">
        <v>5819</v>
      </c>
      <c r="U129" s="105">
        <v>55</v>
      </c>
      <c r="V129" s="105">
        <v>12</v>
      </c>
      <c r="W129" s="105">
        <v>67</v>
      </c>
    </row>
    <row r="130" spans="1:23">
      <c r="A130" s="907"/>
      <c r="B130" s="396" t="s">
        <v>301</v>
      </c>
      <c r="C130" s="339">
        <v>274</v>
      </c>
      <c r="D130" s="339">
        <v>107</v>
      </c>
      <c r="E130" s="339">
        <v>381</v>
      </c>
      <c r="F130" s="339">
        <v>521</v>
      </c>
      <c r="G130" s="339">
        <v>408</v>
      </c>
      <c r="H130" s="339">
        <v>929</v>
      </c>
      <c r="I130" s="339">
        <v>1796</v>
      </c>
      <c r="J130" s="339">
        <v>1874</v>
      </c>
      <c r="K130" s="339">
        <v>3670</v>
      </c>
      <c r="L130" s="339">
        <v>24</v>
      </c>
      <c r="M130" s="339">
        <v>174</v>
      </c>
      <c r="N130" s="339">
        <v>198</v>
      </c>
      <c r="O130" s="339">
        <v>128</v>
      </c>
      <c r="P130" s="339">
        <v>128</v>
      </c>
      <c r="Q130" s="339">
        <v>256</v>
      </c>
      <c r="R130" s="339">
        <v>2792</v>
      </c>
      <c r="S130" s="339">
        <v>2702</v>
      </c>
      <c r="T130" s="339">
        <v>5494</v>
      </c>
      <c r="U130" s="339">
        <v>49</v>
      </c>
      <c r="V130" s="339">
        <v>11</v>
      </c>
      <c r="W130" s="339">
        <v>60</v>
      </c>
    </row>
    <row r="131" spans="1:23">
      <c r="A131" s="907"/>
      <c r="B131" s="411" t="s">
        <v>300</v>
      </c>
      <c r="C131" s="339">
        <v>256</v>
      </c>
      <c r="D131" s="339">
        <v>93</v>
      </c>
      <c r="E131" s="339">
        <v>349</v>
      </c>
      <c r="F131" s="339">
        <v>625</v>
      </c>
      <c r="G131" s="339">
        <v>480</v>
      </c>
      <c r="H131" s="339">
        <v>1105</v>
      </c>
      <c r="I131" s="339">
        <v>1596</v>
      </c>
      <c r="J131" s="339">
        <v>1650</v>
      </c>
      <c r="K131" s="339">
        <v>3246</v>
      </c>
      <c r="L131" s="339">
        <v>17</v>
      </c>
      <c r="M131" s="339">
        <v>104</v>
      </c>
      <c r="N131" s="339">
        <v>121</v>
      </c>
      <c r="O131" s="339">
        <v>83</v>
      </c>
      <c r="P131" s="339">
        <v>83</v>
      </c>
      <c r="Q131" s="339">
        <v>166</v>
      </c>
      <c r="R131" s="339">
        <v>2616</v>
      </c>
      <c r="S131" s="339">
        <v>2419</v>
      </c>
      <c r="T131" s="339">
        <v>5035</v>
      </c>
      <c r="U131" s="339">
        <v>39</v>
      </c>
      <c r="V131" s="339">
        <v>9</v>
      </c>
      <c r="W131" s="339">
        <v>48</v>
      </c>
    </row>
    <row r="132" spans="1:23">
      <c r="A132" s="907"/>
      <c r="B132" s="411" t="s">
        <v>299</v>
      </c>
      <c r="C132" s="339">
        <v>205</v>
      </c>
      <c r="D132" s="339">
        <v>75</v>
      </c>
      <c r="E132" s="339">
        <v>280</v>
      </c>
      <c r="F132" s="339">
        <v>461</v>
      </c>
      <c r="G132" s="339">
        <v>367</v>
      </c>
      <c r="H132" s="339">
        <v>828</v>
      </c>
      <c r="I132" s="339">
        <v>1095</v>
      </c>
      <c r="J132" s="339">
        <v>1043</v>
      </c>
      <c r="K132" s="339">
        <v>2138</v>
      </c>
      <c r="L132" s="339">
        <v>10</v>
      </c>
      <c r="M132" s="339">
        <v>49</v>
      </c>
      <c r="N132" s="339">
        <v>59</v>
      </c>
      <c r="O132" s="339">
        <v>46</v>
      </c>
      <c r="P132" s="339">
        <v>46</v>
      </c>
      <c r="Q132" s="339">
        <v>92</v>
      </c>
      <c r="R132" s="339">
        <v>1817</v>
      </c>
      <c r="S132" s="339">
        <v>1583</v>
      </c>
      <c r="T132" s="339">
        <v>3400</v>
      </c>
      <c r="U132" s="339">
        <v>0</v>
      </c>
      <c r="V132" s="339">
        <v>3</v>
      </c>
      <c r="W132" s="339">
        <v>3</v>
      </c>
    </row>
    <row r="133" spans="1:23">
      <c r="A133" s="907"/>
      <c r="B133" s="412" t="s">
        <v>298</v>
      </c>
      <c r="C133" s="340">
        <v>327</v>
      </c>
      <c r="D133" s="340">
        <v>118</v>
      </c>
      <c r="E133" s="340">
        <v>445</v>
      </c>
      <c r="F133" s="340">
        <v>692</v>
      </c>
      <c r="G133" s="340">
        <v>541</v>
      </c>
      <c r="H133" s="340">
        <v>1233</v>
      </c>
      <c r="I133" s="340">
        <v>1343</v>
      </c>
      <c r="J133" s="340">
        <v>1258</v>
      </c>
      <c r="K133" s="340">
        <v>2601</v>
      </c>
      <c r="L133" s="340">
        <v>19</v>
      </c>
      <c r="M133" s="340">
        <v>53</v>
      </c>
      <c r="N133" s="340">
        <v>72</v>
      </c>
      <c r="O133" s="340">
        <v>53</v>
      </c>
      <c r="P133" s="340">
        <v>49</v>
      </c>
      <c r="Q133" s="340">
        <v>102</v>
      </c>
      <c r="R133" s="340">
        <v>2439</v>
      </c>
      <c r="S133" s="340">
        <v>2030</v>
      </c>
      <c r="T133" s="340">
        <v>4469</v>
      </c>
      <c r="U133" s="340">
        <v>5</v>
      </c>
      <c r="V133" s="340">
        <v>11</v>
      </c>
      <c r="W133" s="340">
        <v>16</v>
      </c>
    </row>
    <row r="134" spans="1:23">
      <c r="A134" s="907">
        <v>22</v>
      </c>
      <c r="B134" s="403" t="s">
        <v>36</v>
      </c>
      <c r="C134" s="407"/>
      <c r="D134" s="408"/>
      <c r="E134" s="408"/>
      <c r="F134" s="408"/>
      <c r="G134" s="408"/>
      <c r="H134" s="409"/>
      <c r="I134" s="407"/>
      <c r="J134" s="408"/>
      <c r="K134" s="409"/>
      <c r="L134" s="407"/>
      <c r="M134" s="408"/>
      <c r="N134" s="408"/>
      <c r="O134" s="408"/>
      <c r="P134" s="408"/>
      <c r="Q134" s="409"/>
      <c r="R134" s="407"/>
      <c r="S134" s="408"/>
      <c r="T134" s="408"/>
      <c r="U134" s="408"/>
      <c r="V134" s="408"/>
      <c r="W134" s="409"/>
    </row>
    <row r="135" spans="1:23" s="410" customFormat="1">
      <c r="A135" s="907"/>
      <c r="B135" s="396" t="s">
        <v>997</v>
      </c>
      <c r="C135" s="105">
        <v>170</v>
      </c>
      <c r="D135" s="105">
        <v>82</v>
      </c>
      <c r="E135" s="105">
        <v>252</v>
      </c>
      <c r="F135" s="105">
        <v>213</v>
      </c>
      <c r="G135" s="105">
        <v>203</v>
      </c>
      <c r="H135" s="105">
        <v>416</v>
      </c>
      <c r="I135" s="105">
        <v>1099</v>
      </c>
      <c r="J135" s="105">
        <v>1580</v>
      </c>
      <c r="K135" s="105">
        <v>2679</v>
      </c>
      <c r="L135" s="105">
        <v>34</v>
      </c>
      <c r="M135" s="105">
        <v>111</v>
      </c>
      <c r="N135" s="105">
        <v>145</v>
      </c>
      <c r="O135" s="105">
        <v>42</v>
      </c>
      <c r="P135" s="105">
        <v>68</v>
      </c>
      <c r="Q135" s="105">
        <v>110</v>
      </c>
      <c r="R135" s="105">
        <v>1560</v>
      </c>
      <c r="S135" s="105">
        <v>2052</v>
      </c>
      <c r="T135" s="105">
        <v>3612</v>
      </c>
      <c r="U135" s="105">
        <v>2</v>
      </c>
      <c r="V135" s="105">
        <v>8</v>
      </c>
      <c r="W135" s="105">
        <v>10</v>
      </c>
    </row>
    <row r="136" spans="1:23">
      <c r="A136" s="907"/>
      <c r="B136" s="396" t="s">
        <v>301</v>
      </c>
      <c r="C136" s="339">
        <v>171</v>
      </c>
      <c r="D136" s="339">
        <v>69</v>
      </c>
      <c r="E136" s="339">
        <v>240</v>
      </c>
      <c r="F136" s="339">
        <v>244</v>
      </c>
      <c r="G136" s="339">
        <v>229</v>
      </c>
      <c r="H136" s="339">
        <v>473</v>
      </c>
      <c r="I136" s="339">
        <v>1077</v>
      </c>
      <c r="J136" s="339">
        <v>1539</v>
      </c>
      <c r="K136" s="339">
        <v>2616</v>
      </c>
      <c r="L136" s="339">
        <v>50</v>
      </c>
      <c r="M136" s="339">
        <v>96</v>
      </c>
      <c r="N136" s="339">
        <v>146</v>
      </c>
      <c r="O136" s="339">
        <v>53</v>
      </c>
      <c r="P136" s="339">
        <v>83</v>
      </c>
      <c r="Q136" s="339">
        <v>136</v>
      </c>
      <c r="R136" s="339">
        <v>1597</v>
      </c>
      <c r="S136" s="339">
        <v>2027</v>
      </c>
      <c r="T136" s="339">
        <v>3624</v>
      </c>
      <c r="U136" s="339">
        <v>2</v>
      </c>
      <c r="V136" s="339">
        <v>11</v>
      </c>
      <c r="W136" s="339">
        <v>13</v>
      </c>
    </row>
    <row r="137" spans="1:23">
      <c r="A137" s="907"/>
      <c r="B137" s="411" t="s">
        <v>300</v>
      </c>
      <c r="C137" s="339">
        <v>160</v>
      </c>
      <c r="D137" s="339">
        <v>65</v>
      </c>
      <c r="E137" s="339">
        <v>225</v>
      </c>
      <c r="F137" s="339">
        <v>240</v>
      </c>
      <c r="G137" s="339">
        <v>241</v>
      </c>
      <c r="H137" s="339">
        <v>481</v>
      </c>
      <c r="I137" s="339">
        <v>957</v>
      </c>
      <c r="J137" s="339">
        <v>1353</v>
      </c>
      <c r="K137" s="339">
        <v>2310</v>
      </c>
      <c r="L137" s="339">
        <v>42</v>
      </c>
      <c r="M137" s="339">
        <v>98</v>
      </c>
      <c r="N137" s="339">
        <v>140</v>
      </c>
      <c r="O137" s="339">
        <v>60</v>
      </c>
      <c r="P137" s="339">
        <v>83</v>
      </c>
      <c r="Q137" s="339">
        <v>143</v>
      </c>
      <c r="R137" s="339">
        <v>1462</v>
      </c>
      <c r="S137" s="339">
        <v>1850</v>
      </c>
      <c r="T137" s="339">
        <v>3312</v>
      </c>
      <c r="U137" s="339">
        <v>3</v>
      </c>
      <c r="V137" s="339">
        <v>10</v>
      </c>
      <c r="W137" s="339">
        <v>13</v>
      </c>
    </row>
    <row r="138" spans="1:23">
      <c r="A138" s="907"/>
      <c r="B138" s="411" t="s">
        <v>299</v>
      </c>
      <c r="C138" s="339">
        <v>142</v>
      </c>
      <c r="D138" s="339">
        <v>56</v>
      </c>
      <c r="E138" s="339">
        <v>198</v>
      </c>
      <c r="F138" s="339">
        <v>201</v>
      </c>
      <c r="G138" s="339">
        <v>219</v>
      </c>
      <c r="H138" s="339">
        <v>420</v>
      </c>
      <c r="I138" s="339">
        <v>857</v>
      </c>
      <c r="J138" s="339">
        <v>1123</v>
      </c>
      <c r="K138" s="339">
        <v>1980</v>
      </c>
      <c r="L138" s="339">
        <v>34</v>
      </c>
      <c r="M138" s="339">
        <v>74</v>
      </c>
      <c r="N138" s="339">
        <v>108</v>
      </c>
      <c r="O138" s="339">
        <v>38</v>
      </c>
      <c r="P138" s="339">
        <v>53</v>
      </c>
      <c r="Q138" s="339">
        <v>91</v>
      </c>
      <c r="R138" s="339">
        <v>1274</v>
      </c>
      <c r="S138" s="339">
        <v>1530</v>
      </c>
      <c r="T138" s="339">
        <v>2804</v>
      </c>
      <c r="U138" s="339">
        <v>2</v>
      </c>
      <c r="V138" s="339">
        <v>5</v>
      </c>
      <c r="W138" s="339">
        <v>7</v>
      </c>
    </row>
    <row r="139" spans="1:23">
      <c r="A139" s="907"/>
      <c r="B139" s="412" t="s">
        <v>298</v>
      </c>
      <c r="C139" s="340">
        <v>141</v>
      </c>
      <c r="D139" s="340">
        <v>59</v>
      </c>
      <c r="E139" s="340">
        <v>200</v>
      </c>
      <c r="F139" s="340">
        <v>222</v>
      </c>
      <c r="G139" s="340">
        <v>225</v>
      </c>
      <c r="H139" s="340">
        <v>447</v>
      </c>
      <c r="I139" s="340">
        <v>919</v>
      </c>
      <c r="J139" s="340">
        <v>1226</v>
      </c>
      <c r="K139" s="340">
        <v>2145</v>
      </c>
      <c r="L139" s="340">
        <v>32</v>
      </c>
      <c r="M139" s="340">
        <v>71</v>
      </c>
      <c r="N139" s="340">
        <v>103</v>
      </c>
      <c r="O139" s="340">
        <v>47</v>
      </c>
      <c r="P139" s="340">
        <v>62</v>
      </c>
      <c r="Q139" s="340">
        <v>109</v>
      </c>
      <c r="R139" s="340">
        <v>1363</v>
      </c>
      <c r="S139" s="340">
        <v>1648</v>
      </c>
      <c r="T139" s="340">
        <v>3011</v>
      </c>
      <c r="U139" s="340">
        <v>2</v>
      </c>
      <c r="V139" s="340">
        <v>5</v>
      </c>
      <c r="W139" s="340">
        <v>7</v>
      </c>
    </row>
    <row r="140" spans="1:23">
      <c r="A140" s="907">
        <v>23</v>
      </c>
      <c r="B140" s="414" t="s">
        <v>37</v>
      </c>
      <c r="C140" s="404"/>
      <c r="D140" s="405"/>
      <c r="E140" s="405"/>
      <c r="F140" s="405"/>
      <c r="G140" s="405"/>
      <c r="H140" s="406"/>
      <c r="I140" s="404"/>
      <c r="J140" s="405"/>
      <c r="K140" s="406"/>
      <c r="L140" s="404"/>
      <c r="M140" s="405"/>
      <c r="N140" s="405"/>
      <c r="O140" s="405"/>
      <c r="P140" s="405"/>
      <c r="Q140" s="406"/>
      <c r="R140" s="404"/>
      <c r="S140" s="405"/>
      <c r="T140" s="405"/>
      <c r="U140" s="405"/>
      <c r="V140" s="405"/>
      <c r="W140" s="406"/>
    </row>
    <row r="141" spans="1:23" s="410" customFormat="1">
      <c r="A141" s="907"/>
      <c r="B141" s="396" t="s">
        <v>997</v>
      </c>
      <c r="C141" s="105">
        <v>118</v>
      </c>
      <c r="D141" s="105">
        <v>34</v>
      </c>
      <c r="E141" s="105">
        <v>152</v>
      </c>
      <c r="F141" s="105">
        <v>260</v>
      </c>
      <c r="G141" s="105">
        <v>208</v>
      </c>
      <c r="H141" s="105">
        <v>468</v>
      </c>
      <c r="I141" s="105">
        <v>542</v>
      </c>
      <c r="J141" s="105">
        <v>496</v>
      </c>
      <c r="K141" s="105">
        <v>1038</v>
      </c>
      <c r="L141" s="105">
        <v>28</v>
      </c>
      <c r="M141" s="105">
        <v>102</v>
      </c>
      <c r="N141" s="105">
        <v>130</v>
      </c>
      <c r="O141" s="105">
        <v>112</v>
      </c>
      <c r="P141" s="105">
        <v>109</v>
      </c>
      <c r="Q141" s="105">
        <v>221</v>
      </c>
      <c r="R141" s="105">
        <v>1073</v>
      </c>
      <c r="S141" s="105">
        <v>960</v>
      </c>
      <c r="T141" s="105">
        <v>2033</v>
      </c>
      <c r="U141" s="105">
        <v>13</v>
      </c>
      <c r="V141" s="105">
        <v>11</v>
      </c>
      <c r="W141" s="105">
        <v>24</v>
      </c>
    </row>
    <row r="142" spans="1:23">
      <c r="A142" s="907"/>
      <c r="B142" s="396" t="s">
        <v>301</v>
      </c>
      <c r="C142" s="339">
        <v>128</v>
      </c>
      <c r="D142" s="339">
        <v>29</v>
      </c>
      <c r="E142" s="339">
        <v>157</v>
      </c>
      <c r="F142" s="339">
        <v>262</v>
      </c>
      <c r="G142" s="339">
        <v>207</v>
      </c>
      <c r="H142" s="339">
        <v>469</v>
      </c>
      <c r="I142" s="339">
        <v>501</v>
      </c>
      <c r="J142" s="339">
        <v>467</v>
      </c>
      <c r="K142" s="339">
        <v>968</v>
      </c>
      <c r="L142" s="339">
        <v>36</v>
      </c>
      <c r="M142" s="339">
        <v>84</v>
      </c>
      <c r="N142" s="339">
        <v>120</v>
      </c>
      <c r="O142" s="339">
        <v>98</v>
      </c>
      <c r="P142" s="339">
        <v>99</v>
      </c>
      <c r="Q142" s="339">
        <v>197</v>
      </c>
      <c r="R142" s="339">
        <v>1032</v>
      </c>
      <c r="S142" s="339">
        <v>895</v>
      </c>
      <c r="T142" s="339">
        <v>1927</v>
      </c>
      <c r="U142" s="339">
        <v>7</v>
      </c>
      <c r="V142" s="339">
        <v>9</v>
      </c>
      <c r="W142" s="339">
        <v>16</v>
      </c>
    </row>
    <row r="143" spans="1:23">
      <c r="A143" s="907"/>
      <c r="B143" s="411" t="s">
        <v>300</v>
      </c>
      <c r="C143" s="339">
        <v>118</v>
      </c>
      <c r="D143" s="339">
        <v>25</v>
      </c>
      <c r="E143" s="339">
        <v>143</v>
      </c>
      <c r="F143" s="339">
        <v>259</v>
      </c>
      <c r="G143" s="339">
        <v>203</v>
      </c>
      <c r="H143" s="339">
        <v>462</v>
      </c>
      <c r="I143" s="339">
        <v>479</v>
      </c>
      <c r="J143" s="339">
        <v>434</v>
      </c>
      <c r="K143" s="339">
        <v>913</v>
      </c>
      <c r="L143" s="339">
        <v>35</v>
      </c>
      <c r="M143" s="339">
        <v>90</v>
      </c>
      <c r="N143" s="339">
        <v>125</v>
      </c>
      <c r="O143" s="339">
        <v>97</v>
      </c>
      <c r="P143" s="339">
        <v>113</v>
      </c>
      <c r="Q143" s="339">
        <v>210</v>
      </c>
      <c r="R143" s="339">
        <v>994</v>
      </c>
      <c r="S143" s="339">
        <v>874</v>
      </c>
      <c r="T143" s="339">
        <v>1868</v>
      </c>
      <c r="U143" s="339">
        <v>6</v>
      </c>
      <c r="V143" s="339">
        <v>9</v>
      </c>
      <c r="W143" s="339">
        <v>15</v>
      </c>
    </row>
    <row r="144" spans="1:23">
      <c r="A144" s="907"/>
      <c r="B144" s="411" t="s">
        <v>299</v>
      </c>
      <c r="C144" s="339">
        <v>107</v>
      </c>
      <c r="D144" s="339">
        <v>17</v>
      </c>
      <c r="E144" s="339">
        <v>124</v>
      </c>
      <c r="F144" s="339">
        <v>254</v>
      </c>
      <c r="G144" s="339">
        <v>203</v>
      </c>
      <c r="H144" s="339">
        <v>457</v>
      </c>
      <c r="I144" s="339">
        <v>453</v>
      </c>
      <c r="J144" s="339">
        <v>402</v>
      </c>
      <c r="K144" s="339">
        <v>855</v>
      </c>
      <c r="L144" s="339">
        <v>17</v>
      </c>
      <c r="M144" s="339">
        <v>72</v>
      </c>
      <c r="N144" s="339">
        <v>89</v>
      </c>
      <c r="O144" s="339">
        <v>88</v>
      </c>
      <c r="P144" s="339">
        <v>101</v>
      </c>
      <c r="Q144" s="339">
        <v>189</v>
      </c>
      <c r="R144" s="339">
        <v>928</v>
      </c>
      <c r="S144" s="339">
        <v>805</v>
      </c>
      <c r="T144" s="339">
        <v>1733</v>
      </c>
      <c r="U144" s="339">
        <v>9</v>
      </c>
      <c r="V144" s="339">
        <v>10</v>
      </c>
      <c r="W144" s="339">
        <v>19</v>
      </c>
    </row>
    <row r="145" spans="1:23">
      <c r="A145" s="907"/>
      <c r="B145" s="411" t="s">
        <v>298</v>
      </c>
      <c r="C145" s="105">
        <v>106</v>
      </c>
      <c r="D145" s="105">
        <v>17</v>
      </c>
      <c r="E145" s="105">
        <v>123</v>
      </c>
      <c r="F145" s="105">
        <v>261</v>
      </c>
      <c r="G145" s="105">
        <v>197</v>
      </c>
      <c r="H145" s="105">
        <v>458</v>
      </c>
      <c r="I145" s="105">
        <v>439</v>
      </c>
      <c r="J145" s="105">
        <v>395</v>
      </c>
      <c r="K145" s="105">
        <v>834</v>
      </c>
      <c r="L145" s="105">
        <v>13</v>
      </c>
      <c r="M145" s="105">
        <v>77</v>
      </c>
      <c r="N145" s="105">
        <v>90</v>
      </c>
      <c r="O145" s="105">
        <v>80</v>
      </c>
      <c r="P145" s="105">
        <v>80</v>
      </c>
      <c r="Q145" s="105">
        <v>160</v>
      </c>
      <c r="R145" s="105">
        <v>901</v>
      </c>
      <c r="S145" s="105">
        <v>771</v>
      </c>
      <c r="T145" s="105">
        <v>1672</v>
      </c>
      <c r="U145" s="105">
        <v>2</v>
      </c>
      <c r="V145" s="105">
        <v>5</v>
      </c>
      <c r="W145" s="105">
        <v>7</v>
      </c>
    </row>
    <row r="146" spans="1:23">
      <c r="A146" s="907">
        <v>24</v>
      </c>
      <c r="B146" s="403" t="s">
        <v>38</v>
      </c>
      <c r="C146" s="407"/>
      <c r="D146" s="408"/>
      <c r="E146" s="408"/>
      <c r="F146" s="408"/>
      <c r="G146" s="408"/>
      <c r="H146" s="409"/>
      <c r="I146" s="407"/>
      <c r="J146" s="408"/>
      <c r="K146" s="409"/>
      <c r="L146" s="407"/>
      <c r="M146" s="408"/>
      <c r="N146" s="408"/>
      <c r="O146" s="408"/>
      <c r="P146" s="408"/>
      <c r="Q146" s="409"/>
      <c r="R146" s="407"/>
      <c r="S146" s="408"/>
      <c r="T146" s="408"/>
      <c r="U146" s="408"/>
      <c r="V146" s="408"/>
      <c r="W146" s="409"/>
    </row>
    <row r="147" spans="1:23" s="410" customFormat="1">
      <c r="A147" s="907"/>
      <c r="B147" s="396" t="s">
        <v>997</v>
      </c>
      <c r="C147" s="105">
        <v>114</v>
      </c>
      <c r="D147" s="105">
        <v>55</v>
      </c>
      <c r="E147" s="105">
        <v>169</v>
      </c>
      <c r="F147" s="105">
        <v>69</v>
      </c>
      <c r="G147" s="105">
        <v>100</v>
      </c>
      <c r="H147" s="105">
        <v>169</v>
      </c>
      <c r="I147" s="105">
        <v>814</v>
      </c>
      <c r="J147" s="105">
        <v>1125</v>
      </c>
      <c r="K147" s="105">
        <v>1939</v>
      </c>
      <c r="L147" s="105">
        <v>40</v>
      </c>
      <c r="M147" s="105">
        <v>61</v>
      </c>
      <c r="N147" s="105">
        <v>101</v>
      </c>
      <c r="O147" s="105">
        <v>19</v>
      </c>
      <c r="P147" s="105">
        <v>31</v>
      </c>
      <c r="Q147" s="105">
        <v>50</v>
      </c>
      <c r="R147" s="105">
        <v>1059</v>
      </c>
      <c r="S147" s="105">
        <v>1374</v>
      </c>
      <c r="T147" s="105">
        <v>2433</v>
      </c>
      <c r="U147" s="105">
        <v>3</v>
      </c>
      <c r="V147" s="105">
        <v>2</v>
      </c>
      <c r="W147" s="105">
        <v>5</v>
      </c>
    </row>
    <row r="148" spans="1:23">
      <c r="A148" s="907"/>
      <c r="B148" s="396" t="s">
        <v>301</v>
      </c>
      <c r="C148" s="339">
        <v>112</v>
      </c>
      <c r="D148" s="339">
        <v>50</v>
      </c>
      <c r="E148" s="339">
        <v>162</v>
      </c>
      <c r="F148" s="339">
        <v>70</v>
      </c>
      <c r="G148" s="339">
        <v>99</v>
      </c>
      <c r="H148" s="339">
        <v>169</v>
      </c>
      <c r="I148" s="339">
        <v>824</v>
      </c>
      <c r="J148" s="339">
        <v>1127</v>
      </c>
      <c r="K148" s="339">
        <v>1951</v>
      </c>
      <c r="L148" s="339">
        <v>29</v>
      </c>
      <c r="M148" s="339">
        <v>57</v>
      </c>
      <c r="N148" s="339">
        <v>86</v>
      </c>
      <c r="O148" s="339">
        <v>19</v>
      </c>
      <c r="P148" s="339">
        <v>28</v>
      </c>
      <c r="Q148" s="339">
        <v>47</v>
      </c>
      <c r="R148" s="339">
        <v>1058</v>
      </c>
      <c r="S148" s="339">
        <v>1363</v>
      </c>
      <c r="T148" s="339">
        <v>2421</v>
      </c>
      <c r="U148" s="339">
        <v>4</v>
      </c>
      <c r="V148" s="339">
        <v>2</v>
      </c>
      <c r="W148" s="339">
        <v>6</v>
      </c>
    </row>
    <row r="149" spans="1:23">
      <c r="A149" s="907"/>
      <c r="B149" s="411" t="s">
        <v>300</v>
      </c>
      <c r="C149" s="339">
        <v>115</v>
      </c>
      <c r="D149" s="339">
        <v>50</v>
      </c>
      <c r="E149" s="339">
        <v>165</v>
      </c>
      <c r="F149" s="339">
        <v>83</v>
      </c>
      <c r="G149" s="339">
        <v>97</v>
      </c>
      <c r="H149" s="339">
        <v>180</v>
      </c>
      <c r="I149" s="339">
        <v>812</v>
      </c>
      <c r="J149" s="339">
        <v>1097</v>
      </c>
      <c r="K149" s="339">
        <v>1909</v>
      </c>
      <c r="L149" s="339">
        <v>29</v>
      </c>
      <c r="M149" s="339">
        <v>50</v>
      </c>
      <c r="N149" s="339">
        <v>79</v>
      </c>
      <c r="O149" s="339">
        <v>20</v>
      </c>
      <c r="P149" s="339">
        <v>13</v>
      </c>
      <c r="Q149" s="339">
        <v>33</v>
      </c>
      <c r="R149" s="339">
        <v>1067</v>
      </c>
      <c r="S149" s="339">
        <v>1312</v>
      </c>
      <c r="T149" s="339">
        <v>2379</v>
      </c>
      <c r="U149" s="339">
        <v>8</v>
      </c>
      <c r="V149" s="339">
        <v>5</v>
      </c>
      <c r="W149" s="339">
        <v>13</v>
      </c>
    </row>
    <row r="150" spans="1:23">
      <c r="A150" s="907"/>
      <c r="B150" s="411" t="s">
        <v>299</v>
      </c>
      <c r="C150" s="339">
        <v>99</v>
      </c>
      <c r="D150" s="339">
        <v>44</v>
      </c>
      <c r="E150" s="339">
        <v>143</v>
      </c>
      <c r="F150" s="339">
        <v>94</v>
      </c>
      <c r="G150" s="339">
        <v>96</v>
      </c>
      <c r="H150" s="339">
        <v>190</v>
      </c>
      <c r="I150" s="339">
        <v>758</v>
      </c>
      <c r="J150" s="339">
        <v>1060</v>
      </c>
      <c r="K150" s="339">
        <v>1818</v>
      </c>
      <c r="L150" s="339">
        <v>27</v>
      </c>
      <c r="M150" s="339">
        <v>48</v>
      </c>
      <c r="N150" s="339">
        <v>75</v>
      </c>
      <c r="O150" s="339">
        <v>20</v>
      </c>
      <c r="P150" s="339">
        <v>10</v>
      </c>
      <c r="Q150" s="339">
        <v>30</v>
      </c>
      <c r="R150" s="339">
        <v>1006</v>
      </c>
      <c r="S150" s="339">
        <v>1261</v>
      </c>
      <c r="T150" s="339">
        <v>2267</v>
      </c>
      <c r="U150" s="339">
        <v>8</v>
      </c>
      <c r="V150" s="339">
        <v>3</v>
      </c>
      <c r="W150" s="339">
        <v>11</v>
      </c>
    </row>
    <row r="151" spans="1:23">
      <c r="A151" s="907"/>
      <c r="B151" s="412" t="s">
        <v>298</v>
      </c>
      <c r="C151" s="340">
        <v>108</v>
      </c>
      <c r="D151" s="340">
        <v>45</v>
      </c>
      <c r="E151" s="340">
        <v>153</v>
      </c>
      <c r="F151" s="340">
        <v>125</v>
      </c>
      <c r="G151" s="340">
        <v>138</v>
      </c>
      <c r="H151" s="340">
        <v>263</v>
      </c>
      <c r="I151" s="340">
        <v>701</v>
      </c>
      <c r="J151" s="340">
        <v>955</v>
      </c>
      <c r="K151" s="340">
        <v>1656</v>
      </c>
      <c r="L151" s="340">
        <v>31</v>
      </c>
      <c r="M151" s="340">
        <v>54</v>
      </c>
      <c r="N151" s="340">
        <v>85</v>
      </c>
      <c r="O151" s="340">
        <v>22</v>
      </c>
      <c r="P151" s="340">
        <v>12</v>
      </c>
      <c r="Q151" s="340">
        <v>34</v>
      </c>
      <c r="R151" s="340">
        <v>993</v>
      </c>
      <c r="S151" s="340">
        <v>1205</v>
      </c>
      <c r="T151" s="340">
        <v>2198</v>
      </c>
      <c r="U151" s="340">
        <v>6</v>
      </c>
      <c r="V151" s="340">
        <v>1</v>
      </c>
      <c r="W151" s="340">
        <v>7</v>
      </c>
    </row>
    <row r="152" spans="1:23">
      <c r="A152" s="907">
        <v>25</v>
      </c>
      <c r="B152" s="403" t="s">
        <v>39</v>
      </c>
      <c r="C152" s="407"/>
      <c r="D152" s="408"/>
      <c r="E152" s="408"/>
      <c r="F152" s="408"/>
      <c r="G152" s="408"/>
      <c r="H152" s="409"/>
      <c r="I152" s="407"/>
      <c r="J152" s="408"/>
      <c r="K152" s="409"/>
      <c r="L152" s="407"/>
      <c r="M152" s="408"/>
      <c r="N152" s="408"/>
      <c r="O152" s="408"/>
      <c r="P152" s="408"/>
      <c r="Q152" s="409"/>
      <c r="R152" s="407"/>
      <c r="S152" s="408"/>
      <c r="T152" s="408"/>
      <c r="U152" s="408"/>
      <c r="V152" s="408"/>
      <c r="W152" s="409"/>
    </row>
    <row r="153" spans="1:23" s="410" customFormat="1">
      <c r="A153" s="907"/>
      <c r="B153" s="396" t="s">
        <v>997</v>
      </c>
      <c r="C153" s="105">
        <v>2479</v>
      </c>
      <c r="D153" s="105">
        <v>771</v>
      </c>
      <c r="E153" s="105">
        <v>3250</v>
      </c>
      <c r="F153" s="105">
        <v>3159</v>
      </c>
      <c r="G153" s="105">
        <v>1269</v>
      </c>
      <c r="H153" s="105">
        <v>4428</v>
      </c>
      <c r="I153" s="105">
        <v>17626</v>
      </c>
      <c r="J153" s="105">
        <v>10670</v>
      </c>
      <c r="K153" s="105">
        <v>28296</v>
      </c>
      <c r="L153" s="105">
        <v>1440</v>
      </c>
      <c r="M153" s="105">
        <v>2428</v>
      </c>
      <c r="N153" s="105">
        <v>3868</v>
      </c>
      <c r="O153" s="105">
        <v>919</v>
      </c>
      <c r="P153" s="105">
        <v>937</v>
      </c>
      <c r="Q153" s="105">
        <v>1856</v>
      </c>
      <c r="R153" s="105">
        <v>25787</v>
      </c>
      <c r="S153" s="105">
        <v>16186</v>
      </c>
      <c r="T153" s="105">
        <v>41973</v>
      </c>
      <c r="U153" s="105">
        <v>164</v>
      </c>
      <c r="V153" s="105">
        <v>111</v>
      </c>
      <c r="W153" s="105">
        <v>275</v>
      </c>
    </row>
    <row r="154" spans="1:23">
      <c r="A154" s="907"/>
      <c r="B154" s="396" t="s">
        <v>301</v>
      </c>
      <c r="C154" s="339">
        <v>2325</v>
      </c>
      <c r="D154" s="339">
        <v>642</v>
      </c>
      <c r="E154" s="339">
        <v>2967</v>
      </c>
      <c r="F154" s="339">
        <v>2880</v>
      </c>
      <c r="G154" s="339">
        <v>1131</v>
      </c>
      <c r="H154" s="339">
        <v>4011</v>
      </c>
      <c r="I154" s="339">
        <v>17447</v>
      </c>
      <c r="J154" s="339">
        <v>10222</v>
      </c>
      <c r="K154" s="339">
        <v>27669</v>
      </c>
      <c r="L154" s="339">
        <v>1414</v>
      </c>
      <c r="M154" s="339">
        <v>2026</v>
      </c>
      <c r="N154" s="339">
        <v>3440</v>
      </c>
      <c r="O154" s="339">
        <v>847</v>
      </c>
      <c r="P154" s="339">
        <v>863</v>
      </c>
      <c r="Q154" s="339">
        <v>1710</v>
      </c>
      <c r="R154" s="339">
        <v>25065</v>
      </c>
      <c r="S154" s="339">
        <v>14991</v>
      </c>
      <c r="T154" s="339">
        <v>40056</v>
      </c>
      <c r="U154" s="339">
        <v>152</v>
      </c>
      <c r="V154" s="339">
        <v>107</v>
      </c>
      <c r="W154" s="339">
        <v>259</v>
      </c>
    </row>
    <row r="155" spans="1:23">
      <c r="A155" s="907"/>
      <c r="B155" s="411" t="s">
        <v>300</v>
      </c>
      <c r="C155" s="339">
        <v>2261</v>
      </c>
      <c r="D155" s="339">
        <v>593</v>
      </c>
      <c r="E155" s="339">
        <v>2854</v>
      </c>
      <c r="F155" s="339">
        <v>2857</v>
      </c>
      <c r="G155" s="339">
        <v>1122</v>
      </c>
      <c r="H155" s="339">
        <v>3979</v>
      </c>
      <c r="I155" s="339">
        <v>16802</v>
      </c>
      <c r="J155" s="339">
        <v>9463</v>
      </c>
      <c r="K155" s="339">
        <v>26265</v>
      </c>
      <c r="L155" s="339">
        <v>1329</v>
      </c>
      <c r="M155" s="339">
        <v>1836</v>
      </c>
      <c r="N155" s="339">
        <v>3165</v>
      </c>
      <c r="O155" s="339">
        <v>797</v>
      </c>
      <c r="P155" s="339">
        <v>792</v>
      </c>
      <c r="Q155" s="339">
        <v>1589</v>
      </c>
      <c r="R155" s="339">
        <v>24205</v>
      </c>
      <c r="S155" s="339">
        <v>13892</v>
      </c>
      <c r="T155" s="339">
        <v>38097</v>
      </c>
      <c r="U155" s="339">
        <v>159</v>
      </c>
      <c r="V155" s="339">
        <v>86</v>
      </c>
      <c r="W155" s="339">
        <v>245</v>
      </c>
    </row>
    <row r="156" spans="1:23">
      <c r="A156" s="907"/>
      <c r="B156" s="411" t="s">
        <v>299</v>
      </c>
      <c r="C156" s="339">
        <v>2073</v>
      </c>
      <c r="D156" s="339">
        <v>552</v>
      </c>
      <c r="E156" s="339">
        <v>2625</v>
      </c>
      <c r="F156" s="339">
        <v>2596</v>
      </c>
      <c r="G156" s="339">
        <v>998</v>
      </c>
      <c r="H156" s="339">
        <v>3594</v>
      </c>
      <c r="I156" s="339">
        <v>16535</v>
      </c>
      <c r="J156" s="339">
        <v>8903</v>
      </c>
      <c r="K156" s="339">
        <v>25438</v>
      </c>
      <c r="L156" s="339">
        <v>1274</v>
      </c>
      <c r="M156" s="339">
        <v>1738</v>
      </c>
      <c r="N156" s="339">
        <v>3012</v>
      </c>
      <c r="O156" s="339">
        <v>808</v>
      </c>
      <c r="P156" s="339">
        <v>780</v>
      </c>
      <c r="Q156" s="339">
        <v>1588</v>
      </c>
      <c r="R156" s="339">
        <v>23433</v>
      </c>
      <c r="S156" s="339">
        <v>13048</v>
      </c>
      <c r="T156" s="339">
        <v>36481</v>
      </c>
      <c r="U156" s="339">
        <v>147</v>
      </c>
      <c r="V156" s="339">
        <v>77</v>
      </c>
      <c r="W156" s="339">
        <v>224</v>
      </c>
    </row>
    <row r="157" spans="1:23">
      <c r="A157" s="907"/>
      <c r="B157" s="412" t="s">
        <v>298</v>
      </c>
      <c r="C157" s="340">
        <v>2197</v>
      </c>
      <c r="D157" s="340">
        <v>598</v>
      </c>
      <c r="E157" s="340">
        <v>2795</v>
      </c>
      <c r="F157" s="340">
        <v>2583</v>
      </c>
      <c r="G157" s="340">
        <v>1050</v>
      </c>
      <c r="H157" s="340">
        <v>3633</v>
      </c>
      <c r="I157" s="340">
        <v>16854</v>
      </c>
      <c r="J157" s="340">
        <v>8894</v>
      </c>
      <c r="K157" s="340">
        <v>25748</v>
      </c>
      <c r="L157" s="340">
        <v>1396</v>
      </c>
      <c r="M157" s="340">
        <v>1751</v>
      </c>
      <c r="N157" s="340">
        <v>3147</v>
      </c>
      <c r="O157" s="340">
        <v>664</v>
      </c>
      <c r="P157" s="340">
        <v>617</v>
      </c>
      <c r="Q157" s="340">
        <v>1281</v>
      </c>
      <c r="R157" s="340">
        <v>23807</v>
      </c>
      <c r="S157" s="340">
        <v>12977</v>
      </c>
      <c r="T157" s="340">
        <v>36784</v>
      </c>
      <c r="U157" s="340">
        <v>113</v>
      </c>
      <c r="V157" s="340">
        <v>67</v>
      </c>
      <c r="W157" s="340">
        <v>180</v>
      </c>
    </row>
    <row r="158" spans="1:23">
      <c r="A158" s="907">
        <v>26</v>
      </c>
      <c r="B158" s="403" t="s">
        <v>40</v>
      </c>
      <c r="C158" s="407"/>
      <c r="D158" s="408"/>
      <c r="E158" s="408"/>
      <c r="F158" s="408"/>
      <c r="G158" s="408"/>
      <c r="H158" s="409"/>
      <c r="I158" s="407"/>
      <c r="J158" s="408"/>
      <c r="K158" s="409"/>
      <c r="L158" s="407"/>
      <c r="M158" s="408"/>
      <c r="N158" s="408"/>
      <c r="O158" s="408"/>
      <c r="P158" s="408"/>
      <c r="Q158" s="409"/>
      <c r="R158" s="407"/>
      <c r="S158" s="408"/>
      <c r="T158" s="408"/>
      <c r="U158" s="408"/>
      <c r="V158" s="408"/>
      <c r="W158" s="409"/>
    </row>
    <row r="159" spans="1:23" s="410" customFormat="1">
      <c r="A159" s="907"/>
      <c r="B159" s="396" t="s">
        <v>997</v>
      </c>
      <c r="C159" s="105">
        <v>751</v>
      </c>
      <c r="D159" s="105">
        <v>328</v>
      </c>
      <c r="E159" s="105">
        <v>1079</v>
      </c>
      <c r="F159" s="105">
        <v>528</v>
      </c>
      <c r="G159" s="105">
        <v>347</v>
      </c>
      <c r="H159" s="105">
        <v>875</v>
      </c>
      <c r="I159" s="105">
        <v>2016</v>
      </c>
      <c r="J159" s="105">
        <v>1768</v>
      </c>
      <c r="K159" s="105">
        <v>3784</v>
      </c>
      <c r="L159" s="105">
        <v>306</v>
      </c>
      <c r="M159" s="105">
        <v>508</v>
      </c>
      <c r="N159" s="105">
        <v>814</v>
      </c>
      <c r="O159" s="105">
        <v>52</v>
      </c>
      <c r="P159" s="105">
        <v>52</v>
      </c>
      <c r="Q159" s="105">
        <v>104</v>
      </c>
      <c r="R159" s="105">
        <v>3654</v>
      </c>
      <c r="S159" s="105">
        <v>3003</v>
      </c>
      <c r="T159" s="105">
        <v>6657</v>
      </c>
      <c r="U159" s="105">
        <v>1</v>
      </c>
      <c r="V159" s="105">
        <v>0</v>
      </c>
      <c r="W159" s="105">
        <v>1</v>
      </c>
    </row>
    <row r="160" spans="1:23">
      <c r="A160" s="907"/>
      <c r="B160" s="396" t="s">
        <v>301</v>
      </c>
      <c r="C160" s="339">
        <v>754</v>
      </c>
      <c r="D160" s="339">
        <v>282</v>
      </c>
      <c r="E160" s="339">
        <v>1036</v>
      </c>
      <c r="F160" s="339">
        <v>508</v>
      </c>
      <c r="G160" s="339">
        <v>352</v>
      </c>
      <c r="H160" s="339">
        <v>860</v>
      </c>
      <c r="I160" s="339">
        <v>1941</v>
      </c>
      <c r="J160" s="339">
        <v>1564</v>
      </c>
      <c r="K160" s="339">
        <v>3505</v>
      </c>
      <c r="L160" s="339">
        <v>337</v>
      </c>
      <c r="M160" s="339">
        <v>551</v>
      </c>
      <c r="N160" s="339">
        <v>888</v>
      </c>
      <c r="O160" s="339">
        <v>34</v>
      </c>
      <c r="P160" s="339">
        <v>45</v>
      </c>
      <c r="Q160" s="339">
        <v>79</v>
      </c>
      <c r="R160" s="339">
        <v>3576</v>
      </c>
      <c r="S160" s="339">
        <v>2795</v>
      </c>
      <c r="T160" s="339">
        <v>6371</v>
      </c>
      <c r="U160" s="339">
        <v>2</v>
      </c>
      <c r="V160" s="339">
        <v>1</v>
      </c>
      <c r="W160" s="339">
        <v>3</v>
      </c>
    </row>
    <row r="161" spans="1:23">
      <c r="A161" s="907"/>
      <c r="B161" s="411" t="s">
        <v>300</v>
      </c>
      <c r="C161" s="339">
        <v>648</v>
      </c>
      <c r="D161" s="339">
        <v>244</v>
      </c>
      <c r="E161" s="339">
        <v>892</v>
      </c>
      <c r="F161" s="339">
        <v>464</v>
      </c>
      <c r="G161" s="339">
        <v>276</v>
      </c>
      <c r="H161" s="339">
        <v>740</v>
      </c>
      <c r="I161" s="339">
        <v>1930</v>
      </c>
      <c r="J161" s="339">
        <v>1486</v>
      </c>
      <c r="K161" s="339">
        <v>3416</v>
      </c>
      <c r="L161" s="339">
        <v>298</v>
      </c>
      <c r="M161" s="339">
        <v>461</v>
      </c>
      <c r="N161" s="339">
        <v>759</v>
      </c>
      <c r="O161" s="339">
        <v>33</v>
      </c>
      <c r="P161" s="339">
        <v>37</v>
      </c>
      <c r="Q161" s="339">
        <v>70</v>
      </c>
      <c r="R161" s="339">
        <v>3375</v>
      </c>
      <c r="S161" s="339">
        <v>2504</v>
      </c>
      <c r="T161" s="339">
        <v>5879</v>
      </c>
      <c r="U161" s="339">
        <v>2</v>
      </c>
      <c r="V161" s="339">
        <v>0</v>
      </c>
      <c r="W161" s="339">
        <v>2</v>
      </c>
    </row>
    <row r="162" spans="1:23">
      <c r="A162" s="907"/>
      <c r="B162" s="411" t="s">
        <v>299</v>
      </c>
      <c r="C162" s="339">
        <v>592</v>
      </c>
      <c r="D162" s="339">
        <v>215</v>
      </c>
      <c r="E162" s="339">
        <v>807</v>
      </c>
      <c r="F162" s="339">
        <v>495</v>
      </c>
      <c r="G162" s="339">
        <v>263</v>
      </c>
      <c r="H162" s="339">
        <v>758</v>
      </c>
      <c r="I162" s="339">
        <v>1741</v>
      </c>
      <c r="J162" s="339">
        <v>1433</v>
      </c>
      <c r="K162" s="339">
        <v>3174</v>
      </c>
      <c r="L162" s="339">
        <v>197</v>
      </c>
      <c r="M162" s="339">
        <v>380</v>
      </c>
      <c r="N162" s="339">
        <v>577</v>
      </c>
      <c r="O162" s="339">
        <v>54</v>
      </c>
      <c r="P162" s="339">
        <v>43</v>
      </c>
      <c r="Q162" s="339">
        <v>97</v>
      </c>
      <c r="R162" s="339">
        <v>3079</v>
      </c>
      <c r="S162" s="339">
        <v>2334</v>
      </c>
      <c r="T162" s="339">
        <v>5413</v>
      </c>
      <c r="U162" s="339">
        <v>0</v>
      </c>
      <c r="V162" s="339">
        <v>0</v>
      </c>
      <c r="W162" s="105">
        <v>0</v>
      </c>
    </row>
    <row r="163" spans="1:23">
      <c r="A163" s="907"/>
      <c r="B163" s="412" t="s">
        <v>298</v>
      </c>
      <c r="C163" s="340">
        <v>601</v>
      </c>
      <c r="D163" s="340">
        <v>214</v>
      </c>
      <c r="E163" s="340">
        <v>815</v>
      </c>
      <c r="F163" s="340">
        <v>543</v>
      </c>
      <c r="G163" s="340">
        <v>258</v>
      </c>
      <c r="H163" s="340">
        <v>801</v>
      </c>
      <c r="I163" s="340">
        <v>1951</v>
      </c>
      <c r="J163" s="340">
        <v>1483</v>
      </c>
      <c r="K163" s="340">
        <v>3434</v>
      </c>
      <c r="L163" s="340">
        <v>237</v>
      </c>
      <c r="M163" s="340">
        <v>363</v>
      </c>
      <c r="N163" s="340">
        <v>600</v>
      </c>
      <c r="O163" s="340">
        <v>63</v>
      </c>
      <c r="P163" s="340">
        <v>37</v>
      </c>
      <c r="Q163" s="340">
        <v>100</v>
      </c>
      <c r="R163" s="340">
        <v>3395</v>
      </c>
      <c r="S163" s="340">
        <v>2355</v>
      </c>
      <c r="T163" s="340">
        <v>5750</v>
      </c>
      <c r="U163" s="340">
        <v>0</v>
      </c>
      <c r="V163" s="340">
        <v>0</v>
      </c>
      <c r="W163" s="340">
        <v>0</v>
      </c>
    </row>
    <row r="164" spans="1:23">
      <c r="A164" s="907">
        <v>27</v>
      </c>
      <c r="B164" s="403" t="s">
        <v>41</v>
      </c>
      <c r="C164" s="407"/>
      <c r="D164" s="408"/>
      <c r="E164" s="408"/>
      <c r="F164" s="408"/>
      <c r="G164" s="408"/>
      <c r="H164" s="409"/>
      <c r="I164" s="407"/>
      <c r="J164" s="408"/>
      <c r="K164" s="409"/>
      <c r="L164" s="407"/>
      <c r="M164" s="408"/>
      <c r="N164" s="408"/>
      <c r="O164" s="408"/>
      <c r="P164" s="408"/>
      <c r="Q164" s="409"/>
      <c r="R164" s="407"/>
      <c r="S164" s="408"/>
      <c r="T164" s="408"/>
      <c r="U164" s="408"/>
      <c r="V164" s="408"/>
      <c r="W164" s="409"/>
    </row>
    <row r="165" spans="1:23" s="410" customFormat="1">
      <c r="A165" s="907"/>
      <c r="B165" s="396" t="s">
        <v>997</v>
      </c>
      <c r="C165" s="105">
        <v>2448</v>
      </c>
      <c r="D165" s="105">
        <v>1517</v>
      </c>
      <c r="E165" s="105">
        <v>3965</v>
      </c>
      <c r="F165" s="105">
        <v>2181</v>
      </c>
      <c r="G165" s="105">
        <v>2038</v>
      </c>
      <c r="H165" s="105">
        <v>4219</v>
      </c>
      <c r="I165" s="105">
        <v>14440</v>
      </c>
      <c r="J165" s="105">
        <v>21226</v>
      </c>
      <c r="K165" s="105">
        <v>35666</v>
      </c>
      <c r="L165" s="105">
        <v>545</v>
      </c>
      <c r="M165" s="105">
        <v>4078</v>
      </c>
      <c r="N165" s="105">
        <v>4623</v>
      </c>
      <c r="O165" s="105">
        <v>419</v>
      </c>
      <c r="P165" s="105">
        <v>1135</v>
      </c>
      <c r="Q165" s="105">
        <v>1554</v>
      </c>
      <c r="R165" s="105">
        <v>20217</v>
      </c>
      <c r="S165" s="105">
        <v>30261</v>
      </c>
      <c r="T165" s="105">
        <v>50478</v>
      </c>
      <c r="U165" s="105">
        <v>184</v>
      </c>
      <c r="V165" s="105">
        <v>267</v>
      </c>
      <c r="W165" s="105">
        <v>451</v>
      </c>
    </row>
    <row r="166" spans="1:23">
      <c r="A166" s="907"/>
      <c r="B166" s="396" t="s">
        <v>301</v>
      </c>
      <c r="C166" s="339">
        <v>2407</v>
      </c>
      <c r="D166" s="339">
        <v>1352</v>
      </c>
      <c r="E166" s="339">
        <v>3759</v>
      </c>
      <c r="F166" s="339">
        <v>2189</v>
      </c>
      <c r="G166" s="339">
        <v>2079</v>
      </c>
      <c r="H166" s="339">
        <v>4268</v>
      </c>
      <c r="I166" s="339">
        <v>15309</v>
      </c>
      <c r="J166" s="339">
        <v>22280</v>
      </c>
      <c r="K166" s="339">
        <v>37589</v>
      </c>
      <c r="L166" s="339">
        <v>536</v>
      </c>
      <c r="M166" s="339">
        <v>3729</v>
      </c>
      <c r="N166" s="339">
        <v>4265</v>
      </c>
      <c r="O166" s="339">
        <v>466</v>
      </c>
      <c r="P166" s="339">
        <v>1238</v>
      </c>
      <c r="Q166" s="339">
        <v>1704</v>
      </c>
      <c r="R166" s="339">
        <v>21105</v>
      </c>
      <c r="S166" s="339">
        <v>30967</v>
      </c>
      <c r="T166" s="339">
        <v>52072</v>
      </c>
      <c r="U166" s="339">
        <v>198</v>
      </c>
      <c r="V166" s="339">
        <v>289</v>
      </c>
      <c r="W166" s="339">
        <v>487</v>
      </c>
    </row>
    <row r="167" spans="1:23">
      <c r="A167" s="907"/>
      <c r="B167" s="411" t="s">
        <v>300</v>
      </c>
      <c r="C167" s="339">
        <v>2344</v>
      </c>
      <c r="D167" s="339">
        <v>1353</v>
      </c>
      <c r="E167" s="339">
        <v>3697</v>
      </c>
      <c r="F167" s="339">
        <v>2220</v>
      </c>
      <c r="G167" s="339">
        <v>2081</v>
      </c>
      <c r="H167" s="339">
        <v>4301</v>
      </c>
      <c r="I167" s="339">
        <v>15202</v>
      </c>
      <c r="J167" s="339">
        <v>21862</v>
      </c>
      <c r="K167" s="339">
        <v>37064</v>
      </c>
      <c r="L167" s="339">
        <v>536</v>
      </c>
      <c r="M167" s="339">
        <v>3787</v>
      </c>
      <c r="N167" s="339">
        <v>4323</v>
      </c>
      <c r="O167" s="339">
        <v>423</v>
      </c>
      <c r="P167" s="339">
        <v>1366</v>
      </c>
      <c r="Q167" s="339">
        <v>1789</v>
      </c>
      <c r="R167" s="339">
        <v>20871</v>
      </c>
      <c r="S167" s="339">
        <v>30704</v>
      </c>
      <c r="T167" s="339">
        <v>51575</v>
      </c>
      <c r="U167" s="339">
        <v>146</v>
      </c>
      <c r="V167" s="339">
        <v>255</v>
      </c>
      <c r="W167" s="339">
        <v>401</v>
      </c>
    </row>
    <row r="168" spans="1:23">
      <c r="A168" s="907"/>
      <c r="B168" s="411" t="s">
        <v>299</v>
      </c>
      <c r="C168" s="339">
        <v>2078</v>
      </c>
      <c r="D168" s="339">
        <v>1147</v>
      </c>
      <c r="E168" s="339">
        <v>3225</v>
      </c>
      <c r="F168" s="339">
        <v>1997</v>
      </c>
      <c r="G168" s="339">
        <v>1893</v>
      </c>
      <c r="H168" s="339">
        <v>3890</v>
      </c>
      <c r="I168" s="339">
        <v>13661</v>
      </c>
      <c r="J168" s="339">
        <v>19711</v>
      </c>
      <c r="K168" s="339">
        <v>33372</v>
      </c>
      <c r="L168" s="339">
        <v>493</v>
      </c>
      <c r="M168" s="339">
        <v>3253</v>
      </c>
      <c r="N168" s="339">
        <v>3746</v>
      </c>
      <c r="O168" s="339">
        <v>432</v>
      </c>
      <c r="P168" s="339">
        <v>1270</v>
      </c>
      <c r="Q168" s="339">
        <v>1702</v>
      </c>
      <c r="R168" s="339">
        <v>18770</v>
      </c>
      <c r="S168" s="339">
        <v>27514</v>
      </c>
      <c r="T168" s="339">
        <v>46284</v>
      </c>
      <c r="U168" s="339">
        <v>109</v>
      </c>
      <c r="V168" s="339">
        <v>240</v>
      </c>
      <c r="W168" s="339">
        <v>349</v>
      </c>
    </row>
    <row r="169" spans="1:23">
      <c r="A169" s="907"/>
      <c r="B169" s="412" t="s">
        <v>298</v>
      </c>
      <c r="C169" s="340">
        <v>2262</v>
      </c>
      <c r="D169" s="340">
        <v>1309</v>
      </c>
      <c r="E169" s="340">
        <v>3571</v>
      </c>
      <c r="F169" s="340">
        <v>2279</v>
      </c>
      <c r="G169" s="340">
        <v>2120</v>
      </c>
      <c r="H169" s="340">
        <v>4399</v>
      </c>
      <c r="I169" s="340">
        <v>15509</v>
      </c>
      <c r="J169" s="340">
        <v>20549</v>
      </c>
      <c r="K169" s="340">
        <v>36058</v>
      </c>
      <c r="L169" s="340">
        <v>633</v>
      </c>
      <c r="M169" s="340">
        <v>4274</v>
      </c>
      <c r="N169" s="340">
        <v>4907</v>
      </c>
      <c r="O169" s="340">
        <v>473</v>
      </c>
      <c r="P169" s="340">
        <v>1379</v>
      </c>
      <c r="Q169" s="340">
        <v>1852</v>
      </c>
      <c r="R169" s="340">
        <v>21291</v>
      </c>
      <c r="S169" s="340">
        <v>29872</v>
      </c>
      <c r="T169" s="340">
        <v>51163</v>
      </c>
      <c r="U169" s="340">
        <v>133</v>
      </c>
      <c r="V169" s="340">
        <v>239</v>
      </c>
      <c r="W169" s="340">
        <v>372</v>
      </c>
    </row>
    <row r="170" spans="1:23">
      <c r="A170" s="907">
        <v>28</v>
      </c>
      <c r="B170" s="403" t="s">
        <v>42</v>
      </c>
      <c r="C170" s="407"/>
      <c r="D170" s="408"/>
      <c r="E170" s="408"/>
      <c r="F170" s="408"/>
      <c r="G170" s="408"/>
      <c r="H170" s="409"/>
      <c r="I170" s="407"/>
      <c r="J170" s="408"/>
      <c r="K170" s="409"/>
      <c r="L170" s="407"/>
      <c r="M170" s="408"/>
      <c r="N170" s="408"/>
      <c r="O170" s="408"/>
      <c r="P170" s="408"/>
      <c r="Q170" s="409"/>
      <c r="R170" s="407"/>
      <c r="S170" s="408"/>
      <c r="T170" s="408"/>
      <c r="U170" s="408"/>
      <c r="V170" s="408"/>
      <c r="W170" s="409"/>
    </row>
    <row r="171" spans="1:23" s="410" customFormat="1">
      <c r="A171" s="907"/>
      <c r="B171" s="396" t="s">
        <v>997</v>
      </c>
      <c r="C171" s="105">
        <v>5528</v>
      </c>
      <c r="D171" s="105">
        <v>2113</v>
      </c>
      <c r="E171" s="105">
        <v>7641</v>
      </c>
      <c r="F171" s="105">
        <v>4555</v>
      </c>
      <c r="G171" s="105">
        <v>2778</v>
      </c>
      <c r="H171" s="105">
        <v>7333</v>
      </c>
      <c r="I171" s="105">
        <v>37771</v>
      </c>
      <c r="J171" s="105">
        <v>22511</v>
      </c>
      <c r="K171" s="105">
        <v>60282</v>
      </c>
      <c r="L171" s="105">
        <v>2794</v>
      </c>
      <c r="M171" s="105">
        <v>1245</v>
      </c>
      <c r="N171" s="105">
        <v>4039</v>
      </c>
      <c r="O171" s="105">
        <v>555</v>
      </c>
      <c r="P171" s="105">
        <v>298</v>
      </c>
      <c r="Q171" s="105">
        <v>853</v>
      </c>
      <c r="R171" s="105">
        <v>51359</v>
      </c>
      <c r="S171" s="105">
        <v>29061</v>
      </c>
      <c r="T171" s="105">
        <v>80420</v>
      </c>
      <c r="U171" s="105">
        <v>156</v>
      </c>
      <c r="V171" s="105">
        <v>116</v>
      </c>
      <c r="W171" s="105">
        <v>272</v>
      </c>
    </row>
    <row r="172" spans="1:23">
      <c r="A172" s="907"/>
      <c r="B172" s="396" t="s">
        <v>301</v>
      </c>
      <c r="C172" s="339">
        <v>5152</v>
      </c>
      <c r="D172" s="339">
        <v>1913</v>
      </c>
      <c r="E172" s="339">
        <v>7065</v>
      </c>
      <c r="F172" s="339">
        <v>4322</v>
      </c>
      <c r="G172" s="339">
        <v>2797</v>
      </c>
      <c r="H172" s="339">
        <v>7119</v>
      </c>
      <c r="I172" s="339">
        <v>36311</v>
      </c>
      <c r="J172" s="339">
        <v>22011</v>
      </c>
      <c r="K172" s="339">
        <v>58322</v>
      </c>
      <c r="L172" s="339">
        <v>2575</v>
      </c>
      <c r="M172" s="339">
        <v>1206</v>
      </c>
      <c r="N172" s="339">
        <v>3781</v>
      </c>
      <c r="O172" s="339">
        <v>515</v>
      </c>
      <c r="P172" s="339">
        <v>295</v>
      </c>
      <c r="Q172" s="339">
        <v>810</v>
      </c>
      <c r="R172" s="339">
        <v>49032</v>
      </c>
      <c r="S172" s="339">
        <v>28345</v>
      </c>
      <c r="T172" s="339">
        <v>77377</v>
      </c>
      <c r="U172" s="339">
        <v>157</v>
      </c>
      <c r="V172" s="339">
        <v>123</v>
      </c>
      <c r="W172" s="339">
        <v>280</v>
      </c>
    </row>
    <row r="173" spans="1:23">
      <c r="A173" s="907"/>
      <c r="B173" s="411" t="s">
        <v>300</v>
      </c>
      <c r="C173" s="339">
        <v>4689</v>
      </c>
      <c r="D173" s="339">
        <v>1678</v>
      </c>
      <c r="E173" s="339">
        <v>6367</v>
      </c>
      <c r="F173" s="339">
        <v>3866</v>
      </c>
      <c r="G173" s="339">
        <v>2468</v>
      </c>
      <c r="H173" s="339">
        <v>6334</v>
      </c>
      <c r="I173" s="339">
        <v>33600</v>
      </c>
      <c r="J173" s="339">
        <v>20306</v>
      </c>
      <c r="K173" s="339">
        <v>53906</v>
      </c>
      <c r="L173" s="339">
        <v>2309</v>
      </c>
      <c r="M173" s="339">
        <v>1111</v>
      </c>
      <c r="N173" s="339">
        <v>3420</v>
      </c>
      <c r="O173" s="339">
        <v>474</v>
      </c>
      <c r="P173" s="339">
        <v>313</v>
      </c>
      <c r="Q173" s="339">
        <v>787</v>
      </c>
      <c r="R173" s="339">
        <v>45110</v>
      </c>
      <c r="S173" s="339">
        <v>25978</v>
      </c>
      <c r="T173" s="339">
        <v>71088</v>
      </c>
      <c r="U173" s="339">
        <v>172</v>
      </c>
      <c r="V173" s="339">
        <v>102</v>
      </c>
      <c r="W173" s="339">
        <v>274</v>
      </c>
    </row>
    <row r="174" spans="1:23">
      <c r="A174" s="907"/>
      <c r="B174" s="411" t="s">
        <v>299</v>
      </c>
      <c r="C174" s="339">
        <v>4030</v>
      </c>
      <c r="D174" s="339">
        <v>1428</v>
      </c>
      <c r="E174" s="339">
        <v>5458</v>
      </c>
      <c r="F174" s="339">
        <v>2799</v>
      </c>
      <c r="G174" s="339">
        <v>1517</v>
      </c>
      <c r="H174" s="339">
        <v>4316</v>
      </c>
      <c r="I174" s="339">
        <v>28613</v>
      </c>
      <c r="J174" s="339">
        <v>17942</v>
      </c>
      <c r="K174" s="339">
        <v>46555</v>
      </c>
      <c r="L174" s="339">
        <v>1841</v>
      </c>
      <c r="M174" s="339">
        <v>904</v>
      </c>
      <c r="N174" s="339">
        <v>2745</v>
      </c>
      <c r="O174" s="339">
        <v>450</v>
      </c>
      <c r="P174" s="339">
        <v>305</v>
      </c>
      <c r="Q174" s="339">
        <v>755</v>
      </c>
      <c r="R174" s="339">
        <v>37863</v>
      </c>
      <c r="S174" s="339">
        <v>22182</v>
      </c>
      <c r="T174" s="339">
        <v>60045</v>
      </c>
      <c r="U174" s="339">
        <v>130</v>
      </c>
      <c r="V174" s="339">
        <v>86</v>
      </c>
      <c r="W174" s="339">
        <v>216</v>
      </c>
    </row>
    <row r="175" spans="1:23">
      <c r="A175" s="907"/>
      <c r="B175" s="412" t="s">
        <v>298</v>
      </c>
      <c r="C175" s="340">
        <v>4545</v>
      </c>
      <c r="D175" s="340">
        <v>1638</v>
      </c>
      <c r="E175" s="340">
        <v>6183</v>
      </c>
      <c r="F175" s="340">
        <v>2576</v>
      </c>
      <c r="G175" s="340">
        <v>1226</v>
      </c>
      <c r="H175" s="340">
        <v>3802</v>
      </c>
      <c r="I175" s="340">
        <v>33399</v>
      </c>
      <c r="J175" s="340">
        <v>19118</v>
      </c>
      <c r="K175" s="340">
        <v>52517</v>
      </c>
      <c r="L175" s="340">
        <v>2068</v>
      </c>
      <c r="M175" s="340">
        <v>879</v>
      </c>
      <c r="N175" s="340">
        <v>2947</v>
      </c>
      <c r="O175" s="340">
        <v>494</v>
      </c>
      <c r="P175" s="340">
        <v>305</v>
      </c>
      <c r="Q175" s="340">
        <v>799</v>
      </c>
      <c r="R175" s="340">
        <v>43281</v>
      </c>
      <c r="S175" s="340">
        <v>23259</v>
      </c>
      <c r="T175" s="340">
        <v>66540</v>
      </c>
      <c r="U175" s="340">
        <v>197</v>
      </c>
      <c r="V175" s="340">
        <v>93</v>
      </c>
      <c r="W175" s="340">
        <v>290</v>
      </c>
    </row>
    <row r="176" spans="1:23">
      <c r="A176" s="907">
        <v>29</v>
      </c>
      <c r="B176" s="403" t="s">
        <v>43</v>
      </c>
      <c r="C176" s="407"/>
      <c r="D176" s="408"/>
      <c r="E176" s="408"/>
      <c r="F176" s="408"/>
      <c r="G176" s="408"/>
      <c r="H176" s="409"/>
      <c r="I176" s="407"/>
      <c r="J176" s="408"/>
      <c r="K176" s="409"/>
      <c r="L176" s="407"/>
      <c r="M176" s="408"/>
      <c r="N176" s="408"/>
      <c r="O176" s="408"/>
      <c r="P176" s="408"/>
      <c r="Q176" s="409"/>
      <c r="R176" s="407"/>
      <c r="S176" s="408"/>
      <c r="T176" s="408"/>
      <c r="U176" s="408"/>
      <c r="V176" s="408"/>
      <c r="W176" s="409"/>
    </row>
    <row r="177" spans="1:23" s="410" customFormat="1">
      <c r="A177" s="907"/>
      <c r="B177" s="396" t="s">
        <v>997</v>
      </c>
      <c r="C177" s="105">
        <v>97</v>
      </c>
      <c r="D177" s="105">
        <v>32</v>
      </c>
      <c r="E177" s="105">
        <v>129</v>
      </c>
      <c r="F177" s="105">
        <v>137</v>
      </c>
      <c r="G177" s="105">
        <v>62</v>
      </c>
      <c r="H177" s="105">
        <v>199</v>
      </c>
      <c r="I177" s="105">
        <v>728</v>
      </c>
      <c r="J177" s="105">
        <v>550</v>
      </c>
      <c r="K177" s="105">
        <v>1278</v>
      </c>
      <c r="L177" s="105">
        <v>25</v>
      </c>
      <c r="M177" s="105">
        <v>75</v>
      </c>
      <c r="N177" s="105">
        <v>100</v>
      </c>
      <c r="O177" s="105">
        <v>6</v>
      </c>
      <c r="P177" s="105">
        <v>7</v>
      </c>
      <c r="Q177" s="105">
        <v>13</v>
      </c>
      <c r="R177" s="105">
        <v>996</v>
      </c>
      <c r="S177" s="105">
        <v>728</v>
      </c>
      <c r="T177" s="105">
        <v>1724</v>
      </c>
      <c r="U177" s="105">
        <v>3</v>
      </c>
      <c r="V177" s="105">
        <v>2</v>
      </c>
      <c r="W177" s="105">
        <v>5</v>
      </c>
    </row>
    <row r="178" spans="1:23">
      <c r="A178" s="907"/>
      <c r="B178" s="396" t="s">
        <v>301</v>
      </c>
      <c r="C178" s="339">
        <v>101</v>
      </c>
      <c r="D178" s="339">
        <v>29</v>
      </c>
      <c r="E178" s="339">
        <v>130</v>
      </c>
      <c r="F178" s="339">
        <v>132</v>
      </c>
      <c r="G178" s="339">
        <v>59</v>
      </c>
      <c r="H178" s="339">
        <v>191</v>
      </c>
      <c r="I178" s="339">
        <v>729</v>
      </c>
      <c r="J178" s="339">
        <v>537</v>
      </c>
      <c r="K178" s="339">
        <v>1266</v>
      </c>
      <c r="L178" s="339">
        <v>26</v>
      </c>
      <c r="M178" s="339">
        <v>52</v>
      </c>
      <c r="N178" s="339">
        <v>78</v>
      </c>
      <c r="O178" s="339">
        <v>8</v>
      </c>
      <c r="P178" s="339">
        <v>30</v>
      </c>
      <c r="Q178" s="339">
        <v>38</v>
      </c>
      <c r="R178" s="339">
        <v>1000</v>
      </c>
      <c r="S178" s="339">
        <v>711</v>
      </c>
      <c r="T178" s="339">
        <v>1711</v>
      </c>
      <c r="U178" s="339">
        <v>4</v>
      </c>
      <c r="V178" s="339">
        <v>4</v>
      </c>
      <c r="W178" s="339">
        <v>8</v>
      </c>
    </row>
    <row r="179" spans="1:23" ht="15.75" customHeight="1">
      <c r="A179" s="907"/>
      <c r="B179" s="411" t="s">
        <v>300</v>
      </c>
      <c r="C179" s="339">
        <v>97</v>
      </c>
      <c r="D179" s="339">
        <v>29</v>
      </c>
      <c r="E179" s="339">
        <v>126</v>
      </c>
      <c r="F179" s="339">
        <v>115</v>
      </c>
      <c r="G179" s="339">
        <v>49</v>
      </c>
      <c r="H179" s="339">
        <v>164</v>
      </c>
      <c r="I179" s="339">
        <v>676</v>
      </c>
      <c r="J179" s="339">
        <v>484</v>
      </c>
      <c r="K179" s="339">
        <v>1160</v>
      </c>
      <c r="L179" s="339">
        <v>30</v>
      </c>
      <c r="M179" s="339">
        <v>62</v>
      </c>
      <c r="N179" s="339">
        <v>92</v>
      </c>
      <c r="O179" s="339">
        <v>6</v>
      </c>
      <c r="P179" s="339">
        <v>7</v>
      </c>
      <c r="Q179" s="339">
        <v>13</v>
      </c>
      <c r="R179" s="339">
        <v>929</v>
      </c>
      <c r="S179" s="339">
        <v>635</v>
      </c>
      <c r="T179" s="339">
        <v>1564</v>
      </c>
      <c r="U179" s="339">
        <v>5</v>
      </c>
      <c r="V179" s="339">
        <v>4</v>
      </c>
      <c r="W179" s="339">
        <v>9</v>
      </c>
    </row>
    <row r="180" spans="1:23">
      <c r="A180" s="907"/>
      <c r="B180" s="411" t="s">
        <v>299</v>
      </c>
      <c r="C180" s="339">
        <v>94</v>
      </c>
      <c r="D180" s="339">
        <v>31</v>
      </c>
      <c r="E180" s="339">
        <v>125</v>
      </c>
      <c r="F180" s="339">
        <v>111</v>
      </c>
      <c r="G180" s="339">
        <v>46</v>
      </c>
      <c r="H180" s="339">
        <v>157</v>
      </c>
      <c r="I180" s="339">
        <v>631</v>
      </c>
      <c r="J180" s="339">
        <v>438</v>
      </c>
      <c r="K180" s="339">
        <v>1069</v>
      </c>
      <c r="L180" s="339">
        <v>35</v>
      </c>
      <c r="M180" s="339">
        <v>71</v>
      </c>
      <c r="N180" s="339">
        <v>106</v>
      </c>
      <c r="O180" s="339">
        <v>8</v>
      </c>
      <c r="P180" s="339">
        <v>8</v>
      </c>
      <c r="Q180" s="339">
        <v>16</v>
      </c>
      <c r="R180" s="339">
        <v>883</v>
      </c>
      <c r="S180" s="339">
        <v>600</v>
      </c>
      <c r="T180" s="339">
        <v>1483</v>
      </c>
      <c r="U180" s="339">
        <v>4</v>
      </c>
      <c r="V180" s="339">
        <v>6</v>
      </c>
      <c r="W180" s="339">
        <v>10</v>
      </c>
    </row>
    <row r="181" spans="1:23">
      <c r="A181" s="907"/>
      <c r="B181" s="412" t="s">
        <v>298</v>
      </c>
      <c r="C181" s="340">
        <v>76</v>
      </c>
      <c r="D181" s="340">
        <v>27</v>
      </c>
      <c r="E181" s="340">
        <v>103</v>
      </c>
      <c r="F181" s="340">
        <v>102</v>
      </c>
      <c r="G181" s="340">
        <v>44</v>
      </c>
      <c r="H181" s="340">
        <v>146</v>
      </c>
      <c r="I181" s="340">
        <v>542</v>
      </c>
      <c r="J181" s="340">
        <v>374</v>
      </c>
      <c r="K181" s="340">
        <v>916</v>
      </c>
      <c r="L181" s="340">
        <v>50</v>
      </c>
      <c r="M181" s="340">
        <v>80</v>
      </c>
      <c r="N181" s="340">
        <v>130</v>
      </c>
      <c r="O181" s="340">
        <v>1</v>
      </c>
      <c r="P181" s="340">
        <v>6</v>
      </c>
      <c r="Q181" s="340">
        <v>7</v>
      </c>
      <c r="R181" s="340">
        <v>771</v>
      </c>
      <c r="S181" s="340">
        <v>531</v>
      </c>
      <c r="T181" s="340">
        <v>1302</v>
      </c>
      <c r="U181" s="340">
        <v>0</v>
      </c>
      <c r="V181" s="340">
        <v>0</v>
      </c>
      <c r="W181" s="340">
        <v>0</v>
      </c>
    </row>
    <row r="182" spans="1:23">
      <c r="A182" s="907">
        <v>30</v>
      </c>
      <c r="B182" s="403" t="s">
        <v>44</v>
      </c>
      <c r="C182" s="407"/>
      <c r="D182" s="408"/>
      <c r="E182" s="408"/>
      <c r="F182" s="408"/>
      <c r="G182" s="408"/>
      <c r="H182" s="409"/>
      <c r="I182" s="407"/>
      <c r="J182" s="408"/>
      <c r="K182" s="409"/>
      <c r="L182" s="407"/>
      <c r="M182" s="408"/>
      <c r="N182" s="408"/>
      <c r="O182" s="408"/>
      <c r="P182" s="408"/>
      <c r="Q182" s="409"/>
      <c r="R182" s="407"/>
      <c r="S182" s="408"/>
      <c r="T182" s="408"/>
      <c r="U182" s="408"/>
      <c r="V182" s="408"/>
      <c r="W182" s="409"/>
    </row>
    <row r="183" spans="1:23" s="410" customFormat="1">
      <c r="A183" s="907"/>
      <c r="B183" s="396" t="s">
        <v>997</v>
      </c>
      <c r="C183" s="105">
        <v>11698</v>
      </c>
      <c r="D183" s="105">
        <v>6208</v>
      </c>
      <c r="E183" s="105">
        <v>17906</v>
      </c>
      <c r="F183" s="105">
        <v>11938</v>
      </c>
      <c r="G183" s="105">
        <v>9102</v>
      </c>
      <c r="H183" s="105">
        <v>21040</v>
      </c>
      <c r="I183" s="105">
        <v>73391</v>
      </c>
      <c r="J183" s="105">
        <v>77627</v>
      </c>
      <c r="K183" s="105">
        <v>151018</v>
      </c>
      <c r="L183" s="105">
        <v>2302</v>
      </c>
      <c r="M183" s="105">
        <v>5626</v>
      </c>
      <c r="N183" s="105">
        <v>7928</v>
      </c>
      <c r="O183" s="105">
        <v>2247</v>
      </c>
      <c r="P183" s="105">
        <v>2779</v>
      </c>
      <c r="Q183" s="105">
        <v>5026</v>
      </c>
      <c r="R183" s="105">
        <v>101876</v>
      </c>
      <c r="S183" s="105">
        <v>101539</v>
      </c>
      <c r="T183" s="105">
        <v>203415</v>
      </c>
      <c r="U183" s="105">
        <v>300</v>
      </c>
      <c r="V183" s="105">
        <v>197</v>
      </c>
      <c r="W183" s="105">
        <v>497</v>
      </c>
    </row>
    <row r="184" spans="1:23">
      <c r="A184" s="907"/>
      <c r="B184" s="396" t="s">
        <v>301</v>
      </c>
      <c r="C184" s="339">
        <v>11804</v>
      </c>
      <c r="D184" s="339">
        <v>5628</v>
      </c>
      <c r="E184" s="339">
        <v>17432</v>
      </c>
      <c r="F184" s="339">
        <v>11581</v>
      </c>
      <c r="G184" s="339">
        <v>8847</v>
      </c>
      <c r="H184" s="339">
        <v>20428</v>
      </c>
      <c r="I184" s="339">
        <v>74366</v>
      </c>
      <c r="J184" s="339">
        <v>77009</v>
      </c>
      <c r="K184" s="339">
        <v>151375</v>
      </c>
      <c r="L184" s="339">
        <v>2286</v>
      </c>
      <c r="M184" s="339">
        <v>5484</v>
      </c>
      <c r="N184" s="339">
        <v>7770</v>
      </c>
      <c r="O184" s="339">
        <v>2223</v>
      </c>
      <c r="P184" s="339">
        <v>2512</v>
      </c>
      <c r="Q184" s="339">
        <v>4735</v>
      </c>
      <c r="R184" s="339">
        <v>102469</v>
      </c>
      <c r="S184" s="339">
        <v>99616</v>
      </c>
      <c r="T184" s="339">
        <v>202085</v>
      </c>
      <c r="U184" s="339">
        <v>209</v>
      </c>
      <c r="V184" s="339">
        <v>136</v>
      </c>
      <c r="W184" s="339">
        <v>345</v>
      </c>
    </row>
    <row r="185" spans="1:23">
      <c r="A185" s="907"/>
      <c r="B185" s="411" t="s">
        <v>300</v>
      </c>
      <c r="C185" s="339">
        <v>10975</v>
      </c>
      <c r="D185" s="339">
        <v>5162</v>
      </c>
      <c r="E185" s="339">
        <v>16137</v>
      </c>
      <c r="F185" s="339">
        <v>11262</v>
      </c>
      <c r="G185" s="339">
        <v>8260</v>
      </c>
      <c r="H185" s="339">
        <v>19522</v>
      </c>
      <c r="I185" s="339">
        <v>73693</v>
      </c>
      <c r="J185" s="339">
        <v>74475</v>
      </c>
      <c r="K185" s="339">
        <v>148168</v>
      </c>
      <c r="L185" s="339">
        <v>2159</v>
      </c>
      <c r="M185" s="339">
        <v>5299</v>
      </c>
      <c r="N185" s="339">
        <v>7458</v>
      </c>
      <c r="O185" s="339">
        <v>2206</v>
      </c>
      <c r="P185" s="339">
        <v>2274</v>
      </c>
      <c r="Q185" s="339">
        <v>4480</v>
      </c>
      <c r="R185" s="339">
        <v>100433</v>
      </c>
      <c r="S185" s="339">
        <v>95560</v>
      </c>
      <c r="T185" s="339">
        <v>195993</v>
      </c>
      <c r="U185" s="339">
        <v>138</v>
      </c>
      <c r="V185" s="339">
        <v>90</v>
      </c>
      <c r="W185" s="339">
        <v>228</v>
      </c>
    </row>
    <row r="186" spans="1:23">
      <c r="A186" s="907"/>
      <c r="B186" s="411" t="s">
        <v>299</v>
      </c>
      <c r="C186" s="339">
        <v>10376</v>
      </c>
      <c r="D186" s="339">
        <v>4907</v>
      </c>
      <c r="E186" s="339">
        <v>15283</v>
      </c>
      <c r="F186" s="339">
        <v>10979</v>
      </c>
      <c r="G186" s="339">
        <v>7954</v>
      </c>
      <c r="H186" s="339">
        <v>18933</v>
      </c>
      <c r="I186" s="339">
        <v>74130</v>
      </c>
      <c r="J186" s="339">
        <v>72638</v>
      </c>
      <c r="K186" s="339">
        <v>146768</v>
      </c>
      <c r="L186" s="339">
        <v>2158</v>
      </c>
      <c r="M186" s="339">
        <v>4980</v>
      </c>
      <c r="N186" s="339">
        <v>7138</v>
      </c>
      <c r="O186" s="339">
        <v>1951</v>
      </c>
      <c r="P186" s="339">
        <v>1959</v>
      </c>
      <c r="Q186" s="339">
        <v>3910</v>
      </c>
      <c r="R186" s="339">
        <v>99790</v>
      </c>
      <c r="S186" s="339">
        <v>92510</v>
      </c>
      <c r="T186" s="339">
        <v>192300</v>
      </c>
      <c r="U186" s="339">
        <v>196</v>
      </c>
      <c r="V186" s="339">
        <v>72</v>
      </c>
      <c r="W186" s="339">
        <v>268</v>
      </c>
    </row>
    <row r="187" spans="1:23">
      <c r="A187" s="907"/>
      <c r="B187" s="412" t="s">
        <v>298</v>
      </c>
      <c r="C187" s="340">
        <v>10785</v>
      </c>
      <c r="D187" s="340">
        <v>4800</v>
      </c>
      <c r="E187" s="340">
        <v>15585</v>
      </c>
      <c r="F187" s="340">
        <v>11090</v>
      </c>
      <c r="G187" s="340">
        <v>7682</v>
      </c>
      <c r="H187" s="340">
        <v>18772</v>
      </c>
      <c r="I187" s="340">
        <v>75297</v>
      </c>
      <c r="J187" s="340">
        <v>70112</v>
      </c>
      <c r="K187" s="340">
        <v>145409</v>
      </c>
      <c r="L187" s="340">
        <v>2189</v>
      </c>
      <c r="M187" s="340">
        <v>4795</v>
      </c>
      <c r="N187" s="340">
        <v>6984</v>
      </c>
      <c r="O187" s="340">
        <v>1698</v>
      </c>
      <c r="P187" s="340">
        <v>1558</v>
      </c>
      <c r="Q187" s="340">
        <v>3256</v>
      </c>
      <c r="R187" s="340">
        <v>101257</v>
      </c>
      <c r="S187" s="340">
        <v>89035</v>
      </c>
      <c r="T187" s="340">
        <v>190292</v>
      </c>
      <c r="U187" s="340">
        <v>197</v>
      </c>
      <c r="V187" s="340">
        <v>86</v>
      </c>
      <c r="W187" s="340">
        <v>283</v>
      </c>
    </row>
    <row r="188" spans="1:23">
      <c r="A188" s="907">
        <v>31</v>
      </c>
      <c r="B188" s="403" t="s">
        <v>142</v>
      </c>
      <c r="C188" s="407"/>
      <c r="D188" s="408"/>
      <c r="E188" s="408"/>
      <c r="F188" s="408"/>
      <c r="G188" s="408"/>
      <c r="H188" s="409"/>
      <c r="I188" s="407"/>
      <c r="J188" s="408"/>
      <c r="K188" s="409"/>
      <c r="L188" s="407"/>
      <c r="M188" s="408"/>
      <c r="N188" s="408"/>
      <c r="O188" s="408"/>
      <c r="P188" s="408"/>
      <c r="Q188" s="409"/>
      <c r="R188" s="407"/>
      <c r="S188" s="408"/>
      <c r="T188" s="408"/>
      <c r="U188" s="408"/>
      <c r="V188" s="408"/>
      <c r="W188" s="409"/>
    </row>
    <row r="189" spans="1:23" s="410" customFormat="1">
      <c r="A189" s="907"/>
      <c r="B189" s="396" t="s">
        <v>997</v>
      </c>
      <c r="C189" s="105">
        <v>5597</v>
      </c>
      <c r="D189" s="105">
        <v>1828</v>
      </c>
      <c r="E189" s="105">
        <v>7425</v>
      </c>
      <c r="F189" s="105">
        <v>4884</v>
      </c>
      <c r="G189" s="105">
        <v>2783</v>
      </c>
      <c r="H189" s="105">
        <v>7667</v>
      </c>
      <c r="I189" s="105">
        <v>36181</v>
      </c>
      <c r="J189" s="105">
        <v>26353</v>
      </c>
      <c r="K189" s="105">
        <v>62534</v>
      </c>
      <c r="L189" s="105">
        <v>778</v>
      </c>
      <c r="M189" s="105">
        <v>2258</v>
      </c>
      <c r="N189" s="105">
        <v>3036</v>
      </c>
      <c r="O189" s="105">
        <v>1387</v>
      </c>
      <c r="P189" s="105">
        <v>951</v>
      </c>
      <c r="Q189" s="105">
        <v>2338</v>
      </c>
      <c r="R189" s="105">
        <v>48909</v>
      </c>
      <c r="S189" s="105">
        <v>34205</v>
      </c>
      <c r="T189" s="105">
        <v>83114</v>
      </c>
      <c r="U189" s="105">
        <v>82</v>
      </c>
      <c r="V189" s="105">
        <v>32</v>
      </c>
      <c r="W189" s="105">
        <v>114</v>
      </c>
    </row>
    <row r="190" spans="1:23">
      <c r="A190" s="907"/>
      <c r="B190" s="396" t="s">
        <v>301</v>
      </c>
      <c r="C190" s="339">
        <v>5482</v>
      </c>
      <c r="D190" s="339">
        <v>1708</v>
      </c>
      <c r="E190" s="339">
        <v>7190</v>
      </c>
      <c r="F190" s="339">
        <v>4715</v>
      </c>
      <c r="G190" s="339">
        <v>2729</v>
      </c>
      <c r="H190" s="339">
        <v>7444</v>
      </c>
      <c r="I190" s="339">
        <v>36653</v>
      </c>
      <c r="J190" s="339">
        <v>25470</v>
      </c>
      <c r="K190" s="339">
        <v>62123</v>
      </c>
      <c r="L190" s="339">
        <v>888</v>
      </c>
      <c r="M190" s="339">
        <v>2319</v>
      </c>
      <c r="N190" s="339">
        <v>3207</v>
      </c>
      <c r="O190" s="339">
        <v>1535</v>
      </c>
      <c r="P190" s="339">
        <v>1086</v>
      </c>
      <c r="Q190" s="339">
        <v>2621</v>
      </c>
      <c r="R190" s="339">
        <v>49351</v>
      </c>
      <c r="S190" s="339">
        <v>33352</v>
      </c>
      <c r="T190" s="339">
        <v>82703</v>
      </c>
      <c r="U190" s="339">
        <v>78</v>
      </c>
      <c r="V190" s="339">
        <v>40</v>
      </c>
      <c r="W190" s="339">
        <v>118</v>
      </c>
    </row>
    <row r="191" spans="1:23">
      <c r="A191" s="907"/>
      <c r="B191" s="411" t="s">
        <v>300</v>
      </c>
      <c r="C191" s="339">
        <v>5261</v>
      </c>
      <c r="D191" s="339">
        <v>1556</v>
      </c>
      <c r="E191" s="339">
        <v>6817</v>
      </c>
      <c r="F191" s="339">
        <v>4356</v>
      </c>
      <c r="G191" s="339">
        <v>2432</v>
      </c>
      <c r="H191" s="339">
        <v>6788</v>
      </c>
      <c r="I191" s="339">
        <v>36881</v>
      </c>
      <c r="J191" s="339">
        <v>24506</v>
      </c>
      <c r="K191" s="339">
        <v>61387</v>
      </c>
      <c r="L191" s="339">
        <v>658</v>
      </c>
      <c r="M191" s="339">
        <v>1890</v>
      </c>
      <c r="N191" s="339">
        <v>2548</v>
      </c>
      <c r="O191" s="339">
        <v>1532</v>
      </c>
      <c r="P191" s="339">
        <v>1130</v>
      </c>
      <c r="Q191" s="339">
        <v>2662</v>
      </c>
      <c r="R191" s="339">
        <v>48761</v>
      </c>
      <c r="S191" s="339">
        <v>31557</v>
      </c>
      <c r="T191" s="339">
        <v>80318</v>
      </c>
      <c r="U191" s="339">
        <v>73</v>
      </c>
      <c r="V191" s="339">
        <v>43</v>
      </c>
      <c r="W191" s="339">
        <v>116</v>
      </c>
    </row>
    <row r="192" spans="1:23">
      <c r="A192" s="907"/>
      <c r="B192" s="411" t="s">
        <v>299</v>
      </c>
      <c r="C192" s="339">
        <v>4352</v>
      </c>
      <c r="D192" s="339">
        <v>1149</v>
      </c>
      <c r="E192" s="339">
        <v>5501</v>
      </c>
      <c r="F192" s="339">
        <v>3900</v>
      </c>
      <c r="G192" s="339">
        <v>2135</v>
      </c>
      <c r="H192" s="339">
        <v>6035</v>
      </c>
      <c r="I192" s="339">
        <v>35955</v>
      </c>
      <c r="J192" s="339">
        <v>23027</v>
      </c>
      <c r="K192" s="339">
        <v>58982</v>
      </c>
      <c r="L192" s="339">
        <v>269</v>
      </c>
      <c r="M192" s="339">
        <v>1185</v>
      </c>
      <c r="N192" s="339">
        <v>1454</v>
      </c>
      <c r="O192" s="339">
        <v>1283</v>
      </c>
      <c r="P192" s="339">
        <v>1007</v>
      </c>
      <c r="Q192" s="339">
        <v>2290</v>
      </c>
      <c r="R192" s="339">
        <v>45811</v>
      </c>
      <c r="S192" s="339">
        <v>28531</v>
      </c>
      <c r="T192" s="339">
        <v>74342</v>
      </c>
      <c r="U192" s="339">
        <v>52</v>
      </c>
      <c r="V192" s="339">
        <v>28</v>
      </c>
      <c r="W192" s="339">
        <v>80</v>
      </c>
    </row>
    <row r="193" spans="1:23">
      <c r="A193" s="907"/>
      <c r="B193" s="412" t="s">
        <v>298</v>
      </c>
      <c r="C193" s="340">
        <v>4793</v>
      </c>
      <c r="D193" s="340">
        <v>1235</v>
      </c>
      <c r="E193" s="340">
        <v>6028</v>
      </c>
      <c r="F193" s="340">
        <v>4404</v>
      </c>
      <c r="G193" s="340">
        <v>2278</v>
      </c>
      <c r="H193" s="340">
        <v>6682</v>
      </c>
      <c r="I193" s="340">
        <v>42078</v>
      </c>
      <c r="J193" s="340">
        <v>24537</v>
      </c>
      <c r="K193" s="340">
        <v>66615</v>
      </c>
      <c r="L193" s="340">
        <v>405</v>
      </c>
      <c r="M193" s="340">
        <v>2036</v>
      </c>
      <c r="N193" s="340">
        <v>2441</v>
      </c>
      <c r="O193" s="340">
        <v>1337</v>
      </c>
      <c r="P193" s="340">
        <v>1060</v>
      </c>
      <c r="Q193" s="340">
        <v>2397</v>
      </c>
      <c r="R193" s="340">
        <v>53066</v>
      </c>
      <c r="S193" s="340">
        <v>31167</v>
      </c>
      <c r="T193" s="340">
        <v>84233</v>
      </c>
      <c r="U193" s="340">
        <v>49</v>
      </c>
      <c r="V193" s="340">
        <v>21</v>
      </c>
      <c r="W193" s="340">
        <v>70</v>
      </c>
    </row>
    <row r="194" spans="1:23" ht="28">
      <c r="A194" s="907">
        <v>32</v>
      </c>
      <c r="B194" s="360" t="s">
        <v>998</v>
      </c>
      <c r="C194" s="342"/>
      <c r="D194" s="343"/>
      <c r="E194" s="343"/>
      <c r="F194" s="343"/>
      <c r="G194" s="343"/>
      <c r="H194" s="344"/>
      <c r="I194" s="342"/>
      <c r="J194" s="343"/>
      <c r="K194" s="344"/>
      <c r="L194" s="342"/>
      <c r="M194" s="343"/>
      <c r="N194" s="343"/>
      <c r="O194" s="343"/>
      <c r="P194" s="343"/>
      <c r="Q194" s="344"/>
      <c r="R194" s="342"/>
      <c r="S194" s="343"/>
      <c r="T194" s="343"/>
      <c r="U194" s="343"/>
      <c r="V194" s="343"/>
      <c r="W194" s="344"/>
    </row>
    <row r="195" spans="1:23">
      <c r="A195" s="907"/>
      <c r="B195" s="396" t="s">
        <v>997</v>
      </c>
      <c r="C195" s="105">
        <v>22</v>
      </c>
      <c r="D195" s="105">
        <v>11</v>
      </c>
      <c r="E195" s="105">
        <v>33</v>
      </c>
      <c r="F195" s="105">
        <v>35</v>
      </c>
      <c r="G195" s="105">
        <v>18</v>
      </c>
      <c r="H195" s="105">
        <v>53</v>
      </c>
      <c r="I195" s="105">
        <v>232</v>
      </c>
      <c r="J195" s="105">
        <v>157</v>
      </c>
      <c r="K195" s="105">
        <v>389</v>
      </c>
      <c r="L195" s="105">
        <v>17</v>
      </c>
      <c r="M195" s="105">
        <v>63</v>
      </c>
      <c r="N195" s="105">
        <v>80</v>
      </c>
      <c r="O195" s="105">
        <v>10</v>
      </c>
      <c r="P195" s="105">
        <v>1</v>
      </c>
      <c r="Q195" s="105">
        <v>11</v>
      </c>
      <c r="R195" s="105">
        <v>321</v>
      </c>
      <c r="S195" s="105">
        <v>256</v>
      </c>
      <c r="T195" s="105">
        <v>577</v>
      </c>
      <c r="U195" s="105">
        <v>5</v>
      </c>
      <c r="V195" s="105">
        <v>6</v>
      </c>
      <c r="W195" s="105">
        <v>11</v>
      </c>
    </row>
    <row r="196" spans="1:23">
      <c r="A196" s="907"/>
      <c r="B196" s="396" t="s">
        <v>301</v>
      </c>
      <c r="C196" s="339">
        <v>18</v>
      </c>
      <c r="D196" s="339">
        <v>10</v>
      </c>
      <c r="E196" s="339">
        <v>28</v>
      </c>
      <c r="F196" s="339">
        <v>26</v>
      </c>
      <c r="G196" s="339">
        <v>14</v>
      </c>
      <c r="H196" s="339">
        <v>40</v>
      </c>
      <c r="I196" s="339">
        <v>213</v>
      </c>
      <c r="J196" s="339">
        <v>143</v>
      </c>
      <c r="K196" s="339">
        <v>356</v>
      </c>
      <c r="L196" s="339">
        <v>6</v>
      </c>
      <c r="M196" s="339">
        <v>47</v>
      </c>
      <c r="N196" s="339">
        <v>53</v>
      </c>
      <c r="O196" s="339">
        <v>13</v>
      </c>
      <c r="P196" s="339">
        <v>3</v>
      </c>
      <c r="Q196" s="339">
        <v>16</v>
      </c>
      <c r="R196" s="339">
        <v>282</v>
      </c>
      <c r="S196" s="339">
        <v>225</v>
      </c>
      <c r="T196" s="339">
        <v>507</v>
      </c>
      <c r="U196" s="339">
        <v>6</v>
      </c>
      <c r="V196" s="339">
        <v>8</v>
      </c>
      <c r="W196" s="339">
        <v>14</v>
      </c>
    </row>
    <row r="197" spans="1:23">
      <c r="A197" s="907"/>
      <c r="B197" s="411" t="s">
        <v>300</v>
      </c>
      <c r="C197" s="339">
        <v>17</v>
      </c>
      <c r="D197" s="339">
        <v>10</v>
      </c>
      <c r="E197" s="339">
        <v>27</v>
      </c>
      <c r="F197" s="339">
        <v>27</v>
      </c>
      <c r="G197" s="339">
        <v>12</v>
      </c>
      <c r="H197" s="339">
        <v>39</v>
      </c>
      <c r="I197" s="339">
        <v>210</v>
      </c>
      <c r="J197" s="339">
        <v>126</v>
      </c>
      <c r="K197" s="339">
        <v>336</v>
      </c>
      <c r="L197" s="339">
        <v>8</v>
      </c>
      <c r="M197" s="339">
        <v>33</v>
      </c>
      <c r="N197" s="339">
        <v>41</v>
      </c>
      <c r="O197" s="339">
        <v>3</v>
      </c>
      <c r="P197" s="339">
        <v>4</v>
      </c>
      <c r="Q197" s="339">
        <v>7</v>
      </c>
      <c r="R197" s="339">
        <v>270</v>
      </c>
      <c r="S197" s="339">
        <v>189</v>
      </c>
      <c r="T197" s="339">
        <v>459</v>
      </c>
      <c r="U197" s="339">
        <v>5</v>
      </c>
      <c r="V197" s="339">
        <v>4</v>
      </c>
      <c r="W197" s="339">
        <v>9</v>
      </c>
    </row>
    <row r="198" spans="1:23">
      <c r="A198" s="907"/>
      <c r="B198" s="411" t="s">
        <v>299</v>
      </c>
      <c r="C198" s="339">
        <v>17</v>
      </c>
      <c r="D198" s="339">
        <v>8</v>
      </c>
      <c r="E198" s="339">
        <v>25</v>
      </c>
      <c r="F198" s="339">
        <v>28</v>
      </c>
      <c r="G198" s="339">
        <v>11</v>
      </c>
      <c r="H198" s="339">
        <v>39</v>
      </c>
      <c r="I198" s="339">
        <v>193</v>
      </c>
      <c r="J198" s="339">
        <v>135</v>
      </c>
      <c r="K198" s="339">
        <v>328</v>
      </c>
      <c r="L198" s="339">
        <v>4</v>
      </c>
      <c r="M198" s="339">
        <v>11</v>
      </c>
      <c r="N198" s="339">
        <v>15</v>
      </c>
      <c r="O198" s="339">
        <v>3</v>
      </c>
      <c r="P198" s="339">
        <v>3</v>
      </c>
      <c r="Q198" s="339">
        <v>6</v>
      </c>
      <c r="R198" s="339">
        <v>249</v>
      </c>
      <c r="S198" s="339">
        <v>179</v>
      </c>
      <c r="T198" s="339">
        <v>428</v>
      </c>
      <c r="U198" s="339">
        <v>4</v>
      </c>
      <c r="V198" s="339">
        <v>11</v>
      </c>
      <c r="W198" s="339">
        <v>15</v>
      </c>
    </row>
    <row r="199" spans="1:23">
      <c r="A199" s="907"/>
      <c r="B199" s="412" t="s">
        <v>298</v>
      </c>
      <c r="C199" s="339">
        <v>17</v>
      </c>
      <c r="D199" s="339">
        <v>8</v>
      </c>
      <c r="E199" s="339">
        <v>25</v>
      </c>
      <c r="F199" s="339">
        <v>27</v>
      </c>
      <c r="G199" s="339">
        <v>10</v>
      </c>
      <c r="H199" s="339">
        <v>37</v>
      </c>
      <c r="I199" s="339">
        <v>182</v>
      </c>
      <c r="J199" s="339">
        <v>120</v>
      </c>
      <c r="K199" s="339">
        <v>302</v>
      </c>
      <c r="L199" s="339">
        <v>4</v>
      </c>
      <c r="M199" s="339">
        <v>8</v>
      </c>
      <c r="N199" s="339">
        <v>12</v>
      </c>
      <c r="O199" s="339">
        <v>3</v>
      </c>
      <c r="P199" s="339">
        <v>3</v>
      </c>
      <c r="Q199" s="339">
        <v>6</v>
      </c>
      <c r="R199" s="339">
        <v>236</v>
      </c>
      <c r="S199" s="339">
        <v>156</v>
      </c>
      <c r="T199" s="339">
        <v>392</v>
      </c>
      <c r="U199" s="339">
        <v>3</v>
      </c>
      <c r="V199" s="339">
        <v>7</v>
      </c>
      <c r="W199" s="339">
        <v>10</v>
      </c>
    </row>
    <row r="200" spans="1:23">
      <c r="A200" s="907">
        <v>33</v>
      </c>
      <c r="B200" s="403" t="s">
        <v>45</v>
      </c>
      <c r="C200" s="407"/>
      <c r="D200" s="408"/>
      <c r="E200" s="408"/>
      <c r="F200" s="408"/>
      <c r="G200" s="408"/>
      <c r="H200" s="409"/>
      <c r="I200" s="407"/>
      <c r="J200" s="408"/>
      <c r="K200" s="409"/>
      <c r="L200" s="407"/>
      <c r="M200" s="408"/>
      <c r="N200" s="408"/>
      <c r="O200" s="408"/>
      <c r="P200" s="408"/>
      <c r="Q200" s="409"/>
      <c r="R200" s="407"/>
      <c r="S200" s="408"/>
      <c r="T200" s="408"/>
      <c r="U200" s="408"/>
      <c r="V200" s="408"/>
      <c r="W200" s="409"/>
    </row>
    <row r="201" spans="1:23" s="410" customFormat="1">
      <c r="A201" s="907"/>
      <c r="B201" s="396" t="s">
        <v>997</v>
      </c>
      <c r="C201" s="105">
        <v>120</v>
      </c>
      <c r="D201" s="105">
        <v>30</v>
      </c>
      <c r="E201" s="105">
        <v>150</v>
      </c>
      <c r="F201" s="105">
        <v>163</v>
      </c>
      <c r="G201" s="105">
        <v>82</v>
      </c>
      <c r="H201" s="105">
        <v>245</v>
      </c>
      <c r="I201" s="105">
        <v>934</v>
      </c>
      <c r="J201" s="105">
        <v>442</v>
      </c>
      <c r="K201" s="105">
        <v>1376</v>
      </c>
      <c r="L201" s="105">
        <v>222</v>
      </c>
      <c r="M201" s="105">
        <v>249</v>
      </c>
      <c r="N201" s="105">
        <v>471</v>
      </c>
      <c r="O201" s="105">
        <v>91</v>
      </c>
      <c r="P201" s="105">
        <v>65</v>
      </c>
      <c r="Q201" s="105">
        <v>156</v>
      </c>
      <c r="R201" s="105">
        <v>1562</v>
      </c>
      <c r="S201" s="105">
        <v>900</v>
      </c>
      <c r="T201" s="105">
        <v>2462</v>
      </c>
      <c r="U201" s="105">
        <v>32</v>
      </c>
      <c r="V201" s="105">
        <v>32</v>
      </c>
      <c r="W201" s="105">
        <v>64</v>
      </c>
    </row>
    <row r="202" spans="1:23">
      <c r="A202" s="907"/>
      <c r="B202" s="396" t="s">
        <v>301</v>
      </c>
      <c r="C202" s="339">
        <v>114</v>
      </c>
      <c r="D202" s="339">
        <v>29</v>
      </c>
      <c r="E202" s="339">
        <v>143</v>
      </c>
      <c r="F202" s="339">
        <v>167</v>
      </c>
      <c r="G202" s="339">
        <v>72</v>
      </c>
      <c r="H202" s="339">
        <v>239</v>
      </c>
      <c r="I202" s="339">
        <v>847</v>
      </c>
      <c r="J202" s="339">
        <v>414</v>
      </c>
      <c r="K202" s="339">
        <v>1261</v>
      </c>
      <c r="L202" s="339">
        <v>216</v>
      </c>
      <c r="M202" s="339">
        <v>263</v>
      </c>
      <c r="N202" s="339">
        <v>479</v>
      </c>
      <c r="O202" s="339">
        <v>118</v>
      </c>
      <c r="P202" s="339">
        <v>79</v>
      </c>
      <c r="Q202" s="339">
        <v>197</v>
      </c>
      <c r="R202" s="339">
        <v>1513</v>
      </c>
      <c r="S202" s="339">
        <v>898</v>
      </c>
      <c r="T202" s="339">
        <v>2411</v>
      </c>
      <c r="U202" s="339">
        <v>51</v>
      </c>
      <c r="V202" s="339">
        <v>41</v>
      </c>
      <c r="W202" s="339">
        <v>92</v>
      </c>
    </row>
    <row r="203" spans="1:23">
      <c r="A203" s="907"/>
      <c r="B203" s="411" t="s">
        <v>300</v>
      </c>
      <c r="C203" s="339">
        <v>122</v>
      </c>
      <c r="D203" s="339">
        <v>27</v>
      </c>
      <c r="E203" s="339">
        <v>149</v>
      </c>
      <c r="F203" s="339">
        <v>165</v>
      </c>
      <c r="G203" s="339">
        <v>75</v>
      </c>
      <c r="H203" s="339">
        <v>240</v>
      </c>
      <c r="I203" s="339">
        <v>927</v>
      </c>
      <c r="J203" s="339">
        <v>461</v>
      </c>
      <c r="K203" s="339">
        <v>1388</v>
      </c>
      <c r="L203" s="339">
        <v>212</v>
      </c>
      <c r="M203" s="339">
        <v>238</v>
      </c>
      <c r="N203" s="339">
        <v>450</v>
      </c>
      <c r="O203" s="339">
        <v>110</v>
      </c>
      <c r="P203" s="339">
        <v>57</v>
      </c>
      <c r="Q203" s="339">
        <v>167</v>
      </c>
      <c r="R203" s="339">
        <v>1598</v>
      </c>
      <c r="S203" s="339">
        <v>896</v>
      </c>
      <c r="T203" s="339">
        <v>2494</v>
      </c>
      <c r="U203" s="339">
        <v>62</v>
      </c>
      <c r="V203" s="339">
        <v>38</v>
      </c>
      <c r="W203" s="339">
        <v>100</v>
      </c>
    </row>
    <row r="204" spans="1:23">
      <c r="A204" s="907"/>
      <c r="B204" s="411" t="s">
        <v>299</v>
      </c>
      <c r="C204" s="339">
        <v>122</v>
      </c>
      <c r="D204" s="339">
        <v>29</v>
      </c>
      <c r="E204" s="339">
        <v>151</v>
      </c>
      <c r="F204" s="339">
        <v>159</v>
      </c>
      <c r="G204" s="339">
        <v>79</v>
      </c>
      <c r="H204" s="339">
        <v>238</v>
      </c>
      <c r="I204" s="339">
        <v>923</v>
      </c>
      <c r="J204" s="339">
        <v>471</v>
      </c>
      <c r="K204" s="339">
        <v>1394</v>
      </c>
      <c r="L204" s="339">
        <v>199</v>
      </c>
      <c r="M204" s="339">
        <v>233</v>
      </c>
      <c r="N204" s="339">
        <v>432</v>
      </c>
      <c r="O204" s="339">
        <v>82</v>
      </c>
      <c r="P204" s="339">
        <v>52</v>
      </c>
      <c r="Q204" s="339">
        <v>134</v>
      </c>
      <c r="R204" s="339">
        <v>1541</v>
      </c>
      <c r="S204" s="339">
        <v>909</v>
      </c>
      <c r="T204" s="339">
        <v>2450</v>
      </c>
      <c r="U204" s="339">
        <v>56</v>
      </c>
      <c r="V204" s="339">
        <v>45</v>
      </c>
      <c r="W204" s="339">
        <v>101</v>
      </c>
    </row>
    <row r="205" spans="1:23">
      <c r="A205" s="907"/>
      <c r="B205" s="412" t="s">
        <v>298</v>
      </c>
      <c r="C205" s="340">
        <v>126</v>
      </c>
      <c r="D205" s="340">
        <v>32</v>
      </c>
      <c r="E205" s="340">
        <v>158</v>
      </c>
      <c r="F205" s="340">
        <v>169</v>
      </c>
      <c r="G205" s="340">
        <v>80</v>
      </c>
      <c r="H205" s="340">
        <v>249</v>
      </c>
      <c r="I205" s="340">
        <v>869</v>
      </c>
      <c r="J205" s="340">
        <v>438</v>
      </c>
      <c r="K205" s="340">
        <v>1307</v>
      </c>
      <c r="L205" s="340">
        <v>190</v>
      </c>
      <c r="M205" s="340">
        <v>231</v>
      </c>
      <c r="N205" s="340">
        <v>421</v>
      </c>
      <c r="O205" s="340">
        <v>98</v>
      </c>
      <c r="P205" s="340">
        <v>70</v>
      </c>
      <c r="Q205" s="340">
        <v>168</v>
      </c>
      <c r="R205" s="340">
        <v>1503</v>
      </c>
      <c r="S205" s="340">
        <v>894</v>
      </c>
      <c r="T205" s="340">
        <v>2397</v>
      </c>
      <c r="U205" s="340">
        <v>51</v>
      </c>
      <c r="V205" s="340">
        <v>43</v>
      </c>
      <c r="W205" s="340">
        <v>94</v>
      </c>
    </row>
    <row r="206" spans="1:23">
      <c r="A206" s="907">
        <v>34</v>
      </c>
      <c r="B206" s="403" t="s">
        <v>47</v>
      </c>
      <c r="C206" s="407"/>
      <c r="D206" s="408"/>
      <c r="E206" s="408"/>
      <c r="F206" s="408"/>
      <c r="G206" s="408"/>
      <c r="H206" s="409"/>
      <c r="I206" s="407"/>
      <c r="J206" s="408"/>
      <c r="K206" s="409"/>
      <c r="L206" s="407"/>
      <c r="M206" s="408"/>
      <c r="N206" s="408"/>
      <c r="O206" s="408"/>
      <c r="P206" s="408"/>
      <c r="Q206" s="409"/>
      <c r="R206" s="407"/>
      <c r="S206" s="408"/>
      <c r="T206" s="408"/>
      <c r="U206" s="408"/>
      <c r="V206" s="408"/>
      <c r="W206" s="409"/>
    </row>
    <row r="207" spans="1:23" s="410" customFormat="1">
      <c r="A207" s="907"/>
      <c r="B207" s="396" t="s">
        <v>997</v>
      </c>
      <c r="C207" s="105">
        <v>12040</v>
      </c>
      <c r="D207" s="105">
        <v>3568</v>
      </c>
      <c r="E207" s="105">
        <v>15608</v>
      </c>
      <c r="F207" s="105">
        <v>11193</v>
      </c>
      <c r="G207" s="105">
        <v>5389</v>
      </c>
      <c r="H207" s="105">
        <v>16582</v>
      </c>
      <c r="I207" s="105">
        <v>82908</v>
      </c>
      <c r="J207" s="105">
        <v>38283</v>
      </c>
      <c r="K207" s="105">
        <v>121191</v>
      </c>
      <c r="L207" s="105">
        <v>3208</v>
      </c>
      <c r="M207" s="105">
        <v>4339</v>
      </c>
      <c r="N207" s="105">
        <v>7547</v>
      </c>
      <c r="O207" s="105">
        <v>7213</v>
      </c>
      <c r="P207" s="105">
        <v>2834</v>
      </c>
      <c r="Q207" s="105">
        <v>10047</v>
      </c>
      <c r="R207" s="105">
        <v>116977</v>
      </c>
      <c r="S207" s="105">
        <v>54609</v>
      </c>
      <c r="T207" s="105">
        <v>171586</v>
      </c>
      <c r="U207" s="105">
        <v>415</v>
      </c>
      <c r="V207" s="105">
        <v>196</v>
      </c>
      <c r="W207" s="105">
        <v>611</v>
      </c>
    </row>
    <row r="208" spans="1:23">
      <c r="A208" s="907"/>
      <c r="B208" s="396" t="s">
        <v>301</v>
      </c>
      <c r="C208" s="339">
        <v>11650</v>
      </c>
      <c r="D208" s="339">
        <v>3364</v>
      </c>
      <c r="E208" s="339">
        <v>15014</v>
      </c>
      <c r="F208" s="339">
        <v>11301</v>
      </c>
      <c r="G208" s="339">
        <v>5319</v>
      </c>
      <c r="H208" s="339">
        <v>16620</v>
      </c>
      <c r="I208" s="339">
        <v>76631</v>
      </c>
      <c r="J208" s="339">
        <v>35426</v>
      </c>
      <c r="K208" s="339">
        <v>112057</v>
      </c>
      <c r="L208" s="339">
        <v>3115</v>
      </c>
      <c r="M208" s="339">
        <v>4214</v>
      </c>
      <c r="N208" s="339">
        <v>7329</v>
      </c>
      <c r="O208" s="339">
        <v>6840</v>
      </c>
      <c r="P208" s="339">
        <v>2924</v>
      </c>
      <c r="Q208" s="339">
        <v>9764</v>
      </c>
      <c r="R208" s="339">
        <v>109990</v>
      </c>
      <c r="S208" s="339">
        <v>51449</v>
      </c>
      <c r="T208" s="339">
        <v>161439</v>
      </c>
      <c r="U208" s="339">
        <v>453</v>
      </c>
      <c r="V208" s="339">
        <v>202</v>
      </c>
      <c r="W208" s="339">
        <v>655</v>
      </c>
    </row>
    <row r="209" spans="1:23">
      <c r="A209" s="907"/>
      <c r="B209" s="411" t="s">
        <v>300</v>
      </c>
      <c r="C209" s="339">
        <v>10038</v>
      </c>
      <c r="D209" s="339">
        <v>2846</v>
      </c>
      <c r="E209" s="339">
        <v>12884</v>
      </c>
      <c r="F209" s="339">
        <v>10257</v>
      </c>
      <c r="G209" s="339">
        <v>4961</v>
      </c>
      <c r="H209" s="339">
        <v>15218</v>
      </c>
      <c r="I209" s="339">
        <v>67938</v>
      </c>
      <c r="J209" s="339">
        <v>31709</v>
      </c>
      <c r="K209" s="339">
        <v>99647</v>
      </c>
      <c r="L209" s="339">
        <v>2830</v>
      </c>
      <c r="M209" s="339">
        <v>3768</v>
      </c>
      <c r="N209" s="339">
        <v>6598</v>
      </c>
      <c r="O209" s="339">
        <v>4583</v>
      </c>
      <c r="P209" s="339">
        <v>2397</v>
      </c>
      <c r="Q209" s="339">
        <v>6980</v>
      </c>
      <c r="R209" s="339">
        <v>95991</v>
      </c>
      <c r="S209" s="339">
        <v>45848</v>
      </c>
      <c r="T209" s="339">
        <v>141839</v>
      </c>
      <c r="U209" s="339">
        <v>345</v>
      </c>
      <c r="V209" s="339">
        <v>167</v>
      </c>
      <c r="W209" s="339">
        <v>512</v>
      </c>
    </row>
    <row r="210" spans="1:23">
      <c r="A210" s="907"/>
      <c r="B210" s="411" t="s">
        <v>299</v>
      </c>
      <c r="C210" s="339">
        <v>7872</v>
      </c>
      <c r="D210" s="339">
        <v>2199</v>
      </c>
      <c r="E210" s="339">
        <v>10071</v>
      </c>
      <c r="F210" s="339">
        <v>7983</v>
      </c>
      <c r="G210" s="339">
        <v>3883</v>
      </c>
      <c r="H210" s="339">
        <v>11866</v>
      </c>
      <c r="I210" s="339">
        <v>50625</v>
      </c>
      <c r="J210" s="339">
        <v>24040</v>
      </c>
      <c r="K210" s="339">
        <v>74665</v>
      </c>
      <c r="L210" s="339">
        <v>2498</v>
      </c>
      <c r="M210" s="339">
        <v>3274</v>
      </c>
      <c r="N210" s="339">
        <v>5772</v>
      </c>
      <c r="O210" s="339">
        <v>2815</v>
      </c>
      <c r="P210" s="339">
        <v>1722</v>
      </c>
      <c r="Q210" s="339">
        <v>4537</v>
      </c>
      <c r="R210" s="339">
        <v>72143</v>
      </c>
      <c r="S210" s="339">
        <v>35282</v>
      </c>
      <c r="T210" s="339">
        <v>107425</v>
      </c>
      <c r="U210" s="339">
        <v>350</v>
      </c>
      <c r="V210" s="339">
        <v>164</v>
      </c>
      <c r="W210" s="339">
        <v>514</v>
      </c>
    </row>
    <row r="211" spans="1:23">
      <c r="A211" s="907"/>
      <c r="B211" s="412" t="s">
        <v>298</v>
      </c>
      <c r="C211" s="340">
        <v>11493</v>
      </c>
      <c r="D211" s="340">
        <v>3171</v>
      </c>
      <c r="E211" s="340">
        <v>14664</v>
      </c>
      <c r="F211" s="340">
        <v>10633</v>
      </c>
      <c r="G211" s="340">
        <v>4936</v>
      </c>
      <c r="H211" s="340">
        <v>15569</v>
      </c>
      <c r="I211" s="340">
        <v>72872</v>
      </c>
      <c r="J211" s="340">
        <v>32465</v>
      </c>
      <c r="K211" s="340">
        <v>105337</v>
      </c>
      <c r="L211" s="340">
        <v>2732</v>
      </c>
      <c r="M211" s="340">
        <v>3321</v>
      </c>
      <c r="N211" s="340">
        <v>6053</v>
      </c>
      <c r="O211" s="340">
        <v>3692</v>
      </c>
      <c r="P211" s="340">
        <v>2343</v>
      </c>
      <c r="Q211" s="340">
        <v>6035</v>
      </c>
      <c r="R211" s="340">
        <v>101826</v>
      </c>
      <c r="S211" s="340">
        <v>46392</v>
      </c>
      <c r="T211" s="340">
        <v>148218</v>
      </c>
      <c r="U211" s="340">
        <v>396</v>
      </c>
      <c r="V211" s="340">
        <v>156</v>
      </c>
      <c r="W211" s="340">
        <v>552</v>
      </c>
    </row>
    <row r="212" spans="1:23">
      <c r="A212" s="907">
        <v>35</v>
      </c>
      <c r="B212" s="403" t="s">
        <v>46</v>
      </c>
      <c r="C212" s="407"/>
      <c r="D212" s="408"/>
      <c r="E212" s="408"/>
      <c r="F212" s="408"/>
      <c r="G212" s="408"/>
      <c r="H212" s="409"/>
      <c r="I212" s="407"/>
      <c r="J212" s="408"/>
      <c r="K212" s="409"/>
      <c r="L212" s="407"/>
      <c r="M212" s="408"/>
      <c r="N212" s="408"/>
      <c r="O212" s="408"/>
      <c r="P212" s="408"/>
      <c r="Q212" s="409"/>
      <c r="R212" s="407"/>
      <c r="S212" s="408"/>
      <c r="T212" s="408"/>
      <c r="U212" s="408"/>
      <c r="V212" s="408"/>
      <c r="W212" s="409"/>
    </row>
    <row r="213" spans="1:23" s="410" customFormat="1">
      <c r="A213" s="907"/>
      <c r="B213" s="396" t="s">
        <v>997</v>
      </c>
      <c r="C213" s="105">
        <v>1813</v>
      </c>
      <c r="D213" s="105">
        <v>613</v>
      </c>
      <c r="E213" s="105">
        <v>2426</v>
      </c>
      <c r="F213" s="105">
        <v>1407</v>
      </c>
      <c r="G213" s="105">
        <v>755</v>
      </c>
      <c r="H213" s="105">
        <v>2162</v>
      </c>
      <c r="I213" s="105">
        <v>7255</v>
      </c>
      <c r="J213" s="105">
        <v>4958</v>
      </c>
      <c r="K213" s="105">
        <v>12213</v>
      </c>
      <c r="L213" s="105">
        <v>406</v>
      </c>
      <c r="M213" s="105">
        <v>657</v>
      </c>
      <c r="N213" s="105">
        <v>1063</v>
      </c>
      <c r="O213" s="105">
        <v>632</v>
      </c>
      <c r="P213" s="105">
        <v>421</v>
      </c>
      <c r="Q213" s="105">
        <v>1053</v>
      </c>
      <c r="R213" s="105">
        <v>11552</v>
      </c>
      <c r="S213" s="105">
        <v>7428</v>
      </c>
      <c r="T213" s="105">
        <v>18980</v>
      </c>
      <c r="U213" s="105">
        <v>39</v>
      </c>
      <c r="V213" s="105">
        <v>24</v>
      </c>
      <c r="W213" s="105">
        <v>63</v>
      </c>
    </row>
    <row r="214" spans="1:23">
      <c r="A214" s="907"/>
      <c r="B214" s="396" t="s">
        <v>301</v>
      </c>
      <c r="C214" s="339">
        <v>1708</v>
      </c>
      <c r="D214" s="339">
        <v>558</v>
      </c>
      <c r="E214" s="339">
        <v>2266</v>
      </c>
      <c r="F214" s="339">
        <v>1400</v>
      </c>
      <c r="G214" s="339">
        <v>715</v>
      </c>
      <c r="H214" s="339">
        <v>2115</v>
      </c>
      <c r="I214" s="339">
        <v>7029</v>
      </c>
      <c r="J214" s="339">
        <v>4736</v>
      </c>
      <c r="K214" s="339">
        <v>11765</v>
      </c>
      <c r="L214" s="339">
        <v>390</v>
      </c>
      <c r="M214" s="339">
        <v>623</v>
      </c>
      <c r="N214" s="339">
        <v>1013</v>
      </c>
      <c r="O214" s="339">
        <v>595</v>
      </c>
      <c r="P214" s="339">
        <v>425</v>
      </c>
      <c r="Q214" s="339">
        <v>1020</v>
      </c>
      <c r="R214" s="339">
        <v>11214</v>
      </c>
      <c r="S214" s="339">
        <v>7100</v>
      </c>
      <c r="T214" s="339">
        <v>18314</v>
      </c>
      <c r="U214" s="339">
        <v>92</v>
      </c>
      <c r="V214" s="339">
        <v>43</v>
      </c>
      <c r="W214" s="339">
        <v>135</v>
      </c>
    </row>
    <row r="215" spans="1:23">
      <c r="A215" s="907"/>
      <c r="B215" s="411" t="s">
        <v>300</v>
      </c>
      <c r="C215" s="339">
        <v>1645</v>
      </c>
      <c r="D215" s="339">
        <v>498</v>
      </c>
      <c r="E215" s="339">
        <v>2143</v>
      </c>
      <c r="F215" s="339">
        <v>1318</v>
      </c>
      <c r="G215" s="339">
        <v>701</v>
      </c>
      <c r="H215" s="339">
        <v>2019</v>
      </c>
      <c r="I215" s="339">
        <v>6803</v>
      </c>
      <c r="J215" s="339">
        <v>4327</v>
      </c>
      <c r="K215" s="339">
        <v>11130</v>
      </c>
      <c r="L215" s="339">
        <v>369</v>
      </c>
      <c r="M215" s="339">
        <v>570</v>
      </c>
      <c r="N215" s="339">
        <v>939</v>
      </c>
      <c r="O215" s="339">
        <v>719</v>
      </c>
      <c r="P215" s="339">
        <v>473</v>
      </c>
      <c r="Q215" s="339">
        <v>1192</v>
      </c>
      <c r="R215" s="339">
        <v>10910</v>
      </c>
      <c r="S215" s="339">
        <v>6602</v>
      </c>
      <c r="T215" s="339">
        <v>17512</v>
      </c>
      <c r="U215" s="339">
        <v>56</v>
      </c>
      <c r="V215" s="339">
        <v>33</v>
      </c>
      <c r="W215" s="339">
        <v>89</v>
      </c>
    </row>
    <row r="216" spans="1:23">
      <c r="A216" s="907"/>
      <c r="B216" s="411" t="s">
        <v>299</v>
      </c>
      <c r="C216" s="339">
        <v>1490</v>
      </c>
      <c r="D216" s="339">
        <v>427</v>
      </c>
      <c r="E216" s="339">
        <v>1917</v>
      </c>
      <c r="F216" s="339">
        <v>1232</v>
      </c>
      <c r="G216" s="339">
        <v>664</v>
      </c>
      <c r="H216" s="339">
        <v>1896</v>
      </c>
      <c r="I216" s="339">
        <v>6235</v>
      </c>
      <c r="J216" s="339">
        <v>3752</v>
      </c>
      <c r="K216" s="339">
        <v>9987</v>
      </c>
      <c r="L216" s="339">
        <v>332</v>
      </c>
      <c r="M216" s="339">
        <v>483</v>
      </c>
      <c r="N216" s="339">
        <v>815</v>
      </c>
      <c r="O216" s="339">
        <v>645</v>
      </c>
      <c r="P216" s="339">
        <v>441</v>
      </c>
      <c r="Q216" s="339">
        <v>1086</v>
      </c>
      <c r="R216" s="339">
        <v>9974</v>
      </c>
      <c r="S216" s="339">
        <v>5796</v>
      </c>
      <c r="T216" s="339">
        <v>15770</v>
      </c>
      <c r="U216" s="339">
        <v>40</v>
      </c>
      <c r="V216" s="339">
        <v>29</v>
      </c>
      <c r="W216" s="339">
        <v>69</v>
      </c>
    </row>
    <row r="217" spans="1:23">
      <c r="A217" s="907"/>
      <c r="B217" s="412" t="s">
        <v>298</v>
      </c>
      <c r="C217" s="340">
        <v>1429</v>
      </c>
      <c r="D217" s="340">
        <v>350</v>
      </c>
      <c r="E217" s="340">
        <v>1779</v>
      </c>
      <c r="F217" s="340">
        <v>1314</v>
      </c>
      <c r="G217" s="340">
        <v>672</v>
      </c>
      <c r="H217" s="340">
        <v>1986</v>
      </c>
      <c r="I217" s="340">
        <v>6185</v>
      </c>
      <c r="J217" s="340">
        <v>3598</v>
      </c>
      <c r="K217" s="340">
        <v>9783</v>
      </c>
      <c r="L217" s="340">
        <v>301</v>
      </c>
      <c r="M217" s="340">
        <v>383</v>
      </c>
      <c r="N217" s="340">
        <v>684</v>
      </c>
      <c r="O217" s="340">
        <v>589</v>
      </c>
      <c r="P217" s="340">
        <v>373</v>
      </c>
      <c r="Q217" s="340">
        <v>962</v>
      </c>
      <c r="R217" s="340">
        <v>9878</v>
      </c>
      <c r="S217" s="340">
        <v>5412</v>
      </c>
      <c r="T217" s="340">
        <v>15290</v>
      </c>
      <c r="U217" s="340">
        <v>60</v>
      </c>
      <c r="V217" s="340">
        <v>36</v>
      </c>
      <c r="W217" s="340">
        <v>96</v>
      </c>
    </row>
    <row r="218" spans="1:23">
      <c r="A218" s="907">
        <v>36</v>
      </c>
      <c r="B218" s="403" t="s">
        <v>48</v>
      </c>
      <c r="C218" s="407"/>
      <c r="D218" s="408"/>
      <c r="E218" s="408"/>
      <c r="F218" s="408"/>
      <c r="G218" s="408"/>
      <c r="H218" s="409"/>
      <c r="I218" s="407"/>
      <c r="J218" s="408"/>
      <c r="K218" s="409"/>
      <c r="L218" s="407"/>
      <c r="M218" s="408"/>
      <c r="N218" s="408"/>
      <c r="O218" s="408"/>
      <c r="P218" s="408"/>
      <c r="Q218" s="409"/>
      <c r="R218" s="407"/>
      <c r="S218" s="408"/>
      <c r="T218" s="408"/>
      <c r="U218" s="408"/>
      <c r="V218" s="408"/>
      <c r="W218" s="409"/>
    </row>
    <row r="219" spans="1:23" s="410" customFormat="1">
      <c r="A219" s="907"/>
      <c r="B219" s="396" t="s">
        <v>997</v>
      </c>
      <c r="C219" s="105">
        <v>4540</v>
      </c>
      <c r="D219" s="105">
        <v>1143</v>
      </c>
      <c r="E219" s="105">
        <v>5683</v>
      </c>
      <c r="F219" s="105">
        <v>4410</v>
      </c>
      <c r="G219" s="105">
        <v>2488</v>
      </c>
      <c r="H219" s="105">
        <v>6898</v>
      </c>
      <c r="I219" s="105">
        <v>27599</v>
      </c>
      <c r="J219" s="105">
        <v>13371</v>
      </c>
      <c r="K219" s="105">
        <v>40970</v>
      </c>
      <c r="L219" s="105">
        <v>1349</v>
      </c>
      <c r="M219" s="105">
        <v>1957</v>
      </c>
      <c r="N219" s="105">
        <v>3306</v>
      </c>
      <c r="O219" s="105">
        <v>7001</v>
      </c>
      <c r="P219" s="105">
        <v>5942</v>
      </c>
      <c r="Q219" s="105">
        <v>12943</v>
      </c>
      <c r="R219" s="105">
        <v>45440</v>
      </c>
      <c r="S219" s="105">
        <v>25253</v>
      </c>
      <c r="T219" s="105">
        <v>70693</v>
      </c>
      <c r="U219" s="105">
        <v>541</v>
      </c>
      <c r="V219" s="105">
        <v>352</v>
      </c>
      <c r="W219" s="105">
        <v>893</v>
      </c>
    </row>
    <row r="220" spans="1:23">
      <c r="A220" s="907"/>
      <c r="B220" s="396" t="s">
        <v>301</v>
      </c>
      <c r="C220" s="339">
        <v>4216</v>
      </c>
      <c r="D220" s="339">
        <v>992</v>
      </c>
      <c r="E220" s="339">
        <v>5208</v>
      </c>
      <c r="F220" s="339">
        <v>4069</v>
      </c>
      <c r="G220" s="339">
        <v>2287</v>
      </c>
      <c r="H220" s="339">
        <v>6356</v>
      </c>
      <c r="I220" s="339">
        <v>25581</v>
      </c>
      <c r="J220" s="339">
        <v>12117</v>
      </c>
      <c r="K220" s="339">
        <v>37698</v>
      </c>
      <c r="L220" s="339">
        <v>1273</v>
      </c>
      <c r="M220" s="339">
        <v>1278</v>
      </c>
      <c r="N220" s="339">
        <v>2551</v>
      </c>
      <c r="O220" s="339">
        <v>6539</v>
      </c>
      <c r="P220" s="339">
        <v>5284</v>
      </c>
      <c r="Q220" s="339">
        <v>11823</v>
      </c>
      <c r="R220" s="339">
        <v>42780</v>
      </c>
      <c r="S220" s="339">
        <v>22766</v>
      </c>
      <c r="T220" s="339">
        <v>65546</v>
      </c>
      <c r="U220" s="339">
        <v>1102</v>
      </c>
      <c r="V220" s="339">
        <v>808</v>
      </c>
      <c r="W220" s="339">
        <v>1910</v>
      </c>
    </row>
    <row r="221" spans="1:23">
      <c r="A221" s="907"/>
      <c r="B221" s="411" t="s">
        <v>300</v>
      </c>
      <c r="C221" s="339">
        <v>3783</v>
      </c>
      <c r="D221" s="339">
        <v>869</v>
      </c>
      <c r="E221" s="339">
        <v>4652</v>
      </c>
      <c r="F221" s="339">
        <v>3877</v>
      </c>
      <c r="G221" s="339">
        <v>2170</v>
      </c>
      <c r="H221" s="339">
        <v>6047</v>
      </c>
      <c r="I221" s="339">
        <v>23107</v>
      </c>
      <c r="J221" s="339">
        <v>10957</v>
      </c>
      <c r="K221" s="339">
        <v>34064</v>
      </c>
      <c r="L221" s="339">
        <v>1207</v>
      </c>
      <c r="M221" s="339">
        <v>1113</v>
      </c>
      <c r="N221" s="339">
        <v>2320</v>
      </c>
      <c r="O221" s="339">
        <v>6362</v>
      </c>
      <c r="P221" s="339">
        <v>5045</v>
      </c>
      <c r="Q221" s="339">
        <v>11407</v>
      </c>
      <c r="R221" s="339">
        <v>39264</v>
      </c>
      <c r="S221" s="339">
        <v>20812</v>
      </c>
      <c r="T221" s="339">
        <v>60076</v>
      </c>
      <c r="U221" s="339">
        <v>928</v>
      </c>
      <c r="V221" s="339">
        <v>658</v>
      </c>
      <c r="W221" s="339">
        <v>1586</v>
      </c>
    </row>
    <row r="222" spans="1:23">
      <c r="A222" s="907"/>
      <c r="B222" s="411" t="s">
        <v>299</v>
      </c>
      <c r="C222" s="339">
        <v>3490</v>
      </c>
      <c r="D222" s="339">
        <v>820</v>
      </c>
      <c r="E222" s="339">
        <v>4310</v>
      </c>
      <c r="F222" s="339">
        <v>3576</v>
      </c>
      <c r="G222" s="339">
        <v>1998</v>
      </c>
      <c r="H222" s="339">
        <v>5574</v>
      </c>
      <c r="I222" s="339">
        <v>21277</v>
      </c>
      <c r="J222" s="339">
        <v>10025</v>
      </c>
      <c r="K222" s="339">
        <v>31302</v>
      </c>
      <c r="L222" s="339">
        <v>1080</v>
      </c>
      <c r="M222" s="339">
        <v>1028</v>
      </c>
      <c r="N222" s="339">
        <v>2108</v>
      </c>
      <c r="O222" s="339">
        <v>5788</v>
      </c>
      <c r="P222" s="339">
        <v>4565</v>
      </c>
      <c r="Q222" s="339">
        <v>10353</v>
      </c>
      <c r="R222" s="339">
        <v>36083</v>
      </c>
      <c r="S222" s="339">
        <v>19069</v>
      </c>
      <c r="T222" s="339">
        <v>55152</v>
      </c>
      <c r="U222" s="339">
        <v>872</v>
      </c>
      <c r="V222" s="339">
        <v>633</v>
      </c>
      <c r="W222" s="339">
        <v>1505</v>
      </c>
    </row>
    <row r="223" spans="1:23">
      <c r="A223" s="907"/>
      <c r="B223" s="412" t="s">
        <v>298</v>
      </c>
      <c r="C223" s="340">
        <v>3251</v>
      </c>
      <c r="D223" s="340">
        <v>720</v>
      </c>
      <c r="E223" s="340">
        <v>3971</v>
      </c>
      <c r="F223" s="340">
        <v>3213</v>
      </c>
      <c r="G223" s="340">
        <v>1779</v>
      </c>
      <c r="H223" s="340">
        <v>4992</v>
      </c>
      <c r="I223" s="340">
        <v>17925</v>
      </c>
      <c r="J223" s="340">
        <v>8476</v>
      </c>
      <c r="K223" s="340">
        <v>26401</v>
      </c>
      <c r="L223" s="340">
        <v>1011</v>
      </c>
      <c r="M223" s="340">
        <v>851</v>
      </c>
      <c r="N223" s="340">
        <v>1862</v>
      </c>
      <c r="O223" s="340">
        <v>5606</v>
      </c>
      <c r="P223" s="340">
        <v>4252</v>
      </c>
      <c r="Q223" s="340">
        <v>9858</v>
      </c>
      <c r="R223" s="340">
        <v>31875</v>
      </c>
      <c r="S223" s="340">
        <v>16678</v>
      </c>
      <c r="T223" s="340">
        <v>48553</v>
      </c>
      <c r="U223" s="340">
        <v>869</v>
      </c>
      <c r="V223" s="340">
        <v>600</v>
      </c>
      <c r="W223" s="340">
        <v>1469</v>
      </c>
    </row>
  </sheetData>
  <mergeCells count="49">
    <mergeCell ref="R2:T2"/>
    <mergeCell ref="U2:W2"/>
    <mergeCell ref="B2:B3"/>
    <mergeCell ref="C2:E2"/>
    <mergeCell ref="F2:H2"/>
    <mergeCell ref="I2:K2"/>
    <mergeCell ref="L2:N2"/>
    <mergeCell ref="O2:Q2"/>
    <mergeCell ref="A29:A34"/>
    <mergeCell ref="A35:A40"/>
    <mergeCell ref="A41:A46"/>
    <mergeCell ref="A53:A58"/>
    <mergeCell ref="A2:A3"/>
    <mergeCell ref="A5:A10"/>
    <mergeCell ref="A11:A16"/>
    <mergeCell ref="A17:A22"/>
    <mergeCell ref="A23:A28"/>
    <mergeCell ref="A218:A223"/>
    <mergeCell ref="A47:A52"/>
    <mergeCell ref="A176:A181"/>
    <mergeCell ref="A182:A187"/>
    <mergeCell ref="A188:A193"/>
    <mergeCell ref="A194:A199"/>
    <mergeCell ref="A200:A205"/>
    <mergeCell ref="A146:A151"/>
    <mergeCell ref="A152:A157"/>
    <mergeCell ref="A158:A163"/>
    <mergeCell ref="A164:A169"/>
    <mergeCell ref="A170:A175"/>
    <mergeCell ref="A116:A121"/>
    <mergeCell ref="A122:A127"/>
    <mergeCell ref="A128:A133"/>
    <mergeCell ref="A134:A139"/>
    <mergeCell ref="C1:H1"/>
    <mergeCell ref="I1:Q1"/>
    <mergeCell ref="R1:W1"/>
    <mergeCell ref="A206:A211"/>
    <mergeCell ref="A212:A217"/>
    <mergeCell ref="A140:A145"/>
    <mergeCell ref="A89:A94"/>
    <mergeCell ref="A95:A100"/>
    <mergeCell ref="A101:A106"/>
    <mergeCell ref="A107:A109"/>
    <mergeCell ref="A110:A115"/>
    <mergeCell ref="A59:A64"/>
    <mergeCell ref="A65:A70"/>
    <mergeCell ref="A71:A76"/>
    <mergeCell ref="A77:A82"/>
    <mergeCell ref="A83:A88"/>
  </mergeCells>
  <printOptions horizontalCentered="1"/>
  <pageMargins left="0.39370078740157483" right="0.39370078740157483" top="0.39370078740157483" bottom="0.39370078740157483" header="0.15748031496062992" footer="0.23622047244094491"/>
  <pageSetup paperSize="9" scale="74" firstPageNumber="2" pageOrder="overThenDown" orientation="portrait" useFirstPageNumber="1" r:id="rId1"/>
  <headerFooter alignWithMargins="0">
    <oddFooter>&amp;LAISHE 2020-21&amp;CT-51</oddFooter>
  </headerFooter>
  <rowBreaks count="3" manualBreakCount="3">
    <brk id="70" max="22" man="1"/>
    <brk id="139" max="22" man="1"/>
    <brk id="205" max="22" man="1"/>
  </rowBreaks>
  <colBreaks count="1" manualBreakCount="1">
    <brk id="8" max="223" man="1"/>
  </colBreaks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00B050"/>
  </sheetPr>
  <dimension ref="A1:G151"/>
  <sheetViews>
    <sheetView tabSelected="1" view="pageBreakPreview" zoomScaleSheetLayoutView="100" workbookViewId="0">
      <selection activeCell="B1" sqref="B1:G1"/>
    </sheetView>
  </sheetViews>
  <sheetFormatPr defaultColWidth="9.1796875" defaultRowHeight="14"/>
  <cols>
    <col min="1" max="1" width="4.81640625" style="427" customWidth="1"/>
    <col min="2" max="2" width="28.7265625" style="391" customWidth="1"/>
    <col min="3" max="3" width="13.26953125" style="391" customWidth="1"/>
    <col min="4" max="4" width="11.54296875" style="391" customWidth="1"/>
    <col min="5" max="5" width="11.81640625" style="391" customWidth="1"/>
    <col min="6" max="6" width="12" style="391" customWidth="1"/>
    <col min="7" max="7" width="12.1796875" style="391" customWidth="1"/>
    <col min="8" max="8" width="10.1796875" style="391" bestFit="1" customWidth="1"/>
    <col min="9" max="16384" width="9.1796875" style="391"/>
  </cols>
  <sheetData>
    <row r="1" spans="1:7" s="402" customFormat="1" ht="27.75" customHeight="1">
      <c r="A1" s="427"/>
      <c r="B1" s="906" t="s">
        <v>1051</v>
      </c>
      <c r="C1" s="906"/>
      <c r="D1" s="906"/>
      <c r="E1" s="906"/>
      <c r="F1" s="906"/>
      <c r="G1" s="906"/>
    </row>
    <row r="2" spans="1:7" s="402" customFormat="1" ht="27">
      <c r="A2" s="590" t="s">
        <v>1050</v>
      </c>
      <c r="B2" s="589" t="s">
        <v>343</v>
      </c>
      <c r="C2" s="589">
        <v>2016</v>
      </c>
      <c r="D2" s="415">
        <v>2017</v>
      </c>
      <c r="E2" s="589">
        <v>2018</v>
      </c>
      <c r="F2" s="589">
        <v>2019</v>
      </c>
      <c r="G2" s="589">
        <v>2020</v>
      </c>
    </row>
    <row r="3" spans="1:7" s="417" customFormat="1" ht="15" customHeight="1">
      <c r="A3" s="429">
        <v>1</v>
      </c>
      <c r="B3" s="416">
        <v>2</v>
      </c>
      <c r="C3" s="416">
        <v>3</v>
      </c>
      <c r="D3" s="416">
        <v>4</v>
      </c>
      <c r="E3" s="416">
        <v>5</v>
      </c>
      <c r="F3" s="416">
        <v>6</v>
      </c>
      <c r="G3" s="416">
        <v>7</v>
      </c>
    </row>
    <row r="4" spans="1:7" ht="18" customHeight="1">
      <c r="A4" s="908"/>
      <c r="B4" s="394" t="s">
        <v>302</v>
      </c>
      <c r="C4" s="405"/>
      <c r="D4" s="405"/>
      <c r="E4" s="405"/>
      <c r="F4" s="405"/>
      <c r="G4" s="406"/>
    </row>
    <row r="5" spans="1:7" ht="18" customHeight="1">
      <c r="A5" s="909"/>
      <c r="B5" s="412" t="s">
        <v>309</v>
      </c>
      <c r="C5" s="418">
        <v>148348016</v>
      </c>
      <c r="D5" s="418">
        <v>149167216</v>
      </c>
      <c r="E5" s="418">
        <v>149986416</v>
      </c>
      <c r="F5" s="345">
        <v>150805616</v>
      </c>
      <c r="G5" s="345">
        <v>151624817</v>
      </c>
    </row>
    <row r="6" spans="1:7" ht="18" customHeight="1">
      <c r="A6" s="909"/>
      <c r="B6" s="411" t="s">
        <v>344</v>
      </c>
      <c r="C6" s="419">
        <v>77999016</v>
      </c>
      <c r="D6" s="419">
        <v>78376216</v>
      </c>
      <c r="E6" s="419">
        <v>78753416</v>
      </c>
      <c r="F6" s="346">
        <v>79130616</v>
      </c>
      <c r="G6" s="346">
        <v>79507817</v>
      </c>
    </row>
    <row r="7" spans="1:7" ht="18" customHeight="1">
      <c r="A7" s="909"/>
      <c r="B7" s="411" t="s">
        <v>345</v>
      </c>
      <c r="C7" s="419">
        <v>70349000</v>
      </c>
      <c r="D7" s="419">
        <v>70791000</v>
      </c>
      <c r="E7" s="419">
        <v>71233000</v>
      </c>
      <c r="F7" s="346">
        <v>71675000</v>
      </c>
      <c r="G7" s="346">
        <v>72117000</v>
      </c>
    </row>
    <row r="8" spans="1:7" ht="18" customHeight="1">
      <c r="A8" s="907">
        <v>1</v>
      </c>
      <c r="B8" s="394" t="s">
        <v>171</v>
      </c>
      <c r="C8" s="405"/>
      <c r="D8" s="405"/>
      <c r="E8" s="405"/>
      <c r="F8" s="405"/>
      <c r="G8" s="406"/>
    </row>
    <row r="9" spans="1:7" ht="18" customHeight="1">
      <c r="A9" s="907"/>
      <c r="B9" s="411" t="s">
        <v>309</v>
      </c>
      <c r="C9" s="419">
        <v>44488</v>
      </c>
      <c r="D9" s="422">
        <v>45695</v>
      </c>
      <c r="E9" s="423">
        <v>46902</v>
      </c>
      <c r="F9" s="419">
        <v>48109</v>
      </c>
      <c r="G9" s="419">
        <v>49316</v>
      </c>
    </row>
    <row r="10" spans="1:7" ht="18" customHeight="1">
      <c r="A10" s="907"/>
      <c r="B10" s="411" t="s">
        <v>344</v>
      </c>
      <c r="C10" s="419">
        <v>22773</v>
      </c>
      <c r="D10" s="422">
        <v>23483</v>
      </c>
      <c r="E10" s="423">
        <v>24193</v>
      </c>
      <c r="F10" s="419">
        <v>24903</v>
      </c>
      <c r="G10" s="419">
        <v>25613</v>
      </c>
    </row>
    <row r="11" spans="1:7" ht="18" customHeight="1">
      <c r="A11" s="907"/>
      <c r="B11" s="411" t="s">
        <v>345</v>
      </c>
      <c r="C11" s="419">
        <v>21715</v>
      </c>
      <c r="D11" s="422">
        <v>22212</v>
      </c>
      <c r="E11" s="423">
        <v>22709</v>
      </c>
      <c r="F11" s="419">
        <v>23206</v>
      </c>
      <c r="G11" s="419">
        <v>23703</v>
      </c>
    </row>
    <row r="12" spans="1:7" ht="18" customHeight="1">
      <c r="A12" s="907">
        <v>2</v>
      </c>
      <c r="B12" s="394" t="s">
        <v>15</v>
      </c>
      <c r="C12" s="405"/>
      <c r="D12" s="405"/>
      <c r="E12" s="405"/>
      <c r="F12" s="405"/>
      <c r="G12" s="406"/>
    </row>
    <row r="13" spans="1:7" ht="18" customHeight="1">
      <c r="A13" s="907"/>
      <c r="B13" s="411" t="s">
        <v>309</v>
      </c>
      <c r="C13" s="419">
        <v>5576000</v>
      </c>
      <c r="D13" s="422">
        <v>5517800</v>
      </c>
      <c r="E13" s="423">
        <v>5459600</v>
      </c>
      <c r="F13" s="419">
        <v>5401400</v>
      </c>
      <c r="G13" s="419">
        <v>5343200</v>
      </c>
    </row>
    <row r="14" spans="1:7" ht="18" customHeight="1">
      <c r="A14" s="907"/>
      <c r="B14" s="411" t="s">
        <v>344</v>
      </c>
      <c r="C14" s="419">
        <v>2874000</v>
      </c>
      <c r="D14" s="422">
        <v>2845000</v>
      </c>
      <c r="E14" s="423">
        <v>2816000</v>
      </c>
      <c r="F14" s="419">
        <v>2787000</v>
      </c>
      <c r="G14" s="422">
        <v>2758000</v>
      </c>
    </row>
    <row r="15" spans="1:7" ht="18" customHeight="1">
      <c r="A15" s="907"/>
      <c r="B15" s="411" t="s">
        <v>345</v>
      </c>
      <c r="C15" s="419">
        <v>2702000</v>
      </c>
      <c r="D15" s="422">
        <v>2672800</v>
      </c>
      <c r="E15" s="423">
        <v>2643600</v>
      </c>
      <c r="F15" s="419">
        <v>2614400</v>
      </c>
      <c r="G15" s="422">
        <v>2585200</v>
      </c>
    </row>
    <row r="16" spans="1:7" ht="18" customHeight="1">
      <c r="A16" s="907">
        <v>3</v>
      </c>
      <c r="B16" s="394" t="s">
        <v>16</v>
      </c>
      <c r="C16" s="405"/>
      <c r="D16" s="405"/>
      <c r="E16" s="405"/>
      <c r="F16" s="405"/>
      <c r="G16" s="406"/>
    </row>
    <row r="17" spans="1:7" ht="18" customHeight="1">
      <c r="A17" s="907"/>
      <c r="B17" s="411" t="s">
        <v>309</v>
      </c>
      <c r="C17" s="419">
        <v>174412</v>
      </c>
      <c r="D17" s="422">
        <v>175065</v>
      </c>
      <c r="E17" s="423">
        <v>175719</v>
      </c>
      <c r="F17" s="419">
        <v>176373</v>
      </c>
      <c r="G17" s="419">
        <v>177027</v>
      </c>
    </row>
    <row r="18" spans="1:7" ht="18" customHeight="1">
      <c r="A18" s="907"/>
      <c r="B18" s="411" t="s">
        <v>344</v>
      </c>
      <c r="C18" s="419">
        <v>88960</v>
      </c>
      <c r="D18" s="422">
        <v>89399</v>
      </c>
      <c r="E18" s="423">
        <v>89838</v>
      </c>
      <c r="F18" s="419">
        <v>90276</v>
      </c>
      <c r="G18" s="422">
        <v>90715</v>
      </c>
    </row>
    <row r="19" spans="1:7" ht="18" customHeight="1">
      <c r="A19" s="907"/>
      <c r="B19" s="411" t="s">
        <v>345</v>
      </c>
      <c r="C19" s="419">
        <v>85451</v>
      </c>
      <c r="D19" s="422">
        <v>85666</v>
      </c>
      <c r="E19" s="423">
        <v>85881</v>
      </c>
      <c r="F19" s="419">
        <v>86097</v>
      </c>
      <c r="G19" s="422">
        <v>86312</v>
      </c>
    </row>
    <row r="20" spans="1:7" ht="18" customHeight="1">
      <c r="A20" s="907">
        <v>4</v>
      </c>
      <c r="B20" s="394" t="s">
        <v>17</v>
      </c>
      <c r="C20" s="405"/>
      <c r="D20" s="405"/>
      <c r="E20" s="405"/>
      <c r="F20" s="405"/>
      <c r="G20" s="406"/>
    </row>
    <row r="21" spans="1:7" ht="18" customHeight="1">
      <c r="A21" s="907"/>
      <c r="B21" s="411" t="s">
        <v>309</v>
      </c>
      <c r="C21" s="419">
        <v>3805000</v>
      </c>
      <c r="D21" s="422">
        <v>3847600</v>
      </c>
      <c r="E21" s="423">
        <v>3890200</v>
      </c>
      <c r="F21" s="419">
        <v>3932800</v>
      </c>
      <c r="G21" s="419">
        <v>3975400</v>
      </c>
    </row>
    <row r="22" spans="1:7" ht="18" customHeight="1">
      <c r="A22" s="907"/>
      <c r="B22" s="411" t="s">
        <v>344</v>
      </c>
      <c r="C22" s="419">
        <v>1950000</v>
      </c>
      <c r="D22" s="422">
        <v>1972600</v>
      </c>
      <c r="E22" s="423">
        <v>1995200</v>
      </c>
      <c r="F22" s="419">
        <v>2017800</v>
      </c>
      <c r="G22" s="422">
        <v>2040400</v>
      </c>
    </row>
    <row r="23" spans="1:7" ht="18" customHeight="1">
      <c r="A23" s="907"/>
      <c r="B23" s="411" t="s">
        <v>345</v>
      </c>
      <c r="C23" s="419">
        <v>1855000</v>
      </c>
      <c r="D23" s="422">
        <v>1875000</v>
      </c>
      <c r="E23" s="423">
        <v>1895000</v>
      </c>
      <c r="F23" s="419">
        <v>1915000</v>
      </c>
      <c r="G23" s="422">
        <v>1935000</v>
      </c>
    </row>
    <row r="24" spans="1:7" ht="18" customHeight="1">
      <c r="A24" s="907">
        <v>5</v>
      </c>
      <c r="B24" s="394" t="s">
        <v>18</v>
      </c>
      <c r="C24" s="405"/>
      <c r="D24" s="405"/>
      <c r="E24" s="405"/>
      <c r="F24" s="405"/>
      <c r="G24" s="406"/>
    </row>
    <row r="25" spans="1:7" ht="18" customHeight="1">
      <c r="A25" s="907"/>
      <c r="B25" s="411" t="s">
        <v>309</v>
      </c>
      <c r="C25" s="419">
        <v>12820000</v>
      </c>
      <c r="D25" s="422">
        <v>13331000</v>
      </c>
      <c r="E25" s="423">
        <v>13842000</v>
      </c>
      <c r="F25" s="419">
        <v>14353000</v>
      </c>
      <c r="G25" s="419">
        <v>14864000</v>
      </c>
    </row>
    <row r="26" spans="1:7" ht="18" customHeight="1">
      <c r="A26" s="907"/>
      <c r="B26" s="411" t="s">
        <v>344</v>
      </c>
      <c r="C26" s="419">
        <v>6946000</v>
      </c>
      <c r="D26" s="422">
        <v>7185400</v>
      </c>
      <c r="E26" s="423">
        <v>7424800</v>
      </c>
      <c r="F26" s="419">
        <v>7664200</v>
      </c>
      <c r="G26" s="422">
        <v>7903600</v>
      </c>
    </row>
    <row r="27" spans="1:7" ht="18" customHeight="1">
      <c r="A27" s="907"/>
      <c r="B27" s="411" t="s">
        <v>345</v>
      </c>
      <c r="C27" s="419">
        <v>5874000</v>
      </c>
      <c r="D27" s="422">
        <v>6145600</v>
      </c>
      <c r="E27" s="423">
        <v>6417200</v>
      </c>
      <c r="F27" s="419">
        <v>6688800</v>
      </c>
      <c r="G27" s="422">
        <v>6960400</v>
      </c>
    </row>
    <row r="28" spans="1:7" ht="18" customHeight="1">
      <c r="A28" s="907">
        <v>6</v>
      </c>
      <c r="B28" s="394" t="s">
        <v>19</v>
      </c>
      <c r="C28" s="405"/>
      <c r="D28" s="405"/>
      <c r="E28" s="405"/>
      <c r="F28" s="405"/>
      <c r="G28" s="406"/>
    </row>
    <row r="29" spans="1:7" ht="18" customHeight="1">
      <c r="A29" s="907"/>
      <c r="B29" s="411" t="s">
        <v>309</v>
      </c>
      <c r="C29" s="419">
        <v>150707</v>
      </c>
      <c r="D29" s="422">
        <v>154812</v>
      </c>
      <c r="E29" s="423">
        <v>158916</v>
      </c>
      <c r="F29" s="419">
        <v>163021</v>
      </c>
      <c r="G29" s="419">
        <v>167125</v>
      </c>
    </row>
    <row r="30" spans="1:7" ht="18" customHeight="1">
      <c r="A30" s="907"/>
      <c r="B30" s="411" t="s">
        <v>344</v>
      </c>
      <c r="C30" s="419">
        <v>84449</v>
      </c>
      <c r="D30" s="422">
        <v>87037</v>
      </c>
      <c r="E30" s="423">
        <v>89624</v>
      </c>
      <c r="F30" s="419">
        <v>92212</v>
      </c>
      <c r="G30" s="422">
        <v>94800</v>
      </c>
    </row>
    <row r="31" spans="1:7" ht="18" customHeight="1">
      <c r="A31" s="907"/>
      <c r="B31" s="411" t="s">
        <v>345</v>
      </c>
      <c r="C31" s="419">
        <v>66259</v>
      </c>
      <c r="D31" s="422">
        <v>67775</v>
      </c>
      <c r="E31" s="423">
        <v>69292</v>
      </c>
      <c r="F31" s="419">
        <v>70809</v>
      </c>
      <c r="G31" s="422">
        <v>72325</v>
      </c>
    </row>
    <row r="32" spans="1:7" ht="18" customHeight="1">
      <c r="A32" s="907">
        <v>7</v>
      </c>
      <c r="B32" s="394" t="s">
        <v>20</v>
      </c>
      <c r="C32" s="405"/>
      <c r="D32" s="614"/>
      <c r="E32" s="405"/>
      <c r="F32" s="405"/>
      <c r="G32" s="406"/>
    </row>
    <row r="33" spans="1:7" ht="18" customHeight="1">
      <c r="A33" s="907"/>
      <c r="B33" s="411" t="s">
        <v>309</v>
      </c>
      <c r="C33" s="419">
        <v>3231000</v>
      </c>
      <c r="D33" s="422">
        <v>3255200</v>
      </c>
      <c r="E33" s="423">
        <v>3279400</v>
      </c>
      <c r="F33" s="419">
        <v>3303600</v>
      </c>
      <c r="G33" s="419">
        <v>3327800</v>
      </c>
    </row>
    <row r="34" spans="1:7" ht="18" customHeight="1">
      <c r="A34" s="907"/>
      <c r="B34" s="411" t="s">
        <v>344</v>
      </c>
      <c r="C34" s="419">
        <v>1630000</v>
      </c>
      <c r="D34" s="422">
        <v>1643000</v>
      </c>
      <c r="E34" s="423">
        <v>1656000</v>
      </c>
      <c r="F34" s="419">
        <v>1669000</v>
      </c>
      <c r="G34" s="422">
        <v>1682000</v>
      </c>
    </row>
    <row r="35" spans="1:7" ht="18" customHeight="1">
      <c r="A35" s="907"/>
      <c r="B35" s="411" t="s">
        <v>345</v>
      </c>
      <c r="C35" s="419">
        <v>1601000</v>
      </c>
      <c r="D35" s="422">
        <v>1612200</v>
      </c>
      <c r="E35" s="423">
        <v>1623400</v>
      </c>
      <c r="F35" s="419">
        <v>1634600</v>
      </c>
      <c r="G35" s="422">
        <v>1645800</v>
      </c>
    </row>
    <row r="36" spans="1:7" ht="18" customHeight="1">
      <c r="A36" s="907">
        <v>8</v>
      </c>
      <c r="B36" s="394" t="s">
        <v>23</v>
      </c>
      <c r="C36" s="405"/>
      <c r="D36" s="405"/>
      <c r="E36" s="405"/>
      <c r="F36" s="405"/>
      <c r="G36" s="406"/>
    </row>
    <row r="37" spans="1:7" ht="18" customHeight="1">
      <c r="A37" s="907"/>
      <c r="B37" s="411" t="s">
        <v>309</v>
      </c>
      <c r="C37" s="419">
        <v>2265000</v>
      </c>
      <c r="D37" s="422">
        <v>2280200</v>
      </c>
      <c r="E37" s="423">
        <v>2295400</v>
      </c>
      <c r="F37" s="419">
        <v>2310600</v>
      </c>
      <c r="G37" s="422">
        <v>2325800</v>
      </c>
    </row>
    <row r="38" spans="1:7" ht="18" customHeight="1">
      <c r="A38" s="907"/>
      <c r="B38" s="411" t="s">
        <v>344</v>
      </c>
      <c r="C38" s="419">
        <v>1195000</v>
      </c>
      <c r="D38" s="422">
        <v>1198800</v>
      </c>
      <c r="E38" s="423">
        <v>1202600</v>
      </c>
      <c r="F38" s="419">
        <v>1206400</v>
      </c>
      <c r="G38" s="422">
        <v>1210200</v>
      </c>
    </row>
    <row r="39" spans="1:7" ht="18" customHeight="1">
      <c r="A39" s="907"/>
      <c r="B39" s="411" t="s">
        <v>345</v>
      </c>
      <c r="C39" s="419">
        <v>1070000</v>
      </c>
      <c r="D39" s="422">
        <v>1081400</v>
      </c>
      <c r="E39" s="423">
        <v>1092800</v>
      </c>
      <c r="F39" s="419">
        <v>1104200</v>
      </c>
      <c r="G39" s="422">
        <v>1115600</v>
      </c>
    </row>
    <row r="40" spans="1:7" ht="18" customHeight="1">
      <c r="A40" s="907">
        <v>9</v>
      </c>
      <c r="B40" s="394" t="s">
        <v>24</v>
      </c>
      <c r="C40" s="405"/>
      <c r="D40" s="405"/>
      <c r="E40" s="405"/>
      <c r="F40" s="405"/>
      <c r="G40" s="406"/>
    </row>
    <row r="41" spans="1:7" ht="18" customHeight="1">
      <c r="A41" s="907"/>
      <c r="B41" s="411" t="s">
        <v>309</v>
      </c>
      <c r="C41" s="419">
        <v>160976</v>
      </c>
      <c r="D41" s="422">
        <v>165327</v>
      </c>
      <c r="E41" s="423">
        <v>169678</v>
      </c>
      <c r="F41" s="419">
        <v>174029</v>
      </c>
      <c r="G41" s="422">
        <v>178379</v>
      </c>
    </row>
    <row r="42" spans="1:7" ht="18" customHeight="1">
      <c r="A42" s="907"/>
      <c r="B42" s="411" t="s">
        <v>344</v>
      </c>
      <c r="C42" s="419">
        <v>85164</v>
      </c>
      <c r="D42" s="422">
        <v>87774</v>
      </c>
      <c r="E42" s="423">
        <v>90384</v>
      </c>
      <c r="F42" s="419">
        <v>92994</v>
      </c>
      <c r="G42" s="422">
        <v>95604</v>
      </c>
    </row>
    <row r="43" spans="1:7" ht="18" customHeight="1">
      <c r="A43" s="907"/>
      <c r="B43" s="411" t="s">
        <v>345</v>
      </c>
      <c r="C43" s="419">
        <v>75813</v>
      </c>
      <c r="D43" s="422">
        <v>77553</v>
      </c>
      <c r="E43" s="423">
        <v>79294</v>
      </c>
      <c r="F43" s="419">
        <v>81035</v>
      </c>
      <c r="G43" s="422">
        <v>82775</v>
      </c>
    </row>
    <row r="44" spans="1:7" ht="18" customHeight="1">
      <c r="A44" s="907">
        <v>10</v>
      </c>
      <c r="B44" s="394" t="s">
        <v>25</v>
      </c>
      <c r="C44" s="405"/>
      <c r="D44" s="405"/>
      <c r="E44" s="405"/>
      <c r="F44" s="405"/>
      <c r="G44" s="406"/>
    </row>
    <row r="45" spans="1:7" ht="18" customHeight="1">
      <c r="A45" s="907"/>
      <c r="B45" s="411" t="s">
        <v>309</v>
      </c>
      <c r="C45" s="419">
        <v>7361000</v>
      </c>
      <c r="D45" s="422">
        <v>7383800</v>
      </c>
      <c r="E45" s="423">
        <v>7406600</v>
      </c>
      <c r="F45" s="419">
        <v>7429400</v>
      </c>
      <c r="G45" s="422">
        <v>7452200</v>
      </c>
    </row>
    <row r="46" spans="1:7" ht="18" customHeight="1">
      <c r="A46" s="907"/>
      <c r="B46" s="411" t="s">
        <v>344</v>
      </c>
      <c r="C46" s="419">
        <v>3924000</v>
      </c>
      <c r="D46" s="422">
        <v>3938600</v>
      </c>
      <c r="E46" s="423">
        <v>3953200</v>
      </c>
      <c r="F46" s="419">
        <v>3967800</v>
      </c>
      <c r="G46" s="422">
        <v>3982400</v>
      </c>
    </row>
    <row r="47" spans="1:7" ht="18" customHeight="1">
      <c r="A47" s="907"/>
      <c r="B47" s="411" t="s">
        <v>345</v>
      </c>
      <c r="C47" s="419">
        <v>3437000</v>
      </c>
      <c r="D47" s="422">
        <v>3445200</v>
      </c>
      <c r="E47" s="423">
        <v>3453400</v>
      </c>
      <c r="F47" s="419">
        <v>3461600</v>
      </c>
      <c r="G47" s="422">
        <v>3469800</v>
      </c>
    </row>
    <row r="48" spans="1:7" ht="18" customHeight="1">
      <c r="A48" s="907">
        <v>11</v>
      </c>
      <c r="B48" s="394" t="s">
        <v>26</v>
      </c>
      <c r="C48" s="405"/>
      <c r="D48" s="405"/>
      <c r="E48" s="405"/>
      <c r="F48" s="405"/>
      <c r="G48" s="406"/>
    </row>
    <row r="49" spans="1:7" ht="18" customHeight="1">
      <c r="A49" s="907"/>
      <c r="B49" s="411" t="s">
        <v>309</v>
      </c>
      <c r="C49" s="419">
        <v>3308000</v>
      </c>
      <c r="D49" s="424">
        <v>3308600</v>
      </c>
      <c r="E49" s="423">
        <v>3309200</v>
      </c>
      <c r="F49" s="419">
        <v>3309800</v>
      </c>
      <c r="G49" s="419">
        <v>3310400</v>
      </c>
    </row>
    <row r="50" spans="1:7" ht="18" customHeight="1">
      <c r="A50" s="907"/>
      <c r="B50" s="411" t="s">
        <v>344</v>
      </c>
      <c r="C50" s="419">
        <v>1796000</v>
      </c>
      <c r="D50" s="424">
        <v>1794800</v>
      </c>
      <c r="E50" s="423">
        <v>1793600</v>
      </c>
      <c r="F50" s="419">
        <v>1792400</v>
      </c>
      <c r="G50" s="422">
        <v>1791200</v>
      </c>
    </row>
    <row r="51" spans="1:7" ht="18" customHeight="1">
      <c r="A51" s="907"/>
      <c r="B51" s="411" t="s">
        <v>345</v>
      </c>
      <c r="C51" s="419">
        <v>1512000</v>
      </c>
      <c r="D51" s="424">
        <v>1513800</v>
      </c>
      <c r="E51" s="423">
        <v>1515600</v>
      </c>
      <c r="F51" s="419">
        <v>1517400</v>
      </c>
      <c r="G51" s="422">
        <v>1519200</v>
      </c>
    </row>
    <row r="52" spans="1:7" ht="18" customHeight="1">
      <c r="A52" s="907">
        <v>12</v>
      </c>
      <c r="B52" s="394" t="s">
        <v>27</v>
      </c>
      <c r="C52" s="405"/>
      <c r="D52" s="405"/>
      <c r="E52" s="405"/>
      <c r="F52" s="405"/>
      <c r="G52" s="406"/>
    </row>
    <row r="53" spans="1:7" ht="18" customHeight="1">
      <c r="A53" s="907"/>
      <c r="B53" s="411" t="s">
        <v>309</v>
      </c>
      <c r="C53" s="419">
        <v>767000</v>
      </c>
      <c r="D53" s="424">
        <v>762200</v>
      </c>
      <c r="E53" s="423">
        <v>757400</v>
      </c>
      <c r="F53" s="419">
        <v>752600</v>
      </c>
      <c r="G53" s="419">
        <v>747800</v>
      </c>
    </row>
    <row r="54" spans="1:7" ht="18" customHeight="1">
      <c r="A54" s="907"/>
      <c r="B54" s="411" t="s">
        <v>344</v>
      </c>
      <c r="C54" s="419">
        <v>404000</v>
      </c>
      <c r="D54" s="424">
        <v>402400</v>
      </c>
      <c r="E54" s="423">
        <v>400800</v>
      </c>
      <c r="F54" s="419">
        <v>399200</v>
      </c>
      <c r="G54" s="422">
        <v>397600</v>
      </c>
    </row>
    <row r="55" spans="1:7" ht="18" customHeight="1">
      <c r="A55" s="907"/>
      <c r="B55" s="411" t="s">
        <v>345</v>
      </c>
      <c r="C55" s="419">
        <v>363000</v>
      </c>
      <c r="D55" s="424">
        <v>359800</v>
      </c>
      <c r="E55" s="423">
        <v>356600</v>
      </c>
      <c r="F55" s="419">
        <v>353400</v>
      </c>
      <c r="G55" s="422">
        <v>350200</v>
      </c>
    </row>
    <row r="56" spans="1:7" ht="18" customHeight="1">
      <c r="A56" s="907">
        <v>13</v>
      </c>
      <c r="B56" s="394" t="s">
        <v>57</v>
      </c>
      <c r="C56" s="405"/>
      <c r="D56" s="405"/>
      <c r="E56" s="405"/>
      <c r="F56" s="405"/>
      <c r="G56" s="406"/>
    </row>
    <row r="57" spans="1:7" ht="18" customHeight="1">
      <c r="A57" s="907"/>
      <c r="B57" s="411" t="s">
        <v>309</v>
      </c>
      <c r="C57" s="419">
        <v>1514000</v>
      </c>
      <c r="D57" s="424">
        <v>1534000</v>
      </c>
      <c r="E57" s="423">
        <v>1554000</v>
      </c>
      <c r="F57" s="425">
        <v>1574000</v>
      </c>
      <c r="G57" s="422">
        <v>1594000</v>
      </c>
    </row>
    <row r="58" spans="1:7" ht="18" customHeight="1">
      <c r="A58" s="907"/>
      <c r="B58" s="411" t="s">
        <v>344</v>
      </c>
      <c r="C58" s="419">
        <v>791000</v>
      </c>
      <c r="D58" s="424">
        <v>803200</v>
      </c>
      <c r="E58" s="423">
        <v>815400</v>
      </c>
      <c r="F58" s="425">
        <v>827600</v>
      </c>
      <c r="G58" s="422">
        <v>839800</v>
      </c>
    </row>
    <row r="59" spans="1:7" ht="18" customHeight="1">
      <c r="A59" s="907"/>
      <c r="B59" s="411" t="s">
        <v>345</v>
      </c>
      <c r="C59" s="419">
        <v>723000</v>
      </c>
      <c r="D59" s="424">
        <v>730800</v>
      </c>
      <c r="E59" s="423">
        <v>738600</v>
      </c>
      <c r="F59" s="425">
        <v>746400</v>
      </c>
      <c r="G59" s="422">
        <v>754200</v>
      </c>
    </row>
    <row r="60" spans="1:7" ht="18" customHeight="1">
      <c r="A60" s="907">
        <v>14</v>
      </c>
      <c r="B60" s="394" t="s">
        <v>29</v>
      </c>
      <c r="C60" s="405"/>
      <c r="D60" s="405"/>
      <c r="E60" s="405"/>
      <c r="F60" s="405"/>
      <c r="G60" s="406"/>
    </row>
    <row r="61" spans="1:7" ht="18" customHeight="1">
      <c r="A61" s="907"/>
      <c r="B61" s="411" t="s">
        <v>309</v>
      </c>
      <c r="C61" s="419">
        <v>4217000</v>
      </c>
      <c r="D61" s="424">
        <v>4318400</v>
      </c>
      <c r="E61" s="423">
        <v>4419800</v>
      </c>
      <c r="F61" s="419">
        <v>4521200</v>
      </c>
      <c r="G61" s="422">
        <v>4622600</v>
      </c>
    </row>
    <row r="62" spans="1:7" ht="18" customHeight="1">
      <c r="A62" s="907"/>
      <c r="B62" s="411" t="s">
        <v>344</v>
      </c>
      <c r="C62" s="419">
        <v>2192000</v>
      </c>
      <c r="D62" s="424">
        <v>2238400</v>
      </c>
      <c r="E62" s="423">
        <v>2284800</v>
      </c>
      <c r="F62" s="419">
        <v>2331200</v>
      </c>
      <c r="G62" s="422">
        <v>2377600</v>
      </c>
    </row>
    <row r="63" spans="1:7" ht="18" customHeight="1">
      <c r="A63" s="907"/>
      <c r="B63" s="411" t="s">
        <v>345</v>
      </c>
      <c r="C63" s="419">
        <v>2025000</v>
      </c>
      <c r="D63" s="424">
        <v>2080000</v>
      </c>
      <c r="E63" s="423">
        <v>2135000</v>
      </c>
      <c r="F63" s="419">
        <v>2190000</v>
      </c>
      <c r="G63" s="422">
        <v>2245000</v>
      </c>
    </row>
    <row r="64" spans="1:7" ht="18" customHeight="1">
      <c r="A64" s="907">
        <v>15</v>
      </c>
      <c r="B64" s="394" t="s">
        <v>30</v>
      </c>
      <c r="C64" s="405"/>
      <c r="D64" s="405"/>
      <c r="E64" s="405"/>
      <c r="F64" s="405"/>
      <c r="G64" s="406"/>
    </row>
    <row r="65" spans="1:7" ht="18" customHeight="1">
      <c r="A65" s="907"/>
      <c r="B65" s="411" t="s">
        <v>309</v>
      </c>
      <c r="C65" s="419">
        <v>7016000</v>
      </c>
      <c r="D65" s="424">
        <v>6958600</v>
      </c>
      <c r="E65" s="423">
        <v>6901200</v>
      </c>
      <c r="F65" s="425">
        <v>6843800</v>
      </c>
      <c r="G65" s="422">
        <v>6786400</v>
      </c>
    </row>
    <row r="66" spans="1:7" ht="18" customHeight="1">
      <c r="A66" s="907"/>
      <c r="B66" s="411" t="s">
        <v>344</v>
      </c>
      <c r="C66" s="419">
        <v>3639000</v>
      </c>
      <c r="D66" s="424">
        <v>3607400</v>
      </c>
      <c r="E66" s="423">
        <v>3575800</v>
      </c>
      <c r="F66" s="425">
        <v>3544200</v>
      </c>
      <c r="G66" s="422">
        <v>3512600</v>
      </c>
    </row>
    <row r="67" spans="1:7" ht="18" customHeight="1">
      <c r="A67" s="907"/>
      <c r="B67" s="411" t="s">
        <v>345</v>
      </c>
      <c r="C67" s="419">
        <v>3377000</v>
      </c>
      <c r="D67" s="424">
        <v>3351200</v>
      </c>
      <c r="E67" s="423">
        <v>3325400</v>
      </c>
      <c r="F67" s="425">
        <v>3299600</v>
      </c>
      <c r="G67" s="422">
        <v>3273800</v>
      </c>
    </row>
    <row r="68" spans="1:7" ht="18" customHeight="1">
      <c r="A68" s="907">
        <v>16</v>
      </c>
      <c r="B68" s="394" t="s">
        <v>31</v>
      </c>
      <c r="C68" s="405"/>
      <c r="D68" s="405"/>
      <c r="E68" s="405"/>
      <c r="F68" s="405"/>
      <c r="G68" s="406"/>
    </row>
    <row r="69" spans="1:7" ht="18" customHeight="1">
      <c r="A69" s="907"/>
      <c r="B69" s="411" t="s">
        <v>309</v>
      </c>
      <c r="C69" s="419">
        <v>3190000</v>
      </c>
      <c r="D69" s="424">
        <v>3183000</v>
      </c>
      <c r="E69" s="423">
        <v>3176000</v>
      </c>
      <c r="F69" s="419">
        <v>3169000</v>
      </c>
      <c r="G69" s="422">
        <v>3162000</v>
      </c>
    </row>
    <row r="70" spans="1:7" ht="18" customHeight="1">
      <c r="A70" s="907"/>
      <c r="B70" s="411" t="s">
        <v>344</v>
      </c>
      <c r="C70" s="419">
        <v>1625000</v>
      </c>
      <c r="D70" s="424">
        <v>1624800</v>
      </c>
      <c r="E70" s="423">
        <v>1624600</v>
      </c>
      <c r="F70" s="419">
        <v>1624400</v>
      </c>
      <c r="G70" s="422">
        <v>1624200</v>
      </c>
    </row>
    <row r="71" spans="1:7" ht="18" customHeight="1">
      <c r="A71" s="907"/>
      <c r="B71" s="411" t="s">
        <v>345</v>
      </c>
      <c r="C71" s="419">
        <v>1565000</v>
      </c>
      <c r="D71" s="424">
        <v>1558200</v>
      </c>
      <c r="E71" s="423">
        <v>1551400</v>
      </c>
      <c r="F71" s="419">
        <v>1544600</v>
      </c>
      <c r="G71" s="422">
        <v>1537800</v>
      </c>
    </row>
    <row r="72" spans="1:7" ht="18" customHeight="1">
      <c r="A72" s="907">
        <v>17</v>
      </c>
      <c r="B72" s="394" t="s">
        <v>172</v>
      </c>
      <c r="C72" s="405"/>
      <c r="D72" s="405"/>
      <c r="E72" s="405"/>
      <c r="F72" s="405"/>
      <c r="G72" s="406"/>
    </row>
    <row r="73" spans="1:7" ht="18" customHeight="1">
      <c r="A73" s="907"/>
      <c r="B73" s="411" t="s">
        <v>309</v>
      </c>
      <c r="C73" s="419">
        <v>33726</v>
      </c>
      <c r="D73" s="424">
        <v>34680</v>
      </c>
      <c r="E73" s="423">
        <v>35634</v>
      </c>
      <c r="F73" s="425">
        <v>36588</v>
      </c>
      <c r="G73" s="425">
        <v>37543</v>
      </c>
    </row>
    <row r="74" spans="1:7" ht="18" customHeight="1">
      <c r="A74" s="907"/>
      <c r="B74" s="411" t="s">
        <v>344</v>
      </c>
      <c r="C74" s="419">
        <v>18079</v>
      </c>
      <c r="D74" s="424">
        <v>18671</v>
      </c>
      <c r="E74" s="423">
        <v>19264</v>
      </c>
      <c r="F74" s="425">
        <v>19856</v>
      </c>
      <c r="G74" s="422">
        <v>20449</v>
      </c>
    </row>
    <row r="75" spans="1:7" ht="18" customHeight="1">
      <c r="A75" s="907"/>
      <c r="B75" s="411" t="s">
        <v>345</v>
      </c>
      <c r="C75" s="419">
        <v>15647</v>
      </c>
      <c r="D75" s="424">
        <v>16008</v>
      </c>
      <c r="E75" s="423">
        <v>16370</v>
      </c>
      <c r="F75" s="425">
        <v>16732</v>
      </c>
      <c r="G75" s="422">
        <v>17094</v>
      </c>
    </row>
    <row r="76" spans="1:7" ht="18" customHeight="1">
      <c r="A76" s="907">
        <v>18</v>
      </c>
      <c r="B76" s="394" t="s">
        <v>32</v>
      </c>
      <c r="C76" s="405"/>
      <c r="D76" s="405"/>
      <c r="E76" s="405"/>
      <c r="F76" s="405"/>
      <c r="G76" s="406"/>
    </row>
    <row r="77" spans="1:7" ht="18" customHeight="1">
      <c r="A77" s="907"/>
      <c r="B77" s="411" t="s">
        <v>309</v>
      </c>
      <c r="C77" s="419">
        <v>7044</v>
      </c>
      <c r="D77" s="424">
        <v>7234</v>
      </c>
      <c r="E77" s="423">
        <v>7425</v>
      </c>
      <c r="F77" s="419">
        <v>7616</v>
      </c>
      <c r="G77" s="419">
        <v>7807</v>
      </c>
    </row>
    <row r="78" spans="1:7" ht="18" customHeight="1">
      <c r="A78" s="907"/>
      <c r="B78" s="411" t="s">
        <v>344</v>
      </c>
      <c r="C78" s="419">
        <v>3616</v>
      </c>
      <c r="D78" s="424">
        <v>3728</v>
      </c>
      <c r="E78" s="423">
        <v>3840</v>
      </c>
      <c r="F78" s="419">
        <v>3951</v>
      </c>
      <c r="G78" s="422">
        <v>4063</v>
      </c>
    </row>
    <row r="79" spans="1:7" ht="18" customHeight="1">
      <c r="A79" s="907"/>
      <c r="B79" s="411" t="s">
        <v>345</v>
      </c>
      <c r="C79" s="419">
        <v>3428</v>
      </c>
      <c r="D79" s="424">
        <v>3507</v>
      </c>
      <c r="E79" s="423">
        <v>3586</v>
      </c>
      <c r="F79" s="419">
        <v>3665</v>
      </c>
      <c r="G79" s="422">
        <v>3744</v>
      </c>
    </row>
    <row r="80" spans="1:7" ht="18" customHeight="1">
      <c r="A80" s="907">
        <v>19</v>
      </c>
      <c r="B80" s="394" t="s">
        <v>33</v>
      </c>
      <c r="C80" s="405"/>
      <c r="D80" s="405"/>
      <c r="E80" s="405"/>
      <c r="F80" s="405"/>
      <c r="G80" s="406"/>
    </row>
    <row r="81" spans="1:7" ht="18" customHeight="1">
      <c r="A81" s="907"/>
      <c r="B81" s="411" t="s">
        <v>309</v>
      </c>
      <c r="C81" s="419">
        <v>9228000</v>
      </c>
      <c r="D81" s="424">
        <v>9320200</v>
      </c>
      <c r="E81" s="423">
        <v>9412400</v>
      </c>
      <c r="F81" s="425">
        <v>9504600</v>
      </c>
      <c r="G81" s="425">
        <v>9596800</v>
      </c>
    </row>
    <row r="82" spans="1:7" ht="18" customHeight="1">
      <c r="A82" s="907"/>
      <c r="B82" s="411" t="s">
        <v>344</v>
      </c>
      <c r="C82" s="419">
        <v>4871000</v>
      </c>
      <c r="D82" s="424">
        <v>4910000</v>
      </c>
      <c r="E82" s="423">
        <v>4949000</v>
      </c>
      <c r="F82" s="425">
        <v>4988000</v>
      </c>
      <c r="G82" s="422">
        <v>5027000</v>
      </c>
    </row>
    <row r="83" spans="1:7" ht="18" customHeight="1">
      <c r="A83" s="907"/>
      <c r="B83" s="411" t="s">
        <v>345</v>
      </c>
      <c r="C83" s="419">
        <v>4357000</v>
      </c>
      <c r="D83" s="424">
        <v>4410200</v>
      </c>
      <c r="E83" s="423">
        <v>4463400</v>
      </c>
      <c r="F83" s="425">
        <v>4516600</v>
      </c>
      <c r="G83" s="422">
        <v>4569800</v>
      </c>
    </row>
    <row r="84" spans="1:7" ht="18" customHeight="1">
      <c r="A84" s="907">
        <v>20</v>
      </c>
      <c r="B84" s="394" t="s">
        <v>34</v>
      </c>
      <c r="C84" s="420"/>
      <c r="D84" s="420"/>
      <c r="E84" s="420"/>
      <c r="F84" s="421"/>
      <c r="G84" s="421"/>
    </row>
    <row r="85" spans="1:7" ht="18" customHeight="1">
      <c r="A85" s="907"/>
      <c r="B85" s="411" t="s">
        <v>309</v>
      </c>
      <c r="C85" s="419">
        <v>13229000</v>
      </c>
      <c r="D85" s="424">
        <v>13175800</v>
      </c>
      <c r="E85" s="423">
        <v>13122600</v>
      </c>
      <c r="F85" s="419">
        <v>13069400</v>
      </c>
      <c r="G85" s="419">
        <v>13016200</v>
      </c>
    </row>
    <row r="86" spans="1:7" ht="18" customHeight="1">
      <c r="A86" s="907"/>
      <c r="B86" s="411" t="s">
        <v>344</v>
      </c>
      <c r="C86" s="419">
        <v>7013000</v>
      </c>
      <c r="D86" s="424">
        <v>6979400</v>
      </c>
      <c r="E86" s="423">
        <v>6945800</v>
      </c>
      <c r="F86" s="419">
        <v>6912200</v>
      </c>
      <c r="G86" s="422">
        <v>6878600</v>
      </c>
    </row>
    <row r="87" spans="1:7" ht="18" customHeight="1">
      <c r="A87" s="907"/>
      <c r="B87" s="411" t="s">
        <v>345</v>
      </c>
      <c r="C87" s="419">
        <v>6216000</v>
      </c>
      <c r="D87" s="424">
        <v>6196400</v>
      </c>
      <c r="E87" s="423">
        <v>6176800</v>
      </c>
      <c r="F87" s="419">
        <v>6157200</v>
      </c>
      <c r="G87" s="422">
        <v>6137600</v>
      </c>
    </row>
    <row r="88" spans="1:7" ht="18" customHeight="1">
      <c r="A88" s="907">
        <v>21</v>
      </c>
      <c r="B88" s="394" t="s">
        <v>35</v>
      </c>
      <c r="C88" s="405"/>
      <c r="D88" s="405"/>
      <c r="E88" s="405"/>
      <c r="F88" s="405"/>
      <c r="G88" s="406"/>
    </row>
    <row r="89" spans="1:7" ht="18" customHeight="1">
      <c r="A89" s="907"/>
      <c r="B89" s="411" t="s">
        <v>309</v>
      </c>
      <c r="C89" s="419">
        <v>360975</v>
      </c>
      <c r="D89" s="424">
        <v>362445</v>
      </c>
      <c r="E89" s="423">
        <v>363914</v>
      </c>
      <c r="F89" s="425">
        <v>365383</v>
      </c>
      <c r="G89" s="422">
        <v>366852</v>
      </c>
    </row>
    <row r="90" spans="1:7" ht="18" customHeight="1">
      <c r="A90" s="907"/>
      <c r="B90" s="411" t="s">
        <v>344</v>
      </c>
      <c r="C90" s="419">
        <v>182755</v>
      </c>
      <c r="D90" s="424">
        <v>183717</v>
      </c>
      <c r="E90" s="423">
        <v>184679</v>
      </c>
      <c r="F90" s="425">
        <v>185642</v>
      </c>
      <c r="G90" s="422">
        <v>186604</v>
      </c>
    </row>
    <row r="91" spans="1:7" ht="18" customHeight="1">
      <c r="A91" s="907"/>
      <c r="B91" s="411" t="s">
        <v>345</v>
      </c>
      <c r="C91" s="419">
        <v>178221</v>
      </c>
      <c r="D91" s="424">
        <v>178728</v>
      </c>
      <c r="E91" s="423">
        <v>179234</v>
      </c>
      <c r="F91" s="425">
        <v>179741</v>
      </c>
      <c r="G91" s="422">
        <v>180248</v>
      </c>
    </row>
    <row r="92" spans="1:7" ht="18" customHeight="1">
      <c r="A92" s="907">
        <v>22</v>
      </c>
      <c r="B92" s="394" t="s">
        <v>36</v>
      </c>
      <c r="C92" s="405"/>
      <c r="D92" s="405"/>
      <c r="E92" s="405"/>
      <c r="F92" s="405"/>
      <c r="G92" s="406"/>
    </row>
    <row r="93" spans="1:7" ht="18" customHeight="1">
      <c r="A93" s="907"/>
      <c r="B93" s="411" t="s">
        <v>309</v>
      </c>
      <c r="C93" s="419">
        <v>372923</v>
      </c>
      <c r="D93" s="424">
        <v>374392</v>
      </c>
      <c r="E93" s="423">
        <v>375861</v>
      </c>
      <c r="F93" s="419">
        <v>377331</v>
      </c>
      <c r="G93" s="422">
        <v>378800</v>
      </c>
    </row>
    <row r="94" spans="1:7" ht="18" customHeight="1">
      <c r="A94" s="907"/>
      <c r="B94" s="411" t="s">
        <v>344</v>
      </c>
      <c r="C94" s="419">
        <v>187043</v>
      </c>
      <c r="D94" s="424">
        <v>187998</v>
      </c>
      <c r="E94" s="423">
        <v>188953</v>
      </c>
      <c r="F94" s="419">
        <v>189908</v>
      </c>
      <c r="G94" s="422">
        <v>190864</v>
      </c>
    </row>
    <row r="95" spans="1:7" ht="18" customHeight="1">
      <c r="A95" s="907"/>
      <c r="B95" s="411" t="s">
        <v>345</v>
      </c>
      <c r="C95" s="419">
        <v>185881</v>
      </c>
      <c r="D95" s="424">
        <v>186394</v>
      </c>
      <c r="E95" s="423">
        <v>186908</v>
      </c>
      <c r="F95" s="419">
        <v>187422</v>
      </c>
      <c r="G95" s="422">
        <v>187936</v>
      </c>
    </row>
    <row r="96" spans="1:7" ht="18" customHeight="1">
      <c r="A96" s="907">
        <v>23</v>
      </c>
      <c r="B96" s="394" t="s">
        <v>37</v>
      </c>
      <c r="C96" s="405"/>
      <c r="D96" s="405"/>
      <c r="E96" s="405"/>
      <c r="F96" s="405"/>
      <c r="G96" s="406"/>
    </row>
    <row r="97" spans="1:7" ht="18" customHeight="1">
      <c r="A97" s="907"/>
      <c r="B97" s="411" t="s">
        <v>309</v>
      </c>
      <c r="C97" s="419">
        <v>141919</v>
      </c>
      <c r="D97" s="424">
        <v>142520</v>
      </c>
      <c r="E97" s="423">
        <v>143120</v>
      </c>
      <c r="F97" s="419">
        <v>143721</v>
      </c>
      <c r="G97" s="422">
        <v>144322</v>
      </c>
    </row>
    <row r="98" spans="1:7" ht="18" customHeight="1">
      <c r="A98" s="907"/>
      <c r="B98" s="411" t="s">
        <v>344</v>
      </c>
      <c r="C98" s="419">
        <v>71839</v>
      </c>
      <c r="D98" s="424">
        <v>72230</v>
      </c>
      <c r="E98" s="423">
        <v>72621</v>
      </c>
      <c r="F98" s="419">
        <v>73012</v>
      </c>
      <c r="G98" s="422">
        <v>73403</v>
      </c>
    </row>
    <row r="99" spans="1:7" ht="18" customHeight="1">
      <c r="A99" s="907"/>
      <c r="B99" s="411" t="s">
        <v>345</v>
      </c>
      <c r="C99" s="419">
        <v>70081</v>
      </c>
      <c r="D99" s="424">
        <v>70290</v>
      </c>
      <c r="E99" s="423">
        <v>70500</v>
      </c>
      <c r="F99" s="419">
        <v>70709</v>
      </c>
      <c r="G99" s="422">
        <v>70919</v>
      </c>
    </row>
    <row r="100" spans="1:7" ht="18" customHeight="1">
      <c r="A100" s="907">
        <v>24</v>
      </c>
      <c r="B100" s="394" t="s">
        <v>38</v>
      </c>
      <c r="C100" s="405"/>
      <c r="D100" s="405"/>
      <c r="E100" s="405"/>
      <c r="F100" s="405"/>
      <c r="G100" s="406"/>
    </row>
    <row r="101" spans="1:7" ht="18" customHeight="1">
      <c r="A101" s="907"/>
      <c r="B101" s="411" t="s">
        <v>309</v>
      </c>
      <c r="C101" s="419">
        <v>267781</v>
      </c>
      <c r="D101" s="424">
        <v>268840</v>
      </c>
      <c r="E101" s="423">
        <v>269899</v>
      </c>
      <c r="F101" s="419">
        <v>270959</v>
      </c>
      <c r="G101" s="422">
        <v>272017</v>
      </c>
    </row>
    <row r="102" spans="1:7" ht="18" customHeight="1">
      <c r="A102" s="907"/>
      <c r="B102" s="411" t="s">
        <v>344</v>
      </c>
      <c r="C102" s="419">
        <v>138835</v>
      </c>
      <c r="D102" s="424">
        <v>139545</v>
      </c>
      <c r="E102" s="423">
        <v>140254</v>
      </c>
      <c r="F102" s="419">
        <v>140964</v>
      </c>
      <c r="G102" s="422">
        <v>141673</v>
      </c>
    </row>
    <row r="103" spans="1:7" ht="18" customHeight="1">
      <c r="A103" s="907"/>
      <c r="B103" s="411" t="s">
        <v>345</v>
      </c>
      <c r="C103" s="419">
        <v>128946</v>
      </c>
      <c r="D103" s="424">
        <v>129296</v>
      </c>
      <c r="E103" s="423">
        <v>129645</v>
      </c>
      <c r="F103" s="419">
        <v>129995</v>
      </c>
      <c r="G103" s="422">
        <v>130344</v>
      </c>
    </row>
    <row r="104" spans="1:7" ht="18" customHeight="1">
      <c r="A104" s="907">
        <v>25</v>
      </c>
      <c r="B104" s="394" t="s">
        <v>39</v>
      </c>
      <c r="C104" s="405"/>
      <c r="D104" s="405"/>
      <c r="E104" s="405"/>
      <c r="F104" s="405"/>
      <c r="G104" s="406"/>
    </row>
    <row r="105" spans="1:7" ht="18" customHeight="1">
      <c r="A105" s="907"/>
      <c r="B105" s="411" t="s">
        <v>309</v>
      </c>
      <c r="C105" s="419">
        <v>4813000</v>
      </c>
      <c r="D105" s="424">
        <v>4823600</v>
      </c>
      <c r="E105" s="423">
        <v>4834200</v>
      </c>
      <c r="F105" s="419">
        <v>4844800</v>
      </c>
      <c r="G105" s="422">
        <v>4855400</v>
      </c>
    </row>
    <row r="106" spans="1:7" ht="18" customHeight="1">
      <c r="A106" s="907"/>
      <c r="B106" s="411" t="s">
        <v>344</v>
      </c>
      <c r="C106" s="419">
        <v>2426000</v>
      </c>
      <c r="D106" s="424">
        <v>2435800</v>
      </c>
      <c r="E106" s="423">
        <v>2445600</v>
      </c>
      <c r="F106" s="419">
        <v>2455400</v>
      </c>
      <c r="G106" s="422">
        <v>2465200</v>
      </c>
    </row>
    <row r="107" spans="1:7" ht="18" customHeight="1">
      <c r="A107" s="907"/>
      <c r="B107" s="411" t="s">
        <v>345</v>
      </c>
      <c r="C107" s="419">
        <v>2387000</v>
      </c>
      <c r="D107" s="424">
        <v>2387800</v>
      </c>
      <c r="E107" s="423">
        <v>2388600</v>
      </c>
      <c r="F107" s="419">
        <v>2389400</v>
      </c>
      <c r="G107" s="422">
        <v>2390200</v>
      </c>
    </row>
    <row r="108" spans="1:7" ht="18" customHeight="1">
      <c r="A108" s="907">
        <v>26</v>
      </c>
      <c r="B108" s="394" t="s">
        <v>40</v>
      </c>
      <c r="C108" s="405"/>
      <c r="D108" s="405"/>
      <c r="E108" s="405"/>
      <c r="F108" s="405"/>
      <c r="G108" s="406"/>
    </row>
    <row r="109" spans="1:7" ht="18" customHeight="1">
      <c r="A109" s="907"/>
      <c r="B109" s="411" t="s">
        <v>309</v>
      </c>
      <c r="C109" s="419">
        <v>135896</v>
      </c>
      <c r="D109" s="424">
        <v>139473</v>
      </c>
      <c r="E109" s="423">
        <v>143050</v>
      </c>
      <c r="F109" s="419">
        <v>146627</v>
      </c>
      <c r="G109" s="422">
        <v>150205</v>
      </c>
    </row>
    <row r="110" spans="1:7" ht="18" customHeight="1">
      <c r="A110" s="907"/>
      <c r="B110" s="411" t="s">
        <v>344</v>
      </c>
      <c r="C110" s="419">
        <v>63887</v>
      </c>
      <c r="D110" s="424">
        <v>65814</v>
      </c>
      <c r="E110" s="423">
        <v>67741</v>
      </c>
      <c r="F110" s="419">
        <v>69668</v>
      </c>
      <c r="G110" s="422">
        <v>71595</v>
      </c>
    </row>
    <row r="111" spans="1:7" ht="18" customHeight="1">
      <c r="A111" s="907"/>
      <c r="B111" s="411" t="s">
        <v>345</v>
      </c>
      <c r="C111" s="419">
        <v>72009</v>
      </c>
      <c r="D111" s="424">
        <v>73659</v>
      </c>
      <c r="E111" s="423">
        <v>75309</v>
      </c>
      <c r="F111" s="419">
        <v>76960</v>
      </c>
      <c r="G111" s="422">
        <v>78610</v>
      </c>
    </row>
    <row r="112" spans="1:7" ht="18" customHeight="1">
      <c r="A112" s="907">
        <v>27</v>
      </c>
      <c r="B112" s="394" t="s">
        <v>41</v>
      </c>
      <c r="C112" s="405"/>
      <c r="D112" s="405"/>
      <c r="E112" s="405"/>
      <c r="F112" s="405"/>
      <c r="G112" s="406"/>
    </row>
    <row r="113" spans="1:7" ht="18" customHeight="1">
      <c r="A113" s="907"/>
      <c r="B113" s="411" t="s">
        <v>309</v>
      </c>
      <c r="C113" s="419">
        <v>3322000</v>
      </c>
      <c r="D113" s="424">
        <v>3284600</v>
      </c>
      <c r="E113" s="423">
        <v>3247200</v>
      </c>
      <c r="F113" s="425">
        <v>3209800</v>
      </c>
      <c r="G113" s="425">
        <v>3172400</v>
      </c>
    </row>
    <row r="114" spans="1:7" ht="18" customHeight="1">
      <c r="A114" s="907"/>
      <c r="B114" s="411" t="s">
        <v>344</v>
      </c>
      <c r="C114" s="419">
        <v>1826000</v>
      </c>
      <c r="D114" s="424">
        <v>1806200</v>
      </c>
      <c r="E114" s="423">
        <v>1786400</v>
      </c>
      <c r="F114" s="425">
        <v>1766600</v>
      </c>
      <c r="G114" s="422">
        <v>1746800</v>
      </c>
    </row>
    <row r="115" spans="1:7" ht="18" customHeight="1">
      <c r="A115" s="907"/>
      <c r="B115" s="411" t="s">
        <v>345</v>
      </c>
      <c r="C115" s="419">
        <v>1496000</v>
      </c>
      <c r="D115" s="424">
        <v>1478400</v>
      </c>
      <c r="E115" s="423">
        <v>1460800</v>
      </c>
      <c r="F115" s="425">
        <v>1443200</v>
      </c>
      <c r="G115" s="422">
        <v>1425600</v>
      </c>
    </row>
    <row r="116" spans="1:7" ht="18" customHeight="1">
      <c r="A116" s="907">
        <v>28</v>
      </c>
      <c r="B116" s="394" t="s">
        <v>42</v>
      </c>
      <c r="C116" s="405"/>
      <c r="D116" s="405"/>
      <c r="E116" s="405"/>
      <c r="F116" s="405"/>
      <c r="G116" s="406"/>
    </row>
    <row r="117" spans="1:7" ht="18" customHeight="1">
      <c r="A117" s="907"/>
      <c r="B117" s="411" t="s">
        <v>309</v>
      </c>
      <c r="C117" s="419">
        <v>9008000</v>
      </c>
      <c r="D117" s="424">
        <v>9089400</v>
      </c>
      <c r="E117" s="423">
        <v>9170800</v>
      </c>
      <c r="F117" s="425">
        <v>9252200</v>
      </c>
      <c r="G117" s="422">
        <v>9333600</v>
      </c>
    </row>
    <row r="118" spans="1:7" ht="18" customHeight="1">
      <c r="A118" s="907"/>
      <c r="B118" s="411" t="s">
        <v>344</v>
      </c>
      <c r="C118" s="419">
        <v>4751000</v>
      </c>
      <c r="D118" s="424">
        <v>4788200</v>
      </c>
      <c r="E118" s="423">
        <v>4825400</v>
      </c>
      <c r="F118" s="425">
        <v>4862600</v>
      </c>
      <c r="G118" s="422">
        <v>4899800</v>
      </c>
    </row>
    <row r="119" spans="1:7" ht="18" customHeight="1">
      <c r="A119" s="907"/>
      <c r="B119" s="411" t="s">
        <v>345</v>
      </c>
      <c r="C119" s="419">
        <v>4257000</v>
      </c>
      <c r="D119" s="424">
        <v>4301200</v>
      </c>
      <c r="E119" s="423">
        <v>4345400</v>
      </c>
      <c r="F119" s="425">
        <v>4389600</v>
      </c>
      <c r="G119" s="422">
        <v>4433800</v>
      </c>
    </row>
    <row r="120" spans="1:7" ht="18" customHeight="1">
      <c r="A120" s="907">
        <v>29</v>
      </c>
      <c r="B120" s="394" t="s">
        <v>43</v>
      </c>
      <c r="C120" s="405"/>
      <c r="D120" s="405"/>
      <c r="E120" s="405"/>
      <c r="F120" s="405"/>
      <c r="G120" s="406"/>
    </row>
    <row r="121" spans="1:7" ht="18" customHeight="1">
      <c r="A121" s="907"/>
      <c r="B121" s="411" t="s">
        <v>309</v>
      </c>
      <c r="C121" s="419">
        <v>85658</v>
      </c>
      <c r="D121" s="424">
        <v>86022</v>
      </c>
      <c r="E121" s="423">
        <v>86387</v>
      </c>
      <c r="F121" s="419">
        <v>86752</v>
      </c>
      <c r="G121" s="422">
        <v>87117</v>
      </c>
    </row>
    <row r="122" spans="1:7" ht="18" customHeight="1">
      <c r="A122" s="907"/>
      <c r="B122" s="411" t="s">
        <v>344</v>
      </c>
      <c r="C122" s="419">
        <v>45069</v>
      </c>
      <c r="D122" s="424">
        <v>45316</v>
      </c>
      <c r="E122" s="423">
        <v>45563</v>
      </c>
      <c r="F122" s="419">
        <v>45811</v>
      </c>
      <c r="G122" s="422">
        <v>46058</v>
      </c>
    </row>
    <row r="123" spans="1:7" ht="18" customHeight="1">
      <c r="A123" s="907"/>
      <c r="B123" s="411" t="s">
        <v>345</v>
      </c>
      <c r="C123" s="419">
        <v>40589</v>
      </c>
      <c r="D123" s="424">
        <v>40706</v>
      </c>
      <c r="E123" s="423">
        <v>40824</v>
      </c>
      <c r="F123" s="419">
        <v>40941</v>
      </c>
      <c r="G123" s="422">
        <v>41059</v>
      </c>
    </row>
    <row r="124" spans="1:7" ht="18" customHeight="1">
      <c r="A124" s="907">
        <v>30</v>
      </c>
      <c r="B124" s="394" t="s">
        <v>44</v>
      </c>
      <c r="C124" s="405"/>
      <c r="D124" s="405"/>
      <c r="E124" s="405"/>
      <c r="F124" s="405"/>
      <c r="G124" s="406"/>
    </row>
    <row r="125" spans="1:7" ht="18" customHeight="1">
      <c r="A125" s="907"/>
      <c r="B125" s="411" t="s">
        <v>309</v>
      </c>
      <c r="C125" s="419">
        <v>7407000</v>
      </c>
      <c r="D125" s="424">
        <v>7332200</v>
      </c>
      <c r="E125" s="423">
        <v>7257400</v>
      </c>
      <c r="F125" s="419">
        <v>7182600</v>
      </c>
      <c r="G125" s="419">
        <v>7107800</v>
      </c>
    </row>
    <row r="126" spans="1:7" ht="18" customHeight="1">
      <c r="A126" s="907"/>
      <c r="B126" s="411" t="s">
        <v>344</v>
      </c>
      <c r="C126" s="419">
        <v>3796000</v>
      </c>
      <c r="D126" s="424">
        <v>3762200</v>
      </c>
      <c r="E126" s="423">
        <v>3728400</v>
      </c>
      <c r="F126" s="419">
        <v>3694600</v>
      </c>
      <c r="G126" s="422">
        <v>3660800</v>
      </c>
    </row>
    <row r="127" spans="1:7" ht="18" customHeight="1">
      <c r="A127" s="907"/>
      <c r="B127" s="411" t="s">
        <v>345</v>
      </c>
      <c r="C127" s="419">
        <v>3611000</v>
      </c>
      <c r="D127" s="424">
        <v>3570000</v>
      </c>
      <c r="E127" s="423">
        <v>3529000</v>
      </c>
      <c r="F127" s="419">
        <v>3488000</v>
      </c>
      <c r="G127" s="422">
        <v>3447000</v>
      </c>
    </row>
    <row r="128" spans="1:7" ht="18" customHeight="1">
      <c r="A128" s="907">
        <v>31</v>
      </c>
      <c r="B128" s="394" t="s">
        <v>142</v>
      </c>
      <c r="C128" s="405"/>
      <c r="D128" s="405"/>
      <c r="E128" s="405"/>
      <c r="F128" s="405"/>
      <c r="G128" s="406"/>
    </row>
    <row r="129" spans="1:7" ht="18" customHeight="1">
      <c r="A129" s="907"/>
      <c r="B129" s="411" t="s">
        <v>309</v>
      </c>
      <c r="C129" s="419">
        <v>4153000</v>
      </c>
      <c r="D129" s="424">
        <v>4120400</v>
      </c>
      <c r="E129" s="423">
        <v>4087800</v>
      </c>
      <c r="F129" s="425">
        <v>4055200</v>
      </c>
      <c r="G129" s="422">
        <v>4022600</v>
      </c>
    </row>
    <row r="130" spans="1:7" ht="18" customHeight="1">
      <c r="A130" s="907"/>
      <c r="B130" s="411" t="s">
        <v>344</v>
      </c>
      <c r="C130" s="419">
        <v>2131000</v>
      </c>
      <c r="D130" s="424">
        <v>2116400</v>
      </c>
      <c r="E130" s="423">
        <v>2101800</v>
      </c>
      <c r="F130" s="425">
        <v>2087200</v>
      </c>
      <c r="G130" s="422">
        <v>2072600</v>
      </c>
    </row>
    <row r="131" spans="1:7" ht="18" customHeight="1">
      <c r="A131" s="907"/>
      <c r="B131" s="411" t="s">
        <v>345</v>
      </c>
      <c r="C131" s="419">
        <v>2022000</v>
      </c>
      <c r="D131" s="424">
        <v>2004000</v>
      </c>
      <c r="E131" s="425">
        <v>1986000</v>
      </c>
      <c r="F131" s="425">
        <v>1968000</v>
      </c>
      <c r="G131" s="424">
        <v>1950000</v>
      </c>
    </row>
    <row r="132" spans="1:7" ht="28">
      <c r="A132" s="907">
        <v>32</v>
      </c>
      <c r="B132" s="398" t="s">
        <v>998</v>
      </c>
      <c r="C132" s="405"/>
      <c r="D132" s="405"/>
      <c r="E132" s="405"/>
      <c r="F132" s="405"/>
      <c r="G132" s="406"/>
    </row>
    <row r="133" spans="1:7" ht="18" customHeight="1">
      <c r="A133" s="907"/>
      <c r="B133" s="411" t="s">
        <v>309</v>
      </c>
      <c r="C133" s="419">
        <v>100164</v>
      </c>
      <c r="D133" s="419">
        <v>102979</v>
      </c>
      <c r="E133" s="419">
        <v>105795</v>
      </c>
      <c r="F133" s="419">
        <v>108611</v>
      </c>
      <c r="G133" s="422">
        <v>111425</v>
      </c>
    </row>
    <row r="134" spans="1:7" ht="18" customHeight="1">
      <c r="A134" s="907"/>
      <c r="B134" s="411" t="s">
        <v>344</v>
      </c>
      <c r="C134" s="419">
        <v>67033</v>
      </c>
      <c r="D134" s="419">
        <v>69094</v>
      </c>
      <c r="E134" s="419">
        <v>71155</v>
      </c>
      <c r="F134" s="419">
        <v>73216</v>
      </c>
      <c r="G134" s="425">
        <v>75276</v>
      </c>
    </row>
    <row r="135" spans="1:7" ht="18" customHeight="1">
      <c r="A135" s="907"/>
      <c r="B135" s="411" t="s">
        <v>345</v>
      </c>
      <c r="C135" s="419">
        <v>33131</v>
      </c>
      <c r="D135" s="419">
        <v>33885</v>
      </c>
      <c r="E135" s="419">
        <v>34640</v>
      </c>
      <c r="F135" s="419">
        <v>35395</v>
      </c>
      <c r="G135" s="424">
        <v>36149</v>
      </c>
    </row>
    <row r="136" spans="1:7" ht="18" customHeight="1">
      <c r="A136" s="907">
        <v>33</v>
      </c>
      <c r="B136" s="394" t="s">
        <v>45</v>
      </c>
      <c r="C136" s="405"/>
      <c r="D136" s="405"/>
      <c r="E136" s="405"/>
      <c r="F136" s="405"/>
      <c r="G136" s="406"/>
    </row>
    <row r="137" spans="1:7" ht="18" customHeight="1">
      <c r="A137" s="907"/>
      <c r="B137" s="411" t="s">
        <v>309</v>
      </c>
      <c r="C137" s="419">
        <v>475348</v>
      </c>
      <c r="D137" s="424">
        <v>477331</v>
      </c>
      <c r="E137" s="423">
        <v>479315</v>
      </c>
      <c r="F137" s="425">
        <v>481298</v>
      </c>
      <c r="G137" s="425">
        <v>483282</v>
      </c>
    </row>
    <row r="138" spans="1:7" ht="18" customHeight="1">
      <c r="A138" s="907"/>
      <c r="B138" s="411" t="s">
        <v>344</v>
      </c>
      <c r="C138" s="419">
        <v>237516</v>
      </c>
      <c r="D138" s="424">
        <v>238812</v>
      </c>
      <c r="E138" s="423">
        <v>240108</v>
      </c>
      <c r="F138" s="425">
        <v>241404</v>
      </c>
      <c r="G138" s="422">
        <v>242700</v>
      </c>
    </row>
    <row r="139" spans="1:7" ht="18" customHeight="1">
      <c r="A139" s="907"/>
      <c r="B139" s="411" t="s">
        <v>345</v>
      </c>
      <c r="C139" s="419">
        <v>237832</v>
      </c>
      <c r="D139" s="424">
        <v>238519</v>
      </c>
      <c r="E139" s="423">
        <v>239207</v>
      </c>
      <c r="F139" s="425">
        <v>239894</v>
      </c>
      <c r="G139" s="422">
        <v>240582</v>
      </c>
    </row>
    <row r="140" spans="1:7" ht="18" customHeight="1">
      <c r="A140" s="907">
        <v>34</v>
      </c>
      <c r="B140" s="394" t="s">
        <v>47</v>
      </c>
      <c r="C140" s="405"/>
      <c r="D140" s="405"/>
      <c r="E140" s="405"/>
      <c r="F140" s="405"/>
      <c r="G140" s="406"/>
    </row>
    <row r="141" spans="1:7" ht="18" customHeight="1">
      <c r="A141" s="907"/>
      <c r="B141" s="411" t="s">
        <v>309</v>
      </c>
      <c r="C141" s="419">
        <v>27512000</v>
      </c>
      <c r="D141" s="424">
        <v>27789400</v>
      </c>
      <c r="E141" s="423">
        <v>28066800</v>
      </c>
      <c r="F141" s="425">
        <v>28344200</v>
      </c>
      <c r="G141" s="425">
        <v>28621600</v>
      </c>
    </row>
    <row r="142" spans="1:7" ht="18" customHeight="1">
      <c r="A142" s="907"/>
      <c r="B142" s="411" t="s">
        <v>344</v>
      </c>
      <c r="C142" s="419">
        <v>14694000</v>
      </c>
      <c r="D142" s="424">
        <v>14824600</v>
      </c>
      <c r="E142" s="423">
        <v>14955200</v>
      </c>
      <c r="F142" s="425">
        <v>15085800</v>
      </c>
      <c r="G142" s="422">
        <v>15216400</v>
      </c>
    </row>
    <row r="143" spans="1:7" ht="18" customHeight="1">
      <c r="A143" s="907"/>
      <c r="B143" s="411" t="s">
        <v>345</v>
      </c>
      <c r="C143" s="419">
        <v>12818000</v>
      </c>
      <c r="D143" s="424">
        <v>12964800</v>
      </c>
      <c r="E143" s="423">
        <v>13111600</v>
      </c>
      <c r="F143" s="425">
        <v>13258400</v>
      </c>
      <c r="G143" s="422">
        <v>13405200</v>
      </c>
    </row>
    <row r="144" spans="1:7" ht="18" customHeight="1">
      <c r="A144" s="907">
        <v>35</v>
      </c>
      <c r="B144" s="394" t="s">
        <v>46</v>
      </c>
      <c r="C144" s="405"/>
      <c r="D144" s="405"/>
      <c r="E144" s="405"/>
      <c r="F144" s="405"/>
      <c r="G144" s="406"/>
    </row>
    <row r="145" spans="1:7" ht="18" customHeight="1">
      <c r="A145" s="907"/>
      <c r="B145" s="411" t="s">
        <v>309</v>
      </c>
      <c r="C145" s="419">
        <v>1353000</v>
      </c>
      <c r="D145" s="424">
        <v>1354200</v>
      </c>
      <c r="E145" s="423">
        <v>1355400</v>
      </c>
      <c r="F145" s="425">
        <v>1356600</v>
      </c>
      <c r="G145" s="422">
        <v>1357800</v>
      </c>
    </row>
    <row r="146" spans="1:7" ht="18" customHeight="1">
      <c r="A146" s="907"/>
      <c r="B146" s="411" t="s">
        <v>344</v>
      </c>
      <c r="C146" s="419">
        <v>704000</v>
      </c>
      <c r="D146" s="424">
        <v>706200</v>
      </c>
      <c r="E146" s="423">
        <v>708400</v>
      </c>
      <c r="F146" s="425">
        <v>710600</v>
      </c>
      <c r="G146" s="422">
        <v>712800</v>
      </c>
    </row>
    <row r="147" spans="1:7" ht="18" customHeight="1">
      <c r="A147" s="907"/>
      <c r="B147" s="411" t="s">
        <v>345</v>
      </c>
      <c r="C147" s="419">
        <v>649000</v>
      </c>
      <c r="D147" s="424">
        <v>648000</v>
      </c>
      <c r="E147" s="423">
        <v>647000</v>
      </c>
      <c r="F147" s="425">
        <v>646000</v>
      </c>
      <c r="G147" s="422">
        <v>645000</v>
      </c>
    </row>
    <row r="148" spans="1:7" ht="18" customHeight="1">
      <c r="A148" s="907">
        <v>36</v>
      </c>
      <c r="B148" s="394" t="s">
        <v>48</v>
      </c>
      <c r="C148" s="405"/>
      <c r="D148" s="405"/>
      <c r="E148" s="405"/>
      <c r="F148" s="405"/>
      <c r="G148" s="406"/>
    </row>
    <row r="149" spans="1:7" ht="18" customHeight="1">
      <c r="A149" s="907"/>
      <c r="B149" s="411" t="s">
        <v>309</v>
      </c>
      <c r="C149" s="419">
        <v>10741000</v>
      </c>
      <c r="D149" s="424">
        <v>10660200</v>
      </c>
      <c r="E149" s="423">
        <v>10579400</v>
      </c>
      <c r="F149" s="425">
        <v>10498600</v>
      </c>
      <c r="G149" s="425">
        <v>10417800</v>
      </c>
    </row>
    <row r="150" spans="1:7" ht="18" customHeight="1">
      <c r="A150" s="907"/>
      <c r="B150" s="411" t="s">
        <v>344</v>
      </c>
      <c r="C150" s="419">
        <v>5524000</v>
      </c>
      <c r="D150" s="424">
        <v>5480200</v>
      </c>
      <c r="E150" s="423">
        <v>5436400</v>
      </c>
      <c r="F150" s="425">
        <v>5392600</v>
      </c>
      <c r="G150" s="422">
        <v>5348800</v>
      </c>
    </row>
    <row r="151" spans="1:7" ht="18" customHeight="1">
      <c r="A151" s="907"/>
      <c r="B151" s="411" t="s">
        <v>345</v>
      </c>
      <c r="C151" s="419">
        <v>5217000</v>
      </c>
      <c r="D151" s="424">
        <v>5180000</v>
      </c>
      <c r="E151" s="423">
        <v>5143000</v>
      </c>
      <c r="F151" s="425">
        <v>5106000</v>
      </c>
      <c r="G151" s="422">
        <v>5069000</v>
      </c>
    </row>
  </sheetData>
  <mergeCells count="38">
    <mergeCell ref="A4:A7"/>
    <mergeCell ref="A144:A147"/>
    <mergeCell ref="A148:A151"/>
    <mergeCell ref="A120:A123"/>
    <mergeCell ref="A124:A127"/>
    <mergeCell ref="A128:A131"/>
    <mergeCell ref="A132:A135"/>
    <mergeCell ref="A28:A31"/>
    <mergeCell ref="A32:A35"/>
    <mergeCell ref="A36:A39"/>
    <mergeCell ref="A136:A139"/>
    <mergeCell ref="A140:A143"/>
    <mergeCell ref="A80:A83"/>
    <mergeCell ref="A84:A87"/>
    <mergeCell ref="A88:A91"/>
    <mergeCell ref="A92:A95"/>
    <mergeCell ref="A52:A55"/>
    <mergeCell ref="A8:A11"/>
    <mergeCell ref="A12:A15"/>
    <mergeCell ref="A16:A19"/>
    <mergeCell ref="A20:A23"/>
    <mergeCell ref="A24:A27"/>
    <mergeCell ref="B1:G1"/>
    <mergeCell ref="A116:A119"/>
    <mergeCell ref="A56:A59"/>
    <mergeCell ref="A60:A63"/>
    <mergeCell ref="A64:A67"/>
    <mergeCell ref="A68:A71"/>
    <mergeCell ref="A72:A75"/>
    <mergeCell ref="A76:A79"/>
    <mergeCell ref="A96:A99"/>
    <mergeCell ref="A100:A103"/>
    <mergeCell ref="A104:A107"/>
    <mergeCell ref="A108:A111"/>
    <mergeCell ref="A112:A115"/>
    <mergeCell ref="A40:A43"/>
    <mergeCell ref="A44:A47"/>
    <mergeCell ref="A48:A51"/>
  </mergeCells>
  <printOptions horizontalCentered="1"/>
  <pageMargins left="0.31496062992125984" right="0.18" top="0.39370078740157483" bottom="0.39370078740157483" header="0.27559055118110237" footer="0.23622047244094491"/>
  <pageSetup paperSize="9" firstPageNumber="2" pageOrder="overThenDown" orientation="portrait" useFirstPageNumber="1" r:id="rId1"/>
  <headerFooter alignWithMargins="0">
    <oddFooter>&amp;L&amp;9AISHE 2020-21&amp;CT-52</oddFooter>
  </headerFooter>
  <rowBreaks count="3" manualBreakCount="3">
    <brk id="43" max="6" man="1"/>
    <brk id="83" max="6" man="1"/>
    <brk id="123" max="6" man="1"/>
  </rowBreaks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F37"/>
  <sheetViews>
    <sheetView view="pageBreakPreview" topLeftCell="E1" zoomScaleSheetLayoutView="100" workbookViewId="0">
      <selection activeCell="E19" sqref="E19"/>
    </sheetView>
  </sheetViews>
  <sheetFormatPr defaultColWidth="9.1796875" defaultRowHeight="12.5"/>
  <cols>
    <col min="1" max="1" width="5.453125" style="47" customWidth="1"/>
    <col min="2" max="2" width="13.26953125" style="56" customWidth="1"/>
    <col min="3" max="3" width="33" style="47" customWidth="1"/>
    <col min="4" max="4" width="15.1796875" style="47" customWidth="1"/>
    <col min="5" max="6" width="14.1796875" style="47" customWidth="1"/>
    <col min="7" max="16384" width="9.1796875" style="47"/>
  </cols>
  <sheetData>
    <row r="1" spans="1:6" ht="40.5" customHeight="1">
      <c r="A1" s="55" t="s">
        <v>82</v>
      </c>
      <c r="C1" s="54"/>
      <c r="E1" s="54"/>
      <c r="F1" s="54"/>
    </row>
    <row r="2" spans="1:6" ht="30">
      <c r="A2" s="48" t="s">
        <v>80</v>
      </c>
      <c r="B2" s="48" t="s">
        <v>121</v>
      </c>
      <c r="C2" s="48" t="s">
        <v>81</v>
      </c>
      <c r="D2" s="48" t="s">
        <v>122</v>
      </c>
      <c r="E2" s="48" t="s">
        <v>83</v>
      </c>
      <c r="F2" s="48" t="s">
        <v>106</v>
      </c>
    </row>
    <row r="3" spans="1:6" ht="18" customHeight="1">
      <c r="A3" s="49">
        <v>33</v>
      </c>
      <c r="B3" s="57" t="s">
        <v>119</v>
      </c>
      <c r="C3" s="50" t="s">
        <v>47</v>
      </c>
      <c r="D3" s="51" t="e">
        <f>SUMIF(#REF!,C3,#REF!)</f>
        <v>#REF!</v>
      </c>
      <c r="E3" s="51">
        <v>4049</v>
      </c>
      <c r="F3" s="51" t="e">
        <f>SUMIF(#REF!,C3,#REF!)+SUMIF(#REF!,C3,#REF!)+SUMIF('8CollegeAct'!$B$5:$B$40,C3,'8CollegeAct'!$AE$5:$AE$41)-SUMIF('8CollegeAct'!$B$5:$B$40,C3,'8CollegeAct'!$M$5:$M$41)-SUMIF('8CollegeAct'!$B$5:$B$40,C3,'8CollegeAct'!$P$5:$P$41)</f>
        <v>#REF!</v>
      </c>
    </row>
    <row r="4" spans="1:6" ht="18" customHeight="1">
      <c r="A4" s="49">
        <v>21</v>
      </c>
      <c r="B4" s="57" t="s">
        <v>120</v>
      </c>
      <c r="C4" s="50" t="s">
        <v>34</v>
      </c>
      <c r="D4" s="51" t="e">
        <f>SUMIF(#REF!,C4,#REF!)</f>
        <v>#REF!</v>
      </c>
      <c r="E4" s="51">
        <v>4512</v>
      </c>
      <c r="F4" s="51" t="e">
        <f>SUMIF(#REF!,C4,#REF!)+SUMIF(#REF!,C4,#REF!)+SUMIF('8CollegeAct'!$B$5:$B$40,C4,'8CollegeAct'!$AE$5:$AE$41)-SUMIF('8CollegeAct'!$B$5:$B$40,C4,'8CollegeAct'!$M$5:$M$41)-SUMIF('8CollegeAct'!$B$5:$B$40,C4,'8CollegeAct'!$P$5:$P$41)</f>
        <v>#REF!</v>
      </c>
    </row>
    <row r="5" spans="1:6" ht="18" customHeight="1">
      <c r="A5" s="49">
        <v>5</v>
      </c>
      <c r="B5" s="57" t="s">
        <v>118</v>
      </c>
      <c r="C5" s="50" t="s">
        <v>18</v>
      </c>
      <c r="D5" s="51" t="e">
        <f>SUMIF(#REF!,C5,#REF!)</f>
        <v>#REF!</v>
      </c>
      <c r="E5" s="51">
        <v>629</v>
      </c>
      <c r="F5" s="51" t="e">
        <f>SUMIF(#REF!,C5,#REF!)+SUMIF(#REF!,C5,#REF!)+SUMIF('8CollegeAct'!$B$5:$B$40,C5,'8CollegeAct'!$AE$5:$AE$41)-SUMIF('8CollegeAct'!$B$5:$B$40,C5,'8CollegeAct'!$M$5:$M$41)-SUMIF('8CollegeAct'!$B$5:$B$40,C5,'8CollegeAct'!$P$5:$P$41)</f>
        <v>#REF!</v>
      </c>
    </row>
    <row r="6" spans="1:6" ht="18" customHeight="1">
      <c r="A6" s="49">
        <v>35</v>
      </c>
      <c r="B6" s="57" t="s">
        <v>118</v>
      </c>
      <c r="C6" s="50" t="s">
        <v>48</v>
      </c>
      <c r="D6" s="51" t="e">
        <f>SUMIF(#REF!,C6,#REF!)</f>
        <v>#REF!</v>
      </c>
      <c r="E6" s="51">
        <v>857</v>
      </c>
      <c r="F6" s="51" t="e">
        <f>SUMIF(#REF!,C6,#REF!)+SUMIF(#REF!,C6,#REF!)+SUMIF('8CollegeAct'!$B$5:$B$40,C6,'8CollegeAct'!$AE$5:$AE$41)-SUMIF('8CollegeAct'!$B$5:$B$40,C6,'8CollegeAct'!$M$5:$M$41)-SUMIF('8CollegeAct'!$B$5:$B$40,C6,'8CollegeAct'!$P$5:$P$41)</f>
        <v>#REF!</v>
      </c>
    </row>
    <row r="7" spans="1:6" ht="18" customHeight="1">
      <c r="A7" s="49">
        <v>2</v>
      </c>
      <c r="B7" s="57" t="s">
        <v>116</v>
      </c>
      <c r="C7" s="50" t="s">
        <v>15</v>
      </c>
      <c r="D7" s="51" t="e">
        <f>SUMIF(#REF!,C7,#REF!)</f>
        <v>#REF!</v>
      </c>
      <c r="E7" s="51">
        <v>4780</v>
      </c>
      <c r="F7" s="51" t="e">
        <f>SUMIF(#REF!,C7,#REF!)+SUMIF(#REF!,C7,#REF!)+SUMIF('8CollegeAct'!$B$5:$B$40,C7,'8CollegeAct'!$AE$5:$AE$41)-SUMIF('8CollegeAct'!$B$5:$B$40,C7,'8CollegeAct'!$M$5:$M$41)-SUMIF('8CollegeAct'!$B$5:$B$40,C7,'8CollegeAct'!$P$5:$P$41)</f>
        <v>#REF!</v>
      </c>
    </row>
    <row r="8" spans="1:6" ht="18" customHeight="1">
      <c r="A8" s="49">
        <v>20</v>
      </c>
      <c r="B8" s="57" t="s">
        <v>119</v>
      </c>
      <c r="C8" s="50" t="s">
        <v>33</v>
      </c>
      <c r="D8" s="51" t="e">
        <f>SUMIF(#REF!,C8,#REF!)</f>
        <v>#REF!</v>
      </c>
      <c r="E8" s="51">
        <v>2009</v>
      </c>
      <c r="F8" s="51" t="e">
        <f>SUMIF(#REF!,C8,#REF!)+SUMIF(#REF!,C8,#REF!)+SUMIF('8CollegeAct'!$B$5:$B$40,C8,'8CollegeAct'!$AE$5:$AE$41)-SUMIF('8CollegeAct'!$B$5:$B$40,C8,'8CollegeAct'!$M$5:$M$41)-SUMIF('8CollegeAct'!$B$5:$B$40,C8,'8CollegeAct'!$P$5:$P$41)</f>
        <v>#REF!</v>
      </c>
    </row>
    <row r="9" spans="1:6" ht="18" customHeight="1">
      <c r="A9" s="49">
        <v>29</v>
      </c>
      <c r="B9" s="57" t="s">
        <v>120</v>
      </c>
      <c r="C9" s="50" t="s">
        <v>42</v>
      </c>
      <c r="D9" s="51" t="e">
        <f>SUMIF(#REF!,C9,#REF!)</f>
        <v>#REF!</v>
      </c>
      <c r="E9" s="51">
        <v>2435</v>
      </c>
      <c r="F9" s="51" t="e">
        <f>SUMIF(#REF!,C9,#REF!)+SUMIF(#REF!,C9,#REF!)+SUMIF('8CollegeAct'!$B$5:$B$40,C9,'8CollegeAct'!$AE$5:$AE$41)-SUMIF('8CollegeAct'!$B$5:$B$40,C9,'8CollegeAct'!$M$5:$M$41)-SUMIF('8CollegeAct'!$B$5:$B$40,C9,'8CollegeAct'!$P$5:$P$41)</f>
        <v>#REF!</v>
      </c>
    </row>
    <row r="10" spans="1:6" ht="18" customHeight="1">
      <c r="A10" s="49">
        <v>31</v>
      </c>
      <c r="B10" s="57" t="s">
        <v>116</v>
      </c>
      <c r="C10" s="50" t="s">
        <v>44</v>
      </c>
      <c r="D10" s="51" t="e">
        <f>SUMIF(#REF!,C10,#REF!)</f>
        <v>#REF!</v>
      </c>
      <c r="E10" s="51">
        <v>1985</v>
      </c>
      <c r="F10" s="51" t="e">
        <f>SUMIF(#REF!,C10,#REF!)+SUMIF(#REF!,C10,#REF!)+SUMIF('8CollegeAct'!$B$5:$B$40,C10,'8CollegeAct'!$AE$5:$AE$41)-SUMIF('8CollegeAct'!$B$5:$B$40,C10,'8CollegeAct'!$M$5:$M$41)-SUMIF('8CollegeAct'!$B$5:$B$40,C10,'8CollegeAct'!$P$5:$P$41)</f>
        <v>#REF!</v>
      </c>
    </row>
    <row r="11" spans="1:6" ht="15">
      <c r="A11" s="49">
        <v>17</v>
      </c>
      <c r="B11" s="57" t="s">
        <v>116</v>
      </c>
      <c r="C11" s="50" t="s">
        <v>30</v>
      </c>
      <c r="D11" s="51" t="e">
        <f>SUMIF(#REF!,C11,#REF!)</f>
        <v>#REF!</v>
      </c>
      <c r="E11" s="51">
        <v>3098</v>
      </c>
      <c r="F11" s="51" t="e">
        <f>SUMIF(#REF!,C11,#REF!)+SUMIF(#REF!,C11,#REF!)+SUMIF('8CollegeAct'!$B$5:$B$40,C11,'8CollegeAct'!$AE$5:$AE$41)-SUMIF('8CollegeAct'!$B$5:$B$40,C11,'8CollegeAct'!$M$5:$M$41)-SUMIF('8CollegeAct'!$B$5:$B$40,C11,'8CollegeAct'!$P$5:$P$41)</f>
        <v>#REF!</v>
      </c>
    </row>
    <row r="12" spans="1:6" ht="18" customHeight="1">
      <c r="A12" s="49">
        <v>12</v>
      </c>
      <c r="B12" s="57" t="s">
        <v>120</v>
      </c>
      <c r="C12" s="50" t="s">
        <v>25</v>
      </c>
      <c r="D12" s="51" t="e">
        <f>SUMIF(#REF!,C12,#REF!)</f>
        <v>#REF!</v>
      </c>
      <c r="E12" s="51">
        <v>1815</v>
      </c>
      <c r="F12" s="51" t="e">
        <f>SUMIF(#REF!,C12,#REF!)+SUMIF(#REF!,C12,#REF!)+SUMIF('8CollegeAct'!$B$5:$B$40,C12,'8CollegeAct'!$AE$5:$AE$41)-SUMIF('8CollegeAct'!$B$5:$B$40,C12,'8CollegeAct'!$M$5:$M$41)-SUMIF('8CollegeAct'!$B$5:$B$40,C12,'8CollegeAct'!$P$5:$P$41)</f>
        <v>#REF!</v>
      </c>
    </row>
    <row r="13" spans="1:6" ht="15">
      <c r="A13" s="49">
        <v>26</v>
      </c>
      <c r="B13" s="57" t="s">
        <v>118</v>
      </c>
      <c r="C13" s="50" t="s">
        <v>39</v>
      </c>
      <c r="D13" s="51" t="e">
        <f>SUMIF(#REF!,C13,#REF!)</f>
        <v>#REF!</v>
      </c>
      <c r="E13" s="51">
        <v>1089</v>
      </c>
      <c r="F13" s="51" t="e">
        <f>SUMIF(#REF!,C13,#REF!)+SUMIF(#REF!,C13,#REF!)+SUMIF('8CollegeAct'!$B$5:$B$40,C13,'8CollegeAct'!$AE$5:$AE$41)-SUMIF('8CollegeAct'!$B$5:$B$40,C13,'8CollegeAct'!$M$5:$M$41)-SUMIF('8CollegeAct'!$B$5:$B$40,C13,'8CollegeAct'!$P$5:$P$41)</f>
        <v>#REF!</v>
      </c>
    </row>
    <row r="14" spans="1:6" ht="15">
      <c r="A14" s="49">
        <v>16</v>
      </c>
      <c r="B14" s="57" t="s">
        <v>118</v>
      </c>
      <c r="C14" s="50" t="s">
        <v>29</v>
      </c>
      <c r="D14" s="51" t="e">
        <f>SUMIF(#REF!,C14,#REF!)</f>
        <v>#REF!</v>
      </c>
      <c r="E14" s="51">
        <v>187</v>
      </c>
      <c r="F14" s="51" t="e">
        <f>SUMIF(#REF!,C14,#REF!)+SUMIF(#REF!,C14,#REF!)+SUMIF('8CollegeAct'!$B$5:$B$40,C14,'8CollegeAct'!$AE$5:$AE$41)-SUMIF('8CollegeAct'!$B$5:$B$40,C14,'8CollegeAct'!$M$5:$M$41)-SUMIF('8CollegeAct'!$B$5:$B$40,C14,'8CollegeAct'!$P$5:$P$41)</f>
        <v>#REF!</v>
      </c>
    </row>
    <row r="15" spans="1:6" ht="15">
      <c r="A15" s="49">
        <v>4</v>
      </c>
      <c r="B15" s="57" t="s">
        <v>117</v>
      </c>
      <c r="C15" s="50" t="s">
        <v>17</v>
      </c>
      <c r="D15" s="51" t="e">
        <f>SUMIF(#REF!,C15,#REF!)</f>
        <v>#REF!</v>
      </c>
      <c r="E15" s="51">
        <v>485</v>
      </c>
      <c r="F15" s="51" t="e">
        <f>SUMIF(#REF!,C15,#REF!)+SUMIF(#REF!,C15,#REF!)+SUMIF('8CollegeAct'!$B$5:$B$40,C15,'8CollegeAct'!$AE$5:$AE$41)-SUMIF('8CollegeAct'!$B$5:$B$40,C15,'8CollegeAct'!$M$5:$M$41)-SUMIF('8CollegeAct'!$B$5:$B$40,C15,'8CollegeAct'!$P$5:$P$41)</f>
        <v>#REF!</v>
      </c>
    </row>
    <row r="16" spans="1:6" ht="15">
      <c r="A16" s="49">
        <v>18</v>
      </c>
      <c r="B16" s="57" t="s">
        <v>116</v>
      </c>
      <c r="C16" s="50" t="s">
        <v>31</v>
      </c>
      <c r="D16" s="51" t="e">
        <f>SUMIF(#REF!,C16,#REF!)</f>
        <v>#REF!</v>
      </c>
      <c r="E16" s="51">
        <v>962</v>
      </c>
      <c r="F16" s="51" t="e">
        <f>SUMIF(#REF!,C16,#REF!)+SUMIF(#REF!,C16,#REF!)+SUMIF('8CollegeAct'!$B$5:$B$40,C16,'8CollegeAct'!$AE$5:$AE$41)-SUMIF('8CollegeAct'!$B$5:$B$40,C16,'8CollegeAct'!$M$5:$M$41)-SUMIF('8CollegeAct'!$B$5:$B$40,C16,'8CollegeAct'!$P$5:$P$41)</f>
        <v>#REF!</v>
      </c>
    </row>
    <row r="17" spans="1:6" ht="15">
      <c r="A17" s="49">
        <v>28</v>
      </c>
      <c r="B17" s="57" t="s">
        <v>119</v>
      </c>
      <c r="C17" s="50" t="s">
        <v>41</v>
      </c>
      <c r="D17" s="51" t="e">
        <f>SUMIF(#REF!,C17,#REF!)</f>
        <v>#REF!</v>
      </c>
      <c r="E17" s="51">
        <v>956</v>
      </c>
      <c r="F17" s="51" t="e">
        <f>SUMIF(#REF!,C17,#REF!)+SUMIF(#REF!,C17,#REF!)+SUMIF('8CollegeAct'!$B$5:$B$40,C17,'8CollegeAct'!$AE$5:$AE$41)-SUMIF('8CollegeAct'!$B$5:$B$40,C17,'8CollegeAct'!$M$5:$M$41)-SUMIF('8CollegeAct'!$B$5:$B$40,C17,'8CollegeAct'!$P$5:$P$41)</f>
        <v>#REF!</v>
      </c>
    </row>
    <row r="18" spans="1:6" ht="15">
      <c r="A18" s="49">
        <v>13</v>
      </c>
      <c r="B18" s="57" t="s">
        <v>119</v>
      </c>
      <c r="C18" s="50" t="s">
        <v>26</v>
      </c>
      <c r="D18" s="51" t="e">
        <f>SUMIF(#REF!,C18,#REF!)</f>
        <v>#REF!</v>
      </c>
      <c r="E18" s="51">
        <v>1054</v>
      </c>
      <c r="F18" s="51" t="e">
        <f>SUMIF(#REF!,C18,#REF!)+SUMIF(#REF!,C18,#REF!)+SUMIF('8CollegeAct'!$B$5:$B$40,C18,'8CollegeAct'!$AE$5:$AE$41)-SUMIF('8CollegeAct'!$B$5:$B$40,C18,'8CollegeAct'!$M$5:$M$41)-SUMIF('8CollegeAct'!$B$5:$B$40,C18,'8CollegeAct'!$P$5:$P$41)</f>
        <v>#REF!</v>
      </c>
    </row>
    <row r="19" spans="1:6" ht="15">
      <c r="A19" s="49">
        <v>7</v>
      </c>
      <c r="B19" s="57" t="s">
        <v>118</v>
      </c>
      <c r="C19" s="50" t="s">
        <v>56</v>
      </c>
      <c r="D19" s="51" t="e">
        <f>SUMIF(#REF!,C19,#REF!)</f>
        <v>#REF!</v>
      </c>
      <c r="E19" s="51">
        <v>574</v>
      </c>
      <c r="F19" s="51" t="e">
        <f>SUMIF(#REF!,C19,#REF!)+SUMIF(#REF!,C19,#REF!)+SUMIF('8CollegeAct'!$B$5:$B$40,C19,'8CollegeAct'!$AE$5:$AE$41)-SUMIF('8CollegeAct'!$B$5:$B$40,C19,'8CollegeAct'!$M$5:$M$41)-SUMIF('8CollegeAct'!$B$5:$B$40,C19,'8CollegeAct'!$P$5:$P$41)</f>
        <v>#REF!</v>
      </c>
    </row>
    <row r="20" spans="1:6" ht="15">
      <c r="A20" s="49">
        <v>10</v>
      </c>
      <c r="B20" s="57" t="s">
        <v>119</v>
      </c>
      <c r="C20" s="50" t="s">
        <v>23</v>
      </c>
      <c r="D20" s="51" t="e">
        <f>SUMIF(#REF!,C20,#REF!)</f>
        <v>#REF!</v>
      </c>
      <c r="E20" s="51">
        <v>184</v>
      </c>
      <c r="F20" s="51" t="e">
        <f>SUMIF(#REF!,C20,#REF!)+SUMIF(#REF!,C20,#REF!)+SUMIF('8CollegeAct'!$B$5:$B$40,C20,'8CollegeAct'!$AE$5:$AE$41)-SUMIF('8CollegeAct'!$B$5:$B$40,C20,'8CollegeAct'!$M$5:$M$41)-SUMIF('8CollegeAct'!$B$5:$B$40,C20,'8CollegeAct'!$P$5:$P$41)</f>
        <v>#REF!</v>
      </c>
    </row>
    <row r="21" spans="1:6" ht="15">
      <c r="A21" s="49">
        <v>15</v>
      </c>
      <c r="B21" s="57" t="s">
        <v>119</v>
      </c>
      <c r="C21" s="50" t="s">
        <v>57</v>
      </c>
      <c r="D21" s="51" t="e">
        <f>SUMIF(#REF!,C21,#REF!)</f>
        <v>#REF!</v>
      </c>
      <c r="E21" s="51">
        <v>216</v>
      </c>
      <c r="F21" s="51" t="e">
        <f>SUMIF(#REF!,C21,#REF!)+SUMIF(#REF!,C21,#REF!)+SUMIF('8CollegeAct'!$B$5:$B$40,C21,'8CollegeAct'!$AE$5:$AE$41)-SUMIF('8CollegeAct'!$B$5:$B$40,C21,'8CollegeAct'!$M$5:$M$41)-SUMIF('8CollegeAct'!$B$5:$B$40,C21,'8CollegeAct'!$P$5:$P$41)</f>
        <v>#REF!</v>
      </c>
    </row>
    <row r="22" spans="1:6" ht="15">
      <c r="A22" s="49">
        <v>34</v>
      </c>
      <c r="B22" s="57" t="s">
        <v>119</v>
      </c>
      <c r="C22" s="50" t="s">
        <v>58</v>
      </c>
      <c r="D22" s="51" t="e">
        <f>SUMIF(#REF!,C22,#REF!)</f>
        <v>#REF!</v>
      </c>
      <c r="E22" s="51">
        <v>346</v>
      </c>
      <c r="F22" s="51" t="e">
        <f>SUMIF(#REF!,C22,#REF!)+SUMIF(#REF!,C22,#REF!)+SUMIF('8CollegeAct'!$B$5:$B$40,C22,'8CollegeAct'!$AE$5:$AE$41)-SUMIF('8CollegeAct'!$B$5:$B$40,C22,'8CollegeAct'!$M$5:$M$41)-SUMIF('8CollegeAct'!$B$5:$B$40,C22,'8CollegeAct'!$P$5:$P$41)</f>
        <v>#REF!</v>
      </c>
    </row>
    <row r="23" spans="1:6" ht="15">
      <c r="A23" s="49">
        <v>14</v>
      </c>
      <c r="B23" s="57" t="s">
        <v>119</v>
      </c>
      <c r="C23" s="50" t="s">
        <v>27</v>
      </c>
      <c r="D23" s="51" t="e">
        <f>SUMIF(#REF!,C23,#REF!)</f>
        <v>#REF!</v>
      </c>
      <c r="E23" s="51">
        <v>297</v>
      </c>
      <c r="F23" s="51" t="e">
        <f>SUMIF(#REF!,C23,#REF!)+SUMIF(#REF!,C23,#REF!)+SUMIF('8CollegeAct'!$B$5:$B$40,C23,'8CollegeAct'!$AE$5:$AE$41)-SUMIF('8CollegeAct'!$B$5:$B$40,C23,'8CollegeAct'!$M$5:$M$41)-SUMIF('8CollegeAct'!$B$5:$B$40,C23,'8CollegeAct'!$P$5:$P$41)</f>
        <v>#REF!</v>
      </c>
    </row>
    <row r="24" spans="1:6" ht="15">
      <c r="A24" s="49">
        <v>32</v>
      </c>
      <c r="B24" s="57" t="s">
        <v>117</v>
      </c>
      <c r="C24" s="50" t="s">
        <v>45</v>
      </c>
      <c r="D24" s="51" t="e">
        <f>SUMIF(#REF!,C24,#REF!)</f>
        <v>#REF!</v>
      </c>
      <c r="E24" s="51">
        <v>36</v>
      </c>
      <c r="F24" s="51" t="e">
        <f>SUMIF(#REF!,C24,#REF!)+SUMIF(#REF!,C24,#REF!)+SUMIF('8CollegeAct'!$B$5:$B$40,C24,'8CollegeAct'!$AE$5:$AE$41)-SUMIF('8CollegeAct'!$B$5:$B$40,C24,'8CollegeAct'!$M$5:$M$41)-SUMIF('8CollegeAct'!$B$5:$B$40,C24,'8CollegeAct'!$P$5:$P$41)</f>
        <v>#REF!</v>
      </c>
    </row>
    <row r="25" spans="1:6" ht="15">
      <c r="A25" s="49">
        <v>23</v>
      </c>
      <c r="B25" s="57" t="s">
        <v>117</v>
      </c>
      <c r="C25" s="50" t="s">
        <v>36</v>
      </c>
      <c r="D25" s="51" t="e">
        <f>SUMIF(#REF!,C25,#REF!)</f>
        <v>#REF!</v>
      </c>
      <c r="E25" s="51">
        <v>61</v>
      </c>
      <c r="F25" s="51" t="e">
        <f>SUMIF(#REF!,C25,#REF!)+SUMIF(#REF!,C25,#REF!)+SUMIF('8CollegeAct'!$B$5:$B$40,C25,'8CollegeAct'!$AE$5:$AE$41)-SUMIF('8CollegeAct'!$B$5:$B$40,C25,'8CollegeAct'!$M$5:$M$41)-SUMIF('8CollegeAct'!$B$5:$B$40,C25,'8CollegeAct'!$P$5:$P$41)</f>
        <v>#REF!</v>
      </c>
    </row>
    <row r="26" spans="1:6" ht="15">
      <c r="A26" s="49">
        <v>22</v>
      </c>
      <c r="B26" s="57" t="s">
        <v>117</v>
      </c>
      <c r="C26" s="50" t="s">
        <v>35</v>
      </c>
      <c r="D26" s="51" t="e">
        <f>SUMIF(#REF!,C26,#REF!)</f>
        <v>#REF!</v>
      </c>
      <c r="E26" s="51">
        <v>78</v>
      </c>
      <c r="F26" s="51" t="e">
        <f>SUMIF(#REF!,C26,#REF!)+SUMIF(#REF!,C26,#REF!)+SUMIF('8CollegeAct'!$B$5:$B$40,C26,'8CollegeAct'!$AE$5:$AE$41)-SUMIF('8CollegeAct'!$B$5:$B$40,C26,'8CollegeAct'!$M$5:$M$41)-SUMIF('8CollegeAct'!$B$5:$B$40,C26,'8CollegeAct'!$P$5:$P$41)</f>
        <v>#REF!</v>
      </c>
    </row>
    <row r="27" spans="1:6" ht="15">
      <c r="A27" s="49">
        <v>25</v>
      </c>
      <c r="B27" s="57" t="s">
        <v>117</v>
      </c>
      <c r="C27" s="50" t="s">
        <v>38</v>
      </c>
      <c r="D27" s="51" t="e">
        <f>SUMIF(#REF!,C27,#REF!)</f>
        <v>#REF!</v>
      </c>
      <c r="E27" s="51">
        <v>52</v>
      </c>
      <c r="F27" s="51" t="e">
        <f>SUMIF(#REF!,C27,#REF!)+SUMIF(#REF!,C27,#REF!)+SUMIF('8CollegeAct'!$B$5:$B$40,C27,'8CollegeAct'!$AE$5:$AE$41)-SUMIF('8CollegeAct'!$B$5:$B$40,C27,'8CollegeAct'!$M$5:$M$41)-SUMIF('8CollegeAct'!$B$5:$B$40,C27,'8CollegeAct'!$P$5:$P$41)</f>
        <v>#REF!</v>
      </c>
    </row>
    <row r="28" spans="1:6" ht="15">
      <c r="A28" s="49">
        <v>11</v>
      </c>
      <c r="B28" s="57" t="s">
        <v>120</v>
      </c>
      <c r="C28" s="50" t="s">
        <v>24</v>
      </c>
      <c r="D28" s="51" t="e">
        <f>SUMIF(#REF!,C28,#REF!)</f>
        <v>#REF!</v>
      </c>
      <c r="E28" s="51">
        <v>47</v>
      </c>
      <c r="F28" s="51" t="e">
        <f>SUMIF(#REF!,C28,#REF!)+SUMIF(#REF!,C28,#REF!)+SUMIF('8CollegeAct'!$B$5:$B$40,C28,'8CollegeAct'!$AE$5:$AE$41)-SUMIF('8CollegeAct'!$B$5:$B$40,C28,'8CollegeAct'!$M$5:$M$41)-SUMIF('8CollegeAct'!$B$5:$B$40,C28,'8CollegeAct'!$P$5:$P$41)</f>
        <v>#REF!</v>
      </c>
    </row>
    <row r="29" spans="1:6" ht="15">
      <c r="A29" s="49">
        <v>3</v>
      </c>
      <c r="B29" s="57" t="s">
        <v>117</v>
      </c>
      <c r="C29" s="50" t="s">
        <v>16</v>
      </c>
      <c r="D29" s="51" t="e">
        <f>SUMIF(#REF!,C29,#REF!)</f>
        <v>#REF!</v>
      </c>
      <c r="E29" s="51">
        <v>19</v>
      </c>
      <c r="F29" s="51" t="e">
        <f>SUMIF(#REF!,C29,#REF!)+SUMIF(#REF!,C29,#REF!)+SUMIF('8CollegeAct'!$B$5:$B$40,C29,'8CollegeAct'!$AE$5:$AE$41)-SUMIF('8CollegeAct'!$B$5:$B$40,C29,'8CollegeAct'!$M$5:$M$41)-SUMIF('8CollegeAct'!$B$5:$B$40,C29,'8CollegeAct'!$P$5:$P$41)</f>
        <v>#REF!</v>
      </c>
    </row>
    <row r="30" spans="1:6" ht="15">
      <c r="A30" s="49">
        <v>27</v>
      </c>
      <c r="B30" s="57" t="s">
        <v>115</v>
      </c>
      <c r="C30" s="50" t="s">
        <v>40</v>
      </c>
      <c r="D30" s="51" t="e">
        <f>SUMIF(#REF!,C30,#REF!)</f>
        <v>#REF!</v>
      </c>
      <c r="E30" s="51">
        <v>82</v>
      </c>
      <c r="F30" s="51" t="e">
        <f>SUMIF(#REF!,C30,#REF!)+SUMIF(#REF!,C30,#REF!)+SUMIF('8CollegeAct'!$B$5:$B$40,C30,'8CollegeAct'!$AE$5:$AE$41)-SUMIF('8CollegeAct'!$B$5:$B$40,C30,'8CollegeAct'!$M$5:$M$41)-SUMIF('8CollegeAct'!$B$5:$B$40,C30,'8CollegeAct'!$P$5:$P$41)</f>
        <v>#REF!</v>
      </c>
    </row>
    <row r="31" spans="1:6" ht="15">
      <c r="A31" s="49">
        <v>6</v>
      </c>
      <c r="B31" s="57" t="s">
        <v>115</v>
      </c>
      <c r="C31" s="50" t="s">
        <v>19</v>
      </c>
      <c r="D31" s="51" t="e">
        <f>SUMIF(#REF!,C31,#REF!)</f>
        <v>#REF!</v>
      </c>
      <c r="E31" s="51">
        <v>27</v>
      </c>
      <c r="F31" s="51" t="e">
        <f>SUMIF(#REF!,C31,#REF!)+SUMIF(#REF!,C31,#REF!)+SUMIF('8CollegeAct'!$B$5:$B$40,C31,'8CollegeAct'!$AE$5:$AE$41)-SUMIF('8CollegeAct'!$B$5:$B$40,C31,'8CollegeAct'!$M$5:$M$41)-SUMIF('8CollegeAct'!$B$5:$B$40,C31,'8CollegeAct'!$P$5:$P$41)</f>
        <v>#REF!</v>
      </c>
    </row>
    <row r="32" spans="1:6" ht="15">
      <c r="A32" s="49">
        <v>24</v>
      </c>
      <c r="B32" s="57" t="s">
        <v>117</v>
      </c>
      <c r="C32" s="50" t="s">
        <v>37</v>
      </c>
      <c r="D32" s="51" t="e">
        <f>SUMIF(#REF!,C32,#REF!)</f>
        <v>#REF!</v>
      </c>
      <c r="E32" s="51">
        <v>29</v>
      </c>
      <c r="F32" s="51" t="e">
        <f>SUMIF(#REF!,C32,#REF!)+SUMIF(#REF!,C32,#REF!)+SUMIF('8CollegeAct'!$B$5:$B$40,C32,'8CollegeAct'!$AE$5:$AE$41)-SUMIF('8CollegeAct'!$B$5:$B$40,C32,'8CollegeAct'!$M$5:$M$41)-SUMIF('8CollegeAct'!$B$5:$B$40,C32,'8CollegeAct'!$P$5:$P$41)</f>
        <v>#REF!</v>
      </c>
    </row>
    <row r="33" spans="1:6" ht="15">
      <c r="A33" s="49">
        <v>30</v>
      </c>
      <c r="B33" s="57" t="s">
        <v>117</v>
      </c>
      <c r="C33" s="50" t="s">
        <v>43</v>
      </c>
      <c r="D33" s="51" t="e">
        <f>SUMIF(#REF!,C33,#REF!)</f>
        <v>#REF!</v>
      </c>
      <c r="E33" s="51">
        <v>11</v>
      </c>
      <c r="F33" s="51" t="e">
        <f>SUMIF(#REF!,C33,#REF!)+SUMIF(#REF!,C33,#REF!)+SUMIF('8CollegeAct'!$B$5:$B$40,C33,'8CollegeAct'!$AE$5:$AE$41)-SUMIF('8CollegeAct'!$B$5:$B$40,C33,'8CollegeAct'!$M$5:$M$41)-SUMIF('8CollegeAct'!$B$5:$B$40,C33,'8CollegeAct'!$P$5:$P$41)</f>
        <v>#REF!</v>
      </c>
    </row>
    <row r="34" spans="1:6" ht="15">
      <c r="A34" s="49">
        <v>1</v>
      </c>
      <c r="B34" s="57" t="s">
        <v>115</v>
      </c>
      <c r="C34" s="50" t="s">
        <v>55</v>
      </c>
      <c r="D34" s="51" t="e">
        <f>SUMIF(#REF!,C34,#REF!)</f>
        <v>#REF!</v>
      </c>
      <c r="E34" s="51">
        <v>6</v>
      </c>
      <c r="F34" s="51" t="e">
        <f>SUMIF(#REF!,C34,#REF!)+SUMIF(#REF!,C34,#REF!)+SUMIF('8CollegeAct'!$B$5:$B$40,C34,'8CollegeAct'!$AE$5:$AE$41)-SUMIF('8CollegeAct'!$B$5:$B$40,C34,'8CollegeAct'!$M$5:$M$41)-SUMIF('8CollegeAct'!$B$5:$B$40,C34,'8CollegeAct'!$P$5:$P$41)</f>
        <v>#REF!</v>
      </c>
    </row>
    <row r="35" spans="1:6" ht="15">
      <c r="A35" s="49">
        <v>8</v>
      </c>
      <c r="B35" s="57" t="s">
        <v>115</v>
      </c>
      <c r="C35" s="50" t="s">
        <v>21</v>
      </c>
      <c r="D35" s="51" t="e">
        <f>SUMIF(#REF!,C35,#REF!)</f>
        <v>#REF!</v>
      </c>
      <c r="E35" s="51">
        <v>4</v>
      </c>
      <c r="F35" s="51" t="e">
        <f>SUMIF(#REF!,C35,#REF!)+SUMIF(#REF!,C35,#REF!)+SUMIF('8CollegeAct'!$B$5:$B$40,C35,'8CollegeAct'!$AE$5:$AE$41)-SUMIF('8CollegeAct'!$B$5:$B$40,C35,'8CollegeAct'!$M$5:$M$41)-SUMIF('8CollegeAct'!$B$5:$B$40,C35,'8CollegeAct'!$P$5:$P$41)</f>
        <v>#REF!</v>
      </c>
    </row>
    <row r="36" spans="1:6" ht="15">
      <c r="A36" s="49">
        <v>9</v>
      </c>
      <c r="B36" s="57" t="s">
        <v>115</v>
      </c>
      <c r="C36" s="50" t="s">
        <v>22</v>
      </c>
      <c r="D36" s="51" t="e">
        <f>SUMIF(#REF!,C36,#REF!)</f>
        <v>#REF!</v>
      </c>
      <c r="E36" s="51">
        <v>3</v>
      </c>
      <c r="F36" s="51" t="e">
        <f>SUMIF(#REF!,C36,#REF!)+SUMIF(#REF!,C36,#REF!)+SUMIF('8CollegeAct'!$B$5:$B$40,C36,'8CollegeAct'!$AE$5:$AE$41)-SUMIF('8CollegeAct'!$B$5:$B$40,C36,'8CollegeAct'!$M$5:$M$41)-SUMIF('8CollegeAct'!$B$5:$B$40,C36,'8CollegeAct'!$P$5:$P$41)</f>
        <v>#REF!</v>
      </c>
    </row>
    <row r="37" spans="1:6" ht="15">
      <c r="A37" s="49">
        <v>19</v>
      </c>
      <c r="B37" s="57" t="s">
        <v>115</v>
      </c>
      <c r="C37" s="50" t="s">
        <v>32</v>
      </c>
      <c r="D37" s="51" t="e">
        <f>SUMIF(#REF!,C37,#REF!)</f>
        <v>#REF!</v>
      </c>
      <c r="E37" s="51">
        <v>0</v>
      </c>
      <c r="F37" s="51" t="e">
        <f>SUMIF(#REF!,C37,#REF!)+SUMIF(#REF!,C37,#REF!)+SUMIF('8CollegeAct'!$B$5:$B$40,C37,'8CollegeAct'!$AE$5:$AE$41)-SUMIF('8CollegeAct'!$B$5:$B$40,C37,'8CollegeAct'!$M$5:$M$41)-SUMIF('8CollegeAct'!$B$5:$B$40,C37,'8CollegeAct'!$P$5:$P$41)</f>
        <v>#REF!</v>
      </c>
    </row>
  </sheetData>
  <autoFilter ref="A2:F2" xr:uid="{00000000-0009-0000-0000-00003E000000}">
    <sortState xmlns:xlrd2="http://schemas.microsoft.com/office/spreadsheetml/2017/richdata2" ref="A3:F37">
      <sortCondition descending="1" ref="D2"/>
    </sortState>
  </autoFilter>
  <pageMargins left="0.7" right="0.16" top="0.66" bottom="0.75" header="0.3" footer="0.3"/>
  <pageSetup paperSize="9" scale="95" orientation="portrait" r:id="rId1"/>
  <drawing r:id="rId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3:G40"/>
  <sheetViews>
    <sheetView topLeftCell="A22" workbookViewId="0">
      <selection activeCell="D42" sqref="D42"/>
    </sheetView>
  </sheetViews>
  <sheetFormatPr defaultColWidth="9.1796875" defaultRowHeight="14"/>
  <cols>
    <col min="1" max="1" width="24.453125" style="42" bestFit="1" customWidth="1"/>
    <col min="2" max="2" width="17" style="42" bestFit="1" customWidth="1"/>
    <col min="3" max="3" width="30" style="42" customWidth="1"/>
    <col min="4" max="4" width="29.7265625" style="42" customWidth="1"/>
    <col min="5" max="5" width="18.54296875" style="42" customWidth="1"/>
    <col min="6" max="6" width="11.7265625" style="42" customWidth="1"/>
    <col min="7" max="7" width="18.54296875" style="42" customWidth="1"/>
    <col min="8" max="8" width="7.1796875" style="42" customWidth="1"/>
    <col min="9" max="9" width="11.7265625" style="42" bestFit="1" customWidth="1"/>
    <col min="10" max="16384" width="9.1796875" style="42"/>
  </cols>
  <sheetData>
    <row r="3" spans="1:7">
      <c r="A3" s="42" t="s">
        <v>68</v>
      </c>
      <c r="B3" s="42" t="s">
        <v>69</v>
      </c>
    </row>
    <row r="4" spans="1:7">
      <c r="A4" s="42" t="s">
        <v>70</v>
      </c>
      <c r="B4" s="42" t="s">
        <v>71</v>
      </c>
      <c r="C4" s="42" t="s">
        <v>72</v>
      </c>
      <c r="D4" s="42" t="s">
        <v>73</v>
      </c>
      <c r="E4" s="42" t="s">
        <v>74</v>
      </c>
      <c r="F4" s="42" t="s">
        <v>60</v>
      </c>
    </row>
    <row r="5" spans="1:7">
      <c r="A5" s="43" t="s">
        <v>55</v>
      </c>
      <c r="B5" s="42">
        <v>5</v>
      </c>
      <c r="F5" s="42">
        <v>5</v>
      </c>
      <c r="G5" s="42" t="e">
        <f>F5=#REF!</f>
        <v>#REF!</v>
      </c>
    </row>
    <row r="6" spans="1:7">
      <c r="A6" s="43" t="s">
        <v>15</v>
      </c>
      <c r="B6" s="42">
        <v>3585</v>
      </c>
      <c r="C6" s="42">
        <v>26</v>
      </c>
      <c r="D6" s="42">
        <v>4</v>
      </c>
      <c r="E6" s="42">
        <v>3</v>
      </c>
      <c r="F6" s="42">
        <v>3618</v>
      </c>
      <c r="G6" s="42" t="e">
        <f>F6=#REF!</f>
        <v>#REF!</v>
      </c>
    </row>
    <row r="7" spans="1:7">
      <c r="A7" s="43" t="s">
        <v>16</v>
      </c>
      <c r="B7" s="42">
        <v>9</v>
      </c>
      <c r="F7" s="42">
        <v>9</v>
      </c>
      <c r="G7" s="42" t="e">
        <f>F7=#REF!</f>
        <v>#REF!</v>
      </c>
    </row>
    <row r="8" spans="1:7">
      <c r="A8" s="43" t="s">
        <v>17</v>
      </c>
      <c r="B8" s="42">
        <v>171</v>
      </c>
      <c r="C8" s="42">
        <v>2</v>
      </c>
      <c r="D8" s="42">
        <v>1</v>
      </c>
      <c r="F8" s="42">
        <v>174</v>
      </c>
      <c r="G8" s="42" t="e">
        <f>F8=#REF!</f>
        <v>#REF!</v>
      </c>
    </row>
    <row r="9" spans="1:7">
      <c r="A9" s="43" t="s">
        <v>18</v>
      </c>
      <c r="B9" s="42">
        <v>249</v>
      </c>
      <c r="C9" s="42">
        <v>275</v>
      </c>
      <c r="D9" s="42">
        <v>7</v>
      </c>
      <c r="F9" s="42">
        <v>531</v>
      </c>
      <c r="G9" s="42" t="e">
        <f>F9=#REF!</f>
        <v>#REF!</v>
      </c>
    </row>
    <row r="10" spans="1:7">
      <c r="A10" s="43" t="s">
        <v>19</v>
      </c>
      <c r="B10" s="42">
        <v>13</v>
      </c>
      <c r="F10" s="42">
        <v>13</v>
      </c>
      <c r="G10" s="42" t="e">
        <f>F10=#REF!</f>
        <v>#REF!</v>
      </c>
    </row>
    <row r="11" spans="1:7">
      <c r="A11" s="43" t="s">
        <v>56</v>
      </c>
      <c r="B11" s="42">
        <v>427</v>
      </c>
      <c r="E11" s="42">
        <v>3</v>
      </c>
      <c r="F11" s="42">
        <v>430</v>
      </c>
      <c r="G11" s="42" t="e">
        <f>F11=#REF!</f>
        <v>#REF!</v>
      </c>
    </row>
    <row r="12" spans="1:7">
      <c r="A12" s="43" t="s">
        <v>21</v>
      </c>
      <c r="B12" s="42">
        <v>1</v>
      </c>
      <c r="E12" s="42">
        <v>1</v>
      </c>
      <c r="F12" s="42">
        <v>2</v>
      </c>
      <c r="G12" s="42" t="e">
        <f>F12=#REF!</f>
        <v>#REF!</v>
      </c>
    </row>
    <row r="13" spans="1:7">
      <c r="A13" s="43" t="s">
        <v>22</v>
      </c>
      <c r="B13" s="42">
        <v>3</v>
      </c>
      <c r="F13" s="42">
        <v>3</v>
      </c>
      <c r="G13" s="42" t="e">
        <f>F13=#REF!</f>
        <v>#REF!</v>
      </c>
    </row>
    <row r="14" spans="1:7">
      <c r="A14" s="43" t="s">
        <v>23</v>
      </c>
      <c r="B14" s="42">
        <v>139</v>
      </c>
      <c r="C14" s="42">
        <v>1</v>
      </c>
      <c r="E14" s="42">
        <v>2</v>
      </c>
      <c r="F14" s="42">
        <v>142</v>
      </c>
      <c r="G14" s="42" t="e">
        <f>F14=#REF!</f>
        <v>#REF!</v>
      </c>
    </row>
    <row r="15" spans="1:7">
      <c r="A15" s="43" t="s">
        <v>24</v>
      </c>
      <c r="B15" s="42">
        <v>33</v>
      </c>
      <c r="F15" s="42">
        <v>33</v>
      </c>
      <c r="G15" s="42" t="e">
        <f>F15=#REF!</f>
        <v>#REF!</v>
      </c>
    </row>
    <row r="16" spans="1:7">
      <c r="A16" s="43" t="s">
        <v>25</v>
      </c>
      <c r="B16" s="42">
        <v>1528</v>
      </c>
      <c r="C16" s="42">
        <v>58</v>
      </c>
      <c r="D16" s="42">
        <v>3</v>
      </c>
      <c r="E16" s="42">
        <v>34</v>
      </c>
      <c r="F16" s="42">
        <v>1623</v>
      </c>
      <c r="G16" s="42" t="e">
        <f>F16=#REF!</f>
        <v>#REF!</v>
      </c>
    </row>
    <row r="17" spans="1:7">
      <c r="A17" s="43" t="s">
        <v>26</v>
      </c>
      <c r="B17" s="42">
        <v>255</v>
      </c>
      <c r="C17" s="42">
        <v>11</v>
      </c>
      <c r="F17" s="42">
        <v>266</v>
      </c>
      <c r="G17" s="42" t="e">
        <f>F17=#REF!</f>
        <v>#REF!</v>
      </c>
    </row>
    <row r="18" spans="1:7">
      <c r="A18" s="43" t="s">
        <v>27</v>
      </c>
      <c r="B18" s="42">
        <v>231</v>
      </c>
      <c r="C18" s="42">
        <v>4</v>
      </c>
      <c r="D18" s="42">
        <v>1</v>
      </c>
      <c r="F18" s="42">
        <v>236</v>
      </c>
      <c r="G18" s="42" t="e">
        <f>F18=#REF!</f>
        <v>#REF!</v>
      </c>
    </row>
    <row r="19" spans="1:7">
      <c r="A19" s="43" t="s">
        <v>57</v>
      </c>
      <c r="B19" s="42">
        <v>117</v>
      </c>
      <c r="C19" s="42">
        <v>1</v>
      </c>
      <c r="D19" s="42">
        <v>1</v>
      </c>
      <c r="F19" s="42">
        <v>119</v>
      </c>
      <c r="G19" s="42" t="e">
        <f>F19=#REF!</f>
        <v>#REF!</v>
      </c>
    </row>
    <row r="20" spans="1:7">
      <c r="A20" s="43" t="s">
        <v>29</v>
      </c>
      <c r="B20" s="42">
        <v>18</v>
      </c>
      <c r="C20" s="42">
        <v>19</v>
      </c>
      <c r="D20" s="42">
        <v>1</v>
      </c>
      <c r="F20" s="42">
        <v>38</v>
      </c>
      <c r="G20" s="42" t="e">
        <f>F20=#REF!</f>
        <v>#REF!</v>
      </c>
    </row>
    <row r="21" spans="1:7">
      <c r="A21" s="43" t="s">
        <v>30</v>
      </c>
      <c r="B21" s="42">
        <v>2822</v>
      </c>
      <c r="C21" s="42">
        <v>51</v>
      </c>
      <c r="D21" s="42">
        <v>34</v>
      </c>
      <c r="E21" s="42">
        <v>97</v>
      </c>
      <c r="F21" s="42">
        <v>3004</v>
      </c>
      <c r="G21" s="42" t="e">
        <f>F21=#REF!</f>
        <v>#REF!</v>
      </c>
    </row>
    <row r="22" spans="1:7">
      <c r="A22" s="43" t="s">
        <v>31</v>
      </c>
      <c r="B22" s="42">
        <v>536</v>
      </c>
      <c r="C22" s="42">
        <v>20</v>
      </c>
      <c r="D22" s="42">
        <v>1</v>
      </c>
      <c r="E22" s="42">
        <v>23</v>
      </c>
      <c r="F22" s="42">
        <v>580</v>
      </c>
      <c r="G22" s="42" t="e">
        <f>F22=#REF!</f>
        <v>#REF!</v>
      </c>
    </row>
    <row r="23" spans="1:7">
      <c r="A23" s="43"/>
      <c r="G23" s="42" t="e">
        <f>F23=#REF!</f>
        <v>#REF!</v>
      </c>
    </row>
    <row r="24" spans="1:7">
      <c r="A24" s="43" t="s">
        <v>33</v>
      </c>
      <c r="B24" s="42">
        <v>395</v>
      </c>
      <c r="C24" s="42">
        <v>1</v>
      </c>
      <c r="D24" s="42">
        <v>1</v>
      </c>
      <c r="E24" s="42">
        <v>3</v>
      </c>
      <c r="F24" s="42">
        <v>400</v>
      </c>
      <c r="G24" s="42" t="e">
        <f>F24=#REF!</f>
        <v>#REF!</v>
      </c>
    </row>
    <row r="25" spans="1:7">
      <c r="A25" s="43" t="s">
        <v>34</v>
      </c>
      <c r="B25" s="42">
        <v>1273</v>
      </c>
      <c r="C25" s="42">
        <v>309</v>
      </c>
      <c r="D25" s="42">
        <v>3</v>
      </c>
      <c r="E25" s="42">
        <v>120</v>
      </c>
      <c r="F25" s="42">
        <v>1705</v>
      </c>
      <c r="G25" s="42" t="e">
        <f>F25=#REF!</f>
        <v>#REF!</v>
      </c>
    </row>
    <row r="26" spans="1:7">
      <c r="A26" s="43" t="s">
        <v>35</v>
      </c>
      <c r="B26" s="42">
        <v>18</v>
      </c>
      <c r="C26" s="42">
        <v>1</v>
      </c>
      <c r="E26" s="42">
        <v>1</v>
      </c>
      <c r="F26" s="42">
        <v>20</v>
      </c>
      <c r="G26" s="42" t="e">
        <f>F26=#REF!</f>
        <v>#REF!</v>
      </c>
    </row>
    <row r="27" spans="1:7">
      <c r="A27" s="43" t="s">
        <v>36</v>
      </c>
      <c r="B27" s="42">
        <v>24</v>
      </c>
      <c r="D27" s="42">
        <v>1</v>
      </c>
      <c r="F27" s="42">
        <v>25</v>
      </c>
      <c r="G27" s="42" t="e">
        <f>F27=#REF!</f>
        <v>#REF!</v>
      </c>
    </row>
    <row r="28" spans="1:7">
      <c r="A28" s="43" t="s">
        <v>37</v>
      </c>
      <c r="B28" s="42">
        <v>27</v>
      </c>
      <c r="C28" s="42">
        <v>1</v>
      </c>
      <c r="F28" s="42">
        <v>28</v>
      </c>
      <c r="G28" s="42" t="e">
        <f>F28=#REF!</f>
        <v>#REF!</v>
      </c>
    </row>
    <row r="29" spans="1:7">
      <c r="A29" s="43" t="s">
        <v>38</v>
      </c>
      <c r="B29" s="42">
        <v>52</v>
      </c>
      <c r="D29" s="42">
        <v>3</v>
      </c>
      <c r="F29" s="42">
        <v>55</v>
      </c>
      <c r="G29" s="42" t="e">
        <f>F29=#REF!</f>
        <v>#REF!</v>
      </c>
    </row>
    <row r="30" spans="1:7">
      <c r="A30" s="43" t="s">
        <v>39</v>
      </c>
      <c r="B30" s="42">
        <v>389</v>
      </c>
      <c r="C30" s="42">
        <v>1</v>
      </c>
      <c r="D30" s="42">
        <v>1</v>
      </c>
      <c r="F30" s="42">
        <v>391</v>
      </c>
      <c r="G30" s="42" t="e">
        <f>F30=#REF!</f>
        <v>#REF!</v>
      </c>
    </row>
    <row r="31" spans="1:7">
      <c r="A31" s="43" t="s">
        <v>40</v>
      </c>
      <c r="B31" s="42">
        <v>71</v>
      </c>
      <c r="D31" s="42">
        <v>1</v>
      </c>
      <c r="F31" s="42">
        <v>72</v>
      </c>
      <c r="G31" s="42" t="e">
        <f>F31=#REF!</f>
        <v>#REF!</v>
      </c>
    </row>
    <row r="32" spans="1:7">
      <c r="A32" s="43" t="s">
        <v>41</v>
      </c>
      <c r="B32" s="42">
        <v>230</v>
      </c>
      <c r="C32" s="42">
        <v>2</v>
      </c>
      <c r="F32" s="42">
        <v>232</v>
      </c>
      <c r="G32" s="42" t="e">
        <f>F32=#REF!</f>
        <v>#REF!</v>
      </c>
    </row>
    <row r="33" spans="1:7">
      <c r="A33" s="43" t="s">
        <v>42</v>
      </c>
      <c r="B33" s="42">
        <v>708</v>
      </c>
      <c r="C33" s="42">
        <v>6</v>
      </c>
      <c r="D33" s="42">
        <v>1</v>
      </c>
      <c r="F33" s="42">
        <v>715</v>
      </c>
      <c r="G33" s="42" t="e">
        <f>F33=#REF!</f>
        <v>#REF!</v>
      </c>
    </row>
    <row r="34" spans="1:7">
      <c r="A34" s="43" t="s">
        <v>43</v>
      </c>
      <c r="B34" s="42">
        <v>9</v>
      </c>
      <c r="C34" s="42">
        <v>4</v>
      </c>
      <c r="F34" s="42">
        <v>13</v>
      </c>
      <c r="G34" s="42" t="e">
        <f>F34=#REF!</f>
        <v>#REF!</v>
      </c>
    </row>
    <row r="35" spans="1:7">
      <c r="A35" s="43" t="s">
        <v>44</v>
      </c>
      <c r="B35" s="42">
        <v>1020</v>
      </c>
      <c r="C35" s="42">
        <v>28</v>
      </c>
      <c r="D35" s="42">
        <v>2</v>
      </c>
      <c r="F35" s="42">
        <v>1050</v>
      </c>
      <c r="G35" s="42" t="e">
        <f>F35=#REF!</f>
        <v>#REF!</v>
      </c>
    </row>
    <row r="36" spans="1:7">
      <c r="A36" s="43" t="s">
        <v>45</v>
      </c>
      <c r="B36" s="42">
        <v>35</v>
      </c>
      <c r="F36" s="42">
        <v>35</v>
      </c>
      <c r="G36" s="42" t="e">
        <f>F36=#REF!</f>
        <v>#REF!</v>
      </c>
    </row>
    <row r="37" spans="1:7">
      <c r="A37" s="43" t="s">
        <v>47</v>
      </c>
      <c r="B37" s="42">
        <v>911</v>
      </c>
      <c r="C37" s="42">
        <v>2</v>
      </c>
      <c r="D37" s="42">
        <v>6</v>
      </c>
      <c r="F37" s="42">
        <v>919</v>
      </c>
      <c r="G37" s="42" t="e">
        <f>F37=#REF!</f>
        <v>#REF!</v>
      </c>
    </row>
    <row r="38" spans="1:7">
      <c r="A38" s="43" t="s">
        <v>58</v>
      </c>
      <c r="B38" s="42">
        <v>161</v>
      </c>
      <c r="C38" s="42">
        <v>4</v>
      </c>
      <c r="F38" s="42">
        <v>165</v>
      </c>
      <c r="G38" s="42" t="e">
        <f>F38=#REF!</f>
        <v>#REF!</v>
      </c>
    </row>
    <row r="39" spans="1:7">
      <c r="A39" s="43" t="s">
        <v>48</v>
      </c>
      <c r="B39" s="42">
        <v>357</v>
      </c>
      <c r="C39" s="42">
        <v>11</v>
      </c>
      <c r="D39" s="42">
        <v>4</v>
      </c>
      <c r="F39" s="42">
        <v>372</v>
      </c>
      <c r="G39" s="42" t="e">
        <f>F39=#REF!</f>
        <v>#REF!</v>
      </c>
    </row>
    <row r="40" spans="1:7">
      <c r="A40" s="43" t="s">
        <v>60</v>
      </c>
      <c r="B40" s="42">
        <v>15822</v>
      </c>
      <c r="C40" s="42">
        <v>838</v>
      </c>
      <c r="D40" s="42">
        <v>76</v>
      </c>
      <c r="E40" s="42">
        <v>287</v>
      </c>
      <c r="F40" s="42">
        <v>17023</v>
      </c>
      <c r="G40" s="42" t="e">
        <f>F40=#REF!</f>
        <v>#REF!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U40"/>
  <sheetViews>
    <sheetView topLeftCell="A16" workbookViewId="0">
      <selection activeCell="B23" sqref="B23"/>
    </sheetView>
  </sheetViews>
  <sheetFormatPr defaultRowHeight="12.5"/>
  <cols>
    <col min="1" max="1" width="5.26953125" customWidth="1"/>
    <col min="2" max="2" width="14.26953125" customWidth="1"/>
    <col min="3" max="3" width="8.453125" customWidth="1"/>
    <col min="4" max="4" width="10.1796875" customWidth="1"/>
    <col min="5" max="5" width="8.453125" customWidth="1"/>
    <col min="6" max="6" width="6.7265625" customWidth="1"/>
    <col min="7" max="7" width="10.1796875" customWidth="1"/>
    <col min="8" max="8" width="9.26953125" customWidth="1"/>
    <col min="9" max="10" width="6.7265625" customWidth="1"/>
    <col min="11" max="12" width="8.453125" customWidth="1"/>
    <col min="13" max="13" width="10.1796875" customWidth="1"/>
    <col min="14" max="14" width="8.453125" customWidth="1"/>
    <col min="15" max="15" width="6.7265625" customWidth="1"/>
    <col min="16" max="16" width="10.1796875" customWidth="1"/>
    <col min="17" max="17" width="9.26953125" customWidth="1"/>
    <col min="18" max="18" width="8.26953125" customWidth="1"/>
    <col min="19" max="20" width="8.453125" customWidth="1"/>
    <col min="21" max="21" width="8.81640625" hidden="1" customWidth="1"/>
    <col min="22" max="22" width="6.81640625" customWidth="1"/>
  </cols>
  <sheetData>
    <row r="1" spans="1:21" ht="21" customHeight="1">
      <c r="A1" s="2"/>
      <c r="B1" s="1197" t="s">
        <v>0</v>
      </c>
      <c r="C1" s="1197"/>
      <c r="D1" s="1197"/>
      <c r="E1" s="1197"/>
      <c r="F1" s="1197"/>
      <c r="G1" s="1197"/>
      <c r="H1" s="1197"/>
      <c r="I1" s="1197"/>
      <c r="J1" s="1197"/>
      <c r="K1" s="1197"/>
      <c r="L1" s="1197"/>
      <c r="M1" s="1197"/>
      <c r="N1" s="1197"/>
      <c r="O1" s="1197"/>
      <c r="P1" s="1197"/>
      <c r="Q1" s="1197"/>
      <c r="R1" s="1197"/>
      <c r="S1" s="1197"/>
      <c r="T1" s="1197"/>
      <c r="U1" s="2"/>
    </row>
    <row r="2" spans="1:21" ht="20.149999999999999" customHeight="1" thickBot="1">
      <c r="A2" s="2"/>
      <c r="B2" s="1198" t="s">
        <v>1</v>
      </c>
      <c r="C2" s="1198"/>
      <c r="D2" s="1198"/>
      <c r="E2" s="1198"/>
      <c r="F2" s="1198"/>
      <c r="G2" s="1198"/>
      <c r="H2" s="1198"/>
      <c r="I2" s="1198"/>
      <c r="J2" s="1198"/>
      <c r="K2" s="1198"/>
      <c r="L2" s="1198"/>
      <c r="M2" s="1198"/>
      <c r="N2" s="1198"/>
      <c r="O2" s="1198"/>
      <c r="P2" s="1198"/>
      <c r="Q2" s="1198"/>
      <c r="R2" s="1198"/>
      <c r="S2" s="1198"/>
      <c r="T2" s="1198"/>
      <c r="U2" s="2"/>
    </row>
    <row r="3" spans="1:21" ht="23.25" customHeight="1" thickBot="1">
      <c r="A3" s="2"/>
      <c r="B3" s="3" t="s">
        <v>2</v>
      </c>
      <c r="C3" s="1199" t="s">
        <v>3</v>
      </c>
      <c r="D3" s="1199"/>
      <c r="E3" s="1199"/>
      <c r="F3" s="1199"/>
      <c r="G3" s="1199"/>
      <c r="H3" s="1199"/>
      <c r="I3" s="1199"/>
      <c r="J3" s="1199"/>
      <c r="K3" s="1199"/>
      <c r="L3" s="1199" t="s">
        <v>4</v>
      </c>
      <c r="M3" s="1199"/>
      <c r="N3" s="1199"/>
      <c r="O3" s="1199"/>
      <c r="P3" s="1199"/>
      <c r="Q3" s="1199"/>
      <c r="R3" s="1199"/>
      <c r="S3" s="1199"/>
      <c r="T3" s="1199"/>
      <c r="U3" s="2"/>
    </row>
    <row r="4" spans="1:21" ht="40" customHeight="1" thickBot="1">
      <c r="A4" s="2"/>
      <c r="B4" s="1"/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4" t="s">
        <v>13</v>
      </c>
      <c r="L4" s="3" t="s">
        <v>5</v>
      </c>
      <c r="M4" s="3" t="s">
        <v>6</v>
      </c>
      <c r="N4" s="3" t="s">
        <v>7</v>
      </c>
      <c r="O4" s="3" t="s">
        <v>8</v>
      </c>
      <c r="P4" s="3" t="s">
        <v>9</v>
      </c>
      <c r="Q4" s="3" t="s">
        <v>10</v>
      </c>
      <c r="R4" s="3" t="s">
        <v>11</v>
      </c>
      <c r="S4" s="3" t="s">
        <v>12</v>
      </c>
      <c r="T4" s="4" t="s">
        <v>13</v>
      </c>
      <c r="U4" s="2"/>
    </row>
    <row r="5" spans="1:21" ht="33" customHeight="1" thickBot="1">
      <c r="A5" s="2"/>
      <c r="B5" s="23" t="s">
        <v>55</v>
      </c>
      <c r="C5" s="24"/>
      <c r="D5" s="24"/>
      <c r="E5" s="24"/>
      <c r="F5" s="24"/>
      <c r="G5" s="24"/>
      <c r="H5" s="24"/>
      <c r="I5" s="24"/>
      <c r="J5" s="24">
        <v>0</v>
      </c>
      <c r="K5" s="24"/>
      <c r="L5" s="24">
        <v>3</v>
      </c>
      <c r="M5" s="24"/>
      <c r="N5" s="24"/>
      <c r="O5" s="24"/>
      <c r="P5" s="24">
        <v>1</v>
      </c>
      <c r="Q5" s="24"/>
      <c r="R5" s="24">
        <v>1</v>
      </c>
      <c r="S5" s="24">
        <v>5</v>
      </c>
      <c r="T5" s="24"/>
      <c r="U5" s="2"/>
    </row>
    <row r="6" spans="1:21" ht="33" customHeight="1" thickBot="1">
      <c r="A6" s="2"/>
      <c r="B6" s="23" t="s">
        <v>15</v>
      </c>
      <c r="C6" s="24">
        <v>26</v>
      </c>
      <c r="D6" s="24">
        <v>2</v>
      </c>
      <c r="E6" s="24">
        <v>2</v>
      </c>
      <c r="F6" s="24">
        <v>2</v>
      </c>
      <c r="G6" s="24">
        <v>6</v>
      </c>
      <c r="H6" s="24">
        <v>1</v>
      </c>
      <c r="I6" s="24">
        <v>6</v>
      </c>
      <c r="J6" s="24">
        <v>45</v>
      </c>
      <c r="K6" s="24">
        <v>1</v>
      </c>
      <c r="L6" s="24">
        <v>2628</v>
      </c>
      <c r="M6" s="24">
        <v>2</v>
      </c>
      <c r="N6" s="24">
        <v>47</v>
      </c>
      <c r="O6" s="24">
        <v>16</v>
      </c>
      <c r="P6" s="24">
        <v>497</v>
      </c>
      <c r="Q6" s="24">
        <v>5</v>
      </c>
      <c r="R6" s="24">
        <v>423</v>
      </c>
      <c r="S6" s="24">
        <v>3618</v>
      </c>
      <c r="T6" s="24">
        <v>332</v>
      </c>
      <c r="U6" s="2"/>
    </row>
    <row r="7" spans="1:21" ht="33" customHeight="1" thickBot="1">
      <c r="A7" s="2"/>
      <c r="B7" s="23" t="s">
        <v>16</v>
      </c>
      <c r="C7" s="24">
        <v>3</v>
      </c>
      <c r="D7" s="24"/>
      <c r="E7" s="24"/>
      <c r="F7" s="24"/>
      <c r="G7" s="24"/>
      <c r="H7" s="24"/>
      <c r="I7" s="24"/>
      <c r="J7" s="24">
        <v>3</v>
      </c>
      <c r="K7" s="24"/>
      <c r="L7" s="24">
        <v>8</v>
      </c>
      <c r="M7" s="24"/>
      <c r="N7" s="24"/>
      <c r="O7" s="24"/>
      <c r="P7" s="24">
        <v>1</v>
      </c>
      <c r="Q7" s="24"/>
      <c r="R7" s="24"/>
      <c r="S7" s="24">
        <v>9</v>
      </c>
      <c r="T7" s="24"/>
      <c r="U7" s="2"/>
    </row>
    <row r="8" spans="1:21" ht="33" customHeight="1" thickBot="1">
      <c r="A8" s="2"/>
      <c r="B8" s="23" t="s">
        <v>17</v>
      </c>
      <c r="C8" s="24">
        <v>6</v>
      </c>
      <c r="D8" s="24">
        <v>1</v>
      </c>
      <c r="E8" s="24"/>
      <c r="F8" s="24"/>
      <c r="G8" s="24">
        <v>2</v>
      </c>
      <c r="H8" s="24"/>
      <c r="I8" s="24"/>
      <c r="J8" s="24">
        <v>9</v>
      </c>
      <c r="K8" s="24"/>
      <c r="L8" s="24">
        <v>135</v>
      </c>
      <c r="M8" s="24"/>
      <c r="N8" s="24">
        <v>4</v>
      </c>
      <c r="O8" s="24">
        <v>4</v>
      </c>
      <c r="P8" s="24">
        <v>1</v>
      </c>
      <c r="Q8" s="24">
        <v>1</v>
      </c>
      <c r="R8" s="24">
        <v>29</v>
      </c>
      <c r="S8" s="24">
        <v>174</v>
      </c>
      <c r="T8" s="24">
        <v>10</v>
      </c>
      <c r="U8" s="2"/>
    </row>
    <row r="9" spans="1:21" ht="33" customHeight="1" thickBot="1">
      <c r="A9" s="2"/>
      <c r="B9" s="23" t="s">
        <v>18</v>
      </c>
      <c r="C9" s="24">
        <v>12</v>
      </c>
      <c r="D9" s="24">
        <v>2</v>
      </c>
      <c r="E9" s="24">
        <v>1</v>
      </c>
      <c r="F9" s="24">
        <v>1</v>
      </c>
      <c r="G9" s="24">
        <v>1</v>
      </c>
      <c r="H9" s="24"/>
      <c r="I9" s="24">
        <v>3</v>
      </c>
      <c r="J9" s="24">
        <v>20</v>
      </c>
      <c r="K9" s="24"/>
      <c r="L9" s="24">
        <v>408</v>
      </c>
      <c r="M9" s="24">
        <v>6</v>
      </c>
      <c r="N9" s="24">
        <v>7</v>
      </c>
      <c r="O9" s="24">
        <v>11</v>
      </c>
      <c r="P9" s="24">
        <v>10</v>
      </c>
      <c r="Q9" s="24">
        <v>3</v>
      </c>
      <c r="R9" s="24">
        <v>86</v>
      </c>
      <c r="S9" s="24">
        <v>531</v>
      </c>
      <c r="T9" s="24">
        <v>43</v>
      </c>
      <c r="U9" s="2"/>
    </row>
    <row r="10" spans="1:21" ht="33" customHeight="1" thickBot="1">
      <c r="A10" s="2"/>
      <c r="B10" s="23" t="s">
        <v>19</v>
      </c>
      <c r="C10" s="24">
        <v>1</v>
      </c>
      <c r="D10" s="24"/>
      <c r="E10" s="24"/>
      <c r="F10" s="24"/>
      <c r="G10" s="24">
        <v>1</v>
      </c>
      <c r="H10" s="24"/>
      <c r="I10" s="24"/>
      <c r="J10" s="24">
        <v>2</v>
      </c>
      <c r="K10" s="24"/>
      <c r="L10" s="24">
        <v>5</v>
      </c>
      <c r="M10" s="24"/>
      <c r="N10" s="24">
        <v>1</v>
      </c>
      <c r="O10" s="24"/>
      <c r="P10" s="24">
        <v>2</v>
      </c>
      <c r="Q10" s="24"/>
      <c r="R10" s="24">
        <v>5</v>
      </c>
      <c r="S10" s="24">
        <v>13</v>
      </c>
      <c r="T10" s="24">
        <v>5</v>
      </c>
      <c r="U10" s="2"/>
    </row>
    <row r="11" spans="1:21" ht="33" customHeight="1" thickBot="1">
      <c r="A11" s="2"/>
      <c r="B11" s="23" t="s">
        <v>56</v>
      </c>
      <c r="C11" s="24">
        <v>7</v>
      </c>
      <c r="D11" s="24">
        <v>1</v>
      </c>
      <c r="E11" s="24">
        <v>1</v>
      </c>
      <c r="F11" s="24">
        <v>1</v>
      </c>
      <c r="G11" s="24">
        <v>2</v>
      </c>
      <c r="H11" s="24"/>
      <c r="I11" s="24">
        <v>3</v>
      </c>
      <c r="J11" s="24">
        <v>15</v>
      </c>
      <c r="K11" s="24"/>
      <c r="L11" s="24">
        <v>311</v>
      </c>
      <c r="M11" s="24">
        <v>2</v>
      </c>
      <c r="N11" s="24">
        <v>16</v>
      </c>
      <c r="O11" s="24">
        <v>7</v>
      </c>
      <c r="P11" s="24">
        <v>44</v>
      </c>
      <c r="Q11" s="24"/>
      <c r="R11" s="24">
        <v>50</v>
      </c>
      <c r="S11" s="24">
        <v>430</v>
      </c>
      <c r="T11" s="24">
        <v>34</v>
      </c>
      <c r="U11" s="2"/>
    </row>
    <row r="12" spans="1:21" ht="33" customHeight="1" thickBot="1">
      <c r="A12" s="2"/>
      <c r="B12" s="23" t="s">
        <v>21</v>
      </c>
      <c r="C12" s="24"/>
      <c r="D12" s="24"/>
      <c r="E12" s="24"/>
      <c r="F12" s="24"/>
      <c r="G12" s="24"/>
      <c r="H12" s="24"/>
      <c r="I12" s="24"/>
      <c r="J12" s="24">
        <v>0</v>
      </c>
      <c r="K12" s="24"/>
      <c r="L12" s="24">
        <v>1</v>
      </c>
      <c r="M12" s="24"/>
      <c r="N12" s="24"/>
      <c r="O12" s="24"/>
      <c r="P12" s="24"/>
      <c r="Q12" s="24"/>
      <c r="R12" s="24">
        <v>1</v>
      </c>
      <c r="S12" s="24">
        <v>2</v>
      </c>
      <c r="T12" s="24"/>
      <c r="U12" s="2"/>
    </row>
    <row r="13" spans="1:21" ht="33" customHeight="1" thickBot="1">
      <c r="A13" s="2"/>
      <c r="B13" s="23" t="s">
        <v>22</v>
      </c>
      <c r="C13" s="24"/>
      <c r="D13" s="24"/>
      <c r="E13" s="24"/>
      <c r="F13" s="24"/>
      <c r="G13" s="24"/>
      <c r="H13" s="24"/>
      <c r="I13" s="24"/>
      <c r="J13" s="24">
        <v>0</v>
      </c>
      <c r="K13" s="24"/>
      <c r="L13" s="24">
        <v>1</v>
      </c>
      <c r="M13" s="24"/>
      <c r="N13" s="24">
        <v>1</v>
      </c>
      <c r="O13" s="24"/>
      <c r="P13" s="24"/>
      <c r="Q13" s="24"/>
      <c r="R13" s="24">
        <v>1</v>
      </c>
      <c r="S13" s="24">
        <v>3</v>
      </c>
      <c r="T13" s="24"/>
      <c r="U13" s="2"/>
    </row>
    <row r="14" spans="1:21" ht="33" customHeight="1" thickBot="1">
      <c r="A14" s="2"/>
      <c r="B14" s="23" t="s">
        <v>23</v>
      </c>
      <c r="C14" s="24">
        <v>9</v>
      </c>
      <c r="D14" s="24">
        <v>1</v>
      </c>
      <c r="E14" s="24">
        <v>1</v>
      </c>
      <c r="F14" s="24">
        <v>2</v>
      </c>
      <c r="G14" s="24">
        <v>3</v>
      </c>
      <c r="H14" s="24"/>
      <c r="I14" s="24">
        <v>5</v>
      </c>
      <c r="J14" s="24">
        <v>21</v>
      </c>
      <c r="K14" s="24"/>
      <c r="L14" s="24">
        <v>74</v>
      </c>
      <c r="M14" s="24"/>
      <c r="N14" s="24">
        <v>10</v>
      </c>
      <c r="O14" s="24">
        <v>1</v>
      </c>
      <c r="P14" s="24">
        <v>15</v>
      </c>
      <c r="Q14" s="24"/>
      <c r="R14" s="24">
        <v>42</v>
      </c>
      <c r="S14" s="24">
        <v>142</v>
      </c>
      <c r="T14" s="24">
        <v>22</v>
      </c>
      <c r="U14" s="2"/>
    </row>
    <row r="15" spans="1:21" ht="33" customHeight="1" thickBot="1">
      <c r="A15" s="2"/>
      <c r="B15" s="23" t="s">
        <v>24</v>
      </c>
      <c r="C15" s="24">
        <v>1</v>
      </c>
      <c r="D15" s="24"/>
      <c r="E15" s="24"/>
      <c r="F15" s="24"/>
      <c r="G15" s="24">
        <v>1</v>
      </c>
      <c r="H15" s="24"/>
      <c r="I15" s="24"/>
      <c r="J15" s="24">
        <v>2</v>
      </c>
      <c r="K15" s="24"/>
      <c r="L15" s="24">
        <v>22</v>
      </c>
      <c r="M15" s="24"/>
      <c r="N15" s="24">
        <v>2</v>
      </c>
      <c r="O15" s="24">
        <v>1</v>
      </c>
      <c r="P15" s="24">
        <v>3</v>
      </c>
      <c r="Q15" s="24"/>
      <c r="R15" s="24">
        <v>5</v>
      </c>
      <c r="S15" s="24">
        <v>33</v>
      </c>
      <c r="T15" s="24">
        <v>1</v>
      </c>
      <c r="U15" s="2"/>
    </row>
    <row r="16" spans="1:21" ht="33" customHeight="1" thickBot="1">
      <c r="A16" s="2"/>
      <c r="B16" s="23" t="s">
        <v>25</v>
      </c>
      <c r="C16" s="24">
        <v>22</v>
      </c>
      <c r="D16" s="24">
        <v>3</v>
      </c>
      <c r="E16" s="24">
        <v>1</v>
      </c>
      <c r="F16" s="24">
        <v>1</v>
      </c>
      <c r="G16" s="24">
        <v>3</v>
      </c>
      <c r="H16" s="24"/>
      <c r="I16" s="24">
        <v>6</v>
      </c>
      <c r="J16" s="24">
        <v>36</v>
      </c>
      <c r="K16" s="24"/>
      <c r="L16" s="24">
        <v>958</v>
      </c>
      <c r="M16" s="24">
        <v>12</v>
      </c>
      <c r="N16" s="24">
        <v>44</v>
      </c>
      <c r="O16" s="24">
        <v>26</v>
      </c>
      <c r="P16" s="24">
        <v>187</v>
      </c>
      <c r="Q16" s="24">
        <v>4</v>
      </c>
      <c r="R16" s="24">
        <v>392</v>
      </c>
      <c r="S16" s="24">
        <v>1623</v>
      </c>
      <c r="T16" s="24">
        <v>138</v>
      </c>
      <c r="U16" s="2"/>
    </row>
    <row r="17" spans="1:21" ht="33" customHeight="1" thickBot="1">
      <c r="A17" s="2"/>
      <c r="B17" s="23" t="s">
        <v>26</v>
      </c>
      <c r="C17" s="24">
        <v>11</v>
      </c>
      <c r="D17" s="24">
        <v>2</v>
      </c>
      <c r="E17" s="24">
        <v>1</v>
      </c>
      <c r="F17" s="24"/>
      <c r="G17" s="24">
        <v>4</v>
      </c>
      <c r="H17" s="24">
        <v>1</v>
      </c>
      <c r="I17" s="24">
        <v>2</v>
      </c>
      <c r="J17" s="24">
        <v>21</v>
      </c>
      <c r="K17" s="24">
        <v>1</v>
      </c>
      <c r="L17" s="24">
        <v>121</v>
      </c>
      <c r="M17" s="24">
        <v>2</v>
      </c>
      <c r="N17" s="24">
        <v>4</v>
      </c>
      <c r="O17" s="24">
        <v>2</v>
      </c>
      <c r="P17" s="24">
        <v>57</v>
      </c>
      <c r="Q17" s="24"/>
      <c r="R17" s="24">
        <v>80</v>
      </c>
      <c r="S17" s="24">
        <v>266</v>
      </c>
      <c r="T17" s="24">
        <v>38</v>
      </c>
      <c r="U17" s="2"/>
    </row>
    <row r="18" spans="1:21" ht="33" customHeight="1" thickBot="1">
      <c r="A18" s="2"/>
      <c r="B18" s="23" t="s">
        <v>27</v>
      </c>
      <c r="C18" s="24">
        <v>11</v>
      </c>
      <c r="D18" s="24">
        <v>2</v>
      </c>
      <c r="E18" s="24"/>
      <c r="F18" s="24"/>
      <c r="G18" s="24">
        <v>3</v>
      </c>
      <c r="H18" s="24"/>
      <c r="I18" s="24">
        <v>1</v>
      </c>
      <c r="J18" s="24">
        <v>17</v>
      </c>
      <c r="K18" s="24"/>
      <c r="L18" s="24">
        <v>158</v>
      </c>
      <c r="M18" s="24"/>
      <c r="N18" s="24">
        <v>5</v>
      </c>
      <c r="O18" s="24">
        <v>3</v>
      </c>
      <c r="P18" s="24">
        <v>19</v>
      </c>
      <c r="Q18" s="24"/>
      <c r="R18" s="24">
        <v>51</v>
      </c>
      <c r="S18" s="24">
        <v>236</v>
      </c>
      <c r="T18" s="24">
        <v>14</v>
      </c>
      <c r="U18" s="2"/>
    </row>
    <row r="19" spans="1:21" ht="33" customHeight="1" thickBot="1">
      <c r="A19" s="2"/>
      <c r="B19" s="23" t="s">
        <v>57</v>
      </c>
      <c r="C19" s="24">
        <v>5</v>
      </c>
      <c r="D19" s="24">
        <v>1</v>
      </c>
      <c r="E19" s="24"/>
      <c r="F19" s="24"/>
      <c r="G19" s="24">
        <v>2</v>
      </c>
      <c r="H19" s="24"/>
      <c r="I19" s="24"/>
      <c r="J19" s="24">
        <v>8</v>
      </c>
      <c r="K19" s="24"/>
      <c r="L19" s="24">
        <v>74</v>
      </c>
      <c r="M19" s="24"/>
      <c r="N19" s="24">
        <v>1</v>
      </c>
      <c r="O19" s="24">
        <v>1</v>
      </c>
      <c r="P19" s="24">
        <v>2</v>
      </c>
      <c r="Q19" s="24">
        <v>1</v>
      </c>
      <c r="R19" s="24">
        <v>40</v>
      </c>
      <c r="S19" s="24">
        <v>119</v>
      </c>
      <c r="T19" s="24">
        <v>10</v>
      </c>
      <c r="U19" s="2"/>
    </row>
    <row r="20" spans="1:21" ht="33" customHeight="1" thickBot="1">
      <c r="A20" s="2"/>
      <c r="B20" s="23" t="s">
        <v>29</v>
      </c>
      <c r="C20" s="24">
        <v>5</v>
      </c>
      <c r="D20" s="24"/>
      <c r="E20" s="24"/>
      <c r="F20" s="24">
        <v>1</v>
      </c>
      <c r="G20" s="24">
        <v>3</v>
      </c>
      <c r="H20" s="24"/>
      <c r="I20" s="24"/>
      <c r="J20" s="24">
        <v>9</v>
      </c>
      <c r="K20" s="24"/>
      <c r="L20" s="24">
        <v>31</v>
      </c>
      <c r="M20" s="24"/>
      <c r="N20" s="24"/>
      <c r="O20" s="24">
        <v>1</v>
      </c>
      <c r="P20" s="24">
        <v>4</v>
      </c>
      <c r="Q20" s="24"/>
      <c r="R20" s="24">
        <v>2</v>
      </c>
      <c r="S20" s="24">
        <v>38</v>
      </c>
      <c r="T20" s="24">
        <v>3</v>
      </c>
      <c r="U20" s="2"/>
    </row>
    <row r="21" spans="1:21" ht="33" customHeight="1" thickBot="1">
      <c r="A21" s="2"/>
      <c r="B21" s="23" t="s">
        <v>30</v>
      </c>
      <c r="C21" s="24">
        <v>21</v>
      </c>
      <c r="D21" s="24">
        <v>3</v>
      </c>
      <c r="E21" s="24">
        <v>6</v>
      </c>
      <c r="F21" s="24">
        <v>2</v>
      </c>
      <c r="G21" s="24">
        <v>3</v>
      </c>
      <c r="H21" s="24">
        <v>1</v>
      </c>
      <c r="I21" s="24">
        <v>7</v>
      </c>
      <c r="J21" s="24">
        <v>43</v>
      </c>
      <c r="K21" s="24">
        <v>1</v>
      </c>
      <c r="L21" s="24">
        <v>2013</v>
      </c>
      <c r="M21" s="24">
        <v>2</v>
      </c>
      <c r="N21" s="24">
        <v>175</v>
      </c>
      <c r="O21" s="24">
        <v>60</v>
      </c>
      <c r="P21" s="24">
        <v>190</v>
      </c>
      <c r="Q21" s="24">
        <v>1</v>
      </c>
      <c r="R21" s="24">
        <v>563</v>
      </c>
      <c r="S21" s="24">
        <v>3004</v>
      </c>
      <c r="T21" s="24">
        <v>190</v>
      </c>
      <c r="U21" s="2"/>
    </row>
    <row r="22" spans="1:21" ht="33" customHeight="1" thickBot="1">
      <c r="A22" s="2"/>
      <c r="B22" s="23" t="s">
        <v>31</v>
      </c>
      <c r="C22" s="24">
        <v>6</v>
      </c>
      <c r="D22" s="24">
        <v>1</v>
      </c>
      <c r="E22" s="24"/>
      <c r="F22" s="24">
        <v>1</v>
      </c>
      <c r="G22" s="24">
        <v>1</v>
      </c>
      <c r="H22" s="24">
        <v>1</v>
      </c>
      <c r="I22" s="24">
        <v>6</v>
      </c>
      <c r="J22" s="24">
        <v>16</v>
      </c>
      <c r="K22" s="24"/>
      <c r="L22" s="24">
        <v>355</v>
      </c>
      <c r="M22" s="24">
        <v>2</v>
      </c>
      <c r="N22" s="24">
        <v>15</v>
      </c>
      <c r="O22" s="24">
        <v>3</v>
      </c>
      <c r="P22" s="24">
        <v>73</v>
      </c>
      <c r="Q22" s="24"/>
      <c r="R22" s="24">
        <v>132</v>
      </c>
      <c r="S22" s="24">
        <v>580</v>
      </c>
      <c r="T22" s="24">
        <v>41</v>
      </c>
      <c r="U22" s="2"/>
    </row>
    <row r="23" spans="1:21" ht="33" customHeight="1" thickBot="1">
      <c r="A23" s="2"/>
      <c r="B23" s="23" t="s">
        <v>32</v>
      </c>
      <c r="C23" s="24"/>
      <c r="D23" s="24"/>
      <c r="E23" s="24"/>
      <c r="F23" s="24"/>
      <c r="G23" s="24"/>
      <c r="H23" s="24"/>
      <c r="I23" s="24"/>
      <c r="J23" s="24">
        <v>0</v>
      </c>
      <c r="K23" s="24"/>
      <c r="L23" s="24"/>
      <c r="M23" s="24"/>
      <c r="N23" s="24"/>
      <c r="O23" s="24"/>
      <c r="P23" s="24"/>
      <c r="Q23" s="24"/>
      <c r="R23" s="24"/>
      <c r="S23" s="24">
        <v>0</v>
      </c>
      <c r="T23" s="24"/>
      <c r="U23" s="2"/>
    </row>
    <row r="24" spans="1:21" ht="33" customHeight="1" thickBot="1">
      <c r="A24" s="2"/>
      <c r="B24" s="23" t="s">
        <v>33</v>
      </c>
      <c r="C24" s="24">
        <v>8</v>
      </c>
      <c r="D24" s="24">
        <v>1</v>
      </c>
      <c r="E24" s="24"/>
      <c r="F24" s="24">
        <v>1</v>
      </c>
      <c r="G24" s="24">
        <v>6</v>
      </c>
      <c r="H24" s="24"/>
      <c r="I24" s="24">
        <v>9</v>
      </c>
      <c r="J24" s="24">
        <v>25</v>
      </c>
      <c r="K24" s="24"/>
      <c r="L24" s="24">
        <v>289</v>
      </c>
      <c r="M24" s="24">
        <v>1</v>
      </c>
      <c r="N24" s="24">
        <v>11</v>
      </c>
      <c r="O24" s="24">
        <v>11</v>
      </c>
      <c r="P24" s="24">
        <v>17</v>
      </c>
      <c r="Q24" s="24"/>
      <c r="R24" s="24">
        <v>71</v>
      </c>
      <c r="S24" s="24">
        <v>400</v>
      </c>
      <c r="T24" s="24">
        <v>28</v>
      </c>
      <c r="U24" s="2"/>
    </row>
    <row r="25" spans="1:21" ht="33" customHeight="1" thickBot="1">
      <c r="A25" s="2"/>
      <c r="B25" s="23" t="s">
        <v>34</v>
      </c>
      <c r="C25" s="24">
        <v>19</v>
      </c>
      <c r="D25" s="24">
        <v>4</v>
      </c>
      <c r="E25" s="24">
        <v>6</v>
      </c>
      <c r="F25" s="24"/>
      <c r="G25" s="24">
        <v>4</v>
      </c>
      <c r="H25" s="24"/>
      <c r="I25" s="24">
        <v>11</v>
      </c>
      <c r="J25" s="24">
        <v>44</v>
      </c>
      <c r="K25" s="24">
        <v>1</v>
      </c>
      <c r="L25" s="24">
        <v>1137</v>
      </c>
      <c r="M25" s="24">
        <v>27</v>
      </c>
      <c r="N25" s="24">
        <v>60</v>
      </c>
      <c r="O25" s="24">
        <v>36</v>
      </c>
      <c r="P25" s="24">
        <v>143</v>
      </c>
      <c r="Q25" s="24">
        <v>5</v>
      </c>
      <c r="R25" s="24">
        <v>297</v>
      </c>
      <c r="S25" s="24">
        <v>1705</v>
      </c>
      <c r="T25" s="24">
        <v>99</v>
      </c>
      <c r="U25" s="2"/>
    </row>
    <row r="26" spans="1:21" ht="33" customHeight="1" thickBot="1">
      <c r="A26" s="2"/>
      <c r="B26" s="23" t="s">
        <v>35</v>
      </c>
      <c r="C26" s="24">
        <v>1</v>
      </c>
      <c r="D26" s="24">
        <v>1</v>
      </c>
      <c r="E26" s="24"/>
      <c r="F26" s="24"/>
      <c r="G26" s="24">
        <v>1</v>
      </c>
      <c r="H26" s="24"/>
      <c r="I26" s="24"/>
      <c r="J26" s="24">
        <v>3</v>
      </c>
      <c r="K26" s="24"/>
      <c r="L26" s="24">
        <v>16</v>
      </c>
      <c r="M26" s="24"/>
      <c r="N26" s="24">
        <v>1</v>
      </c>
      <c r="O26" s="24">
        <v>1</v>
      </c>
      <c r="P26" s="24">
        <v>1</v>
      </c>
      <c r="Q26" s="24"/>
      <c r="R26" s="24">
        <v>1</v>
      </c>
      <c r="S26" s="24">
        <v>20</v>
      </c>
      <c r="T26" s="24">
        <v>1</v>
      </c>
      <c r="U26" s="2"/>
    </row>
    <row r="27" spans="1:21" ht="33" customHeight="1" thickBot="1">
      <c r="A27" s="2"/>
      <c r="B27" s="23" t="s">
        <v>36</v>
      </c>
      <c r="C27" s="24">
        <v>3</v>
      </c>
      <c r="D27" s="24"/>
      <c r="E27" s="24"/>
      <c r="F27" s="24"/>
      <c r="G27" s="24">
        <v>2</v>
      </c>
      <c r="H27" s="24"/>
      <c r="I27" s="24"/>
      <c r="J27" s="24">
        <v>5</v>
      </c>
      <c r="K27" s="24"/>
      <c r="L27" s="24">
        <v>21</v>
      </c>
      <c r="M27" s="24"/>
      <c r="N27" s="24"/>
      <c r="O27" s="24"/>
      <c r="P27" s="24"/>
      <c r="Q27" s="24"/>
      <c r="R27" s="24">
        <v>4</v>
      </c>
      <c r="S27" s="24">
        <v>25</v>
      </c>
      <c r="T27" s="24">
        <v>4</v>
      </c>
      <c r="U27" s="2"/>
    </row>
    <row r="28" spans="1:21" ht="33" customHeight="1" thickBot="1">
      <c r="A28" s="2"/>
      <c r="B28" s="23" t="s">
        <v>37</v>
      </c>
      <c r="C28" s="24">
        <v>3</v>
      </c>
      <c r="D28" s="24"/>
      <c r="E28" s="24"/>
      <c r="F28" s="24"/>
      <c r="G28" s="24"/>
      <c r="H28" s="24"/>
      <c r="I28" s="24"/>
      <c r="J28" s="24">
        <v>3</v>
      </c>
      <c r="K28" s="24"/>
      <c r="L28" s="24">
        <v>23</v>
      </c>
      <c r="M28" s="24"/>
      <c r="N28" s="24">
        <v>1</v>
      </c>
      <c r="O28" s="24">
        <v>1</v>
      </c>
      <c r="P28" s="24">
        <v>1</v>
      </c>
      <c r="Q28" s="24"/>
      <c r="R28" s="24">
        <v>2</v>
      </c>
      <c r="S28" s="24">
        <v>28</v>
      </c>
      <c r="T28" s="24"/>
      <c r="U28" s="2"/>
    </row>
    <row r="29" spans="1:21" ht="33" customHeight="1" thickBot="1">
      <c r="A29" s="2"/>
      <c r="B29" s="23" t="s">
        <v>38</v>
      </c>
      <c r="C29" s="24">
        <v>3</v>
      </c>
      <c r="D29" s="24"/>
      <c r="E29" s="24"/>
      <c r="F29" s="24"/>
      <c r="G29" s="24">
        <v>1</v>
      </c>
      <c r="H29" s="24"/>
      <c r="I29" s="24"/>
      <c r="J29" s="24">
        <v>4</v>
      </c>
      <c r="K29" s="24"/>
      <c r="L29" s="24">
        <v>47</v>
      </c>
      <c r="M29" s="24">
        <v>1</v>
      </c>
      <c r="N29" s="24"/>
      <c r="O29" s="24">
        <v>2</v>
      </c>
      <c r="P29" s="24">
        <v>2</v>
      </c>
      <c r="Q29" s="24"/>
      <c r="R29" s="24">
        <v>3</v>
      </c>
      <c r="S29" s="24">
        <v>55</v>
      </c>
      <c r="T29" s="24">
        <v>2</v>
      </c>
      <c r="U29" s="2"/>
    </row>
    <row r="30" spans="1:21" ht="33" customHeight="1" thickBot="1">
      <c r="A30" s="2"/>
      <c r="B30" s="23" t="s">
        <v>39</v>
      </c>
      <c r="C30" s="24">
        <v>10</v>
      </c>
      <c r="D30" s="24">
        <v>1</v>
      </c>
      <c r="E30" s="24"/>
      <c r="F30" s="24">
        <v>1</v>
      </c>
      <c r="G30" s="24">
        <v>3</v>
      </c>
      <c r="H30" s="24"/>
      <c r="I30" s="24">
        <v>3</v>
      </c>
      <c r="J30" s="24">
        <v>18</v>
      </c>
      <c r="K30" s="24"/>
      <c r="L30" s="24">
        <v>279</v>
      </c>
      <c r="M30" s="24"/>
      <c r="N30" s="24">
        <v>1</v>
      </c>
      <c r="O30" s="24">
        <v>5</v>
      </c>
      <c r="P30" s="24">
        <v>50</v>
      </c>
      <c r="Q30" s="24"/>
      <c r="R30" s="24">
        <v>56</v>
      </c>
      <c r="S30" s="24">
        <v>391</v>
      </c>
      <c r="T30" s="24">
        <v>30</v>
      </c>
      <c r="U30" s="2"/>
    </row>
    <row r="31" spans="1:21" ht="33" customHeight="1" thickBot="1">
      <c r="A31" s="2"/>
      <c r="B31" s="23" t="s">
        <v>40</v>
      </c>
      <c r="C31" s="24">
        <v>1</v>
      </c>
      <c r="D31" s="24"/>
      <c r="E31" s="24"/>
      <c r="F31" s="24"/>
      <c r="G31" s="24">
        <v>1</v>
      </c>
      <c r="H31" s="24"/>
      <c r="I31" s="24"/>
      <c r="J31" s="24">
        <v>2</v>
      </c>
      <c r="K31" s="24"/>
      <c r="L31" s="24">
        <v>21</v>
      </c>
      <c r="M31" s="24"/>
      <c r="N31" s="24">
        <v>6</v>
      </c>
      <c r="O31" s="24">
        <v>1</v>
      </c>
      <c r="P31" s="24">
        <v>9</v>
      </c>
      <c r="Q31" s="24">
        <v>1</v>
      </c>
      <c r="R31" s="24">
        <v>34</v>
      </c>
      <c r="S31" s="24">
        <v>72</v>
      </c>
      <c r="T31" s="24">
        <v>8</v>
      </c>
      <c r="U31" s="2"/>
    </row>
    <row r="32" spans="1:21" ht="33" customHeight="1" thickBot="1">
      <c r="A32" s="2"/>
      <c r="B32" s="23" t="s">
        <v>41</v>
      </c>
      <c r="C32" s="24">
        <v>5</v>
      </c>
      <c r="D32" s="24">
        <v>1</v>
      </c>
      <c r="E32" s="24">
        <v>1</v>
      </c>
      <c r="F32" s="24">
        <v>1</v>
      </c>
      <c r="G32" s="24">
        <v>5</v>
      </c>
      <c r="H32" s="24">
        <v>1</v>
      </c>
      <c r="I32" s="24">
        <v>2</v>
      </c>
      <c r="J32" s="24">
        <v>16</v>
      </c>
      <c r="K32" s="24"/>
      <c r="L32" s="24">
        <v>71</v>
      </c>
      <c r="M32" s="24"/>
      <c r="N32" s="24">
        <v>7</v>
      </c>
      <c r="O32" s="24">
        <v>1</v>
      </c>
      <c r="P32" s="24">
        <v>79</v>
      </c>
      <c r="Q32" s="24"/>
      <c r="R32" s="24">
        <v>74</v>
      </c>
      <c r="S32" s="24">
        <v>232</v>
      </c>
      <c r="T32" s="24">
        <v>20</v>
      </c>
      <c r="U32" s="2"/>
    </row>
    <row r="33" spans="1:21" ht="33" customHeight="1" thickBot="1">
      <c r="A33" s="2"/>
      <c r="B33" s="23" t="s">
        <v>42</v>
      </c>
      <c r="C33" s="24">
        <v>19</v>
      </c>
      <c r="D33" s="24"/>
      <c r="E33" s="24">
        <v>2</v>
      </c>
      <c r="F33" s="24"/>
      <c r="G33" s="24">
        <v>5</v>
      </c>
      <c r="H33" s="24">
        <v>1</v>
      </c>
      <c r="I33" s="24">
        <v>1</v>
      </c>
      <c r="J33" s="24">
        <v>28</v>
      </c>
      <c r="K33" s="24">
        <v>1</v>
      </c>
      <c r="L33" s="24">
        <v>483</v>
      </c>
      <c r="M33" s="24">
        <v>1</v>
      </c>
      <c r="N33" s="24">
        <v>8</v>
      </c>
      <c r="O33" s="24">
        <v>6</v>
      </c>
      <c r="P33" s="24">
        <v>72</v>
      </c>
      <c r="Q33" s="24">
        <v>2</v>
      </c>
      <c r="R33" s="24">
        <v>143</v>
      </c>
      <c r="S33" s="24">
        <v>715</v>
      </c>
      <c r="T33" s="24">
        <v>173</v>
      </c>
      <c r="U33" s="2"/>
    </row>
    <row r="34" spans="1:21" ht="33" customHeight="1" thickBot="1">
      <c r="A34" s="2"/>
      <c r="B34" s="23" t="s">
        <v>43</v>
      </c>
      <c r="C34" s="24">
        <v>2</v>
      </c>
      <c r="D34" s="24"/>
      <c r="E34" s="24"/>
      <c r="F34" s="24"/>
      <c r="G34" s="24">
        <v>1</v>
      </c>
      <c r="H34" s="24"/>
      <c r="I34" s="24">
        <v>1</v>
      </c>
      <c r="J34" s="24">
        <v>4</v>
      </c>
      <c r="K34" s="24"/>
      <c r="L34" s="24">
        <v>6</v>
      </c>
      <c r="M34" s="24"/>
      <c r="N34" s="24">
        <v>1</v>
      </c>
      <c r="O34" s="24"/>
      <c r="P34" s="24"/>
      <c r="Q34" s="24"/>
      <c r="R34" s="24">
        <v>6</v>
      </c>
      <c r="S34" s="24">
        <v>13</v>
      </c>
      <c r="T34" s="24">
        <v>1</v>
      </c>
      <c r="U34" s="2"/>
    </row>
    <row r="35" spans="1:21" ht="33" customHeight="1" thickBot="1">
      <c r="A35" s="2"/>
      <c r="B35" s="23" t="s">
        <v>44</v>
      </c>
      <c r="C35" s="24">
        <v>29</v>
      </c>
      <c r="D35" s="24">
        <v>1</v>
      </c>
      <c r="E35" s="24">
        <v>1</v>
      </c>
      <c r="F35" s="24">
        <v>1</v>
      </c>
      <c r="G35" s="24">
        <v>14</v>
      </c>
      <c r="H35" s="24">
        <v>1</v>
      </c>
      <c r="I35" s="24">
        <v>8</v>
      </c>
      <c r="J35" s="24">
        <v>55</v>
      </c>
      <c r="K35" s="24">
        <v>2</v>
      </c>
      <c r="L35" s="24">
        <v>694</v>
      </c>
      <c r="M35" s="24"/>
      <c r="N35" s="24">
        <v>6</v>
      </c>
      <c r="O35" s="24">
        <v>1</v>
      </c>
      <c r="P35" s="24">
        <v>160</v>
      </c>
      <c r="Q35" s="24"/>
      <c r="R35" s="24">
        <v>189</v>
      </c>
      <c r="S35" s="24">
        <v>1050</v>
      </c>
      <c r="T35" s="24">
        <v>140</v>
      </c>
      <c r="U35" s="2"/>
    </row>
    <row r="36" spans="1:21" ht="33" customHeight="1" thickBot="1">
      <c r="A36" s="2"/>
      <c r="B36" s="23" t="s">
        <v>45</v>
      </c>
      <c r="C36" s="24">
        <v>2</v>
      </c>
      <c r="D36" s="24"/>
      <c r="E36" s="24"/>
      <c r="F36" s="24"/>
      <c r="G36" s="24">
        <v>1</v>
      </c>
      <c r="H36" s="24"/>
      <c r="I36" s="24"/>
      <c r="J36" s="24">
        <v>3</v>
      </c>
      <c r="K36" s="24"/>
      <c r="L36" s="24">
        <v>19</v>
      </c>
      <c r="M36" s="24"/>
      <c r="N36" s="24">
        <v>3</v>
      </c>
      <c r="O36" s="24">
        <v>1</v>
      </c>
      <c r="P36" s="24">
        <v>4</v>
      </c>
      <c r="Q36" s="24">
        <v>1</v>
      </c>
      <c r="R36" s="24">
        <v>7</v>
      </c>
      <c r="S36" s="24">
        <v>35</v>
      </c>
      <c r="T36" s="24">
        <v>2</v>
      </c>
      <c r="U36" s="2"/>
    </row>
    <row r="37" spans="1:21" ht="33" customHeight="1" thickBot="1">
      <c r="A37" s="2"/>
      <c r="B37" s="23" t="s">
        <v>47</v>
      </c>
      <c r="C37" s="24">
        <v>27</v>
      </c>
      <c r="D37" s="24">
        <v>3</v>
      </c>
      <c r="E37" s="24"/>
      <c r="F37" s="24">
        <v>1</v>
      </c>
      <c r="G37" s="24">
        <v>5</v>
      </c>
      <c r="H37" s="24">
        <v>2</v>
      </c>
      <c r="I37" s="24">
        <v>3</v>
      </c>
      <c r="J37" s="24">
        <v>41</v>
      </c>
      <c r="K37" s="24"/>
      <c r="L37" s="24">
        <v>767</v>
      </c>
      <c r="M37" s="24">
        <v>4</v>
      </c>
      <c r="N37" s="24">
        <v>6</v>
      </c>
      <c r="O37" s="24">
        <v>15</v>
      </c>
      <c r="P37" s="24">
        <v>7</v>
      </c>
      <c r="Q37" s="24"/>
      <c r="R37" s="24">
        <v>120</v>
      </c>
      <c r="S37" s="24">
        <v>919</v>
      </c>
      <c r="T37" s="24">
        <v>106</v>
      </c>
      <c r="U37" s="2"/>
    </row>
    <row r="38" spans="1:21" ht="33" customHeight="1" thickBot="1">
      <c r="A38" s="2"/>
      <c r="B38" s="23" t="s">
        <v>58</v>
      </c>
      <c r="C38" s="24">
        <v>9</v>
      </c>
      <c r="D38" s="24">
        <v>1</v>
      </c>
      <c r="E38" s="24">
        <v>1</v>
      </c>
      <c r="F38" s="24"/>
      <c r="G38" s="24">
        <v>2</v>
      </c>
      <c r="H38" s="24"/>
      <c r="I38" s="24">
        <v>1</v>
      </c>
      <c r="J38" s="24">
        <v>14</v>
      </c>
      <c r="K38" s="24"/>
      <c r="L38" s="24">
        <v>123</v>
      </c>
      <c r="M38" s="24">
        <v>2</v>
      </c>
      <c r="N38" s="24">
        <v>4</v>
      </c>
      <c r="O38" s="24">
        <v>1</v>
      </c>
      <c r="P38" s="24">
        <v>18</v>
      </c>
      <c r="Q38" s="24"/>
      <c r="R38" s="24">
        <v>17</v>
      </c>
      <c r="S38" s="24">
        <v>165</v>
      </c>
      <c r="T38" s="24">
        <v>12</v>
      </c>
      <c r="U38" s="2"/>
    </row>
    <row r="39" spans="1:21" ht="33" customHeight="1" thickBot="1">
      <c r="A39" s="2"/>
      <c r="B39" s="23" t="s">
        <v>48</v>
      </c>
      <c r="C39" s="24">
        <v>13</v>
      </c>
      <c r="D39" s="24">
        <v>2</v>
      </c>
      <c r="E39" s="24">
        <v>1</v>
      </c>
      <c r="F39" s="24">
        <v>1</v>
      </c>
      <c r="G39" s="24">
        <v>3</v>
      </c>
      <c r="H39" s="24"/>
      <c r="I39" s="24">
        <v>2</v>
      </c>
      <c r="J39" s="24">
        <v>22</v>
      </c>
      <c r="K39" s="24"/>
      <c r="L39" s="24">
        <v>235</v>
      </c>
      <c r="M39" s="24"/>
      <c r="N39" s="24">
        <v>13</v>
      </c>
      <c r="O39" s="24">
        <v>3</v>
      </c>
      <c r="P39" s="24">
        <v>63</v>
      </c>
      <c r="Q39" s="24"/>
      <c r="R39" s="24">
        <v>58</v>
      </c>
      <c r="S39" s="24">
        <v>372</v>
      </c>
      <c r="T39" s="24">
        <v>43</v>
      </c>
      <c r="U39" s="2"/>
    </row>
    <row r="40" spans="1:21" ht="20.149999999999999" customHeight="1" thickBot="1">
      <c r="A40" s="2"/>
      <c r="B40" s="25" t="s">
        <v>59</v>
      </c>
      <c r="C40" s="24">
        <v>300</v>
      </c>
      <c r="D40" s="24">
        <v>34</v>
      </c>
      <c r="E40" s="24">
        <v>25</v>
      </c>
      <c r="F40" s="24">
        <v>17</v>
      </c>
      <c r="G40" s="24">
        <v>89</v>
      </c>
      <c r="H40" s="24">
        <v>9</v>
      </c>
      <c r="I40" s="24">
        <v>80</v>
      </c>
      <c r="J40" s="24">
        <v>554</v>
      </c>
      <c r="K40" s="24">
        <v>7</v>
      </c>
      <c r="L40" s="24">
        <v>11537</v>
      </c>
      <c r="M40" s="24">
        <v>64</v>
      </c>
      <c r="N40" s="24">
        <v>460</v>
      </c>
      <c r="O40" s="24">
        <v>221</v>
      </c>
      <c r="P40" s="24">
        <v>1732</v>
      </c>
      <c r="Q40" s="24">
        <v>24</v>
      </c>
      <c r="R40" s="24">
        <v>2985</v>
      </c>
      <c r="S40" s="24">
        <v>17023</v>
      </c>
      <c r="T40" s="24">
        <v>1550</v>
      </c>
      <c r="U40" s="2"/>
    </row>
  </sheetData>
  <mergeCells count="4">
    <mergeCell ref="B1:T1"/>
    <mergeCell ref="B2:T2"/>
    <mergeCell ref="C3:K3"/>
    <mergeCell ref="L3:T3"/>
  </mergeCells>
  <pageMargins left="0.27777777777777779" right="0.27777777777777779" top="0.27777777777777779" bottom="0.27777777777777779" header="0.5" footer="0.5"/>
  <pageSetup pageOrder="overThenDown" orientation="landscape" horizontalDpi="300" verticalDpi="3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E8"/>
  <sheetViews>
    <sheetView workbookViewId="0">
      <selection activeCell="B8" sqref="B8"/>
    </sheetView>
  </sheetViews>
  <sheetFormatPr defaultRowHeight="12.5"/>
  <sheetData>
    <row r="1" spans="1:5" ht="13" thickBot="1">
      <c r="B1" t="s">
        <v>9</v>
      </c>
      <c r="C1" t="s">
        <v>75</v>
      </c>
      <c r="D1" t="s">
        <v>76</v>
      </c>
      <c r="E1" t="s">
        <v>77</v>
      </c>
    </row>
    <row r="2" spans="1:5" ht="17.5" thickBot="1">
      <c r="A2" t="s">
        <v>12</v>
      </c>
      <c r="B2" s="44">
        <v>1981</v>
      </c>
      <c r="C2" s="45">
        <v>2796</v>
      </c>
      <c r="D2" s="45">
        <v>873</v>
      </c>
      <c r="E2" s="46">
        <v>54</v>
      </c>
    </row>
    <row r="3" spans="1:5">
      <c r="A3" t="s">
        <v>78</v>
      </c>
      <c r="B3">
        <v>1426</v>
      </c>
      <c r="C3">
        <v>2130</v>
      </c>
      <c r="D3">
        <v>742</v>
      </c>
      <c r="E3">
        <v>51</v>
      </c>
    </row>
    <row r="6" spans="1:5">
      <c r="B6" t="s">
        <v>9</v>
      </c>
      <c r="C6" t="s">
        <v>75</v>
      </c>
      <c r="D6" t="s">
        <v>76</v>
      </c>
      <c r="E6" t="s">
        <v>77</v>
      </c>
    </row>
    <row r="7" spans="1:5">
      <c r="A7" t="s">
        <v>78</v>
      </c>
      <c r="B7">
        <v>1426</v>
      </c>
      <c r="C7">
        <v>2130</v>
      </c>
      <c r="D7">
        <v>742</v>
      </c>
      <c r="E7">
        <v>51</v>
      </c>
    </row>
    <row r="8" spans="1:5">
      <c r="B8">
        <v>555</v>
      </c>
      <c r="C8">
        <v>666</v>
      </c>
      <c r="D8">
        <v>131</v>
      </c>
      <c r="E8">
        <v>3</v>
      </c>
    </row>
  </sheetData>
  <pageMargins left="0.7" right="0.7" top="0.75" bottom="0.75" header="0.3" footer="0.3"/>
  <pageSetup paperSize="9" orientation="portrait" horizontalDpi="20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66</vt:i4>
      </vt:variant>
      <vt:variant>
        <vt:lpstr>Named Ranges</vt:lpstr>
      </vt:variant>
      <vt:variant>
        <vt:i4>113</vt:i4>
      </vt:variant>
    </vt:vector>
  </HeadingPairs>
  <TitlesOfParts>
    <vt:vector size="179" baseType="lpstr">
      <vt:lpstr>1UniNo</vt:lpstr>
      <vt:lpstr>1InsResponse</vt:lpstr>
      <vt:lpstr>2University-Specialisation</vt:lpstr>
      <vt:lpstr>3Collegerange</vt:lpstr>
      <vt:lpstr>4CollegeIndicator</vt:lpstr>
      <vt:lpstr>4aCollegeSpec</vt:lpstr>
      <vt:lpstr>5ManagementCollegeNo</vt:lpstr>
      <vt:lpstr>6TotalEnr</vt:lpstr>
      <vt:lpstr>6aTotalRegularEnr</vt:lpstr>
      <vt:lpstr>6bTotalDistanceEnr</vt:lpstr>
      <vt:lpstr>7UnivActwithConsUnit</vt:lpstr>
      <vt:lpstr>8CollegeAct</vt:lpstr>
      <vt:lpstr>9AllSAAct</vt:lpstr>
      <vt:lpstr>9aSAILevel</vt:lpstr>
      <vt:lpstr>10InstituionEst</vt:lpstr>
      <vt:lpstr>11Programme</vt:lpstr>
      <vt:lpstr>11aProgrammeDistance </vt:lpstr>
      <vt:lpstr>12UGDisc </vt:lpstr>
      <vt:lpstr>13PGDisc</vt:lpstr>
      <vt:lpstr>14-15TotalEnrCategory</vt:lpstr>
      <vt:lpstr>16FS-countrylevel</vt:lpstr>
      <vt:lpstr>17FS-statelevel</vt:lpstr>
      <vt:lpstr>18FS-prog</vt:lpstr>
      <vt:lpstr>ManagementCollegeNo (2)</vt:lpstr>
      <vt:lpstr>WomenCollege</vt:lpstr>
      <vt:lpstr>19GER(2011)</vt:lpstr>
      <vt:lpstr>20GPI2011</vt:lpstr>
      <vt:lpstr>21TeacherCategory</vt:lpstr>
      <vt:lpstr>22TeacherPost</vt:lpstr>
      <vt:lpstr>22aTeacherPostUC</vt:lpstr>
      <vt:lpstr>22bTeacherPostU</vt:lpstr>
      <vt:lpstr>23StaffPost</vt:lpstr>
      <vt:lpstr>24StaffCategory</vt:lpstr>
      <vt:lpstr>25PTR</vt:lpstr>
      <vt:lpstr>26UnivEnrolinclConstituentU</vt:lpstr>
      <vt:lpstr>27TypeEnrolmentCategory-Est</vt:lpstr>
      <vt:lpstr>29TypeTeacherPostEstimated</vt:lpstr>
      <vt:lpstr>30TypeTeacherCategoryEstimated</vt:lpstr>
      <vt:lpstr>31Hostelstate </vt:lpstr>
      <vt:lpstr>32TypeHostel</vt:lpstr>
      <vt:lpstr>33OutTurnState</vt:lpstr>
      <vt:lpstr>33a CategoryOutTurn</vt:lpstr>
      <vt:lpstr>34OutTurn Prog </vt:lpstr>
      <vt:lpstr>34a</vt:lpstr>
      <vt:lpstr>35UGDisc</vt:lpstr>
      <vt:lpstr>36 PGDisc </vt:lpstr>
      <vt:lpstr>37CollegeTypeNo</vt:lpstr>
      <vt:lpstr>38Pop2020(2011)</vt:lpstr>
      <vt:lpstr>39TypeStateUnivwithConsUnit</vt:lpstr>
      <vt:lpstr>40NoUni</vt:lpstr>
      <vt:lpstr>41NoUniType</vt:lpstr>
      <vt:lpstr>42CollegeIndicator</vt:lpstr>
      <vt:lpstr>43ENRLT 6</vt:lpstr>
      <vt:lpstr>44ENRLR 6a</vt:lpstr>
      <vt:lpstr>45EnrlCategory 14</vt:lpstr>
      <vt:lpstr>46EnrlMinority 14</vt:lpstr>
      <vt:lpstr>47GER  19</vt:lpstr>
      <vt:lpstr>48GPI 20</vt:lpstr>
      <vt:lpstr>49PTR 25</vt:lpstr>
      <vt:lpstr>50LevelEnrlUniType</vt:lpstr>
      <vt:lpstr>51PostTeacher</vt:lpstr>
      <vt:lpstr>52Pop</vt:lpstr>
      <vt:lpstr>4CollegeIndicator (2)</vt:lpstr>
      <vt:lpstr>RespondingTypeCollege</vt:lpstr>
      <vt:lpstr>Paste</vt:lpstr>
      <vt:lpstr>StandaloneMgt</vt:lpstr>
      <vt:lpstr>'10InstituionEst'!Print_Area</vt:lpstr>
      <vt:lpstr>'11aProgrammeDistance '!Print_Area</vt:lpstr>
      <vt:lpstr>'11Programme'!Print_Area</vt:lpstr>
      <vt:lpstr>'12UGDisc '!Print_Area</vt:lpstr>
      <vt:lpstr>'13PGDisc'!Print_Area</vt:lpstr>
      <vt:lpstr>'14-15TotalEnrCategory'!Print_Area</vt:lpstr>
      <vt:lpstr>'16FS-countrylevel'!Print_Area</vt:lpstr>
      <vt:lpstr>'17FS-statelevel'!Print_Area</vt:lpstr>
      <vt:lpstr>'18FS-prog'!Print_Area</vt:lpstr>
      <vt:lpstr>'19GER(2011)'!Print_Area</vt:lpstr>
      <vt:lpstr>'1InsResponse'!Print_Area</vt:lpstr>
      <vt:lpstr>'1UniNo'!Print_Area</vt:lpstr>
      <vt:lpstr>'20GPI2011'!Print_Area</vt:lpstr>
      <vt:lpstr>'21TeacherCategory'!Print_Area</vt:lpstr>
      <vt:lpstr>'22aTeacherPostUC'!Print_Area</vt:lpstr>
      <vt:lpstr>'22bTeacherPostU'!Print_Area</vt:lpstr>
      <vt:lpstr>'22TeacherPost'!Print_Area</vt:lpstr>
      <vt:lpstr>'23StaffPost'!Print_Area</vt:lpstr>
      <vt:lpstr>'24StaffCategory'!Print_Area</vt:lpstr>
      <vt:lpstr>'25PTR'!Print_Area</vt:lpstr>
      <vt:lpstr>'26UnivEnrolinclConstituentU'!Print_Area</vt:lpstr>
      <vt:lpstr>'27TypeEnrolmentCategory-Est'!Print_Area</vt:lpstr>
      <vt:lpstr>'29TypeTeacherPostEstimated'!Print_Area</vt:lpstr>
      <vt:lpstr>'2University-Specialisation'!Print_Area</vt:lpstr>
      <vt:lpstr>'30TypeTeacherCategoryEstimated'!Print_Area</vt:lpstr>
      <vt:lpstr>'31Hostelstate '!Print_Area</vt:lpstr>
      <vt:lpstr>'33a CategoryOutTurn'!Print_Area</vt:lpstr>
      <vt:lpstr>'33OutTurnState'!Print_Area</vt:lpstr>
      <vt:lpstr>'34a'!Print_Area</vt:lpstr>
      <vt:lpstr>'34OutTurn Prog '!Print_Area</vt:lpstr>
      <vt:lpstr>'35UGDisc'!Print_Area</vt:lpstr>
      <vt:lpstr>'36 PGDisc '!Print_Area</vt:lpstr>
      <vt:lpstr>'37CollegeTypeNo'!Print_Area</vt:lpstr>
      <vt:lpstr>'38Pop2020(2011)'!Print_Area</vt:lpstr>
      <vt:lpstr>'39TypeStateUnivwithConsUnit'!Print_Area</vt:lpstr>
      <vt:lpstr>'3Collegerange'!Print_Area</vt:lpstr>
      <vt:lpstr>'40NoUni'!Print_Area</vt:lpstr>
      <vt:lpstr>'42CollegeIndicator'!Print_Area</vt:lpstr>
      <vt:lpstr>'44ENRLR 6a'!Print_Area</vt:lpstr>
      <vt:lpstr>'45EnrlCategory 14'!Print_Area</vt:lpstr>
      <vt:lpstr>'47GER  19'!Print_Area</vt:lpstr>
      <vt:lpstr>'48GPI 20'!Print_Area</vt:lpstr>
      <vt:lpstr>'49PTR 25'!Print_Area</vt:lpstr>
      <vt:lpstr>'4aCollegeSpec'!Print_Area</vt:lpstr>
      <vt:lpstr>'4CollegeIndicator'!Print_Area</vt:lpstr>
      <vt:lpstr>'4CollegeIndicator (2)'!Print_Area</vt:lpstr>
      <vt:lpstr>'50LevelEnrlUniType'!Print_Area</vt:lpstr>
      <vt:lpstr>'51PostTeacher'!Print_Area</vt:lpstr>
      <vt:lpstr>'52Pop'!Print_Area</vt:lpstr>
      <vt:lpstr>'5ManagementCollegeNo'!Print_Area</vt:lpstr>
      <vt:lpstr>'6aTotalRegularEnr'!Print_Area</vt:lpstr>
      <vt:lpstr>'6bTotalDistanceEnr'!Print_Area</vt:lpstr>
      <vt:lpstr>'6TotalEnr'!Print_Area</vt:lpstr>
      <vt:lpstr>'7UnivActwithConsUnit'!Print_Area</vt:lpstr>
      <vt:lpstr>'8CollegeAct'!Print_Area</vt:lpstr>
      <vt:lpstr>'9AllSAAct'!Print_Area</vt:lpstr>
      <vt:lpstr>'9aSAILevel'!Print_Area</vt:lpstr>
      <vt:lpstr>'ManagementCollegeNo (2)'!Print_Area</vt:lpstr>
      <vt:lpstr>WomenCollege!Print_Area</vt:lpstr>
      <vt:lpstr>'10InstituionEst'!Print_Titles</vt:lpstr>
      <vt:lpstr>'11aProgrammeDistance '!Print_Titles</vt:lpstr>
      <vt:lpstr>'11Programme'!Print_Titles</vt:lpstr>
      <vt:lpstr>'12UGDisc '!Print_Titles</vt:lpstr>
      <vt:lpstr>'13PGDisc'!Print_Titles</vt:lpstr>
      <vt:lpstr>'14-15TotalEnrCategory'!Print_Titles</vt:lpstr>
      <vt:lpstr>'16FS-countrylevel'!Print_Titles</vt:lpstr>
      <vt:lpstr>'17FS-statelevel'!Print_Titles</vt:lpstr>
      <vt:lpstr>'18FS-prog'!Print_Titles</vt:lpstr>
      <vt:lpstr>'20GPI2011'!Print_Titles</vt:lpstr>
      <vt:lpstr>'21TeacherCategory'!Print_Titles</vt:lpstr>
      <vt:lpstr>'22aTeacherPostUC'!Print_Titles</vt:lpstr>
      <vt:lpstr>'22bTeacherPostU'!Print_Titles</vt:lpstr>
      <vt:lpstr>'22TeacherPost'!Print_Titles</vt:lpstr>
      <vt:lpstr>'23StaffPost'!Print_Titles</vt:lpstr>
      <vt:lpstr>'24StaffCategory'!Print_Titles</vt:lpstr>
      <vt:lpstr>'25PTR'!Print_Titles</vt:lpstr>
      <vt:lpstr>'26UnivEnrolinclConstituentU'!Print_Titles</vt:lpstr>
      <vt:lpstr>'27TypeEnrolmentCategory-Est'!Print_Titles</vt:lpstr>
      <vt:lpstr>'29TypeTeacherPostEstimated'!Print_Titles</vt:lpstr>
      <vt:lpstr>'2University-Specialisation'!Print_Titles</vt:lpstr>
      <vt:lpstr>'30TypeTeacherCategoryEstimated'!Print_Titles</vt:lpstr>
      <vt:lpstr>'31Hostelstate '!Print_Titles</vt:lpstr>
      <vt:lpstr>'33a CategoryOutTurn'!Print_Titles</vt:lpstr>
      <vt:lpstr>'33OutTurnState'!Print_Titles</vt:lpstr>
      <vt:lpstr>'34a'!Print_Titles</vt:lpstr>
      <vt:lpstr>'34OutTurn Prog '!Print_Titles</vt:lpstr>
      <vt:lpstr>'35UGDisc'!Print_Titles</vt:lpstr>
      <vt:lpstr>'36 PGDisc '!Print_Titles</vt:lpstr>
      <vt:lpstr>'37CollegeTypeNo'!Print_Titles</vt:lpstr>
      <vt:lpstr>'39TypeStateUnivwithConsUnit'!Print_Titles</vt:lpstr>
      <vt:lpstr>'41NoUniType'!Print_Titles</vt:lpstr>
      <vt:lpstr>'42CollegeIndicator'!Print_Titles</vt:lpstr>
      <vt:lpstr>'43ENRLT 6'!Print_Titles</vt:lpstr>
      <vt:lpstr>'44ENRLR 6a'!Print_Titles</vt:lpstr>
      <vt:lpstr>'45EnrlCategory 14'!Print_Titles</vt:lpstr>
      <vt:lpstr>'46EnrlMinority 14'!Print_Titles</vt:lpstr>
      <vt:lpstr>'47GER  19'!Print_Titles</vt:lpstr>
      <vt:lpstr>'48GPI 20'!Print_Titles</vt:lpstr>
      <vt:lpstr>'49PTR 25'!Print_Titles</vt:lpstr>
      <vt:lpstr>'4aCollegeSpec'!Print_Titles</vt:lpstr>
      <vt:lpstr>'50LevelEnrlUniType'!Print_Titles</vt:lpstr>
      <vt:lpstr>'51PostTeacher'!Print_Titles</vt:lpstr>
      <vt:lpstr>'52Pop'!Print_Titles</vt:lpstr>
      <vt:lpstr>'5ManagementCollegeNo'!Print_Titles</vt:lpstr>
      <vt:lpstr>'6aTotalRegularEnr'!Print_Titles</vt:lpstr>
      <vt:lpstr>'6bTotalDistanceEnr'!Print_Titles</vt:lpstr>
      <vt:lpstr>'6TotalEnr'!Print_Titles</vt:lpstr>
      <vt:lpstr>'7UnivActwithConsUnit'!Print_Titles</vt:lpstr>
      <vt:lpstr>'8CollegeAct'!Print_Titles</vt:lpstr>
      <vt:lpstr>'9AllSAAct'!Print_Titles</vt:lpstr>
      <vt:lpstr>'9aSAILevel'!Print_Titles</vt:lpstr>
      <vt:lpstr>'ManagementCollegeNo (2)'!Print_Titles</vt:lpstr>
      <vt:lpstr>WomenCollege!Print_Titles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Sanjay</dc:creator>
  <cp:lastModifiedBy>Mamun Rahaman</cp:lastModifiedBy>
  <cp:lastPrinted>2025-02-18T10:56:25Z</cp:lastPrinted>
  <dcterms:created xsi:type="dcterms:W3CDTF">2012-10-13T19:39:23Z</dcterms:created>
  <dcterms:modified xsi:type="dcterms:W3CDTF">2026-07-15T17:25:45Z</dcterms:modified>
</cp:coreProperties>
</file>